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60" yWindow="45" windowWidth="21180" windowHeight="1551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/>
  <c r="X540"/>
  <c r="BO539"/>
  <c r="BM539"/>
  <c r="Y539"/>
  <c r="AB552" s="1"/>
  <c r="P539"/>
  <c r="X536"/>
  <c r="X535"/>
  <c r="BO534"/>
  <c r="BN534"/>
  <c r="BM534"/>
  <c r="Y534"/>
  <c r="BP534" s="1"/>
  <c r="P534"/>
  <c r="BO533"/>
  <c r="BM533"/>
  <c r="Y533"/>
  <c r="BP533" s="1"/>
  <c r="P533"/>
  <c r="X531"/>
  <c r="Y530"/>
  <c r="X530"/>
  <c r="BO529"/>
  <c r="BM529"/>
  <c r="Z529"/>
  <c r="Z530" s="1"/>
  <c r="Y529"/>
  <c r="BP529" s="1"/>
  <c r="P529"/>
  <c r="X527"/>
  <c r="X526"/>
  <c r="BO525"/>
  <c r="BN525"/>
  <c r="BM525"/>
  <c r="Y525"/>
  <c r="BP525" s="1"/>
  <c r="P525"/>
  <c r="BO524"/>
  <c r="BM524"/>
  <c r="Y524"/>
  <c r="BN524" s="1"/>
  <c r="P524"/>
  <c r="X522"/>
  <c r="X521"/>
  <c r="BP520"/>
  <c r="BO520"/>
  <c r="BM520"/>
  <c r="Y520"/>
  <c r="Z520" s="1"/>
  <c r="Z521" s="1"/>
  <c r="P520"/>
  <c r="X518"/>
  <c r="X517"/>
  <c r="BO516"/>
  <c r="BM516"/>
  <c r="Y516"/>
  <c r="P516"/>
  <c r="X512"/>
  <c r="X511"/>
  <c r="BO510"/>
  <c r="BM510"/>
  <c r="Y510"/>
  <c r="BN510" s="1"/>
  <c r="P510"/>
  <c r="BO509"/>
  <c r="BM509"/>
  <c r="Y509"/>
  <c r="BP509" s="1"/>
  <c r="P509"/>
  <c r="BO508"/>
  <c r="BM508"/>
  <c r="Y508"/>
  <c r="BN508" s="1"/>
  <c r="P508"/>
  <c r="BO507"/>
  <c r="BM507"/>
  <c r="Y507"/>
  <c r="BN507" s="1"/>
  <c r="P507"/>
  <c r="BO506"/>
  <c r="BM506"/>
  <c r="Y506"/>
  <c r="BP506" s="1"/>
  <c r="P506"/>
  <c r="BO505"/>
  <c r="BM505"/>
  <c r="Y505"/>
  <c r="BN505" s="1"/>
  <c r="P505"/>
  <c r="BO504"/>
  <c r="BM504"/>
  <c r="Y504"/>
  <c r="P504"/>
  <c r="X502"/>
  <c r="X501"/>
  <c r="BP500"/>
  <c r="BO500"/>
  <c r="BM500"/>
  <c r="Y500"/>
  <c r="BN500" s="1"/>
  <c r="P500"/>
  <c r="BO499"/>
  <c r="BM499"/>
  <c r="Y499"/>
  <c r="P499"/>
  <c r="BO498"/>
  <c r="BM498"/>
  <c r="Y498"/>
  <c r="Z498" s="1"/>
  <c r="P498"/>
  <c r="X496"/>
  <c r="X495"/>
  <c r="BO494"/>
  <c r="BM494"/>
  <c r="Y494"/>
  <c r="BP494" s="1"/>
  <c r="P494"/>
  <c r="BO493"/>
  <c r="BN493"/>
  <c r="BM493"/>
  <c r="Y493"/>
  <c r="BP493" s="1"/>
  <c r="P493"/>
  <c r="BO492"/>
  <c r="BM492"/>
  <c r="Y492"/>
  <c r="BP492" s="1"/>
  <c r="P492"/>
  <c r="BO491"/>
  <c r="BM491"/>
  <c r="Y491"/>
  <c r="BN491" s="1"/>
  <c r="P491"/>
  <c r="BP490"/>
  <c r="BO490"/>
  <c r="BM490"/>
  <c r="Y490"/>
  <c r="BN490" s="1"/>
  <c r="P490"/>
  <c r="BO489"/>
  <c r="BM489"/>
  <c r="Y489"/>
  <c r="BP489" s="1"/>
  <c r="P489"/>
  <c r="BP488"/>
  <c r="BO488"/>
  <c r="BN488"/>
  <c r="BM488"/>
  <c r="Z488"/>
  <c r="Y488"/>
  <c r="P488"/>
  <c r="BP487"/>
  <c r="BO487"/>
  <c r="BM487"/>
  <c r="Y487"/>
  <c r="BN487" s="1"/>
  <c r="P487"/>
  <c r="BO486"/>
  <c r="BM486"/>
  <c r="Y486"/>
  <c r="P486"/>
  <c r="X482"/>
  <c r="X481"/>
  <c r="BO480"/>
  <c r="BM480"/>
  <c r="Y480"/>
  <c r="P480"/>
  <c r="BP479"/>
  <c r="BO479"/>
  <c r="BM479"/>
  <c r="Z479"/>
  <c r="Y479"/>
  <c r="BN479" s="1"/>
  <c r="P479"/>
  <c r="BO478"/>
  <c r="BM478"/>
  <c r="Y478"/>
  <c r="BP478" s="1"/>
  <c r="P478"/>
  <c r="X476"/>
  <c r="X475"/>
  <c r="BO474"/>
  <c r="BN474"/>
  <c r="BM474"/>
  <c r="Y474"/>
  <c r="Z474" s="1"/>
  <c r="Z475" s="1"/>
  <c r="P474"/>
  <c r="X471"/>
  <c r="X470"/>
  <c r="BO469"/>
  <c r="BM469"/>
  <c r="Y469"/>
  <c r="BP469" s="1"/>
  <c r="P469"/>
  <c r="BO468"/>
  <c r="BM468"/>
  <c r="Y468"/>
  <c r="Z468" s="1"/>
  <c r="P468"/>
  <c r="X466"/>
  <c r="X465"/>
  <c r="BO464"/>
  <c r="BM464"/>
  <c r="Y464"/>
  <c r="BP464" s="1"/>
  <c r="P464"/>
  <c r="BP463"/>
  <c r="BO463"/>
  <c r="BN463"/>
  <c r="BM463"/>
  <c r="Z463"/>
  <c r="Y463"/>
  <c r="P463"/>
  <c r="BP462"/>
  <c r="BO462"/>
  <c r="BM462"/>
  <c r="Y462"/>
  <c r="BN462" s="1"/>
  <c r="P462"/>
  <c r="BO461"/>
  <c r="BM461"/>
  <c r="Y461"/>
  <c r="BP461" s="1"/>
  <c r="P461"/>
  <c r="BO460"/>
  <c r="BM460"/>
  <c r="Y460"/>
  <c r="BP460" s="1"/>
  <c r="P460"/>
  <c r="BO459"/>
  <c r="BM459"/>
  <c r="Y459"/>
  <c r="P459"/>
  <c r="X455"/>
  <c r="X454"/>
  <c r="BP453"/>
  <c r="BO453"/>
  <c r="BM453"/>
  <c r="Y453"/>
  <c r="BN453" s="1"/>
  <c r="P453"/>
  <c r="BO452"/>
  <c r="BM452"/>
  <c r="Y452"/>
  <c r="P452"/>
  <c r="BO451"/>
  <c r="BM451"/>
  <c r="Y451"/>
  <c r="Y455" s="1"/>
  <c r="P451"/>
  <c r="X449"/>
  <c r="X448"/>
  <c r="BO447"/>
  <c r="BM447"/>
  <c r="Y447"/>
  <c r="Y449" s="1"/>
  <c r="P447"/>
  <c r="X445"/>
  <c r="Y444"/>
  <c r="X444"/>
  <c r="BP443"/>
  <c r="BO443"/>
  <c r="BN443"/>
  <c r="BM443"/>
  <c r="Z443"/>
  <c r="Y443"/>
  <c r="P443"/>
  <c r="BO442"/>
  <c r="BM442"/>
  <c r="Y442"/>
  <c r="P442"/>
  <c r="X439"/>
  <c r="X438"/>
  <c r="BO437"/>
  <c r="BN437"/>
  <c r="BM437"/>
  <c r="Y437"/>
  <c r="Z437" s="1"/>
  <c r="P437"/>
  <c r="BO436"/>
  <c r="BM436"/>
  <c r="Y436"/>
  <c r="Y439" s="1"/>
  <c r="P436"/>
  <c r="X434"/>
  <c r="X433"/>
  <c r="BO432"/>
  <c r="BM432"/>
  <c r="Y432"/>
  <c r="P432"/>
  <c r="BO431"/>
  <c r="BM431"/>
  <c r="Y431"/>
  <c r="BP431" s="1"/>
  <c r="P431"/>
  <c r="BO430"/>
  <c r="BM430"/>
  <c r="Y430"/>
  <c r="P430"/>
  <c r="X428"/>
  <c r="X427"/>
  <c r="BO426"/>
  <c r="BM426"/>
  <c r="Y426"/>
  <c r="Z426" s="1"/>
  <c r="P426"/>
  <c r="BO425"/>
  <c r="BN425"/>
  <c r="BM425"/>
  <c r="Y425"/>
  <c r="BP425" s="1"/>
  <c r="P425"/>
  <c r="BO424"/>
  <c r="BM424"/>
  <c r="Y424"/>
  <c r="P424"/>
  <c r="X422"/>
  <c r="X421"/>
  <c r="BO420"/>
  <c r="BN420"/>
  <c r="BM420"/>
  <c r="Y420"/>
  <c r="BP420" s="1"/>
  <c r="P420"/>
  <c r="BO419"/>
  <c r="BM419"/>
  <c r="Y419"/>
  <c r="BP419" s="1"/>
  <c r="P419"/>
  <c r="BO418"/>
  <c r="BM418"/>
  <c r="Y418"/>
  <c r="BP418" s="1"/>
  <c r="P418"/>
  <c r="BO417"/>
  <c r="BM417"/>
  <c r="Y417"/>
  <c r="BN417" s="1"/>
  <c r="P417"/>
  <c r="BO416"/>
  <c r="BM416"/>
  <c r="Y416"/>
  <c r="Z416" s="1"/>
  <c r="P416"/>
  <c r="BO415"/>
  <c r="BM415"/>
  <c r="Y415"/>
  <c r="BP415" s="1"/>
  <c r="P415"/>
  <c r="BO414"/>
  <c r="BM414"/>
  <c r="Y414"/>
  <c r="BP414" s="1"/>
  <c r="P414"/>
  <c r="BO413"/>
  <c r="BM413"/>
  <c r="Y413"/>
  <c r="P413"/>
  <c r="X409"/>
  <c r="X408"/>
  <c r="BO407"/>
  <c r="BM407"/>
  <c r="Y407"/>
  <c r="BP407" s="1"/>
  <c r="P407"/>
  <c r="BO406"/>
  <c r="BM406"/>
  <c r="Y406"/>
  <c r="BP406" s="1"/>
  <c r="P406"/>
  <c r="BO405"/>
  <c r="BM405"/>
  <c r="Y405"/>
  <c r="P405"/>
  <c r="X402"/>
  <c r="X401"/>
  <c r="BP400"/>
  <c r="BO400"/>
  <c r="BM400"/>
  <c r="Z400"/>
  <c r="Y400"/>
  <c r="BN400" s="1"/>
  <c r="P400"/>
  <c r="BO399"/>
  <c r="BM399"/>
  <c r="Y399"/>
  <c r="BP399" s="1"/>
  <c r="P399"/>
  <c r="BO398"/>
  <c r="BM398"/>
  <c r="Y398"/>
  <c r="Z398" s="1"/>
  <c r="P398"/>
  <c r="X396"/>
  <c r="X395"/>
  <c r="BO394"/>
  <c r="BM394"/>
  <c r="Y394"/>
  <c r="BP394" s="1"/>
  <c r="P394"/>
  <c r="BO393"/>
  <c r="BM393"/>
  <c r="Z393"/>
  <c r="Y393"/>
  <c r="BN393" s="1"/>
  <c r="P393"/>
  <c r="BO392"/>
  <c r="BM392"/>
  <c r="Y392"/>
  <c r="Y396" s="1"/>
  <c r="P392"/>
  <c r="X390"/>
  <c r="X389"/>
  <c r="BO388"/>
  <c r="BM388"/>
  <c r="Y388"/>
  <c r="BN388" s="1"/>
  <c r="P388"/>
  <c r="BO387"/>
  <c r="BM387"/>
  <c r="Y387"/>
  <c r="BP387" s="1"/>
  <c r="P387"/>
  <c r="BO386"/>
  <c r="BM386"/>
  <c r="Y386"/>
  <c r="BN386" s="1"/>
  <c r="P386"/>
  <c r="BO385"/>
  <c r="BM385"/>
  <c r="Y385"/>
  <c r="BN385" s="1"/>
  <c r="P385"/>
  <c r="X383"/>
  <c r="X382"/>
  <c r="BO381"/>
  <c r="BM381"/>
  <c r="Y381"/>
  <c r="Z381" s="1"/>
  <c r="P381"/>
  <c r="BO380"/>
  <c r="BM380"/>
  <c r="Y380"/>
  <c r="BP380" s="1"/>
  <c r="P380"/>
  <c r="BO379"/>
  <c r="BM379"/>
  <c r="Y379"/>
  <c r="P379"/>
  <c r="X377"/>
  <c r="X376"/>
  <c r="BO375"/>
  <c r="BM375"/>
  <c r="Y375"/>
  <c r="BN375" s="1"/>
  <c r="P375"/>
  <c r="BO374"/>
  <c r="BM374"/>
  <c r="Y374"/>
  <c r="BP374" s="1"/>
  <c r="P374"/>
  <c r="BO373"/>
  <c r="BN373"/>
  <c r="BM373"/>
  <c r="Y373"/>
  <c r="BP373" s="1"/>
  <c r="P373"/>
  <c r="BO372"/>
  <c r="BM372"/>
  <c r="Y372"/>
  <c r="BP372" s="1"/>
  <c r="P372"/>
  <c r="X370"/>
  <c r="X369"/>
  <c r="BO368"/>
  <c r="BM368"/>
  <c r="Y368"/>
  <c r="BP368" s="1"/>
  <c r="P368"/>
  <c r="BO367"/>
  <c r="BM367"/>
  <c r="Y367"/>
  <c r="BP367" s="1"/>
  <c r="P367"/>
  <c r="BO366"/>
  <c r="BM366"/>
  <c r="Y366"/>
  <c r="Z366" s="1"/>
  <c r="P366"/>
  <c r="BO365"/>
  <c r="BM365"/>
  <c r="Y365"/>
  <c r="BP365" s="1"/>
  <c r="P365"/>
  <c r="BO364"/>
  <c r="BM364"/>
  <c r="Y364"/>
  <c r="BP364" s="1"/>
  <c r="P364"/>
  <c r="BO363"/>
  <c r="BM363"/>
  <c r="Y363"/>
  <c r="BP363" s="1"/>
  <c r="P363"/>
  <c r="BO362"/>
  <c r="BM362"/>
  <c r="Y362"/>
  <c r="BP362" s="1"/>
  <c r="P362"/>
  <c r="X360"/>
  <c r="X359"/>
  <c r="BO358"/>
  <c r="BM358"/>
  <c r="Y358"/>
  <c r="BN358" s="1"/>
  <c r="P358"/>
  <c r="BO357"/>
  <c r="BM357"/>
  <c r="Y357"/>
  <c r="BP357" s="1"/>
  <c r="P357"/>
  <c r="BO356"/>
  <c r="BM356"/>
  <c r="Y356"/>
  <c r="Z356" s="1"/>
  <c r="P356"/>
  <c r="BO355"/>
  <c r="BM355"/>
  <c r="Y355"/>
  <c r="BN355" s="1"/>
  <c r="P355"/>
  <c r="BO354"/>
  <c r="BM354"/>
  <c r="Y354"/>
  <c r="BP354" s="1"/>
  <c r="P354"/>
  <c r="BO353"/>
  <c r="BM353"/>
  <c r="Y353"/>
  <c r="BP353" s="1"/>
  <c r="P353"/>
  <c r="X350"/>
  <c r="X349"/>
  <c r="BO348"/>
  <c r="BM348"/>
  <c r="Y348"/>
  <c r="BP348" s="1"/>
  <c r="P348"/>
  <c r="BO347"/>
  <c r="BN347"/>
  <c r="BM347"/>
  <c r="Y347"/>
  <c r="BP347" s="1"/>
  <c r="P347"/>
  <c r="BO346"/>
  <c r="BM346"/>
  <c r="Y346"/>
  <c r="Y350" s="1"/>
  <c r="P346"/>
  <c r="X343"/>
  <c r="X342"/>
  <c r="BO341"/>
  <c r="BM341"/>
  <c r="Y341"/>
  <c r="BN341" s="1"/>
  <c r="P341"/>
  <c r="BO340"/>
  <c r="BM340"/>
  <c r="Y340"/>
  <c r="P340"/>
  <c r="X338"/>
  <c r="X337"/>
  <c r="BO336"/>
  <c r="BM336"/>
  <c r="Y336"/>
  <c r="BP336" s="1"/>
  <c r="P336"/>
  <c r="BO335"/>
  <c r="BM335"/>
  <c r="Y335"/>
  <c r="Y337" s="1"/>
  <c r="P335"/>
  <c r="BO334"/>
  <c r="BN334"/>
  <c r="BM334"/>
  <c r="Y334"/>
  <c r="BP334" s="1"/>
  <c r="P334"/>
  <c r="BO333"/>
  <c r="BM333"/>
  <c r="Y333"/>
  <c r="BP333" s="1"/>
  <c r="P333"/>
  <c r="BP332"/>
  <c r="BO332"/>
  <c r="BN332"/>
  <c r="BM332"/>
  <c r="Z332"/>
  <c r="Y332"/>
  <c r="P332"/>
  <c r="X329"/>
  <c r="X328"/>
  <c r="BO327"/>
  <c r="BM327"/>
  <c r="Y327"/>
  <c r="BP327" s="1"/>
  <c r="P327"/>
  <c r="BO326"/>
  <c r="BN326"/>
  <c r="BM326"/>
  <c r="Y326"/>
  <c r="Z326" s="1"/>
  <c r="P326"/>
  <c r="BO325"/>
  <c r="BM325"/>
  <c r="Y325"/>
  <c r="BP325" s="1"/>
  <c r="P325"/>
  <c r="X322"/>
  <c r="X321"/>
  <c r="BO320"/>
  <c r="BM320"/>
  <c r="Y320"/>
  <c r="Z320" s="1"/>
  <c r="P320"/>
  <c r="BO319"/>
  <c r="BM319"/>
  <c r="Y319"/>
  <c r="BN319" s="1"/>
  <c r="P319"/>
  <c r="BO318"/>
  <c r="BM318"/>
  <c r="Y318"/>
  <c r="BP318" s="1"/>
  <c r="P318"/>
  <c r="BO317"/>
  <c r="BM317"/>
  <c r="Y317"/>
  <c r="BP317" s="1"/>
  <c r="P317"/>
  <c r="BO316"/>
  <c r="BM316"/>
  <c r="Y316"/>
  <c r="BP316" s="1"/>
  <c r="P316"/>
  <c r="X313"/>
  <c r="X312"/>
  <c r="BO311"/>
  <c r="BM311"/>
  <c r="Y311"/>
  <c r="BP311" s="1"/>
  <c r="P311"/>
  <c r="BO310"/>
  <c r="BM310"/>
  <c r="Z310"/>
  <c r="Y310"/>
  <c r="BP310" s="1"/>
  <c r="P310"/>
  <c r="BO309"/>
  <c r="BM309"/>
  <c r="Y309"/>
  <c r="Z309" s="1"/>
  <c r="P309"/>
  <c r="X307"/>
  <c r="X306"/>
  <c r="BO305"/>
  <c r="BM305"/>
  <c r="Y305"/>
  <c r="Y307" s="1"/>
  <c r="P305"/>
  <c r="X303"/>
  <c r="X302"/>
  <c r="BO301"/>
  <c r="BN301"/>
  <c r="BM301"/>
  <c r="Y301"/>
  <c r="BP301" s="1"/>
  <c r="P301"/>
  <c r="X299"/>
  <c r="X298"/>
  <c r="BO297"/>
  <c r="BM297"/>
  <c r="Y297"/>
  <c r="Z297" s="1"/>
  <c r="P297"/>
  <c r="BO296"/>
  <c r="BN296"/>
  <c r="BM296"/>
  <c r="Y296"/>
  <c r="BP296" s="1"/>
  <c r="P296"/>
  <c r="BO295"/>
  <c r="BM295"/>
  <c r="Y295"/>
  <c r="BP295" s="1"/>
  <c r="P295"/>
  <c r="BO294"/>
  <c r="BM294"/>
  <c r="Y294"/>
  <c r="BP294" s="1"/>
  <c r="P294"/>
  <c r="BO293"/>
  <c r="BM293"/>
  <c r="Y293"/>
  <c r="BP293" s="1"/>
  <c r="P293"/>
  <c r="BO292"/>
  <c r="BM292"/>
  <c r="Y292"/>
  <c r="Z292" s="1"/>
  <c r="P292"/>
  <c r="BO291"/>
  <c r="BN291"/>
  <c r="BM291"/>
  <c r="Y291"/>
  <c r="BP291" s="1"/>
  <c r="P291"/>
  <c r="X288"/>
  <c r="X287"/>
  <c r="BO286"/>
  <c r="BM286"/>
  <c r="Y286"/>
  <c r="Z286" s="1"/>
  <c r="P286"/>
  <c r="BO285"/>
  <c r="BM285"/>
  <c r="Y285"/>
  <c r="BP285" s="1"/>
  <c r="P285"/>
  <c r="X283"/>
  <c r="X282"/>
  <c r="BO281"/>
  <c r="BM281"/>
  <c r="Z281"/>
  <c r="Y281"/>
  <c r="BN281" s="1"/>
  <c r="P281"/>
  <c r="BO280"/>
  <c r="BM280"/>
  <c r="Y280"/>
  <c r="BP280" s="1"/>
  <c r="P280"/>
  <c r="BO279"/>
  <c r="BM279"/>
  <c r="Y279"/>
  <c r="BP279" s="1"/>
  <c r="P279"/>
  <c r="BO278"/>
  <c r="BM278"/>
  <c r="Y278"/>
  <c r="BP278" s="1"/>
  <c r="P278"/>
  <c r="BO277"/>
  <c r="BM277"/>
  <c r="Z277"/>
  <c r="Y277"/>
  <c r="BP277" s="1"/>
  <c r="P277"/>
  <c r="BO276"/>
  <c r="BM276"/>
  <c r="Y276"/>
  <c r="Z276" s="1"/>
  <c r="P276"/>
  <c r="BO275"/>
  <c r="BM275"/>
  <c r="Y275"/>
  <c r="BN275" s="1"/>
  <c r="P275"/>
  <c r="BO274"/>
  <c r="BM274"/>
  <c r="Y274"/>
  <c r="BP274" s="1"/>
  <c r="P274"/>
  <c r="BO273"/>
  <c r="BM273"/>
  <c r="Y273"/>
  <c r="BP273" s="1"/>
  <c r="P273"/>
  <c r="BO272"/>
  <c r="BM272"/>
  <c r="Y272"/>
  <c r="BP272" s="1"/>
  <c r="P272"/>
  <c r="BO271"/>
  <c r="BN271"/>
  <c r="BM271"/>
  <c r="Y271"/>
  <c r="Z271" s="1"/>
  <c r="P271"/>
  <c r="BO270"/>
  <c r="BN270"/>
  <c r="BM270"/>
  <c r="Y270"/>
  <c r="BP270" s="1"/>
  <c r="P270"/>
  <c r="X268"/>
  <c r="X267"/>
  <c r="BO266"/>
  <c r="BM266"/>
  <c r="Y266"/>
  <c r="Z266" s="1"/>
  <c r="P266"/>
  <c r="BO265"/>
  <c r="BM265"/>
  <c r="Y265"/>
  <c r="BN265" s="1"/>
  <c r="P265"/>
  <c r="BO264"/>
  <c r="BM264"/>
  <c r="Y264"/>
  <c r="BP264" s="1"/>
  <c r="P264"/>
  <c r="BO263"/>
  <c r="BM263"/>
  <c r="Y263"/>
  <c r="BP263" s="1"/>
  <c r="P263"/>
  <c r="BO262"/>
  <c r="BM262"/>
  <c r="Y262"/>
  <c r="BP262" s="1"/>
  <c r="P262"/>
  <c r="BO261"/>
  <c r="BM261"/>
  <c r="Y261"/>
  <c r="Z261" s="1"/>
  <c r="P261"/>
  <c r="BO260"/>
  <c r="BM260"/>
  <c r="Y260"/>
  <c r="BP260" s="1"/>
  <c r="P260"/>
  <c r="BO259"/>
  <c r="BM259"/>
  <c r="Y259"/>
  <c r="P259"/>
  <c r="X257"/>
  <c r="X256"/>
  <c r="BP255"/>
  <c r="BO255"/>
  <c r="BM255"/>
  <c r="Z255"/>
  <c r="Y255"/>
  <c r="BN255" s="1"/>
  <c r="P255"/>
  <c r="BO254"/>
  <c r="BM254"/>
  <c r="Y254"/>
  <c r="BP254" s="1"/>
  <c r="P254"/>
  <c r="X252"/>
  <c r="X251"/>
  <c r="BO250"/>
  <c r="BM250"/>
  <c r="Y250"/>
  <c r="BP250" s="1"/>
  <c r="P250"/>
  <c r="BO249"/>
  <c r="BM249"/>
  <c r="Y249"/>
  <c r="P249"/>
  <c r="X246"/>
  <c r="X245"/>
  <c r="BO244"/>
  <c r="BM244"/>
  <c r="Z244"/>
  <c r="Z245" s="1"/>
  <c r="Y244"/>
  <c r="Y245" s="1"/>
  <c r="P244"/>
  <c r="X242"/>
  <c r="Y241"/>
  <c r="X241"/>
  <c r="BO240"/>
  <c r="BM240"/>
  <c r="Y240"/>
  <c r="BP240" s="1"/>
  <c r="P240"/>
  <c r="BO239"/>
  <c r="BM239"/>
  <c r="Y239"/>
  <c r="BP239" s="1"/>
  <c r="P239"/>
  <c r="BO238"/>
  <c r="BN238"/>
  <c r="BM238"/>
  <c r="Y238"/>
  <c r="Z238" s="1"/>
  <c r="P238"/>
  <c r="X236"/>
  <c r="X235"/>
  <c r="BP234"/>
  <c r="BO234"/>
  <c r="BN234"/>
  <c r="BM234"/>
  <c r="Z234"/>
  <c r="Y234"/>
  <c r="P234"/>
  <c r="BO233"/>
  <c r="BM233"/>
  <c r="Y233"/>
  <c r="Z233" s="1"/>
  <c r="P233"/>
  <c r="BO232"/>
  <c r="BM232"/>
  <c r="Y232"/>
  <c r="BP232" s="1"/>
  <c r="P232"/>
  <c r="BO231"/>
  <c r="BM231"/>
  <c r="Y231"/>
  <c r="BP231" s="1"/>
  <c r="P231"/>
  <c r="BO230"/>
  <c r="BN230"/>
  <c r="BM230"/>
  <c r="Y230"/>
  <c r="BP230" s="1"/>
  <c r="P230"/>
  <c r="X228"/>
  <c r="X227"/>
  <c r="BO226"/>
  <c r="BM226"/>
  <c r="Y226"/>
  <c r="BP226" s="1"/>
  <c r="P226"/>
  <c r="BP225"/>
  <c r="BO225"/>
  <c r="BN225"/>
  <c r="BM225"/>
  <c r="Z225"/>
  <c r="Y225"/>
  <c r="P225"/>
  <c r="BO224"/>
  <c r="BM224"/>
  <c r="Y224"/>
  <c r="BN224" s="1"/>
  <c r="P224"/>
  <c r="BO223"/>
  <c r="BM223"/>
  <c r="Y223"/>
  <c r="Z223" s="1"/>
  <c r="P223"/>
  <c r="BP222"/>
  <c r="BO222"/>
  <c r="BN222"/>
  <c r="BM222"/>
  <c r="Z222"/>
  <c r="Y222"/>
  <c r="P222"/>
  <c r="BO221"/>
  <c r="BM221"/>
  <c r="Y221"/>
  <c r="BP221" s="1"/>
  <c r="P221"/>
  <c r="BO220"/>
  <c r="BM220"/>
  <c r="Y220"/>
  <c r="BP220" s="1"/>
  <c r="P220"/>
  <c r="BO219"/>
  <c r="BM219"/>
  <c r="Y219"/>
  <c r="BP219" s="1"/>
  <c r="P219"/>
  <c r="BO218"/>
  <c r="BM218"/>
  <c r="Y218"/>
  <c r="Z218" s="1"/>
  <c r="P218"/>
  <c r="BO217"/>
  <c r="BN217"/>
  <c r="BM217"/>
  <c r="Y217"/>
  <c r="Z217" s="1"/>
  <c r="P217"/>
  <c r="BO216"/>
  <c r="BM216"/>
  <c r="Y216"/>
  <c r="P216"/>
  <c r="BP215"/>
  <c r="BO215"/>
  <c r="BM215"/>
  <c r="Y215"/>
  <c r="BN215" s="1"/>
  <c r="P215"/>
  <c r="BO214"/>
  <c r="BM214"/>
  <c r="Y214"/>
  <c r="BP214" s="1"/>
  <c r="P214"/>
  <c r="BP213"/>
  <c r="BO213"/>
  <c r="BN213"/>
  <c r="BM213"/>
  <c r="Z213"/>
  <c r="Y213"/>
  <c r="P213"/>
  <c r="Y211"/>
  <c r="X211"/>
  <c r="X210"/>
  <c r="BO209"/>
  <c r="BM209"/>
  <c r="Y209"/>
  <c r="Y210" s="1"/>
  <c r="P209"/>
  <c r="X206"/>
  <c r="X205"/>
  <c r="BP204"/>
  <c r="BO204"/>
  <c r="BN204"/>
  <c r="BM204"/>
  <c r="Z204"/>
  <c r="Y204"/>
  <c r="P204"/>
  <c r="BP203"/>
  <c r="BO203"/>
  <c r="BM203"/>
  <c r="Z203"/>
  <c r="Y203"/>
  <c r="BN203" s="1"/>
  <c r="P203"/>
  <c r="BO202"/>
  <c r="BM202"/>
  <c r="Y202"/>
  <c r="Z202" s="1"/>
  <c r="P202"/>
  <c r="BP201"/>
  <c r="BO201"/>
  <c r="BM201"/>
  <c r="Z201"/>
  <c r="Y201"/>
  <c r="BN201" s="1"/>
  <c r="P201"/>
  <c r="BO200"/>
  <c r="BM200"/>
  <c r="Y200"/>
  <c r="BP200" s="1"/>
  <c r="P200"/>
  <c r="BO199"/>
  <c r="BN199"/>
  <c r="BM199"/>
  <c r="Y199"/>
  <c r="BP199" s="1"/>
  <c r="P199"/>
  <c r="BO198"/>
  <c r="BM198"/>
  <c r="Y198"/>
  <c r="BP198" s="1"/>
  <c r="P198"/>
  <c r="Y194"/>
  <c r="X194"/>
  <c r="X193"/>
  <c r="BP192"/>
  <c r="BO192"/>
  <c r="BM192"/>
  <c r="Z192"/>
  <c r="Z193" s="1"/>
  <c r="Y192"/>
  <c r="Y193" s="1"/>
  <c r="P192"/>
  <c r="Y190"/>
  <c r="X190"/>
  <c r="X189"/>
  <c r="BP188"/>
  <c r="BO188"/>
  <c r="BM188"/>
  <c r="Z188"/>
  <c r="Y188"/>
  <c r="BN188" s="1"/>
  <c r="P188"/>
  <c r="BO187"/>
  <c r="BM187"/>
  <c r="Y187"/>
  <c r="BN187" s="1"/>
  <c r="P187"/>
  <c r="X185"/>
  <c r="X184"/>
  <c r="BO183"/>
  <c r="BM183"/>
  <c r="Y183"/>
  <c r="Z183" s="1"/>
  <c r="P183"/>
  <c r="BO182"/>
  <c r="BM182"/>
  <c r="Y182"/>
  <c r="BN182" s="1"/>
  <c r="P182"/>
  <c r="BO181"/>
  <c r="BM181"/>
  <c r="Y181"/>
  <c r="P181"/>
  <c r="X179"/>
  <c r="X178"/>
  <c r="BP177"/>
  <c r="BO177"/>
  <c r="BM177"/>
  <c r="Z177"/>
  <c r="Y177"/>
  <c r="BN177" s="1"/>
  <c r="P177"/>
  <c r="BO176"/>
  <c r="BM176"/>
  <c r="Y176"/>
  <c r="BP176" s="1"/>
  <c r="P176"/>
  <c r="BO175"/>
  <c r="BN175"/>
  <c r="BM175"/>
  <c r="Y175"/>
  <c r="BP175" s="1"/>
  <c r="P175"/>
  <c r="BO174"/>
  <c r="BM174"/>
  <c r="Y174"/>
  <c r="BP174" s="1"/>
  <c r="P174"/>
  <c r="BO173"/>
  <c r="BN173"/>
  <c r="BM173"/>
  <c r="Y173"/>
  <c r="Z173" s="1"/>
  <c r="P173"/>
  <c r="BO172"/>
  <c r="BM172"/>
  <c r="Y172"/>
  <c r="BN172" s="1"/>
  <c r="P172"/>
  <c r="BO171"/>
  <c r="BM171"/>
  <c r="Y171"/>
  <c r="BP171" s="1"/>
  <c r="P171"/>
  <c r="BO170"/>
  <c r="BM170"/>
  <c r="Y170"/>
  <c r="Z170" s="1"/>
  <c r="P170"/>
  <c r="BO169"/>
  <c r="BM169"/>
  <c r="Y169"/>
  <c r="BP169" s="1"/>
  <c r="P169"/>
  <c r="BO168"/>
  <c r="BM168"/>
  <c r="Y168"/>
  <c r="BN168" s="1"/>
  <c r="P168"/>
  <c r="BO167"/>
  <c r="BM167"/>
  <c r="Y167"/>
  <c r="BN167" s="1"/>
  <c r="P167"/>
  <c r="BO166"/>
  <c r="BM166"/>
  <c r="Y166"/>
  <c r="BP166" s="1"/>
  <c r="P166"/>
  <c r="Y164"/>
  <c r="X164"/>
  <c r="Y163"/>
  <c r="X163"/>
  <c r="BP162"/>
  <c r="BO162"/>
  <c r="BM162"/>
  <c r="Y162"/>
  <c r="BN162" s="1"/>
  <c r="P162"/>
  <c r="X160"/>
  <c r="X159"/>
  <c r="BO158"/>
  <c r="BM158"/>
  <c r="Y158"/>
  <c r="Z158" s="1"/>
  <c r="P158"/>
  <c r="BO157"/>
  <c r="BM157"/>
  <c r="Y157"/>
  <c r="BN157" s="1"/>
  <c r="P157"/>
  <c r="BO156"/>
  <c r="BM156"/>
  <c r="Y156"/>
  <c r="Y160" s="1"/>
  <c r="P156"/>
  <c r="X153"/>
  <c r="X152"/>
  <c r="BO151"/>
  <c r="BM151"/>
  <c r="Y151"/>
  <c r="BP151" s="1"/>
  <c r="P151"/>
  <c r="BO150"/>
  <c r="BM150"/>
  <c r="Y150"/>
  <c r="P150"/>
  <c r="BP149"/>
  <c r="BO149"/>
  <c r="BM149"/>
  <c r="Z149"/>
  <c r="Y149"/>
  <c r="BN149" s="1"/>
  <c r="P149"/>
  <c r="BO148"/>
  <c r="BM148"/>
  <c r="Y148"/>
  <c r="I552" s="1"/>
  <c r="P148"/>
  <c r="X145"/>
  <c r="X144"/>
  <c r="BO143"/>
  <c r="BM143"/>
  <c r="Y143"/>
  <c r="BN143" s="1"/>
  <c r="P143"/>
  <c r="BO142"/>
  <c r="BM142"/>
  <c r="Y142"/>
  <c r="Y144" s="1"/>
  <c r="P142"/>
  <c r="X140"/>
  <c r="Y139"/>
  <c r="X139"/>
  <c r="BO138"/>
  <c r="BM138"/>
  <c r="Y138"/>
  <c r="BN138" s="1"/>
  <c r="P138"/>
  <c r="BO137"/>
  <c r="BM137"/>
  <c r="Y137"/>
  <c r="BP137" s="1"/>
  <c r="P137"/>
  <c r="Y135"/>
  <c r="X135"/>
  <c r="X134"/>
  <c r="BP133"/>
  <c r="BO133"/>
  <c r="BM133"/>
  <c r="Z133"/>
  <c r="Y133"/>
  <c r="BN133" s="1"/>
  <c r="P133"/>
  <c r="BO132"/>
  <c r="BM132"/>
  <c r="Y132"/>
  <c r="H552" s="1"/>
  <c r="P132"/>
  <c r="X129"/>
  <c r="X128"/>
  <c r="BO127"/>
  <c r="BM127"/>
  <c r="Y127"/>
  <c r="Y129" s="1"/>
  <c r="P127"/>
  <c r="X125"/>
  <c r="X124"/>
  <c r="BP123"/>
  <c r="BO123"/>
  <c r="BN123"/>
  <c r="BM123"/>
  <c r="Z123"/>
  <c r="Y123"/>
  <c r="P123"/>
  <c r="BO122"/>
  <c r="BM122"/>
  <c r="Y122"/>
  <c r="BP122" s="1"/>
  <c r="P122"/>
  <c r="BO121"/>
  <c r="BM121"/>
  <c r="Y121"/>
  <c r="BN121" s="1"/>
  <c r="P121"/>
  <c r="BO120"/>
  <c r="BM120"/>
  <c r="Y120"/>
  <c r="BN120" s="1"/>
  <c r="P120"/>
  <c r="X118"/>
  <c r="X117"/>
  <c r="BO116"/>
  <c r="BM116"/>
  <c r="Y116"/>
  <c r="Z116" s="1"/>
  <c r="P116"/>
  <c r="BO115"/>
  <c r="BM115"/>
  <c r="Y115"/>
  <c r="BN115" s="1"/>
  <c r="P115"/>
  <c r="BO114"/>
  <c r="BM114"/>
  <c r="Y114"/>
  <c r="BP114" s="1"/>
  <c r="P114"/>
  <c r="BO113"/>
  <c r="BM113"/>
  <c r="Y113"/>
  <c r="BN113" s="1"/>
  <c r="P113"/>
  <c r="BO112"/>
  <c r="BM112"/>
  <c r="Z112"/>
  <c r="Y112"/>
  <c r="BP112" s="1"/>
  <c r="P112"/>
  <c r="X110"/>
  <c r="X109"/>
  <c r="BO108"/>
  <c r="BN108"/>
  <c r="BM108"/>
  <c r="Y108"/>
  <c r="BP108" s="1"/>
  <c r="P108"/>
  <c r="BO107"/>
  <c r="BM107"/>
  <c r="Y107"/>
  <c r="BP107" s="1"/>
  <c r="P107"/>
  <c r="BO106"/>
  <c r="BN106"/>
  <c r="BM106"/>
  <c r="Y106"/>
  <c r="Z106" s="1"/>
  <c r="P106"/>
  <c r="BO105"/>
  <c r="BM105"/>
  <c r="Y105"/>
  <c r="BN105" s="1"/>
  <c r="P105"/>
  <c r="BO104"/>
  <c r="BM104"/>
  <c r="Y104"/>
  <c r="BP104" s="1"/>
  <c r="P104"/>
  <c r="BO103"/>
  <c r="BM103"/>
  <c r="Z103"/>
  <c r="Y103"/>
  <c r="BN103" s="1"/>
  <c r="P103"/>
  <c r="X100"/>
  <c r="X99"/>
  <c r="BO98"/>
  <c r="BM98"/>
  <c r="Y98"/>
  <c r="Z98" s="1"/>
  <c r="P98"/>
  <c r="BO97"/>
  <c r="BN97"/>
  <c r="BM97"/>
  <c r="Y97"/>
  <c r="BP97" s="1"/>
  <c r="P97"/>
  <c r="BO96"/>
  <c r="BM96"/>
  <c r="Y96"/>
  <c r="BP96" s="1"/>
  <c r="P96"/>
  <c r="BO95"/>
  <c r="BN95"/>
  <c r="BM95"/>
  <c r="Y95"/>
  <c r="Z95" s="1"/>
  <c r="P95"/>
  <c r="X93"/>
  <c r="X92"/>
  <c r="BO91"/>
  <c r="BM91"/>
  <c r="Y91"/>
  <c r="BN91" s="1"/>
  <c r="P91"/>
  <c r="BO90"/>
  <c r="BM90"/>
  <c r="Y90"/>
  <c r="Z90" s="1"/>
  <c r="P90"/>
  <c r="BO89"/>
  <c r="BM89"/>
  <c r="Y89"/>
  <c r="BN89" s="1"/>
  <c r="P89"/>
  <c r="BO88"/>
  <c r="BM88"/>
  <c r="Y88"/>
  <c r="F552" s="1"/>
  <c r="P88"/>
  <c r="X85"/>
  <c r="X84"/>
  <c r="BO83"/>
  <c r="BM83"/>
  <c r="Y83"/>
  <c r="BP83" s="1"/>
  <c r="P83"/>
  <c r="BO82"/>
  <c r="BM82"/>
  <c r="Y82"/>
  <c r="Y85" s="1"/>
  <c r="P82"/>
  <c r="Y80"/>
  <c r="X80"/>
  <c r="X79"/>
  <c r="BO78"/>
  <c r="BN78"/>
  <c r="BM78"/>
  <c r="Z78"/>
  <c r="Y78"/>
  <c r="BP78" s="1"/>
  <c r="P78"/>
  <c r="BP77"/>
  <c r="BO77"/>
  <c r="BM77"/>
  <c r="Z77"/>
  <c r="Z79" s="1"/>
  <c r="Y77"/>
  <c r="Y79" s="1"/>
  <c r="P77"/>
  <c r="X75"/>
  <c r="X74"/>
  <c r="BO73"/>
  <c r="BM73"/>
  <c r="Y73"/>
  <c r="BP73" s="1"/>
  <c r="P73"/>
  <c r="BO72"/>
  <c r="BN72"/>
  <c r="BM72"/>
  <c r="Y72"/>
  <c r="Z72" s="1"/>
  <c r="P72"/>
  <c r="BP71"/>
  <c r="BO71"/>
  <c r="BM71"/>
  <c r="Y71"/>
  <c r="BN71" s="1"/>
  <c r="P71"/>
  <c r="BO70"/>
  <c r="BM70"/>
  <c r="Y70"/>
  <c r="P70"/>
  <c r="X68"/>
  <c r="X67"/>
  <c r="BO66"/>
  <c r="BM66"/>
  <c r="Y66"/>
  <c r="BN66" s="1"/>
  <c r="P66"/>
  <c r="BO65"/>
  <c r="BM65"/>
  <c r="Y65"/>
  <c r="Z65" s="1"/>
  <c r="P65"/>
  <c r="BO64"/>
  <c r="BN64"/>
  <c r="BM64"/>
  <c r="Y64"/>
  <c r="BP64" s="1"/>
  <c r="P64"/>
  <c r="BO63"/>
  <c r="BM63"/>
  <c r="Y63"/>
  <c r="BP63" s="1"/>
  <c r="P63"/>
  <c r="BO62"/>
  <c r="BN62"/>
  <c r="BM62"/>
  <c r="Y62"/>
  <c r="Z62" s="1"/>
  <c r="P62"/>
  <c r="BO61"/>
  <c r="BM61"/>
  <c r="Y61"/>
  <c r="BN61" s="1"/>
  <c r="P61"/>
  <c r="BO60"/>
  <c r="BM60"/>
  <c r="Y60"/>
  <c r="BP60" s="1"/>
  <c r="P60"/>
  <c r="BO59"/>
  <c r="BN59"/>
  <c r="BM59"/>
  <c r="Y59"/>
  <c r="P59"/>
  <c r="X56"/>
  <c r="X55"/>
  <c r="BO54"/>
  <c r="BM54"/>
  <c r="Y54"/>
  <c r="BN54" s="1"/>
  <c r="P54"/>
  <c r="BO53"/>
  <c r="BM53"/>
  <c r="Y53"/>
  <c r="BP53" s="1"/>
  <c r="P53"/>
  <c r="BO52"/>
  <c r="BM52"/>
  <c r="Y52"/>
  <c r="BP52" s="1"/>
  <c r="P52"/>
  <c r="BO51"/>
  <c r="BM51"/>
  <c r="Y51"/>
  <c r="Z51" s="1"/>
  <c r="P51"/>
  <c r="X47"/>
  <c r="X46"/>
  <c r="BO45"/>
  <c r="BM45"/>
  <c r="Y45"/>
  <c r="BP45" s="1"/>
  <c r="P45"/>
  <c r="BO44"/>
  <c r="BM44"/>
  <c r="Y44"/>
  <c r="Z44" s="1"/>
  <c r="P44"/>
  <c r="BO43"/>
  <c r="BM43"/>
  <c r="Z43"/>
  <c r="Y43"/>
  <c r="BN43" s="1"/>
  <c r="P43"/>
  <c r="BO42"/>
  <c r="BM42"/>
  <c r="Y42"/>
  <c r="P42"/>
  <c r="BO41"/>
  <c r="BM41"/>
  <c r="Y41"/>
  <c r="BP41" s="1"/>
  <c r="P41"/>
  <c r="X37"/>
  <c r="X36"/>
  <c r="BO35"/>
  <c r="BM35"/>
  <c r="Y35"/>
  <c r="BN35" s="1"/>
  <c r="P35"/>
  <c r="X33"/>
  <c r="X32"/>
  <c r="BO31"/>
  <c r="BM31"/>
  <c r="Z31"/>
  <c r="Y31"/>
  <c r="BP31" s="1"/>
  <c r="P31"/>
  <c r="BP30"/>
  <c r="BO30"/>
  <c r="BM30"/>
  <c r="Z30"/>
  <c r="Y30"/>
  <c r="BN30" s="1"/>
  <c r="P30"/>
  <c r="BO29"/>
  <c r="BM29"/>
  <c r="Y29"/>
  <c r="BN29" s="1"/>
  <c r="P29"/>
  <c r="BO28"/>
  <c r="BM28"/>
  <c r="Y28"/>
  <c r="Z28" s="1"/>
  <c r="P28"/>
  <c r="BO27"/>
  <c r="BM27"/>
  <c r="Y27"/>
  <c r="BN27" s="1"/>
  <c r="P27"/>
  <c r="X25"/>
  <c r="X24"/>
  <c r="BO23"/>
  <c r="BM23"/>
  <c r="Y23"/>
  <c r="P23"/>
  <c r="BO22"/>
  <c r="BM22"/>
  <c r="Y22"/>
  <c r="B552" s="1"/>
  <c r="P22"/>
  <c r="H10"/>
  <c r="A9"/>
  <c r="H9" s="1"/>
  <c r="D7"/>
  <c r="Q6"/>
  <c r="P2"/>
  <c r="BN278" l="1"/>
  <c r="Y329"/>
  <c r="Z388"/>
  <c r="BP388"/>
  <c r="Z122"/>
  <c r="Y409"/>
  <c r="BN365"/>
  <c r="BN53"/>
  <c r="Y75"/>
  <c r="BN261"/>
  <c r="BP103"/>
  <c r="Z169"/>
  <c r="Z357"/>
  <c r="BN51"/>
  <c r="Z215"/>
  <c r="BN170"/>
  <c r="BP170"/>
  <c r="Z166"/>
  <c r="Z491"/>
  <c r="Z66"/>
  <c r="BN381"/>
  <c r="BN460"/>
  <c r="BN260"/>
  <c r="BN451"/>
  <c r="Z451"/>
  <c r="Y454"/>
  <c r="BP451"/>
  <c r="Y433"/>
  <c r="BN431"/>
  <c r="Y511"/>
  <c r="Z506"/>
  <c r="Y383"/>
  <c r="BN380"/>
  <c r="BN415"/>
  <c r="BP491"/>
  <c r="Z417"/>
  <c r="V552"/>
  <c r="BP498"/>
  <c r="BN498"/>
  <c r="Z552"/>
  <c r="Y501"/>
  <c r="BN285"/>
  <c r="X544"/>
  <c r="Y252"/>
  <c r="Y128"/>
  <c r="Z22"/>
  <c r="BP22"/>
  <c r="BP29"/>
  <c r="BN31"/>
  <c r="Y47"/>
  <c r="BP43"/>
  <c r="E552"/>
  <c r="Y67"/>
  <c r="Y74"/>
  <c r="BN77"/>
  <c r="Z89"/>
  <c r="BP89"/>
  <c r="G552"/>
  <c r="BN112"/>
  <c r="Z113"/>
  <c r="BP113"/>
  <c r="Z121"/>
  <c r="BP121"/>
  <c r="BP138"/>
  <c r="Y140"/>
  <c r="Y145"/>
  <c r="Z157"/>
  <c r="BP157"/>
  <c r="Z168"/>
  <c r="BP168"/>
  <c r="BP182"/>
  <c r="BN183"/>
  <c r="BP187"/>
  <c r="BN192"/>
  <c r="Y228"/>
  <c r="Z214"/>
  <c r="Y227"/>
  <c r="BP217"/>
  <c r="BN218"/>
  <c r="Z224"/>
  <c r="BP224"/>
  <c r="BN232"/>
  <c r="BN240"/>
  <c r="Z249"/>
  <c r="Y268"/>
  <c r="BN263"/>
  <c r="Z265"/>
  <c r="BP265"/>
  <c r="BN273"/>
  <c r="Z275"/>
  <c r="BP275"/>
  <c r="Z279"/>
  <c r="BP281"/>
  <c r="BN292"/>
  <c r="Y303"/>
  <c r="BN311"/>
  <c r="BN317"/>
  <c r="Z319"/>
  <c r="BP319"/>
  <c r="Z346"/>
  <c r="Z348"/>
  <c r="BN353"/>
  <c r="Z355"/>
  <c r="BP355"/>
  <c r="Z358"/>
  <c r="BP358"/>
  <c r="BN368"/>
  <c r="Z375"/>
  <c r="BP375"/>
  <c r="Z386"/>
  <c r="BP386"/>
  <c r="BP392"/>
  <c r="Z405"/>
  <c r="Z413"/>
  <c r="BP413"/>
  <c r="Z486"/>
  <c r="Z505"/>
  <c r="Z508"/>
  <c r="BP508"/>
  <c r="Y536"/>
  <c r="Y124"/>
  <c r="Y342"/>
  <c r="BP416"/>
  <c r="Y421"/>
  <c r="BP426"/>
  <c r="Y434"/>
  <c r="BP505"/>
  <c r="Y526"/>
  <c r="X543"/>
  <c r="X546"/>
  <c r="Z27"/>
  <c r="BN41"/>
  <c r="Z59"/>
  <c r="BP59"/>
  <c r="BP115"/>
  <c r="BN116"/>
  <c r="BP120"/>
  <c r="BN122"/>
  <c r="Y125"/>
  <c r="Y134"/>
  <c r="BP143"/>
  <c r="Y152"/>
  <c r="BP167"/>
  <c r="BN169"/>
  <c r="Y178"/>
  <c r="Y185"/>
  <c r="Y189"/>
  <c r="BN220"/>
  <c r="BN244"/>
  <c r="Y246"/>
  <c r="Y256"/>
  <c r="BN277"/>
  <c r="Z278"/>
  <c r="Z285"/>
  <c r="Z287" s="1"/>
  <c r="BN294"/>
  <c r="Z296"/>
  <c r="R552"/>
  <c r="Z334"/>
  <c r="BN336"/>
  <c r="Y338"/>
  <c r="Y343"/>
  <c r="Z347"/>
  <c r="Z367"/>
  <c r="BP385"/>
  <c r="Y389"/>
  <c r="BN416"/>
  <c r="BP417"/>
  <c r="BN418"/>
  <c r="Z420"/>
  <c r="BN426"/>
  <c r="Z431"/>
  <c r="X552"/>
  <c r="Z461"/>
  <c r="BP474"/>
  <c r="Y481"/>
  <c r="Y482"/>
  <c r="Z493"/>
  <c r="BP507"/>
  <c r="BP510"/>
  <c r="AA552"/>
  <c r="BN520"/>
  <c r="Z525"/>
  <c r="Z533"/>
  <c r="Y179"/>
  <c r="BN22"/>
  <c r="Y25"/>
  <c r="X542"/>
  <c r="BP61"/>
  <c r="BP66"/>
  <c r="Y68"/>
  <c r="BP105"/>
  <c r="Y109"/>
  <c r="BP172"/>
  <c r="BN214"/>
  <c r="Z226"/>
  <c r="Z232"/>
  <c r="Y302"/>
  <c r="Z311"/>
  <c r="Z312" s="1"/>
  <c r="BN325"/>
  <c r="BP341"/>
  <c r="BN363"/>
  <c r="Z365"/>
  <c r="Z368"/>
  <c r="Y376"/>
  <c r="BP381"/>
  <c r="BN392"/>
  <c r="BP393"/>
  <c r="BN406"/>
  <c r="BN413"/>
  <c r="Y428"/>
  <c r="BP430"/>
  <c r="Z436"/>
  <c r="Z438" s="1"/>
  <c r="BP437"/>
  <c r="W552"/>
  <c r="Z460"/>
  <c r="BP524"/>
  <c r="Y531"/>
  <c r="Y535"/>
  <c r="Z470"/>
  <c r="BN90"/>
  <c r="BN202"/>
  <c r="Y205"/>
  <c r="BN223"/>
  <c r="BN233"/>
  <c r="Y257"/>
  <c r="BN266"/>
  <c r="BN276"/>
  <c r="BN286"/>
  <c r="BN297"/>
  <c r="BN309"/>
  <c r="Y312"/>
  <c r="BN320"/>
  <c r="BN356"/>
  <c r="Y359"/>
  <c r="BN366"/>
  <c r="Y369"/>
  <c r="Y377"/>
  <c r="BN398"/>
  <c r="Y401"/>
  <c r="Y422"/>
  <c r="Y445"/>
  <c r="BN468"/>
  <c r="J552"/>
  <c r="K552"/>
  <c r="Z176"/>
  <c r="Z200"/>
  <c r="BP202"/>
  <c r="Z221"/>
  <c r="BP223"/>
  <c r="Z231"/>
  <c r="BP233"/>
  <c r="Z254"/>
  <c r="Z256" s="1"/>
  <c r="Z264"/>
  <c r="BP266"/>
  <c r="Z274"/>
  <c r="BP276"/>
  <c r="BP286"/>
  <c r="Z295"/>
  <c r="BP297"/>
  <c r="BP309"/>
  <c r="Z318"/>
  <c r="BP320"/>
  <c r="Z354"/>
  <c r="BP356"/>
  <c r="Z364"/>
  <c r="BP366"/>
  <c r="Z374"/>
  <c r="BP398"/>
  <c r="Z407"/>
  <c r="Z419"/>
  <c r="Z442"/>
  <c r="Z444" s="1"/>
  <c r="BP468"/>
  <c r="Y502"/>
  <c r="Y512"/>
  <c r="L552"/>
  <c r="BN150"/>
  <c r="Z171"/>
  <c r="BP173"/>
  <c r="Z181"/>
  <c r="BP183"/>
  <c r="Y206"/>
  <c r="Z216"/>
  <c r="BP218"/>
  <c r="BN226"/>
  <c r="BP238"/>
  <c r="BN249"/>
  <c r="Z259"/>
  <c r="BP261"/>
  <c r="BP271"/>
  <c r="BN279"/>
  <c r="Y282"/>
  <c r="BP292"/>
  <c r="Y313"/>
  <c r="BP326"/>
  <c r="Z335"/>
  <c r="BN348"/>
  <c r="Y360"/>
  <c r="Y370"/>
  <c r="Z379"/>
  <c r="Y402"/>
  <c r="Z414"/>
  <c r="Z424"/>
  <c r="BN436"/>
  <c r="Z447"/>
  <c r="Z448" s="1"/>
  <c r="BN461"/>
  <c r="BN486"/>
  <c r="Z494"/>
  <c r="BN506"/>
  <c r="M552"/>
  <c r="BN176"/>
  <c r="BN200"/>
  <c r="BN221"/>
  <c r="BN231"/>
  <c r="Y242"/>
  <c r="BN254"/>
  <c r="BN264"/>
  <c r="Y267"/>
  <c r="BN274"/>
  <c r="Y287"/>
  <c r="BN295"/>
  <c r="Y298"/>
  <c r="Z305"/>
  <c r="Z306" s="1"/>
  <c r="BN318"/>
  <c r="Y321"/>
  <c r="Z340"/>
  <c r="BN354"/>
  <c r="BN364"/>
  <c r="BN374"/>
  <c r="Z394"/>
  <c r="BN407"/>
  <c r="BN419"/>
  <c r="BN442"/>
  <c r="Z452"/>
  <c r="Z464"/>
  <c r="Z489"/>
  <c r="Z499"/>
  <c r="Z509"/>
  <c r="O552"/>
  <c r="BP62"/>
  <c r="BP106"/>
  <c r="Z137"/>
  <c r="BN132"/>
  <c r="Z142"/>
  <c r="Z144" s="1"/>
  <c r="BN156"/>
  <c r="Y159"/>
  <c r="BP35"/>
  <c r="Z45"/>
  <c r="BN70"/>
  <c r="BP82"/>
  <c r="BN104"/>
  <c r="Y117"/>
  <c r="BN137"/>
  <c r="Z148"/>
  <c r="BP150"/>
  <c r="BN171"/>
  <c r="BN181"/>
  <c r="Y184"/>
  <c r="BN216"/>
  <c r="BP249"/>
  <c r="BN259"/>
  <c r="BN335"/>
  <c r="BN379"/>
  <c r="Y382"/>
  <c r="Y390"/>
  <c r="Z399"/>
  <c r="Z401" s="1"/>
  <c r="BN414"/>
  <c r="BN424"/>
  <c r="Y427"/>
  <c r="BP436"/>
  <c r="BN447"/>
  <c r="Z459"/>
  <c r="Z465" s="1"/>
  <c r="Z469"/>
  <c r="Y475"/>
  <c r="BP486"/>
  <c r="BN494"/>
  <c r="Z504"/>
  <c r="Z516"/>
  <c r="Z517" s="1"/>
  <c r="Y521"/>
  <c r="P552"/>
  <c r="Z35"/>
  <c r="Z36" s="1"/>
  <c r="Z54"/>
  <c r="BN23"/>
  <c r="BN60"/>
  <c r="Z91"/>
  <c r="BN114"/>
  <c r="F9"/>
  <c r="BN28"/>
  <c r="BP42"/>
  <c r="Z52"/>
  <c r="BP54"/>
  <c r="Z63"/>
  <c r="BP65"/>
  <c r="Z73"/>
  <c r="BP88"/>
  <c r="Z96"/>
  <c r="BP98"/>
  <c r="Z107"/>
  <c r="BP132"/>
  <c r="BN142"/>
  <c r="BP156"/>
  <c r="BN166"/>
  <c r="Z174"/>
  <c r="Z198"/>
  <c r="Z209"/>
  <c r="Z210" s="1"/>
  <c r="Z219"/>
  <c r="Z239"/>
  <c r="Z262"/>
  <c r="Z272"/>
  <c r="Y283"/>
  <c r="Z293"/>
  <c r="BN305"/>
  <c r="Z316"/>
  <c r="Z327"/>
  <c r="BN340"/>
  <c r="Z362"/>
  <c r="Z372"/>
  <c r="BN394"/>
  <c r="BP442"/>
  <c r="BN452"/>
  <c r="BN464"/>
  <c r="BN489"/>
  <c r="BN499"/>
  <c r="BN509"/>
  <c r="Q552"/>
  <c r="BN44"/>
  <c r="BN158"/>
  <c r="Z150"/>
  <c r="Y288"/>
  <c r="Y299"/>
  <c r="BN310"/>
  <c r="Y322"/>
  <c r="Z333"/>
  <c r="BP335"/>
  <c r="BN346"/>
  <c r="Y349"/>
  <c r="BN357"/>
  <c r="BN367"/>
  <c r="BP379"/>
  <c r="Z387"/>
  <c r="BN399"/>
  <c r="BP424"/>
  <c r="Z432"/>
  <c r="BP447"/>
  <c r="BN459"/>
  <c r="BN469"/>
  <c r="Z480"/>
  <c r="Z492"/>
  <c r="BN504"/>
  <c r="BN516"/>
  <c r="Z539"/>
  <c r="Z540" s="1"/>
  <c r="BP27"/>
  <c r="BP181"/>
  <c r="BP216"/>
  <c r="BP259"/>
  <c r="J9"/>
  <c r="BP28"/>
  <c r="BN52"/>
  <c r="Y55"/>
  <c r="BN63"/>
  <c r="BN73"/>
  <c r="Z83"/>
  <c r="BN96"/>
  <c r="Y99"/>
  <c r="BN107"/>
  <c r="Y118"/>
  <c r="Z127"/>
  <c r="Z128" s="1"/>
  <c r="BP142"/>
  <c r="Z151"/>
  <c r="BN174"/>
  <c r="BN198"/>
  <c r="BN209"/>
  <c r="BN219"/>
  <c r="BN239"/>
  <c r="Z250"/>
  <c r="BN262"/>
  <c r="BN272"/>
  <c r="Z280"/>
  <c r="BN293"/>
  <c r="BP305"/>
  <c r="BN316"/>
  <c r="BN327"/>
  <c r="BP340"/>
  <c r="BN362"/>
  <c r="BN372"/>
  <c r="Z392"/>
  <c r="Z395" s="1"/>
  <c r="BN405"/>
  <c r="Y408"/>
  <c r="BP452"/>
  <c r="Z462"/>
  <c r="Y476"/>
  <c r="Z487"/>
  <c r="Z495" s="1"/>
  <c r="BP499"/>
  <c r="Z507"/>
  <c r="Y522"/>
  <c r="BN533"/>
  <c r="S552"/>
  <c r="BP44"/>
  <c r="Z156"/>
  <c r="Z159" s="1"/>
  <c r="BP51"/>
  <c r="BP95"/>
  <c r="Z114"/>
  <c r="Y110"/>
  <c r="BP23"/>
  <c r="Y24"/>
  <c r="BP148"/>
  <c r="BN333"/>
  <c r="BP346"/>
  <c r="BN387"/>
  <c r="BN432"/>
  <c r="Y448"/>
  <c r="BP459"/>
  <c r="BN480"/>
  <c r="BN492"/>
  <c r="Y495"/>
  <c r="BP504"/>
  <c r="BP516"/>
  <c r="Y527"/>
  <c r="BN539"/>
  <c r="T552"/>
  <c r="Y36"/>
  <c r="A10"/>
  <c r="BP91"/>
  <c r="F10"/>
  <c r="Y37"/>
  <c r="Z61"/>
  <c r="Z71"/>
  <c r="BN83"/>
  <c r="Z105"/>
  <c r="Z115"/>
  <c r="BN127"/>
  <c r="Z138"/>
  <c r="BN151"/>
  <c r="Z162"/>
  <c r="Z163" s="1"/>
  <c r="Z172"/>
  <c r="Z182"/>
  <c r="BP209"/>
  <c r="BN250"/>
  <c r="Z260"/>
  <c r="Z270"/>
  <c r="BN280"/>
  <c r="Z291"/>
  <c r="Z298" s="1"/>
  <c r="Z301"/>
  <c r="Z302" s="1"/>
  <c r="Y306"/>
  <c r="Z325"/>
  <c r="Z336"/>
  <c r="Z380"/>
  <c r="Y395"/>
  <c r="BP405"/>
  <c r="Z415"/>
  <c r="Z425"/>
  <c r="Y465"/>
  <c r="U552"/>
  <c r="Z42"/>
  <c r="Z23"/>
  <c r="Z24" s="1"/>
  <c r="BP72"/>
  <c r="BN82"/>
  <c r="Z104"/>
  <c r="Z109" s="1"/>
  <c r="BP116"/>
  <c r="BN88"/>
  <c r="BN98"/>
  <c r="BN45"/>
  <c r="Z29"/>
  <c r="Y46"/>
  <c r="Y56"/>
  <c r="Y92"/>
  <c r="Y100"/>
  <c r="Z120"/>
  <c r="Z124" s="1"/>
  <c r="Z143"/>
  <c r="Z167"/>
  <c r="Z187"/>
  <c r="Z189" s="1"/>
  <c r="Y235"/>
  <c r="BP244"/>
  <c r="Z341"/>
  <c r="Z385"/>
  <c r="Z430"/>
  <c r="BP432"/>
  <c r="Z453"/>
  <c r="Z454" s="1"/>
  <c r="Y470"/>
  <c r="Z478"/>
  <c r="BP480"/>
  <c r="Z490"/>
  <c r="Z500"/>
  <c r="Z510"/>
  <c r="Y517"/>
  <c r="Z524"/>
  <c r="Z526" s="1"/>
  <c r="BP539"/>
  <c r="C552"/>
  <c r="Z88"/>
  <c r="BP90"/>
  <c r="Z132"/>
  <c r="Z134" s="1"/>
  <c r="BP158"/>
  <c r="Z60"/>
  <c r="Z70"/>
  <c r="BN42"/>
  <c r="BN65"/>
  <c r="BP70"/>
  <c r="BN148"/>
  <c r="BP127"/>
  <c r="Y328"/>
  <c r="Y496"/>
  <c r="D552"/>
  <c r="Z82"/>
  <c r="Y32"/>
  <c r="Z41"/>
  <c r="Z53"/>
  <c r="Z64"/>
  <c r="Z97"/>
  <c r="Z108"/>
  <c r="Z175"/>
  <c r="Z199"/>
  <c r="Z220"/>
  <c r="Z227" s="1"/>
  <c r="Z230"/>
  <c r="Z235" s="1"/>
  <c r="Z240"/>
  <c r="Z241" s="1"/>
  <c r="Z263"/>
  <c r="Z273"/>
  <c r="Z294"/>
  <c r="Z317"/>
  <c r="Z353"/>
  <c r="Z363"/>
  <c r="Z373"/>
  <c r="Z406"/>
  <c r="Z418"/>
  <c r="BN430"/>
  <c r="Y466"/>
  <c r="BN478"/>
  <c r="Z534"/>
  <c r="Y540"/>
  <c r="Y84"/>
  <c r="Y93"/>
  <c r="Y236"/>
  <c r="Y251"/>
  <c r="Y438"/>
  <c r="Y471"/>
  <c r="Y518"/>
  <c r="BN529"/>
  <c r="Y552"/>
  <c r="Y541"/>
  <c r="Y33"/>
  <c r="Y153"/>
  <c r="Z433" l="1"/>
  <c r="Z408"/>
  <c r="Z74"/>
  <c r="X545"/>
  <c r="Z369"/>
  <c r="Z535"/>
  <c r="Z359"/>
  <c r="Z389"/>
  <c r="Z32"/>
  <c r="Z251"/>
  <c r="Y543"/>
  <c r="Z282"/>
  <c r="Y544"/>
  <c r="Z99"/>
  <c r="Z117"/>
  <c r="Z55"/>
  <c r="Z139"/>
  <c r="Z421"/>
  <c r="Z67"/>
  <c r="Z92"/>
  <c r="Y542"/>
  <c r="Z337"/>
  <c r="Z376"/>
  <c r="Z321"/>
  <c r="Z501"/>
  <c r="Z349"/>
  <c r="Z342"/>
  <c r="Z267"/>
  <c r="Z511"/>
  <c r="Z427"/>
  <c r="Z152"/>
  <c r="Z382"/>
  <c r="Z46"/>
  <c r="Z184"/>
  <c r="Z178"/>
  <c r="Z84"/>
  <c r="Z205"/>
  <c r="Y546"/>
  <c r="Z328"/>
  <c r="Z481"/>
  <c r="Y545" l="1"/>
  <c r="Z547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<sst xmlns="http://schemas.openxmlformats.org/spreadsheetml/2006/main" count="4117" uniqueCount="877">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</sst>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52"/>
  <sheetViews>
    <sheetView showGridLines="0" tabSelected="1" topLeftCell="F21" zoomScaleNormal="100" zoomScaleSheetLayoutView="100" workbookViewId="0">
      <selection activeCell="X415" sqref="X415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46226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>
      <c r="A6" s="954" t="s">
        <v>1</v>
      </c>
      <c r="B6" s="954"/>
      <c r="C6" s="954"/>
      <c r="D6" s="955" t="s">
        <v>860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customHeight="1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customHeight="1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customHeight="1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customHeight="1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customHeight="1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customHeight="1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customHeight="1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70</v>
      </c>
      <c r="Y51" s="55">
        <f>IFERROR(IF(X51="",0,CEILING((X51/$H51),1)*$H51),"")</f>
        <v>75.600000000000009</v>
      </c>
      <c r="Z51" s="41">
        <f>IFERROR(IF(Y51=0,"",ROUNDUP(Y51/H51,0)*0.01898),"")</f>
        <v>0.13286000000000001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72.657407407407405</v>
      </c>
      <c r="BN51" s="78">
        <f>IFERROR(Y51*I51/H51,"0")</f>
        <v>78.47</v>
      </c>
      <c r="BO51" s="78">
        <f>IFERROR(1/J51*(X51/H51),"0")</f>
        <v>0.10127314814814814</v>
      </c>
      <c r="BP51" s="78">
        <f>IFERROR(1/J51*(Y51/H51),"0")</f>
        <v>0.109375</v>
      </c>
    </row>
    <row r="52" spans="1:68" ht="27" customHeight="1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customHeight="1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12.481481481481481</v>
      </c>
      <c r="Y55" s="43">
        <f>IFERROR(Y51/H51,"0")+IFERROR(Y52/H52,"0")+IFERROR(Y53/H53,"0")+IFERROR(Y54/H54,"0")</f>
        <v>13</v>
      </c>
      <c r="Z55" s="43">
        <f>IFERROR(IF(Z51="",0,Z51),"0")+IFERROR(IF(Z52="",0,Z52),"0")+IFERROR(IF(Z53="",0,Z53),"0")+IFERROR(IF(Z54="",0,Z54),"0")</f>
        <v>0.18698000000000001</v>
      </c>
      <c r="AA55" s="67"/>
      <c r="AB55" s="67"/>
      <c r="AC55" s="67"/>
    </row>
    <row r="56" spans="1:68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94</v>
      </c>
      <c r="Y56" s="43">
        <f>IFERROR(SUM(Y51:Y54),"0")</f>
        <v>99.600000000000009</v>
      </c>
      <c r="Z56" s="42"/>
      <c r="AA56" s="67"/>
      <c r="AB56" s="67"/>
      <c r="AC56" s="67"/>
    </row>
    <row r="57" spans="1:68" ht="16.5" customHeight="1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customHeight="1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customHeight="1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540</v>
      </c>
      <c r="Y61" s="55">
        <f t="shared" si="0"/>
        <v>540</v>
      </c>
      <c r="Z61" s="41">
        <f>IFERROR(IF(Y61=0,"",ROUNDUP(Y61/H61,0)*0.01898),"")</f>
        <v>0.94900000000000007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560.5</v>
      </c>
      <c r="BN61" s="78">
        <f t="shared" si="2"/>
        <v>560.5</v>
      </c>
      <c r="BO61" s="78">
        <f t="shared" si="3"/>
        <v>0.78125</v>
      </c>
      <c r="BP61" s="78">
        <f t="shared" si="4"/>
        <v>0.78125</v>
      </c>
    </row>
    <row r="62" spans="1:68" ht="27" customHeight="1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110</v>
      </c>
      <c r="Y66" s="55">
        <f t="shared" si="0"/>
        <v>112.5</v>
      </c>
      <c r="Z66" s="41">
        <f>IFERROR(IF(Y66=0,"",ROUNDUP(Y66/H66,0)*0.00902),"")</f>
        <v>0.22550000000000001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114.64444444444446</v>
      </c>
      <c r="BN66" s="78">
        <f t="shared" si="2"/>
        <v>117.25</v>
      </c>
      <c r="BO66" s="78">
        <f t="shared" si="3"/>
        <v>0.18518518518518517</v>
      </c>
      <c r="BP66" s="78">
        <f t="shared" si="4"/>
        <v>0.18939393939393939</v>
      </c>
    </row>
    <row r="67" spans="1:68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74.444444444444443</v>
      </c>
      <c r="Y67" s="43">
        <f>IFERROR(Y59/H59,"0")+IFERROR(Y60/H60,"0")+IFERROR(Y61/H61,"0")+IFERROR(Y62/H62,"0")+IFERROR(Y63/H63,"0")+IFERROR(Y64/H64,"0")+IFERROR(Y65/H65,"0")+IFERROR(Y66/H66,"0")</f>
        <v>75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1.1745000000000001</v>
      </c>
      <c r="AA67" s="67"/>
      <c r="AB67" s="67"/>
      <c r="AC67" s="67"/>
    </row>
    <row r="68" spans="1:68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650</v>
      </c>
      <c r="Y68" s="43">
        <f>IFERROR(SUM(Y59:Y66),"0")</f>
        <v>652.5</v>
      </c>
      <c r="Z68" s="42"/>
      <c r="AA68" s="67"/>
      <c r="AB68" s="67"/>
      <c r="AC68" s="67"/>
    </row>
    <row r="69" spans="1:68" ht="14.25" customHeight="1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710</v>
      </c>
      <c r="Y70" s="55">
        <f>IFERROR(IF(X70="",0,CEILING((X70/$H70),1)*$H70),"")</f>
        <v>712.80000000000007</v>
      </c>
      <c r="Z70" s="41">
        <f>IFERROR(IF(Y70=0,"",ROUNDUP(Y70/H70,0)*0.01898),"")</f>
        <v>1.25268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736.9537037037037</v>
      </c>
      <c r="BN70" s="78">
        <f>IFERROR(Y70*I70/H70,"0")</f>
        <v>739.86</v>
      </c>
      <c r="BO70" s="78">
        <f>IFERROR(1/J70*(X70/H70),"0")</f>
        <v>1.027199074074074</v>
      </c>
      <c r="BP70" s="78">
        <f>IFERROR(1/J70*(Y70/H70),"0")</f>
        <v>1.03125</v>
      </c>
    </row>
    <row r="71" spans="1:68" ht="16.5" customHeight="1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35</v>
      </c>
      <c r="Y73" s="55">
        <f>IFERROR(IF(X73="",0,CEILING((X73/$H73),1)*$H73),"")</f>
        <v>35.1</v>
      </c>
      <c r="Z73" s="41">
        <f>IFERROR(IF(Y73=0,"",ROUNDUP(Y73/H73,0)*0.00651),"")</f>
        <v>8.4629999999999997E-2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37.333333333333329</v>
      </c>
      <c r="BN73" s="78">
        <f>IFERROR(Y73*I73/H73,"0")</f>
        <v>37.44</v>
      </c>
      <c r="BO73" s="78">
        <f>IFERROR(1/J73*(X73/H73),"0")</f>
        <v>7.1225071225071226E-2</v>
      </c>
      <c r="BP73" s="78">
        <f>IFERROR(1/J73*(Y73/H73),"0")</f>
        <v>7.1428571428571438E-2</v>
      </c>
    </row>
    <row r="74" spans="1:68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78.703703703703695</v>
      </c>
      <c r="Y74" s="43">
        <f>IFERROR(Y70/H70,"0")+IFERROR(Y71/H71,"0")+IFERROR(Y72/H72,"0")+IFERROR(Y73/H73,"0")</f>
        <v>79</v>
      </c>
      <c r="Z74" s="43">
        <f>IFERROR(IF(Z70="",0,Z70),"0")+IFERROR(IF(Z71="",0,Z71),"0")+IFERROR(IF(Z72="",0,Z72),"0")+IFERROR(IF(Z73="",0,Z73),"0")</f>
        <v>1.33731</v>
      </c>
      <c r="AA74" s="67"/>
      <c r="AB74" s="67"/>
      <c r="AC74" s="67"/>
    </row>
    <row r="75" spans="1:68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745</v>
      </c>
      <c r="Y75" s="43">
        <f>IFERROR(SUM(Y70:Y73),"0")</f>
        <v>747.90000000000009</v>
      </c>
      <c r="Z75" s="42"/>
      <c r="AA75" s="67"/>
      <c r="AB75" s="67"/>
      <c r="AC75" s="67"/>
    </row>
    <row r="76" spans="1:68" ht="14.25" customHeight="1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customHeight="1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customHeight="1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120</v>
      </c>
      <c r="Y82" s="55">
        <f>IFERROR(IF(X82="",0,CEILING((X82/$H82),1)*$H82),"")</f>
        <v>124.8</v>
      </c>
      <c r="Z82" s="41">
        <f>IFERROR(IF(Y82=0,"",ROUNDUP(Y82/H82,0)*0.01898),"")</f>
        <v>0.30368000000000001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126.30769230769232</v>
      </c>
      <c r="BN82" s="78">
        <f>IFERROR(Y82*I82/H82,"0")</f>
        <v>131.36000000000001</v>
      </c>
      <c r="BO82" s="78">
        <f>IFERROR(1/J82*(X82/H82),"0")</f>
        <v>0.24038461538461539</v>
      </c>
      <c r="BP82" s="78">
        <f>IFERROR(1/J82*(Y82/H82),"0")</f>
        <v>0.25</v>
      </c>
    </row>
    <row r="83" spans="1:68" ht="27" customHeight="1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15.384615384615385</v>
      </c>
      <c r="Y84" s="43">
        <f>IFERROR(Y82/H82,"0")+IFERROR(Y83/H83,"0")</f>
        <v>16</v>
      </c>
      <c r="Z84" s="43">
        <f>IFERROR(IF(Z82="",0,Z82),"0")+IFERROR(IF(Z83="",0,Z83),"0")</f>
        <v>0.30368000000000001</v>
      </c>
      <c r="AA84" s="67"/>
      <c r="AB84" s="67"/>
      <c r="AC84" s="67"/>
    </row>
    <row r="85" spans="1:68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120</v>
      </c>
      <c r="Y85" s="43">
        <f>IFERROR(SUM(Y82:Y83),"0")</f>
        <v>124.8</v>
      </c>
      <c r="Z85" s="42"/>
      <c r="AA85" s="67"/>
      <c r="AB85" s="67"/>
      <c r="AC85" s="67"/>
    </row>
    <row r="86" spans="1:68" ht="16.5" customHeight="1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customHeight="1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customHeight="1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70</v>
      </c>
      <c r="Y88" s="55">
        <f>IFERROR(IF(X88="",0,CEILING((X88/$H88),1)*$H88),"")</f>
        <v>75.600000000000009</v>
      </c>
      <c r="Z88" s="41">
        <f>IFERROR(IF(Y88=0,"",ROUNDUP(Y88/H88,0)*0.01898),"")</f>
        <v>0.13286000000000001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72.657407407407405</v>
      </c>
      <c r="BN88" s="78">
        <f>IFERROR(Y88*I88/H88,"0")</f>
        <v>78.47</v>
      </c>
      <c r="BO88" s="78">
        <f>IFERROR(1/J88*(X88/H88),"0")</f>
        <v>0.10127314814814814</v>
      </c>
      <c r="BP88" s="78">
        <f>IFERROR(1/J88*(Y88/H88),"0")</f>
        <v>0.109375</v>
      </c>
    </row>
    <row r="89" spans="1:68" ht="27" customHeight="1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20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20.844444444444449</v>
      </c>
      <c r="BN91" s="78">
        <f>IFERROR(Y91*I91/H91,"0")</f>
        <v>23.450000000000003</v>
      </c>
      <c r="BO91" s="78">
        <f>IFERROR(1/J91*(X91/H91),"0")</f>
        <v>3.3670033670033669E-2</v>
      </c>
      <c r="BP91" s="78">
        <f>IFERROR(1/J91*(Y91/H91),"0")</f>
        <v>3.787878787878788E-2</v>
      </c>
    </row>
    <row r="92" spans="1:68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10.925925925925926</v>
      </c>
      <c r="Y92" s="43">
        <f>IFERROR(Y88/H88,"0")+IFERROR(Y89/H89,"0")+IFERROR(Y90/H90,"0")+IFERROR(Y91/H91,"0")</f>
        <v>12</v>
      </c>
      <c r="Z92" s="43">
        <f>IFERROR(IF(Z88="",0,Z88),"0")+IFERROR(IF(Z89="",0,Z89),"0")+IFERROR(IF(Z90="",0,Z90),"0")+IFERROR(IF(Z91="",0,Z91),"0")</f>
        <v>0.17796000000000001</v>
      </c>
      <c r="AA92" s="67"/>
      <c r="AB92" s="67"/>
      <c r="AC92" s="67"/>
    </row>
    <row r="93" spans="1:68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90</v>
      </c>
      <c r="Y93" s="43">
        <f>IFERROR(SUM(Y88:Y91),"0")</f>
        <v>98.100000000000009</v>
      </c>
      <c r="Z93" s="42"/>
      <c r="AA93" s="67"/>
      <c r="AB93" s="67"/>
      <c r="AC93" s="67"/>
    </row>
    <row r="94" spans="1:68" ht="14.25" customHeight="1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customHeight="1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64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67.903209876543215</v>
      </c>
      <c r="BN95" s="78">
        <f>IFERROR(Y95*I95/H95,"0")</f>
        <v>68.751999999999995</v>
      </c>
      <c r="BO95" s="78">
        <f>IFERROR(1/J95*(X95/H95),"0")</f>
        <v>0.1234567901234568</v>
      </c>
      <c r="BP95" s="78">
        <f>IFERROR(1/J95*(Y95/H95),"0")</f>
        <v>0.125</v>
      </c>
    </row>
    <row r="96" spans="1:68" ht="27" customHeight="1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7.901234567901235</v>
      </c>
      <c r="Y99" s="43">
        <f>IFERROR(Y95/H95,"0")+IFERROR(Y96/H96,"0")+IFERROR(Y97/H97,"0")+IFERROR(Y98/H98,"0")</f>
        <v>8</v>
      </c>
      <c r="Z99" s="43">
        <f>IFERROR(IF(Z95="",0,Z95),"0")+IFERROR(IF(Z96="",0,Z96),"0")+IFERROR(IF(Z97="",0,Z97),"0")+IFERROR(IF(Z98="",0,Z98),"0")</f>
        <v>0.15184</v>
      </c>
      <c r="AA99" s="67"/>
      <c r="AB99" s="67"/>
      <c r="AC99" s="67"/>
    </row>
    <row r="100" spans="1:68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64</v>
      </c>
      <c r="Y100" s="43">
        <f>IFERROR(SUM(Y95:Y98),"0")</f>
        <v>64.8</v>
      </c>
      <c r="Z100" s="42"/>
      <c r="AA100" s="67"/>
      <c r="AB100" s="67"/>
      <c r="AC100" s="67"/>
    </row>
    <row r="101" spans="1:68" ht="16.5" customHeight="1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customHeight="1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customHeight="1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customHeight="1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2.7777777777777777</v>
      </c>
      <c r="Y109" s="43">
        <f>IFERROR(Y103/H103,"0")+IFERROR(Y104/H104,"0")+IFERROR(Y105/H105,"0")+IFERROR(Y106/H106,"0")+IFERROR(Y107/H107,"0")+IFERROR(Y108/H108,"0")</f>
        <v>3.0000000000000004</v>
      </c>
      <c r="Z109" s="43">
        <f>IFERROR(IF(Z103="",0,Z103),"0")+IFERROR(IF(Z104="",0,Z104),"0")+IFERROR(IF(Z105="",0,Z105),"0")+IFERROR(IF(Z106="",0,Z106),"0")+IFERROR(IF(Z107="",0,Z107),"0")+IFERROR(IF(Z108="",0,Z108),"0")</f>
        <v>5.6940000000000004E-2</v>
      </c>
      <c r="AA109" s="67"/>
      <c r="AB109" s="67"/>
      <c r="AC109" s="67"/>
    </row>
    <row r="110" spans="1:68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30</v>
      </c>
      <c r="Y110" s="43">
        <f>IFERROR(SUM(Y103:Y108),"0")</f>
        <v>32.400000000000006</v>
      </c>
      <c r="Z110" s="42"/>
      <c r="AA110" s="67"/>
      <c r="AB110" s="67"/>
      <c r="AC110" s="67"/>
    </row>
    <row r="111" spans="1:68" ht="14.25" customHeight="1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customHeight="1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440</v>
      </c>
      <c r="Y120" s="55">
        <f>IFERROR(IF(X120="",0,CEILING((X120/$H120),1)*$H120),"")</f>
        <v>445.5</v>
      </c>
      <c r="Z120" s="41">
        <f>IFERROR(IF(Y120=0,"",ROUNDUP(Y120/H120,0)*0.01898),"")</f>
        <v>1.0439000000000001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466.50864197530865</v>
      </c>
      <c r="BN120" s="78">
        <f>IFERROR(Y120*I120/H120,"0")</f>
        <v>472.34</v>
      </c>
      <c r="BO120" s="78">
        <f>IFERROR(1/J120*(X120/H120),"0")</f>
        <v>0.84876543209876543</v>
      </c>
      <c r="BP120" s="78">
        <f>IFERROR(1/J120*(Y120/H120),"0")</f>
        <v>0.859375</v>
      </c>
    </row>
    <row r="121" spans="1:68" ht="27" customHeight="1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26</v>
      </c>
      <c r="Y122" s="55">
        <f>IFERROR(IF(X122="",0,CEILING((X122/$H122),1)*$H122),"")</f>
        <v>27</v>
      </c>
      <c r="Z122" s="41">
        <f>IFERROR(IF(Y122=0,"",ROUNDUP(Y122/H122,0)*0.00651),"")</f>
        <v>6.5100000000000005E-2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28.426666666666662</v>
      </c>
      <c r="BN122" s="78">
        <f>IFERROR(Y122*I122/H122,"0")</f>
        <v>29.519999999999996</v>
      </c>
      <c r="BO122" s="78">
        <f>IFERROR(1/J122*(X122/H122),"0")</f>
        <v>5.2910052910052914E-2</v>
      </c>
      <c r="BP122" s="78">
        <f>IFERROR(1/J122*(Y122/H122),"0")</f>
        <v>5.4945054945054951E-2</v>
      </c>
    </row>
    <row r="123" spans="1:68" ht="16.5" customHeight="1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63.950617283950621</v>
      </c>
      <c r="Y124" s="43">
        <f>IFERROR(Y120/H120,"0")+IFERROR(Y121/H121,"0")+IFERROR(Y122/H122,"0")+IFERROR(Y123/H123,"0")</f>
        <v>65</v>
      </c>
      <c r="Z124" s="43">
        <f>IFERROR(IF(Z120="",0,Z120),"0")+IFERROR(IF(Z121="",0,Z121),"0")+IFERROR(IF(Z122="",0,Z122),"0")+IFERROR(IF(Z123="",0,Z123),"0")</f>
        <v>1.109</v>
      </c>
      <c r="AA124" s="67"/>
      <c r="AB124" s="67"/>
      <c r="AC124" s="67"/>
    </row>
    <row r="125" spans="1:68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466</v>
      </c>
      <c r="Y125" s="43">
        <f>IFERROR(SUM(Y120:Y123),"0")</f>
        <v>472.5</v>
      </c>
      <c r="Z125" s="42"/>
      <c r="AA125" s="67"/>
      <c r="AB125" s="67"/>
      <c r="AC125" s="67"/>
    </row>
    <row r="126" spans="1:68" ht="14.25" customHeight="1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customHeight="1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customHeight="1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customHeight="1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customHeight="1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customHeight="1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customHeight="1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customHeight="1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customHeight="1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customHeight="1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customHeight="1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90</v>
      </c>
      <c r="Y166" s="55">
        <f t="shared" ref="Y166:Y177" si="10">IFERROR(IF(X166="",0,CEILING((X166/$H166),1)*$H166),"")</f>
        <v>91</v>
      </c>
      <c r="Z166" s="41">
        <f>IFERROR(IF(Y166=0,"",ROUNDUP(Y166/H166,0)*0.00902),"")</f>
        <v>0.23452000000000001</v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94.885714285714286</v>
      </c>
      <c r="BN166" s="78">
        <f t="shared" ref="BN166:BN177" si="12">IFERROR(Y166*I166/H166,"0")</f>
        <v>95.940000000000012</v>
      </c>
      <c r="BO166" s="78">
        <f t="shared" ref="BO166:BO177" si="13">IFERROR(1/J166*(X166/H166),"0")</f>
        <v>0.19480519480519481</v>
      </c>
      <c r="BP166" s="78">
        <f t="shared" ref="BP166:BP177" si="14">IFERROR(1/J166*(Y166/H166),"0")</f>
        <v>0.19696969696969696</v>
      </c>
    </row>
    <row r="167" spans="1:68" ht="27" customHeight="1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60</v>
      </c>
      <c r="Y169" s="55">
        <f t="shared" si="10"/>
        <v>63</v>
      </c>
      <c r="Z169" s="41">
        <f>IFERROR(IF(Y169=0,"",ROUNDUP(Y169/H169,0)*0.00902),"")</f>
        <v>0.16236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63.25714285714286</v>
      </c>
      <c r="BN169" s="78">
        <f t="shared" si="12"/>
        <v>66.42</v>
      </c>
      <c r="BO169" s="78">
        <f t="shared" si="13"/>
        <v>0.12987012987012986</v>
      </c>
      <c r="BP169" s="78">
        <f t="shared" si="14"/>
        <v>0.13636363636363635</v>
      </c>
    </row>
    <row r="170" spans="1:68" ht="27" customHeight="1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50</v>
      </c>
      <c r="Y170" s="55">
        <f t="shared" si="10"/>
        <v>52.5</v>
      </c>
      <c r="Z170" s="41">
        <f>IFERROR(IF(Y170=0,"",ROUNDUP(Y170/H170,0)*0.00902),"")</f>
        <v>0.1353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52.714285714285715</v>
      </c>
      <c r="BN170" s="78">
        <f t="shared" si="12"/>
        <v>55.35</v>
      </c>
      <c r="BO170" s="78">
        <f t="shared" si="13"/>
        <v>0.10822510822510824</v>
      </c>
      <c r="BP170" s="78">
        <f t="shared" si="14"/>
        <v>0.11363636363636365</v>
      </c>
    </row>
    <row r="171" spans="1:68" ht="16.5" customHeight="1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57.142857142857146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59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0.53217999999999999</v>
      </c>
      <c r="AA178" s="67"/>
      <c r="AB178" s="67"/>
      <c r="AC178" s="67"/>
    </row>
    <row r="179" spans="1:68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200</v>
      </c>
      <c r="Y179" s="43">
        <f>IFERROR(SUM(Y166:Y177),"0")</f>
        <v>206.5</v>
      </c>
      <c r="Z179" s="42"/>
      <c r="AA179" s="67"/>
      <c r="AB179" s="67"/>
      <c r="AC179" s="67"/>
    </row>
    <row r="180" spans="1:68" ht="14.25" customHeight="1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customHeight="1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customHeight="1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customHeight="1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customHeight="1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customHeight="1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customHeight="1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customHeight="1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customHeight="1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customHeight="1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4</v>
      </c>
      <c r="Y214" s="55">
        <f t="shared" si="21"/>
        <v>4.2</v>
      </c>
      <c r="Z214" s="41">
        <f>IFERROR(IF(Y214=0,"",ROUNDUP(Y214/H214,0)*0.00902),"")</f>
        <v>9.0200000000000002E-3</v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4.2380952380952381</v>
      </c>
      <c r="BN214" s="78">
        <f t="shared" si="23"/>
        <v>4.45</v>
      </c>
      <c r="BO214" s="78">
        <f t="shared" si="24"/>
        <v>7.215007215007215E-3</v>
      </c>
      <c r="BP214" s="78">
        <f t="shared" si="25"/>
        <v>7.575757575757576E-3</v>
      </c>
    </row>
    <row r="215" spans="1:68" ht="27" customHeight="1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140</v>
      </c>
      <c r="Y215" s="55">
        <f t="shared" si="21"/>
        <v>142.80000000000001</v>
      </c>
      <c r="Z215" s="41">
        <f>IFERROR(IF(Y215=0,"",ROUNDUP(Y215/H215,0)*0.00902),"")</f>
        <v>0.30668000000000001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146.33333333333331</v>
      </c>
      <c r="BN215" s="78">
        <f t="shared" si="23"/>
        <v>149.26000000000002</v>
      </c>
      <c r="BO215" s="78">
        <f t="shared" si="24"/>
        <v>0.25252525252525249</v>
      </c>
      <c r="BP215" s="78">
        <f t="shared" si="25"/>
        <v>0.25757575757575757</v>
      </c>
    </row>
    <row r="216" spans="1:68" ht="37.5" customHeight="1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34.285714285714278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35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0.31569999999999998</v>
      </c>
      <c r="AA227" s="67"/>
      <c r="AB227" s="67"/>
      <c r="AC227" s="67"/>
    </row>
    <row r="228" spans="1:68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144</v>
      </c>
      <c r="Y228" s="43">
        <f>IFERROR(SUM(Y213:Y226),"0")</f>
        <v>147</v>
      </c>
      <c r="Z228" s="42"/>
      <c r="AA228" s="67"/>
      <c r="AB228" s="67"/>
      <c r="AC228" s="67"/>
    </row>
    <row r="229" spans="1:68" ht="14.25" customHeight="1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customHeight="1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customHeight="1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customHeight="1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customHeight="1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customHeight="1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27</v>
      </c>
      <c r="Y250" s="55">
        <f>IFERROR(IF(X250="",0,CEILING((X250/$H250),1)*$H250),"")</f>
        <v>27</v>
      </c>
      <c r="Z250" s="41">
        <f>IFERROR(IF(Y250=0,"",ROUNDUP(Y250/H250,0)*0.00651),"")</f>
        <v>6.5100000000000005E-2</v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28.799999999999994</v>
      </c>
      <c r="BN250" s="78">
        <f>IFERROR(Y250*I250/H250,"0")</f>
        <v>28.799999999999994</v>
      </c>
      <c r="BO250" s="78">
        <f>IFERROR(1/J250*(X250/H250),"0")</f>
        <v>5.4945054945054951E-2</v>
      </c>
      <c r="BP250" s="78">
        <f>IFERROR(1/J250*(Y250/H250),"0")</f>
        <v>5.4945054945054951E-2</v>
      </c>
    </row>
    <row r="251" spans="1:68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10</v>
      </c>
      <c r="Y251" s="43">
        <f>IFERROR(Y249/H249,"0")+IFERROR(Y250/H250,"0")</f>
        <v>10</v>
      </c>
      <c r="Z251" s="43">
        <f>IFERROR(IF(Z249="",0,Z249),"0")+IFERROR(IF(Z250="",0,Z250),"0")</f>
        <v>6.5100000000000005E-2</v>
      </c>
      <c r="AA251" s="67"/>
      <c r="AB251" s="67"/>
      <c r="AC251" s="67"/>
    </row>
    <row r="252" spans="1:68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27</v>
      </c>
      <c r="Y252" s="43">
        <f>IFERROR(SUM(Y249:Y250),"0")</f>
        <v>27</v>
      </c>
      <c r="Z252" s="42"/>
      <c r="AA252" s="67"/>
      <c r="AB252" s="67"/>
      <c r="AC252" s="67"/>
    </row>
    <row r="253" spans="1:68" ht="14.25" customHeight="1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customHeight="1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380</v>
      </c>
      <c r="Y259" s="55">
        <f t="shared" ref="Y259:Y266" si="27">IFERROR(IF(X259="",0,CEILING((X259/$H259),1)*$H259),"")</f>
        <v>383.40000000000003</v>
      </c>
      <c r="Z259" s="41">
        <f>IFERROR(IF(Y259=0,"",ROUNDUP(Y259/H259,0)*0.00902),"")</f>
        <v>0.64041999999999999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393.37037037037032</v>
      </c>
      <c r="BN259" s="78">
        <f t="shared" ref="BN259:BN266" si="29">IFERROR(Y259*I259/H259,"0")</f>
        <v>396.89</v>
      </c>
      <c r="BO259" s="78">
        <f t="shared" ref="BO259:BO266" si="30">IFERROR(1/J259*(X259/H259),"0")</f>
        <v>0.53310886644219979</v>
      </c>
      <c r="BP259" s="78">
        <f t="shared" ref="BP259:BP266" si="31">IFERROR(1/J259*(Y259/H259),"0")</f>
        <v>0.53787878787878785</v>
      </c>
    </row>
    <row r="260" spans="1:68" ht="27" customHeight="1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255</v>
      </c>
      <c r="Y260" s="55">
        <f t="shared" si="27"/>
        <v>259.20000000000005</v>
      </c>
      <c r="Z260" s="41">
        <f>IFERROR(IF(Y260=0,"",ROUNDUP(Y260/H260,0)*0.00902),"")</f>
        <v>0.43296000000000001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263.97222222222223</v>
      </c>
      <c r="BN260" s="78">
        <f t="shared" si="29"/>
        <v>268.32</v>
      </c>
      <c r="BO260" s="78">
        <f t="shared" si="30"/>
        <v>0.35774410774410775</v>
      </c>
      <c r="BP260" s="78">
        <f t="shared" si="31"/>
        <v>0.3636363636363637</v>
      </c>
    </row>
    <row r="261" spans="1:68" ht="27" customHeight="1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320</v>
      </c>
      <c r="Y261" s="55">
        <f t="shared" si="27"/>
        <v>324</v>
      </c>
      <c r="Z261" s="41">
        <f>IFERROR(IF(Y261=0,"",ROUNDUP(Y261/H261,0)*0.00902),"")</f>
        <v>0.54120000000000001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331.25925925925924</v>
      </c>
      <c r="BN261" s="78">
        <f t="shared" si="29"/>
        <v>335.4</v>
      </c>
      <c r="BO261" s="78">
        <f t="shared" si="30"/>
        <v>0.44893378226711556</v>
      </c>
      <c r="BP261" s="78">
        <f t="shared" si="31"/>
        <v>0.45454545454545453</v>
      </c>
    </row>
    <row r="262" spans="1:68" ht="27" customHeight="1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430</v>
      </c>
      <c r="Y262" s="55">
        <f t="shared" si="27"/>
        <v>432</v>
      </c>
      <c r="Z262" s="41">
        <f>IFERROR(IF(Y262=0,"",ROUNDUP(Y262/H262,0)*0.00902),"")</f>
        <v>0.72160000000000002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445.12962962962956</v>
      </c>
      <c r="BN262" s="78">
        <f t="shared" si="29"/>
        <v>447.2</v>
      </c>
      <c r="BO262" s="78">
        <f t="shared" si="30"/>
        <v>0.60325476992143656</v>
      </c>
      <c r="BP262" s="78">
        <f t="shared" si="31"/>
        <v>0.60606060606060608</v>
      </c>
    </row>
    <row r="263" spans="1:68" ht="27" customHeight="1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5</v>
      </c>
      <c r="Y263" s="55">
        <f t="shared" si="27"/>
        <v>5.4</v>
      </c>
      <c r="Z263" s="41">
        <f>IFERROR(IF(Y263=0,"",ROUNDUP(Y263/H263,0)*0.00502),"")</f>
        <v>1.506E-2</v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5.3611111111111116</v>
      </c>
      <c r="BN263" s="78">
        <f t="shared" si="29"/>
        <v>5.79</v>
      </c>
      <c r="BO263" s="78">
        <f t="shared" si="30"/>
        <v>1.1870845204178538E-2</v>
      </c>
      <c r="BP263" s="78">
        <f t="shared" si="31"/>
        <v>1.2820512820512822E-2</v>
      </c>
    </row>
    <row r="264" spans="1:68" ht="27" customHeight="1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5</v>
      </c>
      <c r="Y264" s="55">
        <f t="shared" si="27"/>
        <v>5.4</v>
      </c>
      <c r="Z264" s="41">
        <f>IFERROR(IF(Y264=0,"",ROUNDUP(Y264/H264,0)*0.00502),"")</f>
        <v>1.506E-2</v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5.2777777777777777</v>
      </c>
      <c r="BN264" s="78">
        <f t="shared" si="29"/>
        <v>5.7</v>
      </c>
      <c r="BO264" s="78">
        <f t="shared" si="30"/>
        <v>1.1870845204178538E-2</v>
      </c>
      <c r="BP264" s="78">
        <f t="shared" si="31"/>
        <v>1.2820512820512822E-2</v>
      </c>
    </row>
    <row r="265" spans="1:68" ht="27" customHeight="1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5</v>
      </c>
      <c r="Y265" s="55">
        <f t="shared" si="27"/>
        <v>5.4</v>
      </c>
      <c r="Z265" s="41">
        <f>IFERROR(IF(Y265=0,"",ROUNDUP(Y265/H265,0)*0.00502),"")</f>
        <v>1.506E-2</v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5.2777777777777777</v>
      </c>
      <c r="BN265" s="78">
        <f t="shared" si="29"/>
        <v>5.7</v>
      </c>
      <c r="BO265" s="78">
        <f t="shared" si="30"/>
        <v>1.1870845204178538E-2</v>
      </c>
      <c r="BP265" s="78">
        <f t="shared" si="31"/>
        <v>1.2820512820512822E-2</v>
      </c>
    </row>
    <row r="266" spans="1:68" ht="27" customHeight="1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5</v>
      </c>
      <c r="Y266" s="55">
        <f t="shared" si="27"/>
        <v>5.4</v>
      </c>
      <c r="Z266" s="41">
        <f>IFERROR(IF(Y266=0,"",ROUNDUP(Y266/H266,0)*0.00502),"")</f>
        <v>1.506E-2</v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5.2777777777777777</v>
      </c>
      <c r="BN266" s="78">
        <f t="shared" si="29"/>
        <v>5.7</v>
      </c>
      <c r="BO266" s="78">
        <f t="shared" si="30"/>
        <v>1.1870845204178538E-2</v>
      </c>
      <c r="BP266" s="78">
        <f t="shared" si="31"/>
        <v>1.2820512820512822E-2</v>
      </c>
    </row>
    <row r="267" spans="1:68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267.59259259259255</v>
      </c>
      <c r="Y267" s="43">
        <f>IFERROR(Y259/H259,"0")+IFERROR(Y260/H260,"0")+IFERROR(Y261/H261,"0")+IFERROR(Y262/H262,"0")+IFERROR(Y263/H263,"0")+IFERROR(Y264/H264,"0")+IFERROR(Y265/H265,"0")+IFERROR(Y266/H266,"0")</f>
        <v>271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2.3964200000000004</v>
      </c>
      <c r="AA267" s="67"/>
      <c r="AB267" s="67"/>
      <c r="AC267" s="67"/>
    </row>
    <row r="268" spans="1:68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1405</v>
      </c>
      <c r="Y268" s="43">
        <f>IFERROR(SUM(Y259:Y266),"0")</f>
        <v>1420.2000000000005</v>
      </c>
      <c r="Z268" s="42"/>
      <c r="AA268" s="67"/>
      <c r="AB268" s="67"/>
      <c r="AC268" s="67"/>
    </row>
    <row r="269" spans="1:68" ht="14.25" customHeight="1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customHeight="1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220</v>
      </c>
      <c r="Y272" s="55">
        <f t="shared" si="32"/>
        <v>226.2</v>
      </c>
      <c r="Z272" s="41">
        <f>IFERROR(IF(Y272=0,"",ROUNDUP(Y272/H272,0)*0.01898),"")</f>
        <v>0.49348000000000003</v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232.49195402298855</v>
      </c>
      <c r="BN272" s="78">
        <f t="shared" si="34"/>
        <v>239.04400000000001</v>
      </c>
      <c r="BO272" s="78">
        <f t="shared" si="35"/>
        <v>0.39511494252873569</v>
      </c>
      <c r="BP272" s="78">
        <f t="shared" si="36"/>
        <v>0.40625</v>
      </c>
    </row>
    <row r="273" spans="1:68" ht="27" customHeight="1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2</v>
      </c>
      <c r="Y273" s="55">
        <f t="shared" si="32"/>
        <v>2.4</v>
      </c>
      <c r="Z273" s="41">
        <f>IFERROR(IF(Y273=0,"",ROUNDUP(Y273/H273,0)*0.00651),"")</f>
        <v>6.5100000000000002E-3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2.2250000000000001</v>
      </c>
      <c r="BN273" s="78">
        <f t="shared" si="34"/>
        <v>2.67</v>
      </c>
      <c r="BO273" s="78">
        <f t="shared" si="35"/>
        <v>4.578754578754579E-3</v>
      </c>
      <c r="BP273" s="78">
        <f t="shared" si="36"/>
        <v>5.4945054945054949E-3</v>
      </c>
    </row>
    <row r="274" spans="1:68" ht="27" customHeight="1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148</v>
      </c>
      <c r="Y276" s="55">
        <f t="shared" si="32"/>
        <v>148.79999999999998</v>
      </c>
      <c r="Z276" s="41">
        <f>IFERROR(IF(Y276=0,"",ROUNDUP(Y276/H276,0)*0.00651),"")</f>
        <v>0.40362000000000003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163.54000000000002</v>
      </c>
      <c r="BN276" s="78">
        <f t="shared" si="34"/>
        <v>164.42400000000001</v>
      </c>
      <c r="BO276" s="78">
        <f t="shared" si="35"/>
        <v>0.3388278388278389</v>
      </c>
      <c r="BP276" s="78">
        <f t="shared" si="36"/>
        <v>0.34065934065934067</v>
      </c>
    </row>
    <row r="277" spans="1:68" ht="27" customHeight="1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2</v>
      </c>
      <c r="Y278" s="55">
        <f t="shared" si="32"/>
        <v>2.4</v>
      </c>
      <c r="Z278" s="41">
        <f>IFERROR(IF(Y278=0,"",ROUNDUP(Y278/H278,0)*0.00651),"")</f>
        <v>6.5100000000000002E-3</v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2.2100000000000004</v>
      </c>
      <c r="BN278" s="78">
        <f t="shared" si="34"/>
        <v>2.6520000000000001</v>
      </c>
      <c r="BO278" s="78">
        <f t="shared" si="35"/>
        <v>4.578754578754579E-3</v>
      </c>
      <c r="BP278" s="78">
        <f t="shared" si="36"/>
        <v>5.4945054945054949E-3</v>
      </c>
    </row>
    <row r="279" spans="1:68" ht="27" customHeight="1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132</v>
      </c>
      <c r="Y279" s="55">
        <f t="shared" si="32"/>
        <v>132</v>
      </c>
      <c r="Z279" s="41">
        <f>IFERROR(IF(Y279=0,"",ROUNDUP(Y279/H279,0)*0.00651),"")</f>
        <v>0.35805000000000003</v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145.86000000000001</v>
      </c>
      <c r="BN279" s="78">
        <f t="shared" si="34"/>
        <v>145.86000000000001</v>
      </c>
      <c r="BO279" s="78">
        <f t="shared" si="35"/>
        <v>0.30219780219780223</v>
      </c>
      <c r="BP279" s="78">
        <f t="shared" si="36"/>
        <v>0.30219780219780223</v>
      </c>
    </row>
    <row r="280" spans="1:68" ht="27" customHeight="1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122</v>
      </c>
      <c r="Y280" s="55">
        <f t="shared" si="32"/>
        <v>122.39999999999999</v>
      </c>
      <c r="Z280" s="41">
        <f>IFERROR(IF(Y280=0,"",ROUNDUP(Y280/H280,0)*0.00651),"")</f>
        <v>0.33201000000000003</v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135.11500000000001</v>
      </c>
      <c r="BN280" s="78">
        <f t="shared" si="34"/>
        <v>135.55799999999999</v>
      </c>
      <c r="BO280" s="78">
        <f t="shared" si="35"/>
        <v>0.27930402930402937</v>
      </c>
      <c r="BP280" s="78">
        <f t="shared" si="36"/>
        <v>0.28021978021978022</v>
      </c>
    </row>
    <row r="281" spans="1:68" ht="27" customHeight="1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194.45402298850576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1.6001799999999999</v>
      </c>
      <c r="AA282" s="67"/>
      <c r="AB282" s="67"/>
      <c r="AC282" s="67"/>
    </row>
    <row r="283" spans="1:68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626</v>
      </c>
      <c r="Y283" s="43">
        <f>IFERROR(SUM(Y270:Y281),"0")</f>
        <v>634.19999999999993</v>
      </c>
      <c r="Z283" s="42"/>
      <c r="AA283" s="67"/>
      <c r="AB283" s="67"/>
      <c r="AC283" s="67"/>
    </row>
    <row r="284" spans="1:68" ht="14.25" customHeight="1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customHeight="1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36</v>
      </c>
      <c r="Y285" s="55">
        <f>IFERROR(IF(X285="",0,CEILING((X285/$H285),1)*$H285),"")</f>
        <v>36</v>
      </c>
      <c r="Z285" s="41">
        <f>IFERROR(IF(Y285=0,"",ROUNDUP(Y285/H285,0)*0.00651),"")</f>
        <v>9.7650000000000001E-2</v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39.780000000000008</v>
      </c>
      <c r="BN285" s="78">
        <f>IFERROR(Y285*I285/H285,"0")</f>
        <v>39.780000000000008</v>
      </c>
      <c r="BO285" s="78">
        <f>IFERROR(1/J285*(X285/H285),"0")</f>
        <v>8.241758241758243E-2</v>
      </c>
      <c r="BP285" s="78">
        <f>IFERROR(1/J285*(Y285/H285),"0")</f>
        <v>8.241758241758243E-2</v>
      </c>
    </row>
    <row r="286" spans="1:68" ht="27" customHeight="1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15</v>
      </c>
      <c r="Y287" s="43">
        <f>IFERROR(Y285/H285,"0")+IFERROR(Y286/H286,"0")</f>
        <v>15</v>
      </c>
      <c r="Z287" s="43">
        <f>IFERROR(IF(Z285="",0,Z285),"0")+IFERROR(IF(Z286="",0,Z286),"0")</f>
        <v>9.7650000000000001E-2</v>
      </c>
      <c r="AA287" s="67"/>
      <c r="AB287" s="67"/>
      <c r="AC287" s="67"/>
    </row>
    <row r="288" spans="1:68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36</v>
      </c>
      <c r="Y288" s="43">
        <f>IFERROR(SUM(Y285:Y286),"0")</f>
        <v>36</v>
      </c>
      <c r="Z288" s="42"/>
      <c r="AA288" s="67"/>
      <c r="AB288" s="67"/>
      <c r="AC288" s="67"/>
    </row>
    <row r="289" spans="1:68" ht="16.5" customHeight="1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customHeight="1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customHeight="1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customHeight="1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customHeight="1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customHeight="1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customHeight="1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customHeight="1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30</v>
      </c>
      <c r="Y316" s="55">
        <f>IFERROR(IF(X316="",0,CEILING((X316/$H316),1)*$H316),"")</f>
        <v>32.400000000000006</v>
      </c>
      <c r="Z316" s="41">
        <f>IFERROR(IF(Y316=0,"",ROUNDUP(Y316/H316,0)*0.01898),"")</f>
        <v>5.6940000000000004E-2</v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31.138888888888889</v>
      </c>
      <c r="BN316" s="78">
        <f>IFERROR(Y316*I316/H316,"0")</f>
        <v>33.630000000000003</v>
      </c>
      <c r="BO316" s="78">
        <f>IFERROR(1/J316*(X316/H316),"0")</f>
        <v>4.3402777777777776E-2</v>
      </c>
      <c r="BP316" s="78">
        <f>IFERROR(1/J316*(Y316/H316),"0")</f>
        <v>4.6875000000000007E-2</v>
      </c>
    </row>
    <row r="317" spans="1:68" ht="37.5" customHeight="1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10</v>
      </c>
      <c r="Y317" s="55">
        <f>IFERROR(IF(X317="",0,CEILING((X317/$H317),1)*$H317),"")</f>
        <v>10.8</v>
      </c>
      <c r="Z317" s="41">
        <f>IFERROR(IF(Y317=0,"",ROUNDUP(Y317/H317,0)*0.01898),"")</f>
        <v>1.898E-2</v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10.37962962962963</v>
      </c>
      <c r="BN317" s="78">
        <f>IFERROR(Y317*I317/H317,"0")</f>
        <v>11.21</v>
      </c>
      <c r="BO317" s="78">
        <f>IFERROR(1/J317*(X317/H317),"0")</f>
        <v>1.4467592592592591E-2</v>
      </c>
      <c r="BP317" s="78">
        <f>IFERROR(1/J317*(Y317/H317),"0")</f>
        <v>1.5625E-2</v>
      </c>
    </row>
    <row r="318" spans="1:68" ht="27" customHeight="1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60</v>
      </c>
      <c r="Y318" s="55">
        <f>IFERROR(IF(X318="",0,CEILING((X318/$H318),1)*$H318),"")</f>
        <v>64.800000000000011</v>
      </c>
      <c r="Z318" s="41">
        <f>IFERROR(IF(Y318=0,"",ROUNDUP(Y318/H318,0)*0.01898),"")</f>
        <v>0.11388000000000001</v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62.277777777777779</v>
      </c>
      <c r="BN318" s="78">
        <f>IFERROR(Y318*I318/H318,"0")</f>
        <v>67.260000000000005</v>
      </c>
      <c r="BO318" s="78">
        <f>IFERROR(1/J318*(X318/H318),"0")</f>
        <v>8.6805555555555552E-2</v>
      </c>
      <c r="BP318" s="78">
        <f>IFERROR(1/J318*(Y318/H318),"0")</f>
        <v>9.3750000000000014E-2</v>
      </c>
    </row>
    <row r="319" spans="1:68" ht="27" customHeight="1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9.2592592592592595</v>
      </c>
      <c r="Y321" s="43">
        <f>IFERROR(Y316/H316,"0")+IFERROR(Y317/H317,"0")+IFERROR(Y318/H318,"0")+IFERROR(Y319/H319,"0")+IFERROR(Y320/H320,"0")</f>
        <v>10</v>
      </c>
      <c r="Z321" s="43">
        <f>IFERROR(IF(Z316="",0,Z316),"0")+IFERROR(IF(Z317="",0,Z317),"0")+IFERROR(IF(Z318="",0,Z318),"0")+IFERROR(IF(Z319="",0,Z319),"0")+IFERROR(IF(Z320="",0,Z320),"0")</f>
        <v>0.18980000000000002</v>
      </c>
      <c r="AA321" s="67"/>
      <c r="AB321" s="67"/>
      <c r="AC321" s="67"/>
    </row>
    <row r="322" spans="1:68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100</v>
      </c>
      <c r="Y322" s="43">
        <f>IFERROR(SUM(Y316:Y320),"0")</f>
        <v>108.00000000000001</v>
      </c>
      <c r="Z322" s="42"/>
      <c r="AA322" s="67"/>
      <c r="AB322" s="67"/>
      <c r="AC322" s="67"/>
    </row>
    <row r="323" spans="1:68" ht="16.5" customHeight="1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customHeight="1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customHeight="1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2</v>
      </c>
      <c r="Y326" s="55">
        <f>IFERROR(IF(X326="",0,CEILING((X326/$H326),1)*$H326),"")</f>
        <v>2.4</v>
      </c>
      <c r="Z326" s="41">
        <f>IFERROR(IF(Y326=0,"",ROUNDUP(Y326/H326,0)*0.00651),"")</f>
        <v>6.5100000000000002E-3</v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2.2100000000000004</v>
      </c>
      <c r="BN326" s="78">
        <f>IFERROR(Y326*I326/H326,"0")</f>
        <v>2.6520000000000001</v>
      </c>
      <c r="BO326" s="78">
        <f>IFERROR(1/J326*(X326/H326),"0")</f>
        <v>4.578754578754579E-3</v>
      </c>
      <c r="BP326" s="78">
        <f>IFERROR(1/J326*(Y326/H326),"0")</f>
        <v>5.4945054945054949E-3</v>
      </c>
    </row>
    <row r="327" spans="1:68" ht="27" customHeight="1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2</v>
      </c>
      <c r="Y327" s="55">
        <f>IFERROR(IF(X327="",0,CEILING((X327/$H327),1)*$H327),"")</f>
        <v>2.4</v>
      </c>
      <c r="Z327" s="41">
        <f>IFERROR(IF(Y327=0,"",ROUNDUP(Y327/H327,0)*0.00651),"")</f>
        <v>6.5100000000000002E-3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2.1500000000000004</v>
      </c>
      <c r="BN327" s="78">
        <f>IFERROR(Y327*I327/H327,"0")</f>
        <v>2.58</v>
      </c>
      <c r="BO327" s="78">
        <f>IFERROR(1/J327*(X327/H327),"0")</f>
        <v>4.578754578754579E-3</v>
      </c>
      <c r="BP327" s="78">
        <f>IFERROR(1/J327*(Y327/H327),"0")</f>
        <v>5.4945054945054949E-3</v>
      </c>
    </row>
    <row r="328" spans="1:68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1.6666666666666667</v>
      </c>
      <c r="Y328" s="43">
        <f>IFERROR(Y325/H325,"0")+IFERROR(Y326/H326,"0")+IFERROR(Y327/H327,"0")</f>
        <v>2</v>
      </c>
      <c r="Z328" s="43">
        <f>IFERROR(IF(Z325="",0,Z325),"0")+IFERROR(IF(Z326="",0,Z326),"0")+IFERROR(IF(Z327="",0,Z327),"0")</f>
        <v>1.302E-2</v>
      </c>
      <c r="AA328" s="67"/>
      <c r="AB328" s="67"/>
      <c r="AC328" s="67"/>
    </row>
    <row r="329" spans="1:68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4</v>
      </c>
      <c r="Y329" s="43">
        <f>IFERROR(SUM(Y325:Y327),"0")</f>
        <v>4.8</v>
      </c>
      <c r="Z329" s="42"/>
      <c r="AA329" s="67"/>
      <c r="AB329" s="67"/>
      <c r="AC329" s="67"/>
    </row>
    <row r="330" spans="1:68" ht="16.5" customHeight="1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customHeight="1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customHeight="1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customHeight="1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customHeight="1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customHeight="1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customHeight="1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customHeight="1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220</v>
      </c>
      <c r="Y353" s="55">
        <f t="shared" ref="Y353:Y358" si="42">IFERROR(IF(X353="",0,CEILING((X353/$H353),1)*$H353),"")</f>
        <v>226.8</v>
      </c>
      <c r="Z353" s="41">
        <f>IFERROR(IF(Y353=0,"",ROUNDUP(Y353/H353,0)*0.01898),"")</f>
        <v>0.39857999999999999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228.35185185185188</v>
      </c>
      <c r="BN353" s="78">
        <f t="shared" ref="BN353:BN358" si="44">IFERROR(Y353*I353/H353,"0")</f>
        <v>235.41000000000003</v>
      </c>
      <c r="BO353" s="78">
        <f t="shared" ref="BO353:BO358" si="45">IFERROR(1/J353*(X353/H353),"0")</f>
        <v>0.31828703703703703</v>
      </c>
      <c r="BP353" s="78">
        <f t="shared" ref="BP353:BP358" si="46">IFERROR(1/J353*(Y353/H353),"0")</f>
        <v>0.328125</v>
      </c>
    </row>
    <row r="354" spans="1:68" ht="27" customHeight="1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10</v>
      </c>
      <c r="Y355" s="55">
        <f t="shared" si="42"/>
        <v>10.8</v>
      </c>
      <c r="Z355" s="41">
        <f>IFERROR(IF(Y355=0,"",ROUNDUP(Y355/H355,0)*0.01898),"")</f>
        <v>1.898E-2</v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10.37962962962963</v>
      </c>
      <c r="BN355" s="78">
        <f t="shared" si="44"/>
        <v>11.21</v>
      </c>
      <c r="BO355" s="78">
        <f t="shared" si="45"/>
        <v>1.4467592592592591E-2</v>
      </c>
      <c r="BP355" s="78">
        <f t="shared" si="46"/>
        <v>1.5625E-2</v>
      </c>
    </row>
    <row r="356" spans="1:68" ht="27" customHeight="1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4</v>
      </c>
      <c r="Y357" s="55">
        <f t="shared" si="42"/>
        <v>4</v>
      </c>
      <c r="Z357" s="41">
        <f>IFERROR(IF(Y357=0,"",ROUNDUP(Y357/H357,0)*0.00902),"")</f>
        <v>9.0200000000000002E-3</v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4.1900000000000004</v>
      </c>
      <c r="BN357" s="78">
        <f t="shared" si="44"/>
        <v>4.1900000000000004</v>
      </c>
      <c r="BO357" s="78">
        <f t="shared" si="45"/>
        <v>7.575757575757576E-3</v>
      </c>
      <c r="BP357" s="78">
        <f t="shared" si="46"/>
        <v>7.575757575757576E-3</v>
      </c>
    </row>
    <row r="358" spans="1:68" ht="27" customHeight="1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22.296296296296298</v>
      </c>
      <c r="Y359" s="43">
        <f>IFERROR(Y353/H353,"0")+IFERROR(Y354/H354,"0")+IFERROR(Y355/H355,"0")+IFERROR(Y356/H356,"0")+IFERROR(Y357/H357,"0")+IFERROR(Y358/H358,"0")</f>
        <v>23</v>
      </c>
      <c r="Z359" s="43">
        <f>IFERROR(IF(Z353="",0,Z353),"0")+IFERROR(IF(Z354="",0,Z354),"0")+IFERROR(IF(Z355="",0,Z355),"0")+IFERROR(IF(Z356="",0,Z356),"0")+IFERROR(IF(Z357="",0,Z357),"0")+IFERROR(IF(Z358="",0,Z358),"0")</f>
        <v>0.42657999999999996</v>
      </c>
      <c r="AA359" s="67"/>
      <c r="AB359" s="67"/>
      <c r="AC359" s="67"/>
    </row>
    <row r="360" spans="1:68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234</v>
      </c>
      <c r="Y360" s="43">
        <f>IFERROR(SUM(Y353:Y358),"0")</f>
        <v>241.60000000000002</v>
      </c>
      <c r="Z360" s="42"/>
      <c r="AA360" s="67"/>
      <c r="AB360" s="67"/>
      <c r="AC360" s="67"/>
    </row>
    <row r="361" spans="1:68" ht="14.25" customHeight="1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customHeight="1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90</v>
      </c>
      <c r="Y362" s="55">
        <f t="shared" ref="Y362:Y368" si="47">IFERROR(IF(X362="",0,CEILING((X362/$H362),1)*$H362),"")</f>
        <v>92.4</v>
      </c>
      <c r="Z362" s="41">
        <f>IFERROR(IF(Y362=0,"",ROUNDUP(Y362/H362,0)*0.00902),"")</f>
        <v>0.19844000000000001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95.357142857142847</v>
      </c>
      <c r="BN362" s="78">
        <f t="shared" ref="BN362:BN368" si="49">IFERROR(Y362*I362/H362,"0")</f>
        <v>97.9</v>
      </c>
      <c r="BO362" s="78">
        <f t="shared" ref="BO362:BO368" si="50">IFERROR(1/J362*(X362/H362),"0")</f>
        <v>0.16233766233766234</v>
      </c>
      <c r="BP362" s="78">
        <f t="shared" ref="BP362:BP368" si="51">IFERROR(1/J362*(Y362/H362),"0")</f>
        <v>0.16666666666666669</v>
      </c>
    </row>
    <row r="363" spans="1:68" ht="27" customHeight="1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350</v>
      </c>
      <c r="Y363" s="55">
        <f t="shared" si="47"/>
        <v>352.8</v>
      </c>
      <c r="Z363" s="41">
        <f>IFERROR(IF(Y363=0,"",ROUNDUP(Y363/H363,0)*0.00902),"")</f>
        <v>0.75768000000000002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370.83333333333331</v>
      </c>
      <c r="BN363" s="78">
        <f t="shared" si="49"/>
        <v>373.8</v>
      </c>
      <c r="BO363" s="78">
        <f t="shared" si="50"/>
        <v>0.63131313131313127</v>
      </c>
      <c r="BP363" s="78">
        <f t="shared" si="51"/>
        <v>0.63636363636363635</v>
      </c>
    </row>
    <row r="364" spans="1:68" ht="27" customHeight="1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14</v>
      </c>
      <c r="Y365" s="55">
        <f t="shared" si="47"/>
        <v>14.700000000000001</v>
      </c>
      <c r="Z365" s="41">
        <f>IFERROR(IF(Y365=0,"",ROUNDUP(Y365/H365,0)*0.00502),"")</f>
        <v>3.5140000000000005E-2</v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14.866666666666665</v>
      </c>
      <c r="BN365" s="78">
        <f t="shared" si="49"/>
        <v>15.61</v>
      </c>
      <c r="BO365" s="78">
        <f t="shared" si="50"/>
        <v>2.8490028490028491E-2</v>
      </c>
      <c r="BP365" s="78">
        <f t="shared" si="51"/>
        <v>2.9914529914529919E-2</v>
      </c>
    </row>
    <row r="366" spans="1:68" ht="27" customHeight="1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111.42857142857143</v>
      </c>
      <c r="Y369" s="43">
        <f>IFERROR(Y362/H362,"0")+IFERROR(Y363/H363,"0")+IFERROR(Y364/H364,"0")+IFERROR(Y365/H365,"0")+IFERROR(Y366/H366,"0")+IFERROR(Y367/H367,"0")+IFERROR(Y368/H368,"0")</f>
        <v>113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0.99126000000000003</v>
      </c>
      <c r="AA369" s="67"/>
      <c r="AB369" s="67"/>
      <c r="AC369" s="67"/>
    </row>
    <row r="370" spans="1:68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454</v>
      </c>
      <c r="Y370" s="43">
        <f>IFERROR(SUM(Y362:Y368),"0")</f>
        <v>459.90000000000003</v>
      </c>
      <c r="Z370" s="42"/>
      <c r="AA370" s="67"/>
      <c r="AB370" s="67"/>
      <c r="AC370" s="67"/>
    </row>
    <row r="371" spans="1:68" ht="14.25" customHeight="1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customHeight="1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1200</v>
      </c>
      <c r="Y372" s="55">
        <f>IFERROR(IF(X372="",0,CEILING((X372/$H372),1)*$H372),"")</f>
        <v>1201.2</v>
      </c>
      <c r="Z372" s="41">
        <f>IFERROR(IF(Y372=0,"",ROUNDUP(Y372/H372,0)*0.01898),"")</f>
        <v>2.92292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1275.0769230769231</v>
      </c>
      <c r="BN372" s="78">
        <f>IFERROR(Y372*I372/H372,"0")</f>
        <v>1276.3520000000001</v>
      </c>
      <c r="BO372" s="78">
        <f>IFERROR(1/J372*(X372/H372),"0")</f>
        <v>2.4038461538461537</v>
      </c>
      <c r="BP372" s="78">
        <f>IFERROR(1/J372*(Y372/H372),"0")</f>
        <v>2.40625</v>
      </c>
    </row>
    <row r="373" spans="1:68" ht="27" customHeight="1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153.84615384615384</v>
      </c>
      <c r="Y376" s="43">
        <f>IFERROR(Y372/H372,"0")+IFERROR(Y373/H373,"0")+IFERROR(Y374/H374,"0")+IFERROR(Y375/H375,"0")</f>
        <v>154</v>
      </c>
      <c r="Z376" s="43">
        <f>IFERROR(IF(Z372="",0,Z372),"0")+IFERROR(IF(Z373="",0,Z373),"0")+IFERROR(IF(Z374="",0,Z374),"0")+IFERROR(IF(Z375="",0,Z375),"0")</f>
        <v>2.92292</v>
      </c>
      <c r="AA376" s="67"/>
      <c r="AB376" s="67"/>
      <c r="AC376" s="67"/>
    </row>
    <row r="377" spans="1:68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1200</v>
      </c>
      <c r="Y377" s="43">
        <f>IFERROR(SUM(Y372:Y375),"0")</f>
        <v>1201.2</v>
      </c>
      <c r="Z377" s="42"/>
      <c r="AA377" s="67"/>
      <c r="AB377" s="67"/>
      <c r="AC377" s="67"/>
    </row>
    <row r="378" spans="1:68" ht="14.25" customHeight="1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customHeight="1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200</v>
      </c>
      <c r="Y379" s="55">
        <f>IFERROR(IF(X379="",0,CEILING((X379/$H379),1)*$H379),"")</f>
        <v>201.60000000000002</v>
      </c>
      <c r="Z379" s="41">
        <f>IFERROR(IF(Y379=0,"",ROUNDUP(Y379/H379,0)*0.01898),"")</f>
        <v>0.45552000000000004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211.76190476190476</v>
      </c>
      <c r="BN379" s="78">
        <f>IFERROR(Y379*I379/H379,"0")</f>
        <v>213.45600000000002</v>
      </c>
      <c r="BO379" s="78">
        <f>IFERROR(1/J379*(X379/H379),"0")</f>
        <v>0.37202380952380953</v>
      </c>
      <c r="BP379" s="78">
        <f>IFERROR(1/J379*(Y379/H379),"0")</f>
        <v>0.375</v>
      </c>
    </row>
    <row r="380" spans="1:68" ht="27" customHeight="1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700</v>
      </c>
      <c r="Y380" s="55">
        <f>IFERROR(IF(X380="",0,CEILING((X380/$H380),1)*$H380),"")</f>
        <v>702</v>
      </c>
      <c r="Z380" s="41">
        <f>IFERROR(IF(Y380=0,"",ROUNDUP(Y380/H380,0)*0.01898),"")</f>
        <v>1.7081999999999999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744.33333333333337</v>
      </c>
      <c r="BN380" s="78">
        <f>IFERROR(Y380*I380/H380,"0")</f>
        <v>746.46</v>
      </c>
      <c r="BO380" s="78">
        <f>IFERROR(1/J380*(X380/H380),"0")</f>
        <v>1.4022435897435899</v>
      </c>
      <c r="BP380" s="78">
        <f>IFERROR(1/J380*(Y380/H380),"0")</f>
        <v>1.40625</v>
      </c>
    </row>
    <row r="381" spans="1:68" ht="16.5" customHeight="1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170</v>
      </c>
      <c r="Y381" s="55">
        <f>IFERROR(IF(X381="",0,CEILING((X381/$H381),1)*$H381),"")</f>
        <v>176.4</v>
      </c>
      <c r="Z381" s="41">
        <f>IFERROR(IF(Y381=0,"",ROUNDUP(Y381/H381,0)*0.01898),"")</f>
        <v>0.39857999999999999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179.99761904761905</v>
      </c>
      <c r="BN381" s="78">
        <f>IFERROR(Y381*I381/H381,"0")</f>
        <v>186.774</v>
      </c>
      <c r="BO381" s="78">
        <f>IFERROR(1/J381*(X381/H381),"0")</f>
        <v>0.31622023809523808</v>
      </c>
      <c r="BP381" s="78">
        <f>IFERROR(1/J381*(Y381/H381),"0")</f>
        <v>0.328125</v>
      </c>
    </row>
    <row r="382" spans="1:68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133.79120879120879</v>
      </c>
      <c r="Y382" s="43">
        <f>IFERROR(Y379/H379,"0")+IFERROR(Y380/H380,"0")+IFERROR(Y381/H381,"0")</f>
        <v>135</v>
      </c>
      <c r="Z382" s="43">
        <f>IFERROR(IF(Z379="",0,Z379),"0")+IFERROR(IF(Z380="",0,Z380),"0")+IFERROR(IF(Z381="",0,Z381),"0")</f>
        <v>2.5623</v>
      </c>
      <c r="AA382" s="67"/>
      <c r="AB382" s="67"/>
      <c r="AC382" s="67"/>
    </row>
    <row r="383" spans="1:68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1070</v>
      </c>
      <c r="Y383" s="43">
        <f>IFERROR(SUM(Y379:Y381),"0")</f>
        <v>1080</v>
      </c>
      <c r="Z383" s="42"/>
      <c r="AA383" s="67"/>
      <c r="AB383" s="67"/>
      <c r="AC383" s="67"/>
    </row>
    <row r="384" spans="1:68" ht="14.25" customHeight="1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customHeight="1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7</v>
      </c>
      <c r="Y388" s="55">
        <f>IFERROR(IF(X388="",0,CEILING((X388/$H388),1)*$H388),"")</f>
        <v>7.6499999999999995</v>
      </c>
      <c r="Z388" s="41">
        <f>IFERROR(IF(Y388=0,"",ROUNDUP(Y388/H388,0)*0.00651),"")</f>
        <v>1.9529999999999999E-2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7.9058823529411768</v>
      </c>
      <c r="BN388" s="78">
        <f>IFERROR(Y388*I388/H388,"0")</f>
        <v>8.6399999999999988</v>
      </c>
      <c r="BO388" s="78">
        <f>IFERROR(1/J388*(X388/H388),"0")</f>
        <v>1.508295625942685E-2</v>
      </c>
      <c r="BP388" s="78">
        <f>IFERROR(1/J388*(Y388/H388),"0")</f>
        <v>1.6483516483516484E-2</v>
      </c>
    </row>
    <row r="389" spans="1:68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2.7450980392156863</v>
      </c>
      <c r="Y389" s="43">
        <f>IFERROR(Y385/H385,"0")+IFERROR(Y386/H386,"0")+IFERROR(Y387/H387,"0")+IFERROR(Y388/H388,"0")</f>
        <v>3</v>
      </c>
      <c r="Z389" s="43">
        <f>IFERROR(IF(Z385="",0,Z385),"0")+IFERROR(IF(Z386="",0,Z386),"0")+IFERROR(IF(Z387="",0,Z387),"0")+IFERROR(IF(Z388="",0,Z388),"0")</f>
        <v>1.9529999999999999E-2</v>
      </c>
      <c r="AA389" s="67"/>
      <c r="AB389" s="67"/>
      <c r="AC389" s="67"/>
    </row>
    <row r="390" spans="1:68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7</v>
      </c>
      <c r="Y390" s="43">
        <f>IFERROR(SUM(Y385:Y388),"0")</f>
        <v>7.6499999999999995</v>
      </c>
      <c r="Z390" s="42"/>
      <c r="AA390" s="67"/>
      <c r="AB390" s="67"/>
      <c r="AC390" s="67"/>
    </row>
    <row r="391" spans="1:68" ht="14.25" customHeight="1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customHeight="1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customHeight="1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customHeight="1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customHeight="1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170</v>
      </c>
      <c r="Y405" s="55">
        <f>IFERROR(IF(X405="",0,CEILING((X405/$H405),1)*$H405),"")</f>
        <v>170.1</v>
      </c>
      <c r="Z405" s="41">
        <f>IFERROR(IF(Y405=0,"",ROUNDUP(Y405/H405,0)*0.01898),"")</f>
        <v>0.39857999999999999</v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180.36790123456788</v>
      </c>
      <c r="BN405" s="78">
        <f>IFERROR(Y405*I405/H405,"0")</f>
        <v>180.47399999999999</v>
      </c>
      <c r="BO405" s="78">
        <f>IFERROR(1/J405*(X405/H405),"0")</f>
        <v>0.32793209876543211</v>
      </c>
      <c r="BP405" s="78">
        <f>IFERROR(1/J405*(Y405/H405),"0")</f>
        <v>0.328125</v>
      </c>
    </row>
    <row r="406" spans="1:68" ht="27" customHeight="1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39</v>
      </c>
      <c r="Y406" s="55">
        <f>IFERROR(IF(X406="",0,CEILING((X406/$H406),1)*$H406),"")</f>
        <v>39.9</v>
      </c>
      <c r="Z406" s="41">
        <f>IFERROR(IF(Y406=0,"",ROUNDUP(Y406/H406,0)*0.00651),"")</f>
        <v>0.12369000000000001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43.679999999999993</v>
      </c>
      <c r="BN406" s="78">
        <f>IFERROR(Y406*I406/H406,"0")</f>
        <v>44.687999999999995</v>
      </c>
      <c r="BO406" s="78">
        <f>IFERROR(1/J406*(X406/H406),"0")</f>
        <v>0.10204081632653061</v>
      </c>
      <c r="BP406" s="78">
        <f>IFERROR(1/J406*(Y406/H406),"0")</f>
        <v>0.1043956043956044</v>
      </c>
    </row>
    <row r="407" spans="1:68" ht="27" customHeight="1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42</v>
      </c>
      <c r="Y407" s="55">
        <f>IFERROR(IF(X407="",0,CEILING((X407/$H407),1)*$H407),"")</f>
        <v>42</v>
      </c>
      <c r="Z407" s="41">
        <f>IFERROR(IF(Y407=0,"",ROUNDUP(Y407/H407,0)*0.00651),"")</f>
        <v>0.13020000000000001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46.8</v>
      </c>
      <c r="BN407" s="78">
        <f>IFERROR(Y407*I407/H407,"0")</f>
        <v>46.8</v>
      </c>
      <c r="BO407" s="78">
        <f>IFERROR(1/J407*(X407/H407),"0")</f>
        <v>0.1098901098901099</v>
      </c>
      <c r="BP407" s="78">
        <f>IFERROR(1/J407*(Y407/H407),"0")</f>
        <v>0.1098901098901099</v>
      </c>
    </row>
    <row r="408" spans="1:68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59.559082892416228</v>
      </c>
      <c r="Y408" s="43">
        <f>IFERROR(Y405/H405,"0")+IFERROR(Y406/H406,"0")+IFERROR(Y407/H407,"0")</f>
        <v>60</v>
      </c>
      <c r="Z408" s="43">
        <f>IFERROR(IF(Z405="",0,Z405),"0")+IFERROR(IF(Z406="",0,Z406),"0")+IFERROR(IF(Z407="",0,Z407),"0")</f>
        <v>0.65246999999999999</v>
      </c>
      <c r="AA408" s="67"/>
      <c r="AB408" s="67"/>
      <c r="AC408" s="67"/>
    </row>
    <row r="409" spans="1:68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251</v>
      </c>
      <c r="Y409" s="43">
        <f>IFERROR(SUM(Y405:Y407),"0")</f>
        <v>252</v>
      </c>
      <c r="Z409" s="42"/>
      <c r="AA409" s="67"/>
      <c r="AB409" s="67"/>
      <c r="AC409" s="67"/>
    </row>
    <row r="410" spans="1:68" ht="27.75" customHeight="1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customHeight="1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customHeight="1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customHeight="1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1050</v>
      </c>
      <c r="Y414" s="55">
        <f t="shared" si="52"/>
        <v>1050</v>
      </c>
      <c r="Z414" s="41">
        <f>IFERROR(IF(Y414=0,"",ROUNDUP(Y414/H414,0)*0.02175),"")</f>
        <v>1.5225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1082.9000000000001</v>
      </c>
      <c r="BN414" s="78">
        <f t="shared" si="54"/>
        <v>1082.9000000000001</v>
      </c>
      <c r="BO414" s="78">
        <f t="shared" si="55"/>
        <v>1.4583333333333333</v>
      </c>
      <c r="BP414" s="78">
        <f t="shared" si="56"/>
        <v>1.4583333333333333</v>
      </c>
    </row>
    <row r="415" spans="1:68" ht="27" customHeight="1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1650</v>
      </c>
      <c r="Y415" s="55">
        <f t="shared" si="52"/>
        <v>1650</v>
      </c>
      <c r="Z415" s="41">
        <f>IFERROR(IF(Y415=0,"",ROUNDUP(Y415/H415,0)*0.02175),"")</f>
        <v>2.3924999999999996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1701.7</v>
      </c>
      <c r="BN415" s="78">
        <f t="shared" si="54"/>
        <v>1701.7</v>
      </c>
      <c r="BO415" s="78">
        <f t="shared" si="55"/>
        <v>2.2916666666666665</v>
      </c>
      <c r="BP415" s="78">
        <f t="shared" si="56"/>
        <v>2.2916666666666665</v>
      </c>
    </row>
    <row r="416" spans="1:68" ht="27" customHeight="1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1700</v>
      </c>
      <c r="Y417" s="55">
        <f t="shared" si="52"/>
        <v>1710</v>
      </c>
      <c r="Z417" s="41">
        <f>IFERROR(IF(Y417=0,"",ROUNDUP(Y417/H417,0)*0.02175),"")</f>
        <v>2.4794999999999998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1753.2666666666667</v>
      </c>
      <c r="BN417" s="78">
        <f t="shared" si="54"/>
        <v>1763.5800000000002</v>
      </c>
      <c r="BO417" s="78">
        <f t="shared" si="55"/>
        <v>2.3611111111111107</v>
      </c>
      <c r="BP417" s="78">
        <f t="shared" si="56"/>
        <v>2.375</v>
      </c>
    </row>
    <row r="418" spans="1:68" ht="27" customHeight="1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293.33333333333331</v>
      </c>
      <c r="Y421" s="43">
        <f>IFERROR(Y413/H413,"0")+IFERROR(Y414/H414,"0")+IFERROR(Y415/H415,"0")+IFERROR(Y416/H416,"0")+IFERROR(Y417/H417,"0")+IFERROR(Y418/H418,"0")+IFERROR(Y419/H419,"0")+IFERROR(Y420/H420,"0")</f>
        <v>294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6.394499999999999</v>
      </c>
      <c r="AA421" s="67"/>
      <c r="AB421" s="67"/>
      <c r="AC421" s="67"/>
    </row>
    <row r="422" spans="1:68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4400</v>
      </c>
      <c r="Y422" s="43">
        <f>IFERROR(SUM(Y413:Y420),"0")</f>
        <v>4410</v>
      </c>
      <c r="Z422" s="42"/>
      <c r="AA422" s="67"/>
      <c r="AB422" s="67"/>
      <c r="AC422" s="67"/>
    </row>
    <row r="423" spans="1:68" ht="14.25" customHeight="1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customHeight="1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1500</v>
      </c>
      <c r="Y424" s="55">
        <f>IFERROR(IF(X424="",0,CEILING((X424/$H424),1)*$H424),"")</f>
        <v>1500</v>
      </c>
      <c r="Z424" s="41">
        <f>IFERROR(IF(Y424=0,"",ROUNDUP(Y424/H424,0)*0.02175),"")</f>
        <v>2.1749999999999998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1547</v>
      </c>
      <c r="BN424" s="78">
        <f>IFERROR(Y424*I424/H424,"0")</f>
        <v>1547</v>
      </c>
      <c r="BO424" s="78">
        <f>IFERROR(1/J424*(X424/H424),"0")</f>
        <v>2.083333333333333</v>
      </c>
      <c r="BP424" s="78">
        <f>IFERROR(1/J424*(Y424/H424),"0")</f>
        <v>2.083333333333333</v>
      </c>
    </row>
    <row r="425" spans="1:68" ht="27" customHeight="1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100</v>
      </c>
      <c r="Y427" s="43">
        <f>IFERROR(Y424/H424,"0")+IFERROR(Y425/H425,"0")+IFERROR(Y426/H426,"0")</f>
        <v>100</v>
      </c>
      <c r="Z427" s="43">
        <f>IFERROR(IF(Z424="",0,Z424),"0")+IFERROR(IF(Z425="",0,Z425),"0")+IFERROR(IF(Z426="",0,Z426),"0")</f>
        <v>2.1749999999999998</v>
      </c>
      <c r="AA427" s="67"/>
      <c r="AB427" s="67"/>
      <c r="AC427" s="67"/>
    </row>
    <row r="428" spans="1:68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1500</v>
      </c>
      <c r="Y428" s="43">
        <f>IFERROR(SUM(Y424:Y426),"0")</f>
        <v>1500</v>
      </c>
      <c r="Z428" s="42"/>
      <c r="AA428" s="67"/>
      <c r="AB428" s="67"/>
      <c r="AC428" s="67"/>
    </row>
    <row r="429" spans="1:68" ht="14.25" customHeight="1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customHeight="1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1000</v>
      </c>
      <c r="Y431" s="55">
        <f>IFERROR(IF(X431="",0,CEILING((X431/$H431),1)*$H431),"")</f>
        <v>1008</v>
      </c>
      <c r="Z431" s="41">
        <f>IFERROR(IF(Y431=0,"",ROUNDUP(Y431/H431,0)*0.01898),"")</f>
        <v>2.1257600000000001</v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1055.5555555555557</v>
      </c>
      <c r="BN431" s="78">
        <f>IFERROR(Y431*I431/H431,"0")</f>
        <v>1064</v>
      </c>
      <c r="BO431" s="78">
        <f>IFERROR(1/J431*(X431/H431),"0")</f>
        <v>1.7361111111111112</v>
      </c>
      <c r="BP431" s="78">
        <f>IFERROR(1/J431*(Y431/H431),"0")</f>
        <v>1.75</v>
      </c>
    </row>
    <row r="432" spans="1:68" ht="27" customHeight="1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120</v>
      </c>
      <c r="Y432" s="55">
        <f>IFERROR(IF(X432="",0,CEILING((X432/$H432),1)*$H432),"")</f>
        <v>126</v>
      </c>
      <c r="Z432" s="41">
        <f>IFERROR(IF(Y432=0,"",ROUNDUP(Y432/H432,0)*0.01898),"")</f>
        <v>0.26572000000000001</v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126.58666666666666</v>
      </c>
      <c r="BN432" s="78">
        <f>IFERROR(Y432*I432/H432,"0")</f>
        <v>132.916</v>
      </c>
      <c r="BO432" s="78">
        <f>IFERROR(1/J432*(X432/H432),"0")</f>
        <v>0.20833333333333334</v>
      </c>
      <c r="BP432" s="78">
        <f>IFERROR(1/J432*(Y432/H432),"0")</f>
        <v>0.21875</v>
      </c>
    </row>
    <row r="433" spans="1:68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124.44444444444444</v>
      </c>
      <c r="Y433" s="43">
        <f>IFERROR(Y430/H430,"0")+IFERROR(Y431/H431,"0")+IFERROR(Y432/H432,"0")</f>
        <v>126</v>
      </c>
      <c r="Z433" s="43">
        <f>IFERROR(IF(Z430="",0,Z430),"0")+IFERROR(IF(Z431="",0,Z431),"0")+IFERROR(IF(Z432="",0,Z432),"0")</f>
        <v>2.3914800000000001</v>
      </c>
      <c r="AA433" s="67"/>
      <c r="AB433" s="67"/>
      <c r="AC433" s="67"/>
    </row>
    <row r="434" spans="1:68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1120</v>
      </c>
      <c r="Y434" s="43">
        <f>IFERROR(SUM(Y430:Y432),"0")</f>
        <v>1134</v>
      </c>
      <c r="Z434" s="42"/>
      <c r="AA434" s="67"/>
      <c r="AB434" s="67"/>
      <c r="AC434" s="67"/>
    </row>
    <row r="435" spans="1:68" ht="14.25" customHeight="1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customHeight="1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300</v>
      </c>
      <c r="Y437" s="55">
        <f>IFERROR(IF(X437="",0,CEILING((X437/$H437),1)*$H437),"")</f>
        <v>306</v>
      </c>
      <c r="Z437" s="41">
        <f>IFERROR(IF(Y437=0,"",ROUNDUP(Y437/H437,0)*0.01898),"")</f>
        <v>0.64532</v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316.46666666666664</v>
      </c>
      <c r="BN437" s="78">
        <f>IFERROR(Y437*I437/H437,"0")</f>
        <v>322.79599999999999</v>
      </c>
      <c r="BO437" s="78">
        <f>IFERROR(1/J437*(X437/H437),"0")</f>
        <v>0.52083333333333337</v>
      </c>
      <c r="BP437" s="78">
        <f>IFERROR(1/J437*(Y437/H437),"0")</f>
        <v>0.53125</v>
      </c>
    </row>
    <row r="438" spans="1:68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33.333333333333336</v>
      </c>
      <c r="Y438" s="43">
        <f>IFERROR(Y436/H436,"0")+IFERROR(Y437/H437,"0")</f>
        <v>34</v>
      </c>
      <c r="Z438" s="43">
        <f>IFERROR(IF(Z436="",0,Z436),"0")+IFERROR(IF(Z437="",0,Z437),"0")</f>
        <v>0.64532</v>
      </c>
      <c r="AA438" s="67"/>
      <c r="AB438" s="67"/>
      <c r="AC438" s="67"/>
    </row>
    <row r="439" spans="1:68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300</v>
      </c>
      <c r="Y439" s="43">
        <f>IFERROR(SUM(Y436:Y437),"0")</f>
        <v>306</v>
      </c>
      <c r="Z439" s="42"/>
      <c r="AA439" s="67"/>
      <c r="AB439" s="67"/>
      <c r="AC439" s="67"/>
    </row>
    <row r="440" spans="1:68" ht="16.5" customHeight="1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customHeight="1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customHeight="1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customHeight="1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20</v>
      </c>
      <c r="Y447" s="55">
        <f>IFERROR(IF(X447="",0,CEILING((X447/$H447),1)*$H447),"")</f>
        <v>21</v>
      </c>
      <c r="Z447" s="41">
        <f>IFERROR(IF(Y447=0,"",ROUNDUP(Y447/H447,0)*0.00902),"")</f>
        <v>4.5100000000000001E-2</v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21.19047619047619</v>
      </c>
      <c r="BN447" s="78">
        <f>IFERROR(Y447*I447/H447,"0")</f>
        <v>22.25</v>
      </c>
      <c r="BO447" s="78">
        <f>IFERROR(1/J447*(X447/H447),"0")</f>
        <v>3.6075036075036072E-2</v>
      </c>
      <c r="BP447" s="78">
        <f>IFERROR(1/J447*(Y447/H447),"0")</f>
        <v>3.787878787878788E-2</v>
      </c>
    </row>
    <row r="448" spans="1:68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4.7619047619047619</v>
      </c>
      <c r="Y448" s="43">
        <f>IFERROR(Y447/H447,"0")</f>
        <v>5</v>
      </c>
      <c r="Z448" s="43">
        <f>IFERROR(IF(Z447="",0,Z447),"0")</f>
        <v>4.5100000000000001E-2</v>
      </c>
      <c r="AA448" s="67"/>
      <c r="AB448" s="67"/>
      <c r="AC448" s="67"/>
    </row>
    <row r="449" spans="1:68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20</v>
      </c>
      <c r="Y449" s="43">
        <f>IFERROR(SUM(Y447:Y447),"0")</f>
        <v>21</v>
      </c>
      <c r="Z449" s="42"/>
      <c r="AA449" s="67"/>
      <c r="AB449" s="67"/>
      <c r="AC449" s="67"/>
    </row>
    <row r="450" spans="1:68" ht="14.25" customHeight="1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customHeight="1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350</v>
      </c>
      <c r="Y451" s="55">
        <f>IFERROR(IF(X451="",0,CEILING((X451/$H451),1)*$H451),"")</f>
        <v>351</v>
      </c>
      <c r="Z451" s="41">
        <f>IFERROR(IF(Y451=0,"",ROUNDUP(Y451/H451,0)*0.01898),"")</f>
        <v>0.74021999999999999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369.21111111111111</v>
      </c>
      <c r="BN451" s="78">
        <f>IFERROR(Y451*I451/H451,"0")</f>
        <v>370.26599999999996</v>
      </c>
      <c r="BO451" s="78">
        <f>IFERROR(1/J451*(X451/H451),"0")</f>
        <v>0.60763888888888884</v>
      </c>
      <c r="BP451" s="78">
        <f>IFERROR(1/J451*(Y451/H451),"0")</f>
        <v>0.609375</v>
      </c>
    </row>
    <row r="452" spans="1:68" ht="27" customHeight="1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38.888888888888886</v>
      </c>
      <c r="Y454" s="43">
        <f>IFERROR(Y451/H451,"0")+IFERROR(Y452/H452,"0")+IFERROR(Y453/H453,"0")</f>
        <v>39</v>
      </c>
      <c r="Z454" s="43">
        <f>IFERROR(IF(Z451="",0,Z451),"0")+IFERROR(IF(Z452="",0,Z452),"0")+IFERROR(IF(Z453="",0,Z453),"0")</f>
        <v>0.74021999999999999</v>
      </c>
      <c r="AA454" s="67"/>
      <c r="AB454" s="67"/>
      <c r="AC454" s="67"/>
    </row>
    <row r="455" spans="1:68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350</v>
      </c>
      <c r="Y455" s="43">
        <f>IFERROR(SUM(Y451:Y453),"0")</f>
        <v>351</v>
      </c>
      <c r="Z455" s="42"/>
      <c r="AA455" s="67"/>
      <c r="AB455" s="67"/>
      <c r="AC455" s="67"/>
    </row>
    <row r="456" spans="1:68" ht="27.75" customHeight="1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customHeight="1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customHeight="1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customHeight="1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87</v>
      </c>
      <c r="Y459" s="55">
        <f t="shared" ref="Y459:Y464" si="57">IFERROR(IF(X459="",0,CEILING((X459/$H459),1)*$H459),"")</f>
        <v>91.800000000000011</v>
      </c>
      <c r="Z459" s="41">
        <f>IFERROR(IF(Y459=0,"",ROUNDUP(Y459/H459,0)*0.00902),"")</f>
        <v>0.15334</v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90.061111111111103</v>
      </c>
      <c r="BN459" s="78">
        <f t="shared" ref="BN459:BN464" si="59">IFERROR(Y459*I459/H459,"0")</f>
        <v>95.03</v>
      </c>
      <c r="BO459" s="78">
        <f t="shared" ref="BO459:BO464" si="60">IFERROR(1/J459*(X459/H459),"0")</f>
        <v>0.12205387205387205</v>
      </c>
      <c r="BP459" s="78">
        <f t="shared" ref="BP459:BP464" si="61">IFERROR(1/J459*(Y459/H459),"0")</f>
        <v>0.12878787878787878</v>
      </c>
    </row>
    <row r="460" spans="1:68" ht="27" customHeight="1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115</v>
      </c>
      <c r="Y460" s="55">
        <f t="shared" si="57"/>
        <v>118.80000000000001</v>
      </c>
      <c r="Z460" s="41">
        <f>IFERROR(IF(Y460=0,"",ROUNDUP(Y460/H460,0)*0.00902),"")</f>
        <v>0.19844000000000001</v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119.04629629629629</v>
      </c>
      <c r="BN460" s="78">
        <f t="shared" si="59"/>
        <v>122.98</v>
      </c>
      <c r="BO460" s="78">
        <f t="shared" si="60"/>
        <v>0.16133557800224466</v>
      </c>
      <c r="BP460" s="78">
        <f t="shared" si="61"/>
        <v>0.16666666666666669</v>
      </c>
    </row>
    <row r="461" spans="1:68" ht="27" customHeight="1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37.407407407407405</v>
      </c>
      <c r="Y465" s="43">
        <f>IFERROR(Y459/H459,"0")+IFERROR(Y460/H460,"0")+IFERROR(Y461/H461,"0")+IFERROR(Y462/H462,"0")+IFERROR(Y463/H463,"0")+IFERROR(Y464/H464,"0")</f>
        <v>39</v>
      </c>
      <c r="Z465" s="43">
        <f>IFERROR(IF(Z459="",0,Z459),"0")+IFERROR(IF(Z460="",0,Z460),"0")+IFERROR(IF(Z461="",0,Z461),"0")+IFERROR(IF(Z462="",0,Z462),"0")+IFERROR(IF(Z463="",0,Z463),"0")+IFERROR(IF(Z464="",0,Z464),"0")</f>
        <v>0.35177999999999998</v>
      </c>
      <c r="AA465" s="67"/>
      <c r="AB465" s="67"/>
      <c r="AC465" s="67"/>
    </row>
    <row r="466" spans="1:68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202</v>
      </c>
      <c r="Y466" s="43">
        <f>IFERROR(SUM(Y459:Y464),"0")</f>
        <v>210.60000000000002</v>
      </c>
      <c r="Z466" s="42"/>
      <c r="AA466" s="67"/>
      <c r="AB466" s="67"/>
      <c r="AC466" s="67"/>
    </row>
    <row r="467" spans="1:68" ht="14.25" customHeight="1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customHeight="1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customHeight="1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customHeight="1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customHeight="1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325</v>
      </c>
      <c r="Y478" s="55">
        <f>IFERROR(IF(X478="",0,CEILING((X478/$H478),1)*$H478),"")</f>
        <v>329.40000000000003</v>
      </c>
      <c r="Z478" s="41">
        <f>IFERROR(IF(Y478=0,"",ROUNDUP(Y478/H478,0)*0.00902),"")</f>
        <v>0.55022000000000004</v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336.43518518518516</v>
      </c>
      <c r="BN478" s="78">
        <f>IFERROR(Y478*I478/H478,"0")</f>
        <v>340.99</v>
      </c>
      <c r="BO478" s="78">
        <f>IFERROR(1/J478*(X478/H478),"0")</f>
        <v>0.45594837261503929</v>
      </c>
      <c r="BP478" s="78">
        <f>IFERROR(1/J478*(Y478/H478),"0")</f>
        <v>0.46212121212121215</v>
      </c>
    </row>
    <row r="479" spans="1:68" ht="27" customHeight="1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60.185185185185183</v>
      </c>
      <c r="Y481" s="43">
        <f>IFERROR(Y478/H478,"0")+IFERROR(Y479/H479,"0")+IFERROR(Y480/H480,"0")</f>
        <v>61</v>
      </c>
      <c r="Z481" s="43">
        <f>IFERROR(IF(Z478="",0,Z478),"0")+IFERROR(IF(Z479="",0,Z479),"0")+IFERROR(IF(Z480="",0,Z480),"0")</f>
        <v>0.55022000000000004</v>
      </c>
      <c r="AA481" s="67"/>
      <c r="AB481" s="67"/>
      <c r="AC481" s="67"/>
    </row>
    <row r="482" spans="1:68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325</v>
      </c>
      <c r="Y482" s="43">
        <f>IFERROR(SUM(Y478:Y480),"0")</f>
        <v>329.40000000000003</v>
      </c>
      <c r="Z482" s="42"/>
      <c r="AA482" s="67"/>
      <c r="AB482" s="67"/>
      <c r="AC482" s="67"/>
    </row>
    <row r="483" spans="1:68" ht="27.75" customHeight="1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customHeight="1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customHeight="1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customHeight="1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425</v>
      </c>
      <c r="Y489" s="55">
        <f t="shared" si="62"/>
        <v>427.68</v>
      </c>
      <c r="Z489" s="41">
        <f t="shared" si="63"/>
        <v>0.96876000000000007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453.17234848484844</v>
      </c>
      <c r="BN489" s="78">
        <f t="shared" si="65"/>
        <v>456.03</v>
      </c>
      <c r="BO489" s="78">
        <f t="shared" si="66"/>
        <v>0.77396561771561767</v>
      </c>
      <c r="BP489" s="78">
        <f t="shared" si="67"/>
        <v>0.77884615384615385</v>
      </c>
    </row>
    <row r="490" spans="1:68" ht="16.5" customHeight="1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350</v>
      </c>
      <c r="Y491" s="55">
        <f t="shared" si="62"/>
        <v>353.76</v>
      </c>
      <c r="Z491" s="41">
        <f t="shared" si="63"/>
        <v>0.80132000000000003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373.20075757575756</v>
      </c>
      <c r="BN491" s="78">
        <f t="shared" si="65"/>
        <v>377.21</v>
      </c>
      <c r="BO491" s="78">
        <f t="shared" si="66"/>
        <v>0.63738344988344986</v>
      </c>
      <c r="BP491" s="78">
        <f t="shared" si="67"/>
        <v>0.64423076923076927</v>
      </c>
    </row>
    <row r="492" spans="1:68" ht="27" customHeight="1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146.780303030303</v>
      </c>
      <c r="Y495" s="43">
        <f>IFERROR(Y486/H486,"0")+IFERROR(Y487/H487,"0")+IFERROR(Y488/H488,"0")+IFERROR(Y489/H489,"0")+IFERROR(Y490/H490,"0")+IFERROR(Y491/H491,"0")+IFERROR(Y492/H492,"0")+IFERROR(Y493/H493,"0")+IFERROR(Y494/H494,"0")</f>
        <v>148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1.7700800000000001</v>
      </c>
      <c r="AA495" s="67"/>
      <c r="AB495" s="67"/>
      <c r="AC495" s="67"/>
    </row>
    <row r="496" spans="1:68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775</v>
      </c>
      <c r="Y496" s="43">
        <f>IFERROR(SUM(Y486:Y494),"0")</f>
        <v>781.44</v>
      </c>
      <c r="Z496" s="42"/>
      <c r="AA496" s="67"/>
      <c r="AB496" s="67"/>
      <c r="AC496" s="67"/>
    </row>
    <row r="497" spans="1:68" ht="14.25" customHeight="1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260</v>
      </c>
      <c r="Y498" s="55">
        <f>IFERROR(IF(X498="",0,CEILING((X498/$H498),1)*$H498),"")</f>
        <v>264</v>
      </c>
      <c r="Z498" s="41">
        <f>IFERROR(IF(Y498=0,"",ROUNDUP(Y498/H498,0)*0.01196),"")</f>
        <v>0.59799999999999998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277.23484848484844</v>
      </c>
      <c r="BN498" s="78">
        <f>IFERROR(Y498*I498/H498,"0")</f>
        <v>281.5</v>
      </c>
      <c r="BO498" s="78">
        <f>IFERROR(1/J498*(X498/H498),"0")</f>
        <v>0.47348484848484851</v>
      </c>
      <c r="BP498" s="78">
        <f>IFERROR(1/J498*(Y498/H498),"0")</f>
        <v>0.48076923076923078</v>
      </c>
    </row>
    <row r="499" spans="1:68" ht="16.5" customHeight="1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49.242424242424242</v>
      </c>
      <c r="Y501" s="43">
        <f>IFERROR(Y498/H498,"0")+IFERROR(Y499/H499,"0")+IFERROR(Y500/H500,"0")</f>
        <v>50</v>
      </c>
      <c r="Z501" s="43">
        <f>IFERROR(IF(Z498="",0,Z498),"0")+IFERROR(IF(Z499="",0,Z499),"0")+IFERROR(IF(Z500="",0,Z500),"0")</f>
        <v>0.59799999999999998</v>
      </c>
      <c r="AA501" s="67"/>
      <c r="AB501" s="67"/>
      <c r="AC501" s="67"/>
    </row>
    <row r="502" spans="1:68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260</v>
      </c>
      <c r="Y502" s="43">
        <f>IFERROR(SUM(Y498:Y500),"0")</f>
        <v>264</v>
      </c>
      <c r="Z502" s="42"/>
      <c r="AA502" s="67"/>
      <c r="AB502" s="67"/>
      <c r="AC502" s="67"/>
    </row>
    <row r="503" spans="1:68" ht="14.25" customHeight="1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215</v>
      </c>
      <c r="Y504" s="55">
        <f t="shared" ref="Y504:Y510" si="68">IFERROR(IF(X504="",0,CEILING((X504/$H504),1)*$H504),"")</f>
        <v>216.48000000000002</v>
      </c>
      <c r="Z504" s="41">
        <f>IFERROR(IF(Y504=0,"",ROUNDUP(Y504/H504,0)*0.01196),"")</f>
        <v>0.49036000000000002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229.25189393939394</v>
      </c>
      <c r="BN504" s="78">
        <f t="shared" ref="BN504:BN510" si="70">IFERROR(Y504*I504/H504,"0")</f>
        <v>230.83</v>
      </c>
      <c r="BO504" s="78">
        <f t="shared" ref="BO504:BO510" si="71">IFERROR(1/J504*(X504/H504),"0")</f>
        <v>0.39153554778554778</v>
      </c>
      <c r="BP504" s="78">
        <f t="shared" ref="BP504:BP510" si="72">IFERROR(1/J504*(Y504/H504),"0")</f>
        <v>0.39423076923076927</v>
      </c>
    </row>
    <row r="505" spans="1:68" ht="27" customHeight="1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195</v>
      </c>
      <c r="Y505" s="55">
        <f t="shared" si="68"/>
        <v>195.36</v>
      </c>
      <c r="Z505" s="41">
        <f>IFERROR(IF(Y505=0,"",ROUNDUP(Y505/H505,0)*0.01196),"")</f>
        <v>0.44252000000000002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207.92613636363635</v>
      </c>
      <c r="BN505" s="78">
        <f t="shared" si="70"/>
        <v>208.31</v>
      </c>
      <c r="BO505" s="78">
        <f t="shared" si="71"/>
        <v>0.35511363636363635</v>
      </c>
      <c r="BP505" s="78">
        <f t="shared" si="72"/>
        <v>0.35576923076923078</v>
      </c>
    </row>
    <row r="506" spans="1:68" ht="27" customHeight="1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195</v>
      </c>
      <c r="Y506" s="55">
        <f t="shared" si="68"/>
        <v>195.36</v>
      </c>
      <c r="Z506" s="41">
        <f>IFERROR(IF(Y506=0,"",ROUNDUP(Y506/H506,0)*0.01196),"")</f>
        <v>0.44252000000000002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207.92613636363635</v>
      </c>
      <c r="BN506" s="78">
        <f t="shared" si="70"/>
        <v>208.31</v>
      </c>
      <c r="BO506" s="78">
        <f t="shared" si="71"/>
        <v>0.35511363636363635</v>
      </c>
      <c r="BP506" s="78">
        <f t="shared" si="72"/>
        <v>0.35576923076923078</v>
      </c>
    </row>
    <row r="507" spans="1:68" ht="27" customHeight="1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114.58333333333334</v>
      </c>
      <c r="Y511" s="43">
        <f>IFERROR(Y504/H504,"0")+IFERROR(Y505/H505,"0")+IFERROR(Y506/H506,"0")+IFERROR(Y507/H507,"0")+IFERROR(Y508/H508,"0")+IFERROR(Y509/H509,"0")+IFERROR(Y510/H510,"0")</f>
        <v>115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1.3754</v>
      </c>
      <c r="AA511" s="67"/>
      <c r="AB511" s="67"/>
      <c r="AC511" s="67"/>
    </row>
    <row r="512" spans="1:68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605</v>
      </c>
      <c r="Y512" s="43">
        <f>IFERROR(SUM(Y504:Y510),"0")</f>
        <v>607.20000000000005</v>
      </c>
      <c r="Z512" s="42"/>
      <c r="AA512" s="67"/>
      <c r="AB512" s="67"/>
      <c r="AC512" s="67"/>
    </row>
    <row r="513" spans="1:68" ht="27.75" customHeight="1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customHeight="1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customHeight="1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customHeight="1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40</v>
      </c>
      <c r="Y516" s="55">
        <f>IFERROR(IF(X516="",0,CEILING((X516/$H516),1)*$H516),"")</f>
        <v>48</v>
      </c>
      <c r="Z516" s="41">
        <f>IFERROR(IF(Y516=0,"",ROUNDUP(Y516/H516,0)*0.01898),"")</f>
        <v>7.5920000000000001E-2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41.366666666666667</v>
      </c>
      <c r="BN516" s="78">
        <f>IFERROR(Y516*I516/H516,"0")</f>
        <v>49.640000000000008</v>
      </c>
      <c r="BO516" s="78">
        <f>IFERROR(1/J516*(X516/H516),"0")</f>
        <v>5.2083333333333336E-2</v>
      </c>
      <c r="BP516" s="78">
        <f>IFERROR(1/J516*(Y516/H516),"0")</f>
        <v>6.25E-2</v>
      </c>
    </row>
    <row r="517" spans="1:68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3.3333333333333335</v>
      </c>
      <c r="Y517" s="43">
        <f>IFERROR(Y516/H516,"0")</f>
        <v>4</v>
      </c>
      <c r="Z517" s="43">
        <f>IFERROR(IF(Z516="",0,Z516),"0")</f>
        <v>7.5920000000000001E-2</v>
      </c>
      <c r="AA517" s="67"/>
      <c r="AB517" s="67"/>
      <c r="AC517" s="67"/>
    </row>
    <row r="518" spans="1:68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40</v>
      </c>
      <c r="Y518" s="43">
        <f>IFERROR(SUM(Y516:Y516),"0")</f>
        <v>48</v>
      </c>
      <c r="Z518" s="42"/>
      <c r="AA518" s="67"/>
      <c r="AB518" s="67"/>
      <c r="AC518" s="67"/>
    </row>
    <row r="519" spans="1:68" ht="14.25" customHeight="1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customHeight="1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customHeight="1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70</v>
      </c>
      <c r="Y524" s="55">
        <f>IFERROR(IF(X524="",0,CEILING((X524/$H524),1)*$H524),"")</f>
        <v>72</v>
      </c>
      <c r="Z524" s="41">
        <f>IFERROR(IF(Y524=0,"",ROUNDUP(Y524/H524,0)*0.00902),"")</f>
        <v>0.1353</v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73.645833333333343</v>
      </c>
      <c r="BN524" s="78">
        <f>IFERROR(Y524*I524/H524,"0")</f>
        <v>75.75</v>
      </c>
      <c r="BO524" s="78">
        <f>IFERROR(1/J524*(X524/H524),"0")</f>
        <v>0.11047979797979798</v>
      </c>
      <c r="BP524" s="78">
        <f>IFERROR(1/J524*(Y524/H524),"0")</f>
        <v>0.11363636363636365</v>
      </c>
    </row>
    <row r="525" spans="1:68" ht="27" customHeight="1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14.583333333333334</v>
      </c>
      <c r="Y526" s="43">
        <f>IFERROR(Y524/H524,"0")+IFERROR(Y525/H525,"0")</f>
        <v>15</v>
      </c>
      <c r="Z526" s="43">
        <f>IFERROR(IF(Z524="",0,Z524),"0")+IFERROR(IF(Z525="",0,Z525),"0")</f>
        <v>0.1353</v>
      </c>
      <c r="AA526" s="67"/>
      <c r="AB526" s="67"/>
      <c r="AC526" s="67"/>
    </row>
    <row r="527" spans="1:68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70</v>
      </c>
      <c r="Y527" s="43">
        <f>IFERROR(SUM(Y524:Y525),"0")</f>
        <v>72</v>
      </c>
      <c r="Z527" s="42"/>
      <c r="AA527" s="67"/>
      <c r="AB527" s="67"/>
      <c r="AC527" s="67"/>
    </row>
    <row r="528" spans="1:68" ht="14.25" customHeight="1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customHeight="1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customHeight="1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customHeight="1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customHeight="1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17984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18153.29</v>
      </c>
      <c r="Z542" s="42"/>
      <c r="AA542" s="67"/>
      <c r="AB542" s="67"/>
      <c r="AC542" s="67"/>
    </row>
    <row r="543" spans="1:68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18832.595132937382</v>
      </c>
      <c r="Y543" s="43">
        <f>IFERROR(SUM(BN22:BN539),"0")</f>
        <v>19010.173999999999</v>
      </c>
      <c r="Z543" s="42"/>
      <c r="AA543" s="67"/>
      <c r="AB543" s="67"/>
      <c r="AC543" s="67"/>
    </row>
    <row r="544" spans="1:68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30</v>
      </c>
      <c r="Y544" s="44">
        <f>ROUNDUP(SUM(BP22:BP539),0)</f>
        <v>30</v>
      </c>
      <c r="Z544" s="42"/>
      <c r="AA544" s="67"/>
      <c r="AB544" s="67"/>
      <c r="AC544" s="67"/>
    </row>
    <row r="545" spans="1:3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19582.595132937382</v>
      </c>
      <c r="Y545" s="43">
        <f>GrossWeightTotalR+PalletQtyTotalR*25</f>
        <v>19760.173999999999</v>
      </c>
      <c r="Z545" s="42"/>
      <c r="AA545" s="67"/>
      <c r="AB545" s="67"/>
      <c r="AC545" s="67"/>
    </row>
    <row r="546" spans="1:3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2360.5145494264834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2387</v>
      </c>
      <c r="Z546" s="42"/>
      <c r="AA546" s="67"/>
      <c r="AB546" s="67"/>
      <c r="AC546" s="67"/>
    </row>
    <row r="547" spans="1:32" ht="14.25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34.531640000000003</v>
      </c>
      <c r="AA547" s="67"/>
      <c r="AB547" s="67"/>
      <c r="AC547" s="67"/>
    </row>
    <row r="548" spans="1:32" ht="13.5" thickBot="1"/>
    <row r="549" spans="1:32" ht="27" thickTop="1" thickBot="1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99.600000000000009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1525.2</v>
      </c>
      <c r="F552" s="52">
        <f>IFERROR(Y88*1,"0")+IFERROR(Y89*1,"0")+IFERROR(Y90*1,"0")+IFERROR(Y91*1,"0")+IFERROR(Y95*1,"0")+IFERROR(Y96*1,"0")+IFERROR(Y97*1,"0")+IFERROR(Y98*1,"0")</f>
        <v>162.9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504.9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206.5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147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2117.4000000000005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108.00000000000001</v>
      </c>
      <c r="Q552" s="52">
        <f>IFERROR(Y325*1,"0")+IFERROR(Y326*1,"0")+IFERROR(Y327*1,"0")</f>
        <v>4.8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2990.3500000000004</v>
      </c>
      <c r="U552" s="52">
        <f>IFERROR(Y405*1,"0")+IFERROR(Y406*1,"0")+IFERROR(Y407*1,"0")</f>
        <v>252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7350</v>
      </c>
      <c r="W552" s="52">
        <f>IFERROR(Y442*1,"0")+IFERROR(Y443*1,"0")+IFERROR(Y447*1,"0")+IFERROR(Y451*1,"0")+IFERROR(Y452*1,"0")+IFERROR(Y453*1,"0")</f>
        <v>372</v>
      </c>
      <c r="X552" s="52">
        <f>IFERROR(Y459*1,"0")+IFERROR(Y460*1,"0")+IFERROR(Y461*1,"0")+IFERROR(Y462*1,"0")+IFERROR(Y463*1,"0")+IFERROR(Y464*1,"0")+IFERROR(Y468*1,"0")+IFERROR(Y469*1,"0")</f>
        <v>210.60000000000002</v>
      </c>
      <c r="Y552" s="52">
        <f>IFERROR(Y474*1,"0")+IFERROR(Y478*1,"0")+IFERROR(Y479*1,"0")+IFERROR(Y480*1,"0")</f>
        <v>329.40000000000003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1652.6400000000003</v>
      </c>
      <c r="AA552" s="52">
        <f>IFERROR(Y516*1,"0")+IFERROR(Y520*1,"0")+IFERROR(Y524*1,"0")+IFERROR(Y525*1,"0")+IFERROR(Y529*1,"0")+IFERROR(Y533*1,"0")+IFERROR(Y534*1,"0")</f>
        <v>120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851</v>
      </c>
      <c r="H1" s="9"/>
    </row>
    <row r="3" spans="2:8">
      <c r="B3" s="53" t="s">
        <v>852</v>
      </c>
      <c r="C3" s="53" t="s">
        <v>46</v>
      </c>
      <c r="D3" s="53" t="s">
        <v>46</v>
      </c>
      <c r="E3" s="53" t="s">
        <v>46</v>
      </c>
    </row>
    <row r="4" spans="2:8">
      <c r="B4" s="53" t="s">
        <v>853</v>
      </c>
      <c r="C4" s="53" t="s">
        <v>46</v>
      </c>
      <c r="D4" s="53" t="s">
        <v>46</v>
      </c>
      <c r="E4" s="53" t="s">
        <v>46</v>
      </c>
    </row>
    <row r="6" spans="2:8">
      <c r="B6" s="53" t="s">
        <v>854</v>
      </c>
      <c r="C6" s="53" t="s">
        <v>855</v>
      </c>
      <c r="D6" s="53" t="s">
        <v>856</v>
      </c>
      <c r="E6" s="53" t="s">
        <v>46</v>
      </c>
    </row>
    <row r="7" spans="2:8">
      <c r="B7" s="53" t="s">
        <v>857</v>
      </c>
      <c r="C7" s="53" t="s">
        <v>858</v>
      </c>
      <c r="D7" s="53" t="s">
        <v>859</v>
      </c>
      <c r="E7" s="53" t="s">
        <v>46</v>
      </c>
    </row>
    <row r="8" spans="2:8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1126</vt:i4>
      </vt:variant>
    </vt:vector>
  </HeadingPairs>
  <TitlesOfParts>
    <vt:vector size="11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2026-07-21T08:35:45Z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