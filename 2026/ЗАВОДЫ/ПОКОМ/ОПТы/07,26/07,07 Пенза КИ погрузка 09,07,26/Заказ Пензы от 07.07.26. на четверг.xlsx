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AB48488-76D8-4270-9E0A-AC6B5BC78E6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P448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Y342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P285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BN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N199" i="2"/>
  <c r="BM199" i="2"/>
  <c r="Z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X193" i="2"/>
  <c r="X192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X184" i="2"/>
  <c r="X183" i="2"/>
  <c r="BO182" i="2"/>
  <c r="BM182" i="2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P174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X167" i="2"/>
  <c r="X166" i="2"/>
  <c r="BO165" i="2"/>
  <c r="BM165" i="2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P153" i="2"/>
  <c r="BO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Y78" i="2" s="1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Z48" i="2"/>
  <c r="Y48" i="2"/>
  <c r="BN48" i="2" s="1"/>
  <c r="P48" i="2"/>
  <c r="BO47" i="2"/>
  <c r="BM47" i="2"/>
  <c r="Y47" i="2"/>
  <c r="Z47" i="2" s="1"/>
  <c r="Y43" i="2"/>
  <c r="X43" i="2"/>
  <c r="Y42" i="2"/>
  <c r="X42" i="2"/>
  <c r="BP41" i="2"/>
  <c r="BO41" i="2"/>
  <c r="BN41" i="2"/>
  <c r="BM41" i="2"/>
  <c r="Z41" i="2"/>
  <c r="Z42" i="2" s="1"/>
  <c r="Y41" i="2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Y33" i="2"/>
  <c r="BN33" i="2" s="1"/>
  <c r="P33" i="2"/>
  <c r="BO32" i="2"/>
  <c r="BM32" i="2"/>
  <c r="Y32" i="2"/>
  <c r="P32" i="2"/>
  <c r="BO31" i="2"/>
  <c r="BM31" i="2"/>
  <c r="Z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BP34" i="2" l="1"/>
  <c r="BP101" i="2"/>
  <c r="Z155" i="2"/>
  <c r="BN155" i="2"/>
  <c r="Z186" i="2"/>
  <c r="BN186" i="2"/>
  <c r="Z231" i="2"/>
  <c r="BN231" i="2"/>
  <c r="BP325" i="2"/>
  <c r="Y334" i="2"/>
  <c r="Y519" i="2"/>
  <c r="BN36" i="2"/>
  <c r="BP471" i="2"/>
  <c r="Z33" i="2"/>
  <c r="Z50" i="2"/>
  <c r="BN50" i="2"/>
  <c r="Y51" i="2"/>
  <c r="Z76" i="2"/>
  <c r="Z107" i="2"/>
  <c r="BN137" i="2"/>
  <c r="Z141" i="2"/>
  <c r="BN141" i="2"/>
  <c r="Z142" i="2"/>
  <c r="Z143" i="2" s="1"/>
  <c r="BN142" i="2"/>
  <c r="Y143" i="2"/>
  <c r="Y144" i="2"/>
  <c r="Z165" i="2"/>
  <c r="Z166" i="2" s="1"/>
  <c r="BN165" i="2"/>
  <c r="Y167" i="2"/>
  <c r="Z182" i="2"/>
  <c r="Z183" i="2" s="1"/>
  <c r="BP191" i="2"/>
  <c r="Y192" i="2"/>
  <c r="Y193" i="2"/>
  <c r="Z222" i="2"/>
  <c r="Z236" i="2"/>
  <c r="Z237" i="2" s="1"/>
  <c r="BN282" i="2"/>
  <c r="BN287" i="2"/>
  <c r="BN295" i="2"/>
  <c r="BN308" i="2"/>
  <c r="Y329" i="2"/>
  <c r="BP339" i="2"/>
  <c r="BN347" i="2"/>
  <c r="BP350" i="2"/>
  <c r="Z385" i="2"/>
  <c r="BN385" i="2"/>
  <c r="Z471" i="2"/>
  <c r="BP494" i="2"/>
  <c r="BN23" i="2"/>
  <c r="BN286" i="2"/>
  <c r="BN300" i="2"/>
  <c r="BN311" i="2"/>
  <c r="BN327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Z156" i="2" s="1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Z313" i="2" s="1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Z87" i="2" s="1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Y223" i="2"/>
  <c r="BP268" i="2"/>
  <c r="BN268" i="2"/>
  <c r="BP303" i="2"/>
  <c r="BN326" i="2"/>
  <c r="BP377" i="2"/>
  <c r="Y414" i="2"/>
  <c r="BP410" i="2"/>
  <c r="Y413" i="2"/>
  <c r="Y61" i="2"/>
  <c r="Z22" i="2"/>
  <c r="Z25" i="2" s="1"/>
  <c r="Z73" i="2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O535" i="2"/>
  <c r="Y288" i="2"/>
  <c r="BP284" i="2"/>
  <c r="BN28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Z51" i="2" s="1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BP324" i="2"/>
  <c r="Z333" i="2"/>
  <c r="Z334" i="2" s="1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18" i="2"/>
  <c r="Z241" i="2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485" i="2" l="1"/>
  <c r="Z77" i="2"/>
  <c r="Z243" i="2"/>
  <c r="Z201" i="2"/>
  <c r="Z320" i="2"/>
  <c r="Z288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<sst xmlns="http://schemas.openxmlformats.org/spreadsheetml/2006/main" count="3932" uniqueCount="844">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</sst>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35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3" t="s">
        <v>26</v>
      </c>
      <c r="E1" s="593"/>
      <c r="F1" s="593"/>
      <c r="G1" s="14" t="s">
        <v>67</v>
      </c>
      <c r="H1" s="593" t="s">
        <v>47</v>
      </c>
      <c r="I1" s="593"/>
      <c r="J1" s="593"/>
      <c r="K1" s="593"/>
      <c r="L1" s="593"/>
      <c r="M1" s="593"/>
      <c r="N1" s="593"/>
      <c r="O1" s="593"/>
      <c r="P1" s="593"/>
      <c r="Q1" s="593"/>
      <c r="R1" s="594" t="s">
        <v>68</v>
      </c>
      <c r="S1" s="595"/>
      <c r="T1" s="59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6"/>
      <c r="Q3" s="596"/>
      <c r="R3" s="596"/>
      <c r="S3" s="596"/>
      <c r="T3" s="596"/>
      <c r="U3" s="596"/>
      <c r="V3" s="596"/>
      <c r="W3" s="59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7" t="s">
        <v>8</v>
      </c>
      <c r="B5" s="597"/>
      <c r="C5" s="597"/>
      <c r="D5" s="598"/>
      <c r="E5" s="598"/>
      <c r="F5" s="599" t="s">
        <v>14</v>
      </c>
      <c r="G5" s="599"/>
      <c r="H5" s="598"/>
      <c r="I5" s="598"/>
      <c r="J5" s="598"/>
      <c r="K5" s="598"/>
      <c r="L5" s="598"/>
      <c r="M5" s="598"/>
      <c r="N5" s="69"/>
      <c r="P5" s="26" t="s">
        <v>4</v>
      </c>
      <c r="Q5" s="600">
        <v>46212</v>
      </c>
      <c r="R5" s="600"/>
      <c r="T5" s="601" t="s">
        <v>3</v>
      </c>
      <c r="U5" s="602"/>
      <c r="V5" s="603" t="s">
        <v>820</v>
      </c>
      <c r="W5" s="604"/>
      <c r="AB5" s="57"/>
      <c r="AC5" s="57"/>
      <c r="AD5" s="57"/>
      <c r="AE5" s="57"/>
    </row>
    <row r="6" spans="1:32" s="17" customFormat="1" ht="24" customHeight="1" x14ac:dyDescent="0.2">
      <c r="A6" s="597" t="s">
        <v>1</v>
      </c>
      <c r="B6" s="597"/>
      <c r="C6" s="597"/>
      <c r="D6" s="605" t="s">
        <v>827</v>
      </c>
      <c r="E6" s="605"/>
      <c r="F6" s="605"/>
      <c r="G6" s="605"/>
      <c r="H6" s="605"/>
      <c r="I6" s="605"/>
      <c r="J6" s="605"/>
      <c r="K6" s="605"/>
      <c r="L6" s="605"/>
      <c r="M6" s="605"/>
      <c r="N6" s="70"/>
      <c r="P6" s="26" t="s">
        <v>27</v>
      </c>
      <c r="Q6" s="606" t="str">
        <f>IF(Q5=0," ",CHOOSE(WEEKDAY(Q5,2),"Понедельник","Вторник","Среда","Четверг","Пятница","Суббота","Воскресенье"))</f>
        <v>Четверг</v>
      </c>
      <c r="R6" s="606"/>
      <c r="T6" s="607" t="s">
        <v>5</v>
      </c>
      <c r="U6" s="608"/>
      <c r="V6" s="609" t="s">
        <v>70</v>
      </c>
      <c r="W6" s="61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5" t="str">
        <f>IFERROR(VLOOKUP(DeliveryAddress,Table,3,0),1)</f>
        <v>3</v>
      </c>
      <c r="E7" s="616"/>
      <c r="F7" s="616"/>
      <c r="G7" s="616"/>
      <c r="H7" s="616"/>
      <c r="I7" s="616"/>
      <c r="J7" s="616"/>
      <c r="K7" s="616"/>
      <c r="L7" s="616"/>
      <c r="M7" s="617"/>
      <c r="N7" s="71"/>
      <c r="P7" s="26"/>
      <c r="Q7" s="46"/>
      <c r="R7" s="46"/>
      <c r="T7" s="607"/>
      <c r="U7" s="608"/>
      <c r="V7" s="611"/>
      <c r="W7" s="612"/>
      <c r="AB7" s="57"/>
      <c r="AC7" s="57"/>
      <c r="AD7" s="57"/>
      <c r="AE7" s="57"/>
    </row>
    <row r="8" spans="1:32" s="17" customFormat="1" ht="25.5" customHeight="1" x14ac:dyDescent="0.2">
      <c r="A8" s="618" t="s">
        <v>58</v>
      </c>
      <c r="B8" s="618"/>
      <c r="C8" s="618"/>
      <c r="D8" s="619"/>
      <c r="E8" s="619"/>
      <c r="F8" s="619"/>
      <c r="G8" s="619"/>
      <c r="H8" s="619"/>
      <c r="I8" s="619"/>
      <c r="J8" s="619"/>
      <c r="K8" s="619"/>
      <c r="L8" s="619"/>
      <c r="M8" s="619"/>
      <c r="N8" s="72"/>
      <c r="P8" s="26" t="s">
        <v>11</v>
      </c>
      <c r="Q8" s="620"/>
      <c r="R8" s="620"/>
      <c r="T8" s="607"/>
      <c r="U8" s="608"/>
      <c r="V8" s="611"/>
      <c r="W8" s="612"/>
      <c r="AB8" s="57"/>
      <c r="AC8" s="57"/>
      <c r="AD8" s="57"/>
      <c r="AE8" s="57"/>
    </row>
    <row r="9" spans="1:32" s="17" customFormat="1" ht="39.950000000000003" customHeight="1" x14ac:dyDescent="0.2">
      <c r="A9" s="6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1"/>
      <c r="C9" s="621"/>
      <c r="D9" s="622" t="s">
        <v>46</v>
      </c>
      <c r="E9" s="623"/>
      <c r="F9" s="6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1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4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4"/>
      <c r="L9" s="624"/>
      <c r="M9" s="624"/>
      <c r="N9" s="67"/>
      <c r="P9" s="29" t="s">
        <v>15</v>
      </c>
      <c r="Q9" s="625"/>
      <c r="R9" s="625"/>
      <c r="T9" s="607"/>
      <c r="U9" s="608"/>
      <c r="V9" s="613"/>
      <c r="W9" s="61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1"/>
      <c r="C10" s="621"/>
      <c r="D10" s="622"/>
      <c r="E10" s="623"/>
      <c r="F10" s="6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1"/>
      <c r="H10" s="626" t="str">
        <f>IFERROR(VLOOKUP($D$10,Proxy,2,FALSE),"")</f>
        <v/>
      </c>
      <c r="I10" s="626"/>
      <c r="J10" s="626"/>
      <c r="K10" s="626"/>
      <c r="L10" s="626"/>
      <c r="M10" s="626"/>
      <c r="N10" s="68"/>
      <c r="P10" s="29" t="s">
        <v>32</v>
      </c>
      <c r="Q10" s="627"/>
      <c r="R10" s="627"/>
      <c r="U10" s="26" t="s">
        <v>12</v>
      </c>
      <c r="V10" s="628" t="s">
        <v>71</v>
      </c>
      <c r="W10" s="6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0"/>
      <c r="R11" s="630"/>
      <c r="U11" s="26" t="s">
        <v>28</v>
      </c>
      <c r="V11" s="631" t="s">
        <v>55</v>
      </c>
      <c r="W11" s="63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2" t="s">
        <v>72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73"/>
      <c r="P12" s="26" t="s">
        <v>30</v>
      </c>
      <c r="Q12" s="620"/>
      <c r="R12" s="620"/>
      <c r="S12" s="27"/>
      <c r="T12"/>
      <c r="U12" s="26" t="s">
        <v>46</v>
      </c>
      <c r="V12" s="633"/>
      <c r="W12" s="633"/>
      <c r="X12"/>
      <c r="AB12" s="57"/>
      <c r="AC12" s="57"/>
      <c r="AD12" s="57"/>
      <c r="AE12" s="57"/>
    </row>
    <row r="13" spans="1:32" s="17" customFormat="1" ht="23.25" customHeight="1" x14ac:dyDescent="0.2">
      <c r="A13" s="632" t="s">
        <v>73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73"/>
      <c r="O13" s="29"/>
      <c r="P13" s="29" t="s">
        <v>31</v>
      </c>
      <c r="Q13" s="631"/>
      <c r="R13" s="63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2" t="s">
        <v>74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4" t="s">
        <v>75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4"/>
      <c r="N15" s="74"/>
      <c r="O15"/>
      <c r="P15" s="635" t="s">
        <v>61</v>
      </c>
      <c r="Q15" s="635"/>
      <c r="R15" s="635"/>
      <c r="S15" s="635"/>
      <c r="T15" s="63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6"/>
      <c r="Q16" s="636"/>
      <c r="R16" s="636"/>
      <c r="S16" s="636"/>
      <c r="T16" s="6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9" t="s">
        <v>59</v>
      </c>
      <c r="B17" s="639" t="s">
        <v>49</v>
      </c>
      <c r="C17" s="641" t="s">
        <v>48</v>
      </c>
      <c r="D17" s="643" t="s">
        <v>50</v>
      </c>
      <c r="E17" s="644"/>
      <c r="F17" s="639" t="s">
        <v>21</v>
      </c>
      <c r="G17" s="639" t="s">
        <v>24</v>
      </c>
      <c r="H17" s="639" t="s">
        <v>22</v>
      </c>
      <c r="I17" s="639" t="s">
        <v>23</v>
      </c>
      <c r="J17" s="639" t="s">
        <v>16</v>
      </c>
      <c r="K17" s="639" t="s">
        <v>66</v>
      </c>
      <c r="L17" s="639" t="s">
        <v>64</v>
      </c>
      <c r="M17" s="639" t="s">
        <v>2</v>
      </c>
      <c r="N17" s="639" t="s">
        <v>63</v>
      </c>
      <c r="O17" s="639" t="s">
        <v>25</v>
      </c>
      <c r="P17" s="643" t="s">
        <v>17</v>
      </c>
      <c r="Q17" s="647"/>
      <c r="R17" s="647"/>
      <c r="S17" s="647"/>
      <c r="T17" s="644"/>
      <c r="U17" s="637" t="s">
        <v>56</v>
      </c>
      <c r="V17" s="638"/>
      <c r="W17" s="639" t="s">
        <v>6</v>
      </c>
      <c r="X17" s="639" t="s">
        <v>41</v>
      </c>
      <c r="Y17" s="649" t="s">
        <v>54</v>
      </c>
      <c r="Z17" s="651" t="s">
        <v>18</v>
      </c>
      <c r="AA17" s="653" t="s">
        <v>60</v>
      </c>
      <c r="AB17" s="653" t="s">
        <v>19</v>
      </c>
      <c r="AC17" s="653" t="s">
        <v>65</v>
      </c>
      <c r="AD17" s="655" t="s">
        <v>57</v>
      </c>
      <c r="AE17" s="656"/>
      <c r="AF17" s="657"/>
      <c r="AG17" s="77"/>
      <c r="BD17" s="76" t="s">
        <v>62</v>
      </c>
    </row>
    <row r="18" spans="1:68" ht="14.25" customHeight="1" x14ac:dyDescent="0.2">
      <c r="A18" s="640"/>
      <c r="B18" s="640"/>
      <c r="C18" s="642"/>
      <c r="D18" s="645"/>
      <c r="E18" s="646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5"/>
      <c r="Q18" s="648"/>
      <c r="R18" s="648"/>
      <c r="S18" s="648"/>
      <c r="T18" s="646"/>
      <c r="U18" s="78" t="s">
        <v>44</v>
      </c>
      <c r="V18" s="78" t="s">
        <v>43</v>
      </c>
      <c r="W18" s="640"/>
      <c r="X18" s="640"/>
      <c r="Y18" s="650"/>
      <c r="Z18" s="652"/>
      <c r="AA18" s="654"/>
      <c r="AB18" s="654"/>
      <c r="AC18" s="654"/>
      <c r="AD18" s="658"/>
      <c r="AE18" s="659"/>
      <c r="AF18" s="660"/>
      <c r="AG18" s="77"/>
      <c r="BD18" s="76"/>
    </row>
    <row r="19" spans="1:68" ht="27.75" customHeight="1" x14ac:dyDescent="0.2">
      <c r="A19" s="661" t="s">
        <v>76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52"/>
      <c r="AB19" s="52"/>
      <c r="AC19" s="52"/>
    </row>
    <row r="20" spans="1:68" ht="16.5" customHeight="1" x14ac:dyDescent="0.25">
      <c r="A20" s="662" t="s">
        <v>76</v>
      </c>
      <c r="B20" s="662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2"/>
      <c r="Y20" s="662"/>
      <c r="Z20" s="662"/>
      <c r="AA20" s="62"/>
      <c r="AB20" s="62"/>
      <c r="AC20" s="62"/>
    </row>
    <row r="21" spans="1:68" ht="14.25" customHeight="1" x14ac:dyDescent="0.25">
      <c r="A21" s="663" t="s">
        <v>77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4301031508</v>
      </c>
      <c r="D22" s="664">
        <v>4680115889071</v>
      </c>
      <c r="E22" s="66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665" t="s">
        <v>80</v>
      </c>
      <c r="Q22" s="666"/>
      <c r="R22" s="666"/>
      <c r="S22" s="666"/>
      <c r="T22" s="66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85</v>
      </c>
      <c r="B23" s="60" t="s">
        <v>86</v>
      </c>
      <c r="C23" s="34">
        <v>4301031446</v>
      </c>
      <c r="D23" s="664">
        <v>4680115887510</v>
      </c>
      <c r="E23" s="664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66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66"/>
      <c r="R23" s="666"/>
      <c r="S23" s="666"/>
      <c r="T23" s="66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customHeight="1" x14ac:dyDescent="0.25">
      <c r="A24" s="60" t="s">
        <v>89</v>
      </c>
      <c r="B24" s="60" t="s">
        <v>90</v>
      </c>
      <c r="C24" s="34">
        <v>4301031278</v>
      </c>
      <c r="D24" s="664">
        <v>4680115886643</v>
      </c>
      <c r="E24" s="664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66"/>
      <c r="R24" s="666"/>
      <c r="S24" s="666"/>
      <c r="T24" s="667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x14ac:dyDescent="0.2">
      <c r="A25" s="673"/>
      <c r="B25" s="673"/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4"/>
      <c r="P25" s="670" t="s">
        <v>40</v>
      </c>
      <c r="Q25" s="671"/>
      <c r="R25" s="671"/>
      <c r="S25" s="671"/>
      <c r="T25" s="671"/>
      <c r="U25" s="671"/>
      <c r="V25" s="672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x14ac:dyDescent="0.2">
      <c r="A26" s="673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4"/>
      <c r="P26" s="670" t="s">
        <v>40</v>
      </c>
      <c r="Q26" s="671"/>
      <c r="R26" s="671"/>
      <c r="S26" s="671"/>
      <c r="T26" s="671"/>
      <c r="U26" s="671"/>
      <c r="V26" s="672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customHeight="1" x14ac:dyDescent="0.25">
      <c r="A27" s="663" t="s">
        <v>92</v>
      </c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3"/>
      <c r="AB27" s="63"/>
      <c r="AC27" s="63"/>
    </row>
    <row r="28" spans="1:68" ht="27" customHeight="1" x14ac:dyDescent="0.25">
      <c r="A28" s="60" t="s">
        <v>93</v>
      </c>
      <c r="B28" s="60" t="s">
        <v>94</v>
      </c>
      <c r="C28" s="34">
        <v>4301051866</v>
      </c>
      <c r="D28" s="664">
        <v>4680115885912</v>
      </c>
      <c r="E28" s="66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6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66"/>
      <c r="R28" s="666"/>
      <c r="S28" s="666"/>
      <c r="T28" s="667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customHeight="1" x14ac:dyDescent="0.25">
      <c r="A29" s="60" t="s">
        <v>97</v>
      </c>
      <c r="B29" s="60" t="s">
        <v>98</v>
      </c>
      <c r="C29" s="34">
        <v>4301051776</v>
      </c>
      <c r="D29" s="664">
        <v>4607091388237</v>
      </c>
      <c r="E29" s="664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66"/>
      <c r="R29" s="666"/>
      <c r="S29" s="666"/>
      <c r="T29" s="667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99</v>
      </c>
      <c r="B30" s="60" t="s">
        <v>100</v>
      </c>
      <c r="C30" s="34">
        <v>4301052063</v>
      </c>
      <c r="D30" s="664">
        <v>4680115887350</v>
      </c>
      <c r="E30" s="66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66"/>
      <c r="R30" s="666"/>
      <c r="S30" s="666"/>
      <c r="T30" s="667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103</v>
      </c>
      <c r="B31" s="60" t="s">
        <v>104</v>
      </c>
      <c r="C31" s="34">
        <v>4301051912</v>
      </c>
      <c r="D31" s="664">
        <v>4680115886230</v>
      </c>
      <c r="E31" s="664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67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66"/>
      <c r="R31" s="666"/>
      <c r="S31" s="666"/>
      <c r="T31" s="667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106</v>
      </c>
      <c r="B32" s="60" t="s">
        <v>107</v>
      </c>
      <c r="C32" s="34">
        <v>4301051919</v>
      </c>
      <c r="D32" s="664">
        <v>4680115886278</v>
      </c>
      <c r="E32" s="664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6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66"/>
      <c r="R32" s="666"/>
      <c r="S32" s="666"/>
      <c r="T32" s="667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customHeight="1" x14ac:dyDescent="0.25">
      <c r="A33" s="60" t="s">
        <v>108</v>
      </c>
      <c r="B33" s="60" t="s">
        <v>109</v>
      </c>
      <c r="C33" s="34">
        <v>4301051913</v>
      </c>
      <c r="D33" s="664">
        <v>4680115886247</v>
      </c>
      <c r="E33" s="664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6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66"/>
      <c r="R33" s="666"/>
      <c r="S33" s="666"/>
      <c r="T33" s="667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customHeight="1" x14ac:dyDescent="0.25">
      <c r="A34" s="60" t="s">
        <v>111</v>
      </c>
      <c r="B34" s="60" t="s">
        <v>112</v>
      </c>
      <c r="C34" s="34">
        <v>4301051863</v>
      </c>
      <c r="D34" s="664">
        <v>4680115885905</v>
      </c>
      <c r="E34" s="664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66"/>
      <c r="R34" s="666"/>
      <c r="S34" s="666"/>
      <c r="T34" s="667"/>
      <c r="U34" s="37" t="s">
        <v>46</v>
      </c>
      <c r="V34" s="37" t="s">
        <v>46</v>
      </c>
      <c r="W34" s="38" t="s">
        <v>0</v>
      </c>
      <c r="X34" s="56">
        <v>0</v>
      </c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customHeight="1" x14ac:dyDescent="0.25">
      <c r="A35" s="60" t="s">
        <v>114</v>
      </c>
      <c r="B35" s="60" t="s">
        <v>115</v>
      </c>
      <c r="C35" s="34">
        <v>4301052078</v>
      </c>
      <c r="D35" s="664">
        <v>4680115887657</v>
      </c>
      <c r="E35" s="664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66"/>
      <c r="R35" s="666"/>
      <c r="S35" s="666"/>
      <c r="T35" s="667"/>
      <c r="U35" s="37" t="s">
        <v>46</v>
      </c>
      <c r="V35" s="37" t="s">
        <v>46</v>
      </c>
      <c r="W35" s="38" t="s">
        <v>0</v>
      </c>
      <c r="X35" s="56">
        <v>0</v>
      </c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customHeight="1" x14ac:dyDescent="0.25">
      <c r="A36" s="60" t="s">
        <v>117</v>
      </c>
      <c r="B36" s="60" t="s">
        <v>118</v>
      </c>
      <c r="C36" s="34">
        <v>4301052197</v>
      </c>
      <c r="D36" s="664">
        <v>4680115888326</v>
      </c>
      <c r="E36" s="664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683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66"/>
      <c r="R36" s="666"/>
      <c r="S36" s="666"/>
      <c r="T36" s="667"/>
      <c r="U36" s="37" t="s">
        <v>46</v>
      </c>
      <c r="V36" s="37" t="s">
        <v>46</v>
      </c>
      <c r="W36" s="38" t="s">
        <v>0</v>
      </c>
      <c r="X36" s="56">
        <v>0</v>
      </c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customHeight="1" x14ac:dyDescent="0.25">
      <c r="A37" s="60" t="s">
        <v>120</v>
      </c>
      <c r="B37" s="60" t="s">
        <v>121</v>
      </c>
      <c r="C37" s="34">
        <v>4301052071</v>
      </c>
      <c r="D37" s="664">
        <v>4680115887619</v>
      </c>
      <c r="E37" s="664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66"/>
      <c r="R37" s="666"/>
      <c r="S37" s="666"/>
      <c r="T37" s="667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x14ac:dyDescent="0.2">
      <c r="A38" s="673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4"/>
      <c r="P38" s="670" t="s">
        <v>40</v>
      </c>
      <c r="Q38" s="671"/>
      <c r="R38" s="671"/>
      <c r="S38" s="671"/>
      <c r="T38" s="671"/>
      <c r="U38" s="671"/>
      <c r="V38" s="672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x14ac:dyDescent="0.2">
      <c r="A39" s="673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4"/>
      <c r="P39" s="670" t="s">
        <v>40</v>
      </c>
      <c r="Q39" s="671"/>
      <c r="R39" s="671"/>
      <c r="S39" s="671"/>
      <c r="T39" s="671"/>
      <c r="U39" s="671"/>
      <c r="V39" s="672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customHeight="1" x14ac:dyDescent="0.25">
      <c r="A40" s="663" t="s">
        <v>123</v>
      </c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3"/>
      <c r="AB40" s="63"/>
      <c r="AC40" s="63"/>
    </row>
    <row r="41" spans="1:68" ht="27" customHeight="1" x14ac:dyDescent="0.25">
      <c r="A41" s="60" t="s">
        <v>124</v>
      </c>
      <c r="B41" s="60" t="s">
        <v>125</v>
      </c>
      <c r="C41" s="34">
        <v>4301032013</v>
      </c>
      <c r="D41" s="664">
        <v>4607091388503</v>
      </c>
      <c r="E41" s="664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66"/>
      <c r="R41" s="666"/>
      <c r="S41" s="666"/>
      <c r="T41" s="66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70" t="s">
        <v>40</v>
      </c>
      <c r="Q42" s="671"/>
      <c r="R42" s="671"/>
      <c r="S42" s="671"/>
      <c r="T42" s="671"/>
      <c r="U42" s="671"/>
      <c r="V42" s="672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x14ac:dyDescent="0.2">
      <c r="A43" s="673"/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4"/>
      <c r="P43" s="670" t="s">
        <v>40</v>
      </c>
      <c r="Q43" s="671"/>
      <c r="R43" s="671"/>
      <c r="S43" s="671"/>
      <c r="T43" s="671"/>
      <c r="U43" s="671"/>
      <c r="V43" s="672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customHeight="1" x14ac:dyDescent="0.2">
      <c r="A44" s="661" t="s">
        <v>45</v>
      </c>
      <c r="B44" s="661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  <c r="AA44" s="52"/>
      <c r="AB44" s="52"/>
      <c r="AC44" s="52"/>
    </row>
    <row r="45" spans="1:68" ht="16.5" customHeight="1" x14ac:dyDescent="0.25">
      <c r="A45" s="662" t="s">
        <v>129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62"/>
      <c r="AB45" s="62"/>
      <c r="AC45" s="62"/>
    </row>
    <row r="46" spans="1:68" ht="14.25" customHeight="1" x14ac:dyDescent="0.25">
      <c r="A46" s="663" t="s">
        <v>92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"/>
      <c r="AB46" s="63"/>
      <c r="AC46" s="63"/>
    </row>
    <row r="47" spans="1:68" ht="27" customHeight="1" x14ac:dyDescent="0.25">
      <c r="A47" s="60" t="s">
        <v>131</v>
      </c>
      <c r="B47" s="60" t="s">
        <v>132</v>
      </c>
      <c r="C47" s="34">
        <v>4301052202</v>
      </c>
      <c r="D47" s="664">
        <v>4680115888494</v>
      </c>
      <c r="E47" s="664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686" t="s">
        <v>133</v>
      </c>
      <c r="Q47" s="666"/>
      <c r="R47" s="666"/>
      <c r="S47" s="666"/>
      <c r="T47" s="667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customHeight="1" x14ac:dyDescent="0.25">
      <c r="A48" s="60" t="s">
        <v>135</v>
      </c>
      <c r="B48" s="60" t="s">
        <v>136</v>
      </c>
      <c r="C48" s="34">
        <v>4301052198</v>
      </c>
      <c r="D48" s="664">
        <v>4680115888463</v>
      </c>
      <c r="E48" s="664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66"/>
      <c r="R48" s="666"/>
      <c r="S48" s="666"/>
      <c r="T48" s="66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138</v>
      </c>
      <c r="B49" s="60" t="s">
        <v>139</v>
      </c>
      <c r="C49" s="34">
        <v>4301052184</v>
      </c>
      <c r="D49" s="664">
        <v>4680115888272</v>
      </c>
      <c r="E49" s="664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68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66"/>
      <c r="R49" s="666"/>
      <c r="S49" s="666"/>
      <c r="T49" s="66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customHeight="1" x14ac:dyDescent="0.25">
      <c r="A50" s="60" t="s">
        <v>141</v>
      </c>
      <c r="B50" s="60" t="s">
        <v>142</v>
      </c>
      <c r="C50" s="34">
        <v>4301052188</v>
      </c>
      <c r="D50" s="664">
        <v>4680115888364</v>
      </c>
      <c r="E50" s="664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68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66"/>
      <c r="R50" s="666"/>
      <c r="S50" s="666"/>
      <c r="T50" s="66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73"/>
      <c r="B51" s="673"/>
      <c r="C51" s="673"/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4"/>
      <c r="P51" s="670" t="s">
        <v>40</v>
      </c>
      <c r="Q51" s="671"/>
      <c r="R51" s="671"/>
      <c r="S51" s="671"/>
      <c r="T51" s="671"/>
      <c r="U51" s="671"/>
      <c r="V51" s="67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x14ac:dyDescent="0.2">
      <c r="A52" s="673"/>
      <c r="B52" s="673"/>
      <c r="C52" s="673"/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4"/>
      <c r="P52" s="670" t="s">
        <v>40</v>
      </c>
      <c r="Q52" s="671"/>
      <c r="R52" s="671"/>
      <c r="S52" s="671"/>
      <c r="T52" s="671"/>
      <c r="U52" s="671"/>
      <c r="V52" s="67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customHeight="1" x14ac:dyDescent="0.2">
      <c r="A53" s="661" t="s">
        <v>144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52"/>
      <c r="AB53" s="52"/>
      <c r="AC53" s="52"/>
    </row>
    <row r="54" spans="1:68" ht="16.5" customHeight="1" x14ac:dyDescent="0.25">
      <c r="A54" s="662" t="s">
        <v>145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2"/>
      <c r="AB54" s="62"/>
      <c r="AC54" s="62"/>
    </row>
    <row r="55" spans="1:68" ht="14.25" customHeight="1" x14ac:dyDescent="0.25">
      <c r="A55" s="663" t="s">
        <v>146</v>
      </c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64">
        <v>4607091385670</v>
      </c>
      <c r="E56" s="66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6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66"/>
      <c r="R56" s="666"/>
      <c r="S56" s="666"/>
      <c r="T56" s="667"/>
      <c r="U56" s="37" t="s">
        <v>46</v>
      </c>
      <c r="V56" s="37" t="s">
        <v>46</v>
      </c>
      <c r="W56" s="38" t="s">
        <v>0</v>
      </c>
      <c r="X56" s="56">
        <v>350</v>
      </c>
      <c r="Y56" s="53">
        <f>IFERROR(IF(X56="",0,CEILING((X56/$H56),1)*$H56),"")</f>
        <v>356.40000000000003</v>
      </c>
      <c r="Z56" s="39">
        <f>IFERROR(IF(Y56=0,"",ROUNDUP(Y56/H56,0)*0.01898),"")</f>
        <v>0.62634000000000001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363.28703703703707</v>
      </c>
      <c r="BN56" s="75">
        <f>IFERROR(Y56*I56/H56,"0")</f>
        <v>369.93</v>
      </c>
      <c r="BO56" s="75">
        <f>IFERROR(1/J56*(X56/H56),"0")</f>
        <v>0.5063657407407407</v>
      </c>
      <c r="BP56" s="75">
        <f>IFERROR(1/J56*(Y56/H56),"0")</f>
        <v>0.515625</v>
      </c>
    </row>
    <row r="57" spans="1:68" ht="27" customHeight="1" x14ac:dyDescent="0.25">
      <c r="A57" s="60" t="s">
        <v>152</v>
      </c>
      <c r="B57" s="60" t="s">
        <v>153</v>
      </c>
      <c r="C57" s="34">
        <v>4301012053</v>
      </c>
      <c r="D57" s="664">
        <v>4680115887725</v>
      </c>
      <c r="E57" s="664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69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66"/>
      <c r="R57" s="666"/>
      <c r="S57" s="666"/>
      <c r="T57" s="667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156</v>
      </c>
      <c r="B58" s="60" t="s">
        <v>157</v>
      </c>
      <c r="C58" s="34">
        <v>4301011382</v>
      </c>
      <c r="D58" s="664">
        <v>4607091385687</v>
      </c>
      <c r="E58" s="66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66"/>
      <c r="R58" s="666"/>
      <c r="S58" s="666"/>
      <c r="T58" s="667"/>
      <c r="U58" s="37" t="s">
        <v>46</v>
      </c>
      <c r="V58" s="37" t="s">
        <v>46</v>
      </c>
      <c r="W58" s="38" t="s">
        <v>0</v>
      </c>
      <c r="X58" s="56">
        <v>12</v>
      </c>
      <c r="Y58" s="53">
        <f>IFERROR(IF(X58="",0,CEILING((X58/$H58),1)*$H58),"")</f>
        <v>12</v>
      </c>
      <c r="Z58" s="39">
        <f>IFERROR(IF(Y58=0,"",ROUNDUP(Y58/H58,0)*0.00902),"")</f>
        <v>2.7060000000000001E-2</v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12.57</v>
      </c>
      <c r="BN58" s="75">
        <f>IFERROR(Y58*I58/H58,"0")</f>
        <v>12.57</v>
      </c>
      <c r="BO58" s="75">
        <f>IFERROR(1/J58*(X58/H58),"0")</f>
        <v>2.2727272727272728E-2</v>
      </c>
      <c r="BP58" s="75">
        <f>IFERROR(1/J58*(Y58/H58),"0")</f>
        <v>2.2727272727272728E-2</v>
      </c>
    </row>
    <row r="59" spans="1:68" ht="27" customHeight="1" x14ac:dyDescent="0.25">
      <c r="A59" s="60" t="s">
        <v>159</v>
      </c>
      <c r="B59" s="60" t="s">
        <v>160</v>
      </c>
      <c r="C59" s="34">
        <v>4301011565</v>
      </c>
      <c r="D59" s="664">
        <v>4680115882539</v>
      </c>
      <c r="E59" s="664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6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66"/>
      <c r="R59" s="666"/>
      <c r="S59" s="666"/>
      <c r="T59" s="667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73"/>
      <c r="B60" s="673"/>
      <c r="C60" s="673"/>
      <c r="D60" s="673"/>
      <c r="E60" s="673"/>
      <c r="F60" s="673"/>
      <c r="G60" s="673"/>
      <c r="H60" s="673"/>
      <c r="I60" s="673"/>
      <c r="J60" s="673"/>
      <c r="K60" s="673"/>
      <c r="L60" s="673"/>
      <c r="M60" s="673"/>
      <c r="N60" s="673"/>
      <c r="O60" s="674"/>
      <c r="P60" s="670" t="s">
        <v>40</v>
      </c>
      <c r="Q60" s="671"/>
      <c r="R60" s="671"/>
      <c r="S60" s="671"/>
      <c r="T60" s="671"/>
      <c r="U60" s="671"/>
      <c r="V60" s="672"/>
      <c r="W60" s="40" t="s">
        <v>39</v>
      </c>
      <c r="X60" s="41">
        <f>IFERROR(X56/H56,"0")+IFERROR(X57/H57,"0")+IFERROR(X58/H58,"0")+IFERROR(X59/H59,"0")</f>
        <v>35.407407407407405</v>
      </c>
      <c r="Y60" s="41">
        <f>IFERROR(Y56/H56,"0")+IFERROR(Y57/H57,"0")+IFERROR(Y58/H58,"0")+IFERROR(Y59/H59,"0")</f>
        <v>36</v>
      </c>
      <c r="Z60" s="41">
        <f>IFERROR(IF(Z56="",0,Z56),"0")+IFERROR(IF(Z57="",0,Z57),"0")+IFERROR(IF(Z58="",0,Z58),"0")+IFERROR(IF(Z59="",0,Z59),"0")</f>
        <v>0.65339999999999998</v>
      </c>
      <c r="AA60" s="64"/>
      <c r="AB60" s="64"/>
      <c r="AC60" s="64"/>
    </row>
    <row r="61" spans="1:68" x14ac:dyDescent="0.2">
      <c r="A61" s="673"/>
      <c r="B61" s="673"/>
      <c r="C61" s="673"/>
      <c r="D61" s="673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4"/>
      <c r="P61" s="670" t="s">
        <v>40</v>
      </c>
      <c r="Q61" s="671"/>
      <c r="R61" s="671"/>
      <c r="S61" s="671"/>
      <c r="T61" s="671"/>
      <c r="U61" s="671"/>
      <c r="V61" s="672"/>
      <c r="W61" s="40" t="s">
        <v>0</v>
      </c>
      <c r="X61" s="41">
        <f>IFERROR(SUM(X56:X59),"0")</f>
        <v>362</v>
      </c>
      <c r="Y61" s="41">
        <f>IFERROR(SUM(Y56:Y59),"0")</f>
        <v>368.40000000000003</v>
      </c>
      <c r="Z61" s="40"/>
      <c r="AA61" s="64"/>
      <c r="AB61" s="64"/>
      <c r="AC61" s="64"/>
    </row>
    <row r="62" spans="1:68" ht="16.5" customHeight="1" x14ac:dyDescent="0.25">
      <c r="A62" s="662" t="s">
        <v>161</v>
      </c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2"/>
      <c r="P62" s="662"/>
      <c r="Q62" s="662"/>
      <c r="R62" s="662"/>
      <c r="S62" s="662"/>
      <c r="T62" s="662"/>
      <c r="U62" s="662"/>
      <c r="V62" s="662"/>
      <c r="W62" s="662"/>
      <c r="X62" s="662"/>
      <c r="Y62" s="662"/>
      <c r="Z62" s="662"/>
      <c r="AA62" s="62"/>
      <c r="AB62" s="62"/>
      <c r="AC62" s="62"/>
    </row>
    <row r="63" spans="1:68" ht="14.25" customHeight="1" x14ac:dyDescent="0.25">
      <c r="A63" s="663" t="s">
        <v>146</v>
      </c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3"/>
      <c r="AB63" s="63"/>
      <c r="AC63" s="63"/>
    </row>
    <row r="64" spans="1:68" ht="27" customHeight="1" x14ac:dyDescent="0.25">
      <c r="A64" s="60" t="s">
        <v>162</v>
      </c>
      <c r="B64" s="60" t="s">
        <v>163</v>
      </c>
      <c r="C64" s="34">
        <v>4301012030</v>
      </c>
      <c r="D64" s="664">
        <v>4680115885882</v>
      </c>
      <c r="E64" s="664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6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66"/>
      <c r="R64" s="666"/>
      <c r="S64" s="666"/>
      <c r="T64" s="667"/>
      <c r="U64" s="37" t="s">
        <v>46</v>
      </c>
      <c r="V64" s="37" t="s">
        <v>46</v>
      </c>
      <c r="W64" s="38" t="s">
        <v>0</v>
      </c>
      <c r="X64" s="56"/>
      <c r="Y64" s="53">
        <f t="shared" ref="Y64:Y69" si="6"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0</v>
      </c>
      <c r="BN64" s="75">
        <f t="shared" ref="BN64:BN69" si="8">IFERROR(Y64*I64/H64,"0")</f>
        <v>0</v>
      </c>
      <c r="BO64" s="75">
        <f t="shared" ref="BO64:BO69" si="9">IFERROR(1/J64*(X64/H64),"0")</f>
        <v>0</v>
      </c>
      <c r="BP64" s="75">
        <f t="shared" ref="BP64:BP69" si="10">IFERROR(1/J64*(Y64/H64),"0")</f>
        <v>0</v>
      </c>
    </row>
    <row r="65" spans="1:68" ht="27" customHeight="1" x14ac:dyDescent="0.25">
      <c r="A65" s="60" t="s">
        <v>165</v>
      </c>
      <c r="B65" s="60" t="s">
        <v>166</v>
      </c>
      <c r="C65" s="34">
        <v>4301011816</v>
      </c>
      <c r="D65" s="664">
        <v>4680115881426</v>
      </c>
      <c r="E65" s="66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66"/>
      <c r="R65" s="666"/>
      <c r="S65" s="666"/>
      <c r="T65" s="667"/>
      <c r="U65" s="37" t="s">
        <v>46</v>
      </c>
      <c r="V65" s="37" t="s">
        <v>46</v>
      </c>
      <c r="W65" s="38" t="s">
        <v>0</v>
      </c>
      <c r="X65" s="56">
        <v>50</v>
      </c>
      <c r="Y65" s="53">
        <f t="shared" si="6"/>
        <v>54</v>
      </c>
      <c r="Z65" s="39">
        <f>IFERROR(IF(Y65=0,"",ROUNDUP(Y65/H65,0)*0.01898),"")</f>
        <v>9.4899999999999998E-2</v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51.898148148148145</v>
      </c>
      <c r="BN65" s="75">
        <f t="shared" si="8"/>
        <v>56.05</v>
      </c>
      <c r="BO65" s="75">
        <f t="shared" si="9"/>
        <v>7.2337962962962965E-2</v>
      </c>
      <c r="BP65" s="75">
        <f t="shared" si="10"/>
        <v>7.8125E-2</v>
      </c>
    </row>
    <row r="66" spans="1:68" ht="27" customHeight="1" x14ac:dyDescent="0.25">
      <c r="A66" s="60" t="s">
        <v>168</v>
      </c>
      <c r="B66" s="60" t="s">
        <v>169</v>
      </c>
      <c r="C66" s="34">
        <v>4301011386</v>
      </c>
      <c r="D66" s="664">
        <v>4680115880283</v>
      </c>
      <c r="E66" s="664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66"/>
      <c r="R66" s="666"/>
      <c r="S66" s="666"/>
      <c r="T66" s="667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customHeight="1" x14ac:dyDescent="0.25">
      <c r="A67" s="60" t="s">
        <v>171</v>
      </c>
      <c r="B67" s="60" t="s">
        <v>172</v>
      </c>
      <c r="C67" s="34">
        <v>4301011806</v>
      </c>
      <c r="D67" s="664">
        <v>4680115881525</v>
      </c>
      <c r="E67" s="664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66"/>
      <c r="R67" s="666"/>
      <c r="S67" s="666"/>
      <c r="T67" s="667"/>
      <c r="U67" s="37" t="s">
        <v>46</v>
      </c>
      <c r="V67" s="37" t="s">
        <v>46</v>
      </c>
      <c r="W67" s="38" t="s">
        <v>0</v>
      </c>
      <c r="X67" s="56">
        <v>12</v>
      </c>
      <c r="Y67" s="53">
        <f t="shared" si="6"/>
        <v>12</v>
      </c>
      <c r="Z67" s="39">
        <f>IFERROR(IF(Y67=0,"",ROUNDUP(Y67/H67,0)*0.00902),"")</f>
        <v>2.7060000000000001E-2</v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12.57</v>
      </c>
      <c r="BN67" s="75">
        <f t="shared" si="8"/>
        <v>12.57</v>
      </c>
      <c r="BO67" s="75">
        <f t="shared" si="9"/>
        <v>2.2727272727272728E-2</v>
      </c>
      <c r="BP67" s="75">
        <f t="shared" si="10"/>
        <v>2.2727272727272728E-2</v>
      </c>
    </row>
    <row r="68" spans="1:68" ht="27" customHeight="1" x14ac:dyDescent="0.25">
      <c r="A68" s="60" t="s">
        <v>174</v>
      </c>
      <c r="B68" s="60" t="s">
        <v>175</v>
      </c>
      <c r="C68" s="34">
        <v>4301011589</v>
      </c>
      <c r="D68" s="664">
        <v>4680115885899</v>
      </c>
      <c r="E68" s="664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6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66"/>
      <c r="R68" s="666"/>
      <c r="S68" s="666"/>
      <c r="T68" s="667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customHeight="1" x14ac:dyDescent="0.25">
      <c r="A69" s="60" t="s">
        <v>177</v>
      </c>
      <c r="B69" s="60" t="s">
        <v>178</v>
      </c>
      <c r="C69" s="34">
        <v>4301011801</v>
      </c>
      <c r="D69" s="664">
        <v>4680115881419</v>
      </c>
      <c r="E69" s="664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66"/>
      <c r="R69" s="666"/>
      <c r="S69" s="666"/>
      <c r="T69" s="667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x14ac:dyDescent="0.2">
      <c r="A70" s="673"/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4"/>
      <c r="P70" s="670" t="s">
        <v>40</v>
      </c>
      <c r="Q70" s="671"/>
      <c r="R70" s="671"/>
      <c r="S70" s="671"/>
      <c r="T70" s="671"/>
      <c r="U70" s="671"/>
      <c r="V70" s="672"/>
      <c r="W70" s="40" t="s">
        <v>39</v>
      </c>
      <c r="X70" s="41">
        <f>IFERROR(X64/H64,"0")+IFERROR(X65/H65,"0")+IFERROR(X66/H66,"0")+IFERROR(X67/H67,"0")+IFERROR(X68/H68,"0")+IFERROR(X69/H69,"0")</f>
        <v>7.6296296296296298</v>
      </c>
      <c r="Y70" s="41">
        <f>IFERROR(Y64/H64,"0")+IFERROR(Y65/H65,"0")+IFERROR(Y66/H66,"0")+IFERROR(Y67/H67,"0")+IFERROR(Y68/H68,"0")+IFERROR(Y69/H69,"0")</f>
        <v>8</v>
      </c>
      <c r="Z70" s="41">
        <f>IFERROR(IF(Z64="",0,Z64),"0")+IFERROR(IF(Z65="",0,Z65),"0")+IFERROR(IF(Z66="",0,Z66),"0")+IFERROR(IF(Z67="",0,Z67),"0")+IFERROR(IF(Z68="",0,Z68),"0")+IFERROR(IF(Z69="",0,Z69),"0")</f>
        <v>0.12196</v>
      </c>
      <c r="AA70" s="64"/>
      <c r="AB70" s="64"/>
      <c r="AC70" s="64"/>
    </row>
    <row r="71" spans="1:68" x14ac:dyDescent="0.2">
      <c r="A71" s="673"/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4"/>
      <c r="P71" s="670" t="s">
        <v>40</v>
      </c>
      <c r="Q71" s="671"/>
      <c r="R71" s="671"/>
      <c r="S71" s="671"/>
      <c r="T71" s="671"/>
      <c r="U71" s="671"/>
      <c r="V71" s="672"/>
      <c r="W71" s="40" t="s">
        <v>0</v>
      </c>
      <c r="X71" s="41">
        <f>IFERROR(SUM(X64:X69),"0")</f>
        <v>62</v>
      </c>
      <c r="Y71" s="41">
        <f>IFERROR(SUM(Y64:Y69),"0")</f>
        <v>66</v>
      </c>
      <c r="Z71" s="40"/>
      <c r="AA71" s="64"/>
      <c r="AB71" s="64"/>
      <c r="AC71" s="64"/>
    </row>
    <row r="72" spans="1:68" ht="14.25" customHeight="1" x14ac:dyDescent="0.25">
      <c r="A72" s="663" t="s">
        <v>180</v>
      </c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64">
        <v>4680115881440</v>
      </c>
      <c r="E73" s="664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66"/>
      <c r="R73" s="666"/>
      <c r="S73" s="666"/>
      <c r="T73" s="667"/>
      <c r="U73" s="37" t="s">
        <v>46</v>
      </c>
      <c r="V73" s="37" t="s">
        <v>46</v>
      </c>
      <c r="W73" s="38" t="s">
        <v>0</v>
      </c>
      <c r="X73" s="56">
        <v>120</v>
      </c>
      <c r="Y73" s="53">
        <f>IFERROR(IF(X73="",0,CEILING((X73/$H73),1)*$H73),"")</f>
        <v>129.60000000000002</v>
      </c>
      <c r="Z73" s="39">
        <f>IFERROR(IF(Y73=0,"",ROUNDUP(Y73/H73,0)*0.01898),"")</f>
        <v>0.22776000000000002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124.55555555555556</v>
      </c>
      <c r="BN73" s="75">
        <f>IFERROR(Y73*I73/H73,"0")</f>
        <v>134.52000000000001</v>
      </c>
      <c r="BO73" s="75">
        <f>IFERROR(1/J73*(X73/H73),"0")</f>
        <v>0.1736111111111111</v>
      </c>
      <c r="BP73" s="75">
        <f>IFERROR(1/J73*(Y73/H73),"0")</f>
        <v>0.18750000000000003</v>
      </c>
    </row>
    <row r="74" spans="1:68" ht="16.5" customHeight="1" x14ac:dyDescent="0.25">
      <c r="A74" s="60" t="s">
        <v>184</v>
      </c>
      <c r="B74" s="60" t="s">
        <v>185</v>
      </c>
      <c r="C74" s="34">
        <v>4301020358</v>
      </c>
      <c r="D74" s="664">
        <v>4680115885950</v>
      </c>
      <c r="E74" s="664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66"/>
      <c r="R74" s="666"/>
      <c r="S74" s="666"/>
      <c r="T74" s="667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customHeight="1" x14ac:dyDescent="0.25">
      <c r="A75" s="60" t="s">
        <v>186</v>
      </c>
      <c r="B75" s="60" t="s">
        <v>187</v>
      </c>
      <c r="C75" s="34">
        <v>4301020371</v>
      </c>
      <c r="D75" s="664">
        <v>4680115887688</v>
      </c>
      <c r="E75" s="664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66"/>
      <c r="R75" s="666"/>
      <c r="S75" s="666"/>
      <c r="T75" s="667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189</v>
      </c>
      <c r="B76" s="60" t="s">
        <v>190</v>
      </c>
      <c r="C76" s="34">
        <v>4301020296</v>
      </c>
      <c r="D76" s="664">
        <v>4680115881433</v>
      </c>
      <c r="E76" s="664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66"/>
      <c r="R76" s="666"/>
      <c r="S76" s="666"/>
      <c r="T76" s="667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73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70" t="s">
        <v>40</v>
      </c>
      <c r="Q77" s="671"/>
      <c r="R77" s="671"/>
      <c r="S77" s="671"/>
      <c r="T77" s="671"/>
      <c r="U77" s="671"/>
      <c r="V77" s="672"/>
      <c r="W77" s="40" t="s">
        <v>39</v>
      </c>
      <c r="X77" s="41">
        <f>IFERROR(X73/H73,"0")+IFERROR(X74/H74,"0")+IFERROR(X75/H75,"0")+IFERROR(X76/H76,"0")</f>
        <v>11.111111111111111</v>
      </c>
      <c r="Y77" s="41">
        <f>IFERROR(Y73/H73,"0")+IFERROR(Y74/H74,"0")+IFERROR(Y75/H75,"0")+IFERROR(Y76/H76,"0")</f>
        <v>12.000000000000002</v>
      </c>
      <c r="Z77" s="41">
        <f>IFERROR(IF(Z73="",0,Z73),"0")+IFERROR(IF(Z74="",0,Z74),"0")+IFERROR(IF(Z75="",0,Z75),"0")+IFERROR(IF(Z76="",0,Z76),"0")</f>
        <v>0.22776000000000002</v>
      </c>
      <c r="AA77" s="64"/>
      <c r="AB77" s="64"/>
      <c r="AC77" s="64"/>
    </row>
    <row r="78" spans="1:68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70" t="s">
        <v>40</v>
      </c>
      <c r="Q78" s="671"/>
      <c r="R78" s="671"/>
      <c r="S78" s="671"/>
      <c r="T78" s="671"/>
      <c r="U78" s="671"/>
      <c r="V78" s="672"/>
      <c r="W78" s="40" t="s">
        <v>0</v>
      </c>
      <c r="X78" s="41">
        <f>IFERROR(SUM(X73:X76),"0")</f>
        <v>120</v>
      </c>
      <c r="Y78" s="41">
        <f>IFERROR(SUM(Y73:Y76),"0")</f>
        <v>129.60000000000002</v>
      </c>
      <c r="Z78" s="40"/>
      <c r="AA78" s="64"/>
      <c r="AB78" s="64"/>
      <c r="AC78" s="64"/>
    </row>
    <row r="79" spans="1:68" ht="14.25" customHeight="1" x14ac:dyDescent="0.25">
      <c r="A79" s="663" t="s">
        <v>92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"/>
      <c r="AB79" s="63"/>
      <c r="AC79" s="63"/>
    </row>
    <row r="80" spans="1:68" ht="16.5" customHeight="1" x14ac:dyDescent="0.25">
      <c r="A80" s="60" t="s">
        <v>191</v>
      </c>
      <c r="B80" s="60" t="s">
        <v>192</v>
      </c>
      <c r="C80" s="34">
        <v>4301051837</v>
      </c>
      <c r="D80" s="664">
        <v>4680115884311</v>
      </c>
      <c r="E80" s="664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66"/>
      <c r="R80" s="666"/>
      <c r="S80" s="666"/>
      <c r="T80" s="66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194</v>
      </c>
      <c r="B81" s="60" t="s">
        <v>195</v>
      </c>
      <c r="C81" s="34">
        <v>4301051929</v>
      </c>
      <c r="D81" s="664">
        <v>4680115884403</v>
      </c>
      <c r="E81" s="664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66"/>
      <c r="R81" s="666"/>
      <c r="S81" s="666"/>
      <c r="T81" s="667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673"/>
      <c r="B82" s="67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4"/>
      <c r="P82" s="670" t="s">
        <v>40</v>
      </c>
      <c r="Q82" s="671"/>
      <c r="R82" s="671"/>
      <c r="S82" s="671"/>
      <c r="T82" s="671"/>
      <c r="U82" s="671"/>
      <c r="V82" s="67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673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70" t="s">
        <v>40</v>
      </c>
      <c r="Q83" s="671"/>
      <c r="R83" s="671"/>
      <c r="S83" s="671"/>
      <c r="T83" s="671"/>
      <c r="U83" s="671"/>
      <c r="V83" s="67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customHeight="1" x14ac:dyDescent="0.25">
      <c r="A84" s="663" t="s">
        <v>197</v>
      </c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3"/>
      <c r="X84" s="663"/>
      <c r="Y84" s="663"/>
      <c r="Z84" s="663"/>
      <c r="AA84" s="63"/>
      <c r="AB84" s="63"/>
      <c r="AC84" s="63"/>
    </row>
    <row r="85" spans="1:68" ht="27" customHeight="1" x14ac:dyDescent="0.25">
      <c r="A85" s="60" t="s">
        <v>198</v>
      </c>
      <c r="B85" s="60" t="s">
        <v>199</v>
      </c>
      <c r="C85" s="34">
        <v>4301060455</v>
      </c>
      <c r="D85" s="664">
        <v>4680115881532</v>
      </c>
      <c r="E85" s="664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66"/>
      <c r="R85" s="666"/>
      <c r="S85" s="666"/>
      <c r="T85" s="667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customHeight="1" x14ac:dyDescent="0.25">
      <c r="A86" s="60" t="s">
        <v>201</v>
      </c>
      <c r="B86" s="60" t="s">
        <v>202</v>
      </c>
      <c r="C86" s="34">
        <v>4301060351</v>
      </c>
      <c r="D86" s="664">
        <v>4680115881464</v>
      </c>
      <c r="E86" s="664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66"/>
      <c r="R86" s="666"/>
      <c r="S86" s="666"/>
      <c r="T86" s="66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x14ac:dyDescent="0.2">
      <c r="A87" s="673"/>
      <c r="B87" s="673"/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4"/>
      <c r="P87" s="670" t="s">
        <v>40</v>
      </c>
      <c r="Q87" s="671"/>
      <c r="R87" s="671"/>
      <c r="S87" s="671"/>
      <c r="T87" s="671"/>
      <c r="U87" s="671"/>
      <c r="V87" s="672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x14ac:dyDescent="0.2">
      <c r="A88" s="673"/>
      <c r="B88" s="673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4"/>
      <c r="P88" s="670" t="s">
        <v>40</v>
      </c>
      <c r="Q88" s="671"/>
      <c r="R88" s="671"/>
      <c r="S88" s="671"/>
      <c r="T88" s="671"/>
      <c r="U88" s="671"/>
      <c r="V88" s="672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customHeight="1" x14ac:dyDescent="0.25">
      <c r="A89" s="662" t="s">
        <v>204</v>
      </c>
      <c r="B89" s="662"/>
      <c r="C89" s="662"/>
      <c r="D89" s="662"/>
      <c r="E89" s="662"/>
      <c r="F89" s="662"/>
      <c r="G89" s="662"/>
      <c r="H89" s="662"/>
      <c r="I89" s="662"/>
      <c r="J89" s="662"/>
      <c r="K89" s="662"/>
      <c r="L89" s="662"/>
      <c r="M89" s="662"/>
      <c r="N89" s="662"/>
      <c r="O89" s="662"/>
      <c r="P89" s="662"/>
      <c r="Q89" s="662"/>
      <c r="R89" s="662"/>
      <c r="S89" s="662"/>
      <c r="T89" s="662"/>
      <c r="U89" s="662"/>
      <c r="V89" s="662"/>
      <c r="W89" s="662"/>
      <c r="X89" s="662"/>
      <c r="Y89" s="662"/>
      <c r="Z89" s="662"/>
      <c r="AA89" s="62"/>
      <c r="AB89" s="62"/>
      <c r="AC89" s="62"/>
    </row>
    <row r="90" spans="1:68" ht="14.25" customHeight="1" x14ac:dyDescent="0.25">
      <c r="A90" s="663" t="s">
        <v>146</v>
      </c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64">
        <v>4680115881327</v>
      </c>
      <c r="E91" s="664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66"/>
      <c r="R91" s="666"/>
      <c r="S91" s="666"/>
      <c r="T91" s="667"/>
      <c r="U91" s="37" t="s">
        <v>46</v>
      </c>
      <c r="V91" s="37" t="s">
        <v>46</v>
      </c>
      <c r="W91" s="38" t="s">
        <v>0</v>
      </c>
      <c r="X91" s="56">
        <v>170</v>
      </c>
      <c r="Y91" s="53">
        <f>IFERROR(IF(X91="",0,CEILING((X91/$H91),1)*$H91),"")</f>
        <v>172.8</v>
      </c>
      <c r="Z91" s="39">
        <f>IFERROR(IF(Y91=0,"",ROUNDUP(Y91/H91,0)*0.01898),"")</f>
        <v>0.30368000000000001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176.4537037037037</v>
      </c>
      <c r="BN91" s="75">
        <f>IFERROR(Y91*I91/H91,"0")</f>
        <v>179.36</v>
      </c>
      <c r="BO91" s="75">
        <f>IFERROR(1/J91*(X91/H91),"0")</f>
        <v>0.24594907407407407</v>
      </c>
      <c r="BP91" s="75">
        <f>IFERROR(1/J91*(Y91/H91),"0")</f>
        <v>0.25</v>
      </c>
    </row>
    <row r="92" spans="1:68" ht="27" customHeight="1" x14ac:dyDescent="0.25">
      <c r="A92" s="60" t="s">
        <v>208</v>
      </c>
      <c r="B92" s="60" t="s">
        <v>209</v>
      </c>
      <c r="C92" s="34">
        <v>4301011261</v>
      </c>
      <c r="D92" s="664">
        <v>4680115887732</v>
      </c>
      <c r="E92" s="664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66"/>
      <c r="R92" s="666"/>
      <c r="S92" s="666"/>
      <c r="T92" s="667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customHeight="1" x14ac:dyDescent="0.25">
      <c r="A93" s="60" t="s">
        <v>211</v>
      </c>
      <c r="B93" s="60" t="s">
        <v>212</v>
      </c>
      <c r="C93" s="34">
        <v>4301011476</v>
      </c>
      <c r="D93" s="664">
        <v>4680115881518</v>
      </c>
      <c r="E93" s="664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66"/>
      <c r="R93" s="666"/>
      <c r="S93" s="666"/>
      <c r="T93" s="667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64">
        <v>4680115881303</v>
      </c>
      <c r="E94" s="664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66"/>
      <c r="R94" s="666"/>
      <c r="S94" s="666"/>
      <c r="T94" s="667"/>
      <c r="U94" s="37" t="s">
        <v>46</v>
      </c>
      <c r="V94" s="37" t="s">
        <v>46</v>
      </c>
      <c r="W94" s="38" t="s">
        <v>0</v>
      </c>
      <c r="X94" s="56">
        <v>13.5</v>
      </c>
      <c r="Y94" s="53">
        <f>IFERROR(IF(X94="",0,CEILING((X94/$H94),1)*$H94),"")</f>
        <v>13.5</v>
      </c>
      <c r="Z94" s="39">
        <f>IFERROR(IF(Y94=0,"",ROUNDUP(Y94/H94,0)*0.00902),"")</f>
        <v>2.7060000000000001E-2</v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14.07</v>
      </c>
      <c r="BN94" s="75">
        <f>IFERROR(Y94*I94/H94,"0")</f>
        <v>14.07</v>
      </c>
      <c r="BO94" s="75">
        <f>IFERROR(1/J94*(X94/H94),"0")</f>
        <v>2.2727272727272728E-2</v>
      </c>
      <c r="BP94" s="75">
        <f>IFERROR(1/J94*(Y94/H94),"0")</f>
        <v>2.2727272727272728E-2</v>
      </c>
    </row>
    <row r="95" spans="1:68" x14ac:dyDescent="0.2">
      <c r="A95" s="673"/>
      <c r="B95" s="673"/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3"/>
      <c r="O95" s="674"/>
      <c r="P95" s="670" t="s">
        <v>40</v>
      </c>
      <c r="Q95" s="671"/>
      <c r="R95" s="671"/>
      <c r="S95" s="671"/>
      <c r="T95" s="671"/>
      <c r="U95" s="671"/>
      <c r="V95" s="672"/>
      <c r="W95" s="40" t="s">
        <v>39</v>
      </c>
      <c r="X95" s="41">
        <f>IFERROR(X91/H91,"0")+IFERROR(X92/H92,"0")+IFERROR(X93/H93,"0")+IFERROR(X94/H94,"0")</f>
        <v>18.74074074074074</v>
      </c>
      <c r="Y95" s="41">
        <f>IFERROR(Y91/H91,"0")+IFERROR(Y92/H92,"0")+IFERROR(Y93/H93,"0")+IFERROR(Y94/H94,"0")</f>
        <v>19</v>
      </c>
      <c r="Z95" s="41">
        <f>IFERROR(IF(Z91="",0,Z91),"0")+IFERROR(IF(Z92="",0,Z92),"0")+IFERROR(IF(Z93="",0,Z93),"0")+IFERROR(IF(Z94="",0,Z94),"0")</f>
        <v>0.33074000000000003</v>
      </c>
      <c r="AA95" s="64"/>
      <c r="AB95" s="64"/>
      <c r="AC95" s="64"/>
    </row>
    <row r="96" spans="1:68" x14ac:dyDescent="0.2">
      <c r="A96" s="673"/>
      <c r="B96" s="673"/>
      <c r="C96" s="673"/>
      <c r="D96" s="673"/>
      <c r="E96" s="673"/>
      <c r="F96" s="673"/>
      <c r="G96" s="673"/>
      <c r="H96" s="673"/>
      <c r="I96" s="673"/>
      <c r="J96" s="673"/>
      <c r="K96" s="673"/>
      <c r="L96" s="673"/>
      <c r="M96" s="673"/>
      <c r="N96" s="673"/>
      <c r="O96" s="674"/>
      <c r="P96" s="670" t="s">
        <v>40</v>
      </c>
      <c r="Q96" s="671"/>
      <c r="R96" s="671"/>
      <c r="S96" s="671"/>
      <c r="T96" s="671"/>
      <c r="U96" s="671"/>
      <c r="V96" s="672"/>
      <c r="W96" s="40" t="s">
        <v>0</v>
      </c>
      <c r="X96" s="41">
        <f>IFERROR(SUM(X91:X94),"0")</f>
        <v>183.5</v>
      </c>
      <c r="Y96" s="41">
        <f>IFERROR(SUM(Y91:Y94),"0")</f>
        <v>186.3</v>
      </c>
      <c r="Z96" s="40"/>
      <c r="AA96" s="64"/>
      <c r="AB96" s="64"/>
      <c r="AC96" s="64"/>
    </row>
    <row r="97" spans="1:68" ht="14.25" customHeight="1" x14ac:dyDescent="0.25">
      <c r="A97" s="663" t="s">
        <v>92</v>
      </c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64">
        <v>4607091386967</v>
      </c>
      <c r="E98" s="664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66"/>
      <c r="R98" s="666"/>
      <c r="S98" s="666"/>
      <c r="T98" s="667"/>
      <c r="U98" s="37" t="s">
        <v>46</v>
      </c>
      <c r="V98" s="37" t="s">
        <v>46</v>
      </c>
      <c r="W98" s="38" t="s">
        <v>0</v>
      </c>
      <c r="X98" s="56">
        <v>616</v>
      </c>
      <c r="Y98" s="53">
        <f>IFERROR(IF(X98="",0,CEILING((X98/$H98),1)*$H98),"")</f>
        <v>623.69999999999993</v>
      </c>
      <c r="Z98" s="39">
        <f>IFERROR(IF(Y98=0,"",ROUNDUP(Y98/H98,0)*0.01898),"")</f>
        <v>1.46146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653.56839506172832</v>
      </c>
      <c r="BN98" s="75">
        <f>IFERROR(Y98*I98/H98,"0")</f>
        <v>661.73799999999994</v>
      </c>
      <c r="BO98" s="75">
        <f>IFERROR(1/J98*(X98/H98),"0")</f>
        <v>1.1882716049382716</v>
      </c>
      <c r="BP98" s="75">
        <f>IFERROR(1/J98*(Y98/H98),"0")</f>
        <v>1.203125</v>
      </c>
    </row>
    <row r="99" spans="1:68" ht="27" customHeight="1" x14ac:dyDescent="0.25">
      <c r="A99" s="60" t="s">
        <v>218</v>
      </c>
      <c r="B99" s="60" t="s">
        <v>219</v>
      </c>
      <c r="C99" s="34">
        <v>4301051788</v>
      </c>
      <c r="D99" s="664">
        <v>4680115884953</v>
      </c>
      <c r="E99" s="664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66"/>
      <c r="R99" s="666"/>
      <c r="S99" s="666"/>
      <c r="T99" s="667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customHeight="1" x14ac:dyDescent="0.25">
      <c r="A100" s="60" t="s">
        <v>220</v>
      </c>
      <c r="B100" s="60" t="s">
        <v>221</v>
      </c>
      <c r="C100" s="34">
        <v>4301051718</v>
      </c>
      <c r="D100" s="664">
        <v>4607091385731</v>
      </c>
      <c r="E100" s="664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66"/>
      <c r="R100" s="666"/>
      <c r="S100" s="666"/>
      <c r="T100" s="667"/>
      <c r="U100" s="37" t="s">
        <v>46</v>
      </c>
      <c r="V100" s="37" t="s">
        <v>46</v>
      </c>
      <c r="W100" s="38" t="s">
        <v>0</v>
      </c>
      <c r="X100" s="56"/>
      <c r="Y100" s="53">
        <f>IFERROR(IF(X100="",0,CEILING((X100/$H100),1)*$H100),"")</f>
        <v>0</v>
      </c>
      <c r="Z100" s="39" t="str">
        <f>IFERROR(IF(Y100=0,"",ROUNDUP(Y100/H100,0)*0.00651),"")</f>
        <v/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16.5" customHeight="1" x14ac:dyDescent="0.25">
      <c r="A101" s="60" t="s">
        <v>222</v>
      </c>
      <c r="B101" s="60" t="s">
        <v>223</v>
      </c>
      <c r="C101" s="34">
        <v>4301052092</v>
      </c>
      <c r="D101" s="664">
        <v>4680115880894</v>
      </c>
      <c r="E101" s="664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6"/>
      <c r="R101" s="666"/>
      <c r="S101" s="666"/>
      <c r="T101" s="667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73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70" t="s">
        <v>40</v>
      </c>
      <c r="Q102" s="671"/>
      <c r="R102" s="671"/>
      <c r="S102" s="671"/>
      <c r="T102" s="671"/>
      <c r="U102" s="671"/>
      <c r="V102" s="672"/>
      <c r="W102" s="40" t="s">
        <v>39</v>
      </c>
      <c r="X102" s="41">
        <f>IFERROR(X98/H98,"0")+IFERROR(X99/H99,"0")+IFERROR(X100/H100,"0")+IFERROR(X101/H101,"0")</f>
        <v>76.049382716049379</v>
      </c>
      <c r="Y102" s="41">
        <f>IFERROR(Y98/H98,"0")+IFERROR(Y99/H99,"0")+IFERROR(Y100/H100,"0")+IFERROR(Y101/H101,"0")</f>
        <v>77</v>
      </c>
      <c r="Z102" s="41">
        <f>IFERROR(IF(Z98="",0,Z98),"0")+IFERROR(IF(Z99="",0,Z99),"0")+IFERROR(IF(Z100="",0,Z100),"0")+IFERROR(IF(Z101="",0,Z101),"0")</f>
        <v>1.46146</v>
      </c>
      <c r="AA102" s="64"/>
      <c r="AB102" s="64"/>
      <c r="AC102" s="64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70" t="s">
        <v>40</v>
      </c>
      <c r="Q103" s="671"/>
      <c r="R103" s="671"/>
      <c r="S103" s="671"/>
      <c r="T103" s="671"/>
      <c r="U103" s="671"/>
      <c r="V103" s="672"/>
      <c r="W103" s="40" t="s">
        <v>0</v>
      </c>
      <c r="X103" s="41">
        <f>IFERROR(SUM(X98:X101),"0")</f>
        <v>616</v>
      </c>
      <c r="Y103" s="41">
        <f>IFERROR(SUM(Y98:Y101),"0")</f>
        <v>623.69999999999993</v>
      </c>
      <c r="Z103" s="40"/>
      <c r="AA103" s="64"/>
      <c r="AB103" s="64"/>
      <c r="AC103" s="64"/>
    </row>
    <row r="104" spans="1:68" ht="16.5" customHeight="1" x14ac:dyDescent="0.25">
      <c r="A104" s="662" t="s">
        <v>225</v>
      </c>
      <c r="B104" s="662"/>
      <c r="C104" s="662"/>
      <c r="D104" s="662"/>
      <c r="E104" s="662"/>
      <c r="F104" s="662"/>
      <c r="G104" s="662"/>
      <c r="H104" s="662"/>
      <c r="I104" s="662"/>
      <c r="J104" s="662"/>
      <c r="K104" s="662"/>
      <c r="L104" s="662"/>
      <c r="M104" s="662"/>
      <c r="N104" s="662"/>
      <c r="O104" s="662"/>
      <c r="P104" s="662"/>
      <c r="Q104" s="662"/>
      <c r="R104" s="662"/>
      <c r="S104" s="662"/>
      <c r="T104" s="662"/>
      <c r="U104" s="662"/>
      <c r="V104" s="662"/>
      <c r="W104" s="662"/>
      <c r="X104" s="662"/>
      <c r="Y104" s="662"/>
      <c r="Z104" s="662"/>
      <c r="AA104" s="62"/>
      <c r="AB104" s="62"/>
      <c r="AC104" s="62"/>
    </row>
    <row r="105" spans="1:68" ht="14.25" customHeight="1" x14ac:dyDescent="0.25">
      <c r="A105" s="663" t="s">
        <v>146</v>
      </c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64">
        <v>4680115882133</v>
      </c>
      <c r="E106" s="664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6"/>
      <c r="R106" s="666"/>
      <c r="S106" s="666"/>
      <c r="T106" s="667"/>
      <c r="U106" s="37" t="s">
        <v>46</v>
      </c>
      <c r="V106" s="37" t="s">
        <v>46</v>
      </c>
      <c r="W106" s="38" t="s">
        <v>0</v>
      </c>
      <c r="X106" s="56">
        <v>20</v>
      </c>
      <c r="Y106" s="53">
        <f t="shared" ref="Y106:Y112" si="11">IFERROR(IF(X106="",0,CEILING((X106/$H106),1)*$H106),"")</f>
        <v>21.6</v>
      </c>
      <c r="Z106" s="39">
        <f>IFERROR(IF(Y106=0,"",ROUNDUP(Y106/H106,0)*0.01898),"")</f>
        <v>3.7960000000000001E-2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20.75925925925926</v>
      </c>
      <c r="BN106" s="75">
        <f t="shared" ref="BN106:BN112" si="13">IFERROR(Y106*I106/H106,"0")</f>
        <v>22.42</v>
      </c>
      <c r="BO106" s="75">
        <f t="shared" ref="BO106:BO112" si="14">IFERROR(1/J106*(X106/H106),"0")</f>
        <v>2.8935185185185182E-2</v>
      </c>
      <c r="BP106" s="75">
        <f t="shared" ref="BP106:BP112" si="15">IFERROR(1/J106*(Y106/H106),"0")</f>
        <v>3.125E-2</v>
      </c>
    </row>
    <row r="107" spans="1:68" ht="27" customHeight="1" x14ac:dyDescent="0.25">
      <c r="A107" s="60" t="s">
        <v>229</v>
      </c>
      <c r="B107" s="60" t="s">
        <v>230</v>
      </c>
      <c r="C107" s="34">
        <v>4301012051</v>
      </c>
      <c r="D107" s="664">
        <v>4680115887718</v>
      </c>
      <c r="E107" s="664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6"/>
      <c r="R107" s="666"/>
      <c r="S107" s="666"/>
      <c r="T107" s="667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customHeight="1" x14ac:dyDescent="0.25">
      <c r="A108" s="60" t="s">
        <v>229</v>
      </c>
      <c r="B108" s="60" t="s">
        <v>232</v>
      </c>
      <c r="C108" s="34">
        <v>4301012334</v>
      </c>
      <c r="D108" s="664">
        <v>4680115887718</v>
      </c>
      <c r="E108" s="664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6"/>
      <c r="R108" s="666"/>
      <c r="S108" s="666"/>
      <c r="T108" s="667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customHeight="1" x14ac:dyDescent="0.25">
      <c r="A109" s="60" t="s">
        <v>233</v>
      </c>
      <c r="B109" s="60" t="s">
        <v>234</v>
      </c>
      <c r="C109" s="34">
        <v>4301012226</v>
      </c>
      <c r="D109" s="664">
        <v>4680115887749</v>
      </c>
      <c r="E109" s="664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66"/>
      <c r="R109" s="666"/>
      <c r="S109" s="666"/>
      <c r="T109" s="667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customHeight="1" x14ac:dyDescent="0.25">
      <c r="A110" s="60" t="s">
        <v>235</v>
      </c>
      <c r="B110" s="60" t="s">
        <v>236</v>
      </c>
      <c r="C110" s="34">
        <v>4301011417</v>
      </c>
      <c r="D110" s="664">
        <v>4680115880269</v>
      </c>
      <c r="E110" s="664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66"/>
      <c r="R110" s="666"/>
      <c r="S110" s="666"/>
      <c r="T110" s="667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64">
        <v>4680115880429</v>
      </c>
      <c r="E111" s="664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66"/>
      <c r="R111" s="666"/>
      <c r="S111" s="666"/>
      <c r="T111" s="667"/>
      <c r="U111" s="37" t="s">
        <v>46</v>
      </c>
      <c r="V111" s="37" t="s">
        <v>46</v>
      </c>
      <c r="W111" s="38" t="s">
        <v>0</v>
      </c>
      <c r="X111" s="56">
        <v>13.5</v>
      </c>
      <c r="Y111" s="53">
        <f t="shared" si="11"/>
        <v>13.5</v>
      </c>
      <c r="Z111" s="39">
        <f>IFERROR(IF(Y111=0,"",ROUNDUP(Y111/H111,0)*0.00902),"")</f>
        <v>2.7060000000000001E-2</v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14.07</v>
      </c>
      <c r="BN111" s="75">
        <f t="shared" si="13"/>
        <v>14.07</v>
      </c>
      <c r="BO111" s="75">
        <f t="shared" si="14"/>
        <v>2.2727272727272728E-2</v>
      </c>
      <c r="BP111" s="75">
        <f t="shared" si="15"/>
        <v>2.2727272727272728E-2</v>
      </c>
    </row>
    <row r="112" spans="1:68" ht="37.5" customHeight="1" x14ac:dyDescent="0.25">
      <c r="A112" s="60" t="s">
        <v>239</v>
      </c>
      <c r="B112" s="60" t="s">
        <v>240</v>
      </c>
      <c r="C112" s="34">
        <v>4301011462</v>
      </c>
      <c r="D112" s="664">
        <v>4680115881457</v>
      </c>
      <c r="E112" s="664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66"/>
      <c r="R112" s="666"/>
      <c r="S112" s="666"/>
      <c r="T112" s="667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73"/>
      <c r="B113" s="673"/>
      <c r="C113" s="673"/>
      <c r="D113" s="673"/>
      <c r="E113" s="673"/>
      <c r="F113" s="673"/>
      <c r="G113" s="673"/>
      <c r="H113" s="673"/>
      <c r="I113" s="673"/>
      <c r="J113" s="673"/>
      <c r="K113" s="673"/>
      <c r="L113" s="673"/>
      <c r="M113" s="673"/>
      <c r="N113" s="673"/>
      <c r="O113" s="674"/>
      <c r="P113" s="670" t="s">
        <v>40</v>
      </c>
      <c r="Q113" s="671"/>
      <c r="R113" s="671"/>
      <c r="S113" s="671"/>
      <c r="T113" s="671"/>
      <c r="U113" s="671"/>
      <c r="V113" s="672"/>
      <c r="W113" s="40" t="s">
        <v>39</v>
      </c>
      <c r="X113" s="41">
        <f>IFERROR(X106/H106,"0")+IFERROR(X107/H107,"0")+IFERROR(X108/H108,"0")+IFERROR(X109/H109,"0")+IFERROR(X110/H110,"0")+IFERROR(X111/H111,"0")+IFERROR(X112/H112,"0")</f>
        <v>4.8518518518518512</v>
      </c>
      <c r="Y113" s="41">
        <f>IFERROR(Y106/H106,"0")+IFERROR(Y107/H107,"0")+IFERROR(Y108/H108,"0")+IFERROR(Y109/H109,"0")+IFERROR(Y110/H110,"0")+IFERROR(Y111/H111,"0")+IFERROR(Y112/H112,"0")</f>
        <v>5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6.5019999999999994E-2</v>
      </c>
      <c r="AA113" s="64"/>
      <c r="AB113" s="64"/>
      <c r="AC113" s="64"/>
    </row>
    <row r="114" spans="1:68" x14ac:dyDescent="0.2">
      <c r="A114" s="673"/>
      <c r="B114" s="673"/>
      <c r="C114" s="673"/>
      <c r="D114" s="673"/>
      <c r="E114" s="673"/>
      <c r="F114" s="673"/>
      <c r="G114" s="673"/>
      <c r="H114" s="673"/>
      <c r="I114" s="673"/>
      <c r="J114" s="673"/>
      <c r="K114" s="673"/>
      <c r="L114" s="673"/>
      <c r="M114" s="673"/>
      <c r="N114" s="673"/>
      <c r="O114" s="674"/>
      <c r="P114" s="670" t="s">
        <v>40</v>
      </c>
      <c r="Q114" s="671"/>
      <c r="R114" s="671"/>
      <c r="S114" s="671"/>
      <c r="T114" s="671"/>
      <c r="U114" s="671"/>
      <c r="V114" s="672"/>
      <c r="W114" s="40" t="s">
        <v>0</v>
      </c>
      <c r="X114" s="41">
        <f>IFERROR(SUM(X106:X112),"0")</f>
        <v>33.5</v>
      </c>
      <c r="Y114" s="41">
        <f>IFERROR(SUM(Y106:Y112),"0")</f>
        <v>35.1</v>
      </c>
      <c r="Z114" s="40"/>
      <c r="AA114" s="64"/>
      <c r="AB114" s="64"/>
      <c r="AC114" s="64"/>
    </row>
    <row r="115" spans="1:68" ht="14.25" customHeight="1" x14ac:dyDescent="0.25">
      <c r="A115" s="663" t="s">
        <v>180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"/>
      <c r="AB115" s="63"/>
      <c r="AC115" s="63"/>
    </row>
    <row r="116" spans="1:68" ht="16.5" customHeight="1" x14ac:dyDescent="0.25">
      <c r="A116" s="60" t="s">
        <v>241</v>
      </c>
      <c r="B116" s="60" t="s">
        <v>242</v>
      </c>
      <c r="C116" s="34">
        <v>4301020345</v>
      </c>
      <c r="D116" s="664">
        <v>4680115881488</v>
      </c>
      <c r="E116" s="664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66"/>
      <c r="R116" s="666"/>
      <c r="S116" s="666"/>
      <c r="T116" s="667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customHeight="1" x14ac:dyDescent="0.25">
      <c r="A117" s="60" t="s">
        <v>244</v>
      </c>
      <c r="B117" s="60" t="s">
        <v>245</v>
      </c>
      <c r="C117" s="34">
        <v>4301020186</v>
      </c>
      <c r="D117" s="664">
        <v>4680115887664</v>
      </c>
      <c r="E117" s="664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7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6"/>
      <c r="R117" s="666"/>
      <c r="S117" s="666"/>
      <c r="T117" s="667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244</v>
      </c>
      <c r="B118" s="60" t="s">
        <v>248</v>
      </c>
      <c r="C118" s="34">
        <v>4301020430</v>
      </c>
      <c r="D118" s="664">
        <v>4680115887664</v>
      </c>
      <c r="E118" s="664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7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6"/>
      <c r="R118" s="666"/>
      <c r="S118" s="666"/>
      <c r="T118" s="667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customHeight="1" x14ac:dyDescent="0.25">
      <c r="A119" s="60" t="s">
        <v>249</v>
      </c>
      <c r="B119" s="60" t="s">
        <v>250</v>
      </c>
      <c r="C119" s="34">
        <v>4301020346</v>
      </c>
      <c r="D119" s="664">
        <v>4680115882775</v>
      </c>
      <c r="E119" s="664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72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66"/>
      <c r="R119" s="666"/>
      <c r="S119" s="666"/>
      <c r="T119" s="667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customHeight="1" x14ac:dyDescent="0.25">
      <c r="A120" s="60" t="s">
        <v>251</v>
      </c>
      <c r="B120" s="60" t="s">
        <v>252</v>
      </c>
      <c r="C120" s="34">
        <v>4301020344</v>
      </c>
      <c r="D120" s="664">
        <v>4680115880658</v>
      </c>
      <c r="E120" s="664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72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66"/>
      <c r="R120" s="666"/>
      <c r="S120" s="666"/>
      <c r="T120" s="667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x14ac:dyDescent="0.2">
      <c r="A121" s="673"/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4"/>
      <c r="P121" s="670" t="s">
        <v>40</v>
      </c>
      <c r="Q121" s="671"/>
      <c r="R121" s="671"/>
      <c r="S121" s="671"/>
      <c r="T121" s="671"/>
      <c r="U121" s="671"/>
      <c r="V121" s="672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x14ac:dyDescent="0.2">
      <c r="A122" s="673"/>
      <c r="B122" s="673"/>
      <c r="C122" s="673"/>
      <c r="D122" s="673"/>
      <c r="E122" s="673"/>
      <c r="F122" s="673"/>
      <c r="G122" s="673"/>
      <c r="H122" s="673"/>
      <c r="I122" s="673"/>
      <c r="J122" s="673"/>
      <c r="K122" s="673"/>
      <c r="L122" s="673"/>
      <c r="M122" s="673"/>
      <c r="N122" s="673"/>
      <c r="O122" s="674"/>
      <c r="P122" s="670" t="s">
        <v>40</v>
      </c>
      <c r="Q122" s="671"/>
      <c r="R122" s="671"/>
      <c r="S122" s="671"/>
      <c r="T122" s="671"/>
      <c r="U122" s="671"/>
      <c r="V122" s="672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customHeight="1" x14ac:dyDescent="0.25">
      <c r="A123" s="663" t="s">
        <v>92</v>
      </c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64">
        <v>4607091385168</v>
      </c>
      <c r="E124" s="664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72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66"/>
      <c r="R124" s="666"/>
      <c r="S124" s="666"/>
      <c r="T124" s="667"/>
      <c r="U124" s="37" t="s">
        <v>46</v>
      </c>
      <c r="V124" s="37" t="s">
        <v>46</v>
      </c>
      <c r="W124" s="38" t="s">
        <v>0</v>
      </c>
      <c r="X124" s="56">
        <v>958</v>
      </c>
      <c r="Y124" s="53">
        <f>IFERROR(IF(X124="",0,CEILING((X124/$H124),1)*$H124),"")</f>
        <v>963.9</v>
      </c>
      <c r="Z124" s="39">
        <f>IFERROR(IF(Y124=0,"",ROUNDUP(Y124/H124,0)*0.01898),"")</f>
        <v>2.2586200000000001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1015.7165432098766</v>
      </c>
      <c r="BN124" s="75">
        <f>IFERROR(Y124*I124/H124,"0")</f>
        <v>1021.9719999999999</v>
      </c>
      <c r="BO124" s="75">
        <f>IFERROR(1/J124*(X124/H124),"0")</f>
        <v>1.8479938271604939</v>
      </c>
      <c r="BP124" s="75">
        <f>IFERROR(1/J124*(Y124/H124),"0")</f>
        <v>1.859375</v>
      </c>
    </row>
    <row r="125" spans="1:68" ht="27" customHeight="1" x14ac:dyDescent="0.25">
      <c r="A125" s="60" t="s">
        <v>256</v>
      </c>
      <c r="B125" s="60" t="s">
        <v>257</v>
      </c>
      <c r="C125" s="34">
        <v>4301051730</v>
      </c>
      <c r="D125" s="664">
        <v>4607091383256</v>
      </c>
      <c r="E125" s="664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6"/>
      <c r="R125" s="666"/>
      <c r="S125" s="666"/>
      <c r="T125" s="667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4301051721</v>
      </c>
      <c r="D126" s="664">
        <v>4607091385748</v>
      </c>
      <c r="E126" s="664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7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66"/>
      <c r="R126" s="666"/>
      <c r="S126" s="666"/>
      <c r="T126" s="667"/>
      <c r="U126" s="37" t="s">
        <v>46</v>
      </c>
      <c r="V126" s="37" t="s">
        <v>46</v>
      </c>
      <c r="W126" s="38" t="s">
        <v>0</v>
      </c>
      <c r="X126" s="56"/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t="16.5" customHeight="1" x14ac:dyDescent="0.25">
      <c r="A127" s="60" t="s">
        <v>260</v>
      </c>
      <c r="B127" s="60" t="s">
        <v>261</v>
      </c>
      <c r="C127" s="34">
        <v>4301051740</v>
      </c>
      <c r="D127" s="664">
        <v>4680115884533</v>
      </c>
      <c r="E127" s="664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7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6"/>
      <c r="R127" s="666"/>
      <c r="S127" s="666"/>
      <c r="T127" s="667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73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70" t="s">
        <v>40</v>
      </c>
      <c r="Q128" s="671"/>
      <c r="R128" s="671"/>
      <c r="S128" s="671"/>
      <c r="T128" s="671"/>
      <c r="U128" s="671"/>
      <c r="V128" s="672"/>
      <c r="W128" s="40" t="s">
        <v>39</v>
      </c>
      <c r="X128" s="41">
        <f>IFERROR(X124/H124,"0")+IFERROR(X125/H125,"0")+IFERROR(X126/H126,"0")+IFERROR(X127/H127,"0")</f>
        <v>118.27160493827161</v>
      </c>
      <c r="Y128" s="41">
        <f>IFERROR(Y124/H124,"0")+IFERROR(Y125/H125,"0")+IFERROR(Y126/H126,"0")+IFERROR(Y127/H127,"0")</f>
        <v>119</v>
      </c>
      <c r="Z128" s="41">
        <f>IFERROR(IF(Z124="",0,Z124),"0")+IFERROR(IF(Z125="",0,Z125),"0")+IFERROR(IF(Z126="",0,Z126),"0")+IFERROR(IF(Z127="",0,Z127),"0")</f>
        <v>2.2586200000000001</v>
      </c>
      <c r="AA128" s="64"/>
      <c r="AB128" s="64"/>
      <c r="AC128" s="64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70" t="s">
        <v>40</v>
      </c>
      <c r="Q129" s="671"/>
      <c r="R129" s="671"/>
      <c r="S129" s="671"/>
      <c r="T129" s="671"/>
      <c r="U129" s="671"/>
      <c r="V129" s="672"/>
      <c r="W129" s="40" t="s">
        <v>0</v>
      </c>
      <c r="X129" s="41">
        <f>IFERROR(SUM(X124:X127),"0")</f>
        <v>958</v>
      </c>
      <c r="Y129" s="41">
        <f>IFERROR(SUM(Y124:Y127),"0")</f>
        <v>963.9</v>
      </c>
      <c r="Z129" s="40"/>
      <c r="AA129" s="64"/>
      <c r="AB129" s="64"/>
      <c r="AC129" s="64"/>
    </row>
    <row r="130" spans="1:68" ht="14.25" customHeight="1" x14ac:dyDescent="0.25">
      <c r="A130" s="663" t="s">
        <v>197</v>
      </c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3"/>
      <c r="AB130" s="63"/>
      <c r="AC130" s="63"/>
    </row>
    <row r="131" spans="1:68" ht="16.5" customHeight="1" x14ac:dyDescent="0.25">
      <c r="A131" s="60" t="s">
        <v>263</v>
      </c>
      <c r="B131" s="60" t="s">
        <v>264</v>
      </c>
      <c r="C131" s="34">
        <v>4301060317</v>
      </c>
      <c r="D131" s="664">
        <v>4680115880238</v>
      </c>
      <c r="E131" s="664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7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66"/>
      <c r="R131" s="666"/>
      <c r="S131" s="666"/>
      <c r="T131" s="66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x14ac:dyDescent="0.2">
      <c r="A132" s="673"/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673"/>
      <c r="N132" s="673"/>
      <c r="O132" s="674"/>
      <c r="P132" s="670" t="s">
        <v>40</v>
      </c>
      <c r="Q132" s="671"/>
      <c r="R132" s="671"/>
      <c r="S132" s="671"/>
      <c r="T132" s="671"/>
      <c r="U132" s="671"/>
      <c r="V132" s="672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x14ac:dyDescent="0.2">
      <c r="A133" s="673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70" t="s">
        <v>40</v>
      </c>
      <c r="Q133" s="671"/>
      <c r="R133" s="671"/>
      <c r="S133" s="671"/>
      <c r="T133" s="671"/>
      <c r="U133" s="671"/>
      <c r="V133" s="672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customHeight="1" x14ac:dyDescent="0.25">
      <c r="A134" s="662" t="s">
        <v>266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2"/>
      <c r="AB134" s="62"/>
      <c r="AC134" s="62"/>
    </row>
    <row r="135" spans="1:68" ht="14.25" customHeight="1" x14ac:dyDescent="0.25">
      <c r="A135" s="663" t="s">
        <v>146</v>
      </c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3"/>
      <c r="AB135" s="63"/>
      <c r="AC135" s="63"/>
    </row>
    <row r="136" spans="1:68" ht="27" customHeight="1" x14ac:dyDescent="0.25">
      <c r="A136" s="60" t="s">
        <v>267</v>
      </c>
      <c r="B136" s="60" t="s">
        <v>268</v>
      </c>
      <c r="C136" s="34">
        <v>4301011562</v>
      </c>
      <c r="D136" s="664">
        <v>4680115882577</v>
      </c>
      <c r="E136" s="664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7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6"/>
      <c r="R136" s="666"/>
      <c r="S136" s="666"/>
      <c r="T136" s="66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customHeight="1" x14ac:dyDescent="0.25">
      <c r="A137" s="60" t="s">
        <v>267</v>
      </c>
      <c r="B137" s="60" t="s">
        <v>270</v>
      </c>
      <c r="C137" s="34">
        <v>4301011564</v>
      </c>
      <c r="D137" s="664">
        <v>4680115882577</v>
      </c>
      <c r="E137" s="664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7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6"/>
      <c r="R137" s="666"/>
      <c r="S137" s="666"/>
      <c r="T137" s="66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x14ac:dyDescent="0.2">
      <c r="A138" s="673"/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4"/>
      <c r="P138" s="670" t="s">
        <v>40</v>
      </c>
      <c r="Q138" s="671"/>
      <c r="R138" s="671"/>
      <c r="S138" s="671"/>
      <c r="T138" s="671"/>
      <c r="U138" s="671"/>
      <c r="V138" s="67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x14ac:dyDescent="0.2">
      <c r="A139" s="673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70" t="s">
        <v>40</v>
      </c>
      <c r="Q139" s="671"/>
      <c r="R139" s="671"/>
      <c r="S139" s="671"/>
      <c r="T139" s="671"/>
      <c r="U139" s="671"/>
      <c r="V139" s="67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customHeight="1" x14ac:dyDescent="0.25">
      <c r="A140" s="663" t="s">
        <v>77</v>
      </c>
      <c r="B140" s="663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3"/>
      <c r="AB140" s="63"/>
      <c r="AC140" s="63"/>
    </row>
    <row r="141" spans="1:68" ht="27" customHeight="1" x14ac:dyDescent="0.25">
      <c r="A141" s="60" t="s">
        <v>271</v>
      </c>
      <c r="B141" s="60" t="s">
        <v>272</v>
      </c>
      <c r="C141" s="34">
        <v>4301031234</v>
      </c>
      <c r="D141" s="664">
        <v>4680115883444</v>
      </c>
      <c r="E141" s="66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7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6"/>
      <c r="R141" s="666"/>
      <c r="S141" s="666"/>
      <c r="T141" s="66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271</v>
      </c>
      <c r="B142" s="60" t="s">
        <v>274</v>
      </c>
      <c r="C142" s="34">
        <v>4301031235</v>
      </c>
      <c r="D142" s="664">
        <v>4680115883444</v>
      </c>
      <c r="E142" s="66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6"/>
      <c r="R142" s="666"/>
      <c r="S142" s="666"/>
      <c r="T142" s="66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73"/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4"/>
      <c r="P143" s="670" t="s">
        <v>40</v>
      </c>
      <c r="Q143" s="671"/>
      <c r="R143" s="671"/>
      <c r="S143" s="671"/>
      <c r="T143" s="671"/>
      <c r="U143" s="671"/>
      <c r="V143" s="67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x14ac:dyDescent="0.2">
      <c r="A144" s="673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70" t="s">
        <v>40</v>
      </c>
      <c r="Q144" s="671"/>
      <c r="R144" s="671"/>
      <c r="S144" s="671"/>
      <c r="T144" s="671"/>
      <c r="U144" s="671"/>
      <c r="V144" s="67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customHeight="1" x14ac:dyDescent="0.25">
      <c r="A145" s="663" t="s">
        <v>92</v>
      </c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3"/>
      <c r="AB145" s="63"/>
      <c r="AC145" s="63"/>
    </row>
    <row r="146" spans="1:68" ht="16.5" customHeight="1" x14ac:dyDescent="0.25">
      <c r="A146" s="60" t="s">
        <v>275</v>
      </c>
      <c r="B146" s="60" t="s">
        <v>276</v>
      </c>
      <c r="C146" s="34">
        <v>4301051476</v>
      </c>
      <c r="D146" s="664">
        <v>4680115882584</v>
      </c>
      <c r="E146" s="664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7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6"/>
      <c r="R146" s="666"/>
      <c r="S146" s="666"/>
      <c r="T146" s="66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275</v>
      </c>
      <c r="B147" s="60" t="s">
        <v>277</v>
      </c>
      <c r="C147" s="34">
        <v>4301051477</v>
      </c>
      <c r="D147" s="664">
        <v>4680115882584</v>
      </c>
      <c r="E147" s="664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7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6"/>
      <c r="R147" s="666"/>
      <c r="S147" s="666"/>
      <c r="T147" s="66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x14ac:dyDescent="0.2">
      <c r="A148" s="673"/>
      <c r="B148" s="673"/>
      <c r="C148" s="673"/>
      <c r="D148" s="673"/>
      <c r="E148" s="673"/>
      <c r="F148" s="673"/>
      <c r="G148" s="673"/>
      <c r="H148" s="673"/>
      <c r="I148" s="673"/>
      <c r="J148" s="673"/>
      <c r="K148" s="673"/>
      <c r="L148" s="673"/>
      <c r="M148" s="673"/>
      <c r="N148" s="673"/>
      <c r="O148" s="674"/>
      <c r="P148" s="670" t="s">
        <v>40</v>
      </c>
      <c r="Q148" s="671"/>
      <c r="R148" s="671"/>
      <c r="S148" s="671"/>
      <c r="T148" s="671"/>
      <c r="U148" s="671"/>
      <c r="V148" s="672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x14ac:dyDescent="0.2">
      <c r="A149" s="673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70" t="s">
        <v>40</v>
      </c>
      <c r="Q149" s="671"/>
      <c r="R149" s="671"/>
      <c r="S149" s="671"/>
      <c r="T149" s="671"/>
      <c r="U149" s="671"/>
      <c r="V149" s="672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customHeight="1" x14ac:dyDescent="0.25">
      <c r="A150" s="662" t="s">
        <v>278</v>
      </c>
      <c r="B150" s="662"/>
      <c r="C150" s="662"/>
      <c r="D150" s="662"/>
      <c r="E150" s="662"/>
      <c r="F150" s="662"/>
      <c r="G150" s="662"/>
      <c r="H150" s="662"/>
      <c r="I150" s="662"/>
      <c r="J150" s="662"/>
      <c r="K150" s="662"/>
      <c r="L150" s="662"/>
      <c r="M150" s="662"/>
      <c r="N150" s="662"/>
      <c r="O150" s="662"/>
      <c r="P150" s="662"/>
      <c r="Q150" s="662"/>
      <c r="R150" s="662"/>
      <c r="S150" s="662"/>
      <c r="T150" s="662"/>
      <c r="U150" s="662"/>
      <c r="V150" s="662"/>
      <c r="W150" s="662"/>
      <c r="X150" s="662"/>
      <c r="Y150" s="662"/>
      <c r="Z150" s="662"/>
      <c r="AA150" s="62"/>
      <c r="AB150" s="62"/>
      <c r="AC150" s="62"/>
    </row>
    <row r="151" spans="1:68" ht="14.25" customHeight="1" x14ac:dyDescent="0.25">
      <c r="A151" s="663" t="s">
        <v>92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3"/>
      <c r="AB151" s="63"/>
      <c r="AC151" s="63"/>
    </row>
    <row r="152" spans="1:68" ht="27" customHeight="1" x14ac:dyDescent="0.25">
      <c r="A152" s="60" t="s">
        <v>279</v>
      </c>
      <c r="B152" s="60" t="s">
        <v>280</v>
      </c>
      <c r="C152" s="34">
        <v>4301052174</v>
      </c>
      <c r="D152" s="664">
        <v>4680115888203</v>
      </c>
      <c r="E152" s="66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6"/>
      <c r="R152" s="666"/>
      <c r="S152" s="666"/>
      <c r="T152" s="66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282</v>
      </c>
      <c r="B153" s="60" t="s">
        <v>283</v>
      </c>
      <c r="C153" s="34">
        <v>4301052172</v>
      </c>
      <c r="D153" s="664">
        <v>4680115888180</v>
      </c>
      <c r="E153" s="66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4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6"/>
      <c r="R153" s="666"/>
      <c r="S153" s="666"/>
      <c r="T153" s="66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customHeight="1" x14ac:dyDescent="0.25">
      <c r="A154" s="60" t="s">
        <v>285</v>
      </c>
      <c r="B154" s="60" t="s">
        <v>286</v>
      </c>
      <c r="C154" s="34">
        <v>4301052173</v>
      </c>
      <c r="D154" s="664">
        <v>4680115888197</v>
      </c>
      <c r="E154" s="66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4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6"/>
      <c r="R154" s="666"/>
      <c r="S154" s="666"/>
      <c r="T154" s="66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customHeight="1" x14ac:dyDescent="0.25">
      <c r="A155" s="60" t="s">
        <v>288</v>
      </c>
      <c r="B155" s="60" t="s">
        <v>289</v>
      </c>
      <c r="C155" s="34">
        <v>4301052175</v>
      </c>
      <c r="D155" s="664">
        <v>4680115888210</v>
      </c>
      <c r="E155" s="66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7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6"/>
      <c r="R155" s="666"/>
      <c r="S155" s="666"/>
      <c r="T155" s="66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x14ac:dyDescent="0.2">
      <c r="A156" s="673"/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4"/>
      <c r="P156" s="670" t="s">
        <v>40</v>
      </c>
      <c r="Q156" s="671"/>
      <c r="R156" s="671"/>
      <c r="S156" s="671"/>
      <c r="T156" s="671"/>
      <c r="U156" s="671"/>
      <c r="V156" s="672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x14ac:dyDescent="0.2">
      <c r="A157" s="673"/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4"/>
      <c r="P157" s="670" t="s">
        <v>40</v>
      </c>
      <c r="Q157" s="671"/>
      <c r="R157" s="671"/>
      <c r="S157" s="671"/>
      <c r="T157" s="671"/>
      <c r="U157" s="671"/>
      <c r="V157" s="672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customHeight="1" x14ac:dyDescent="0.25">
      <c r="A158" s="662" t="s">
        <v>144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2"/>
      <c r="AB158" s="62"/>
      <c r="AC158" s="62"/>
    </row>
    <row r="159" spans="1:68" ht="14.25" customHeight="1" x14ac:dyDescent="0.25">
      <c r="A159" s="663" t="s">
        <v>146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3"/>
      <c r="AB159" s="63"/>
      <c r="AC159" s="63"/>
    </row>
    <row r="160" spans="1:68" ht="27" customHeight="1" x14ac:dyDescent="0.25">
      <c r="A160" s="60" t="s">
        <v>291</v>
      </c>
      <c r="B160" s="60" t="s">
        <v>292</v>
      </c>
      <c r="C160" s="34">
        <v>4301012244</v>
      </c>
      <c r="D160" s="664">
        <v>4680115887374</v>
      </c>
      <c r="E160" s="664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66"/>
      <c r="R160" s="666"/>
      <c r="S160" s="666"/>
      <c r="T160" s="66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customHeight="1" x14ac:dyDescent="0.25">
      <c r="A161" s="60" t="s">
        <v>294</v>
      </c>
      <c r="B161" s="60" t="s">
        <v>295</v>
      </c>
      <c r="C161" s="34">
        <v>4301011705</v>
      </c>
      <c r="D161" s="664">
        <v>4607091384604</v>
      </c>
      <c r="E161" s="66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66"/>
      <c r="R161" s="666"/>
      <c r="S161" s="666"/>
      <c r="T161" s="66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70" t="s">
        <v>40</v>
      </c>
      <c r="Q162" s="671"/>
      <c r="R162" s="671"/>
      <c r="S162" s="671"/>
      <c r="T162" s="671"/>
      <c r="U162" s="671"/>
      <c r="V162" s="672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x14ac:dyDescent="0.2">
      <c r="A163" s="673"/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4"/>
      <c r="P163" s="670" t="s">
        <v>40</v>
      </c>
      <c r="Q163" s="671"/>
      <c r="R163" s="671"/>
      <c r="S163" s="671"/>
      <c r="T163" s="671"/>
      <c r="U163" s="671"/>
      <c r="V163" s="672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customHeight="1" x14ac:dyDescent="0.25">
      <c r="A164" s="663" t="s">
        <v>180</v>
      </c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3"/>
      <c r="AB164" s="63"/>
      <c r="AC164" s="63"/>
    </row>
    <row r="165" spans="1:68" ht="16.5" customHeight="1" x14ac:dyDescent="0.25">
      <c r="A165" s="60" t="s">
        <v>297</v>
      </c>
      <c r="B165" s="60" t="s">
        <v>298</v>
      </c>
      <c r="C165" s="34">
        <v>4301020410</v>
      </c>
      <c r="D165" s="664">
        <v>4680115887695</v>
      </c>
      <c r="E165" s="664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66"/>
      <c r="R165" s="666"/>
      <c r="S165" s="666"/>
      <c r="T165" s="66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70" t="s">
        <v>40</v>
      </c>
      <c r="Q166" s="671"/>
      <c r="R166" s="671"/>
      <c r="S166" s="671"/>
      <c r="T166" s="671"/>
      <c r="U166" s="671"/>
      <c r="V166" s="672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x14ac:dyDescent="0.2">
      <c r="A167" s="673"/>
      <c r="B167" s="673"/>
      <c r="C167" s="673"/>
      <c r="D167" s="673"/>
      <c r="E167" s="673"/>
      <c r="F167" s="673"/>
      <c r="G167" s="673"/>
      <c r="H167" s="673"/>
      <c r="I167" s="673"/>
      <c r="J167" s="673"/>
      <c r="K167" s="673"/>
      <c r="L167" s="673"/>
      <c r="M167" s="673"/>
      <c r="N167" s="673"/>
      <c r="O167" s="674"/>
      <c r="P167" s="670" t="s">
        <v>40</v>
      </c>
      <c r="Q167" s="671"/>
      <c r="R167" s="671"/>
      <c r="S167" s="671"/>
      <c r="T167" s="671"/>
      <c r="U167" s="671"/>
      <c r="V167" s="672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customHeight="1" x14ac:dyDescent="0.25">
      <c r="A168" s="663" t="s">
        <v>77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3"/>
      <c r="AB168" s="63"/>
      <c r="AC168" s="63"/>
    </row>
    <row r="169" spans="1:68" ht="27" customHeight="1" x14ac:dyDescent="0.25">
      <c r="A169" s="60" t="s">
        <v>300</v>
      </c>
      <c r="B169" s="60" t="s">
        <v>301</v>
      </c>
      <c r="C169" s="34">
        <v>4301031496</v>
      </c>
      <c r="D169" s="664">
        <v>4680115887428</v>
      </c>
      <c r="E169" s="66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66"/>
      <c r="R169" s="666"/>
      <c r="S169" s="666"/>
      <c r="T169" s="667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customHeight="1" x14ac:dyDescent="0.25">
      <c r="A170" s="60" t="s">
        <v>303</v>
      </c>
      <c r="B170" s="60" t="s">
        <v>304</v>
      </c>
      <c r="C170" s="34">
        <v>4301030963</v>
      </c>
      <c r="D170" s="664">
        <v>4607091382426</v>
      </c>
      <c r="E170" s="664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66"/>
      <c r="R170" s="666"/>
      <c r="S170" s="666"/>
      <c r="T170" s="667"/>
      <c r="U170" s="37" t="s">
        <v>46</v>
      </c>
      <c r="V170" s="37" t="s">
        <v>46</v>
      </c>
      <c r="W170" s="38" t="s">
        <v>0</v>
      </c>
      <c r="X170" s="56">
        <v>5</v>
      </c>
      <c r="Y170" s="53">
        <f t="shared" si="16"/>
        <v>9</v>
      </c>
      <c r="Z170" s="39">
        <f>IFERROR(IF(Y170=0,"",ROUNDUP(Y170/H170,0)*0.01898),"")</f>
        <v>1.898E-2</v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5.3111111111111118</v>
      </c>
      <c r="BN170" s="75">
        <f t="shared" si="18"/>
        <v>9.56</v>
      </c>
      <c r="BO170" s="75">
        <f t="shared" si="19"/>
        <v>8.6805555555555559E-3</v>
      </c>
      <c r="BP170" s="75">
        <f t="shared" si="20"/>
        <v>1.5625E-2</v>
      </c>
    </row>
    <row r="171" spans="1:68" ht="27" customHeight="1" x14ac:dyDescent="0.25">
      <c r="A171" s="60" t="s">
        <v>306</v>
      </c>
      <c r="B171" s="60" t="s">
        <v>307</v>
      </c>
      <c r="C171" s="34">
        <v>4301031498</v>
      </c>
      <c r="D171" s="664">
        <v>4680115887398</v>
      </c>
      <c r="E171" s="66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66"/>
      <c r="R171" s="666"/>
      <c r="S171" s="666"/>
      <c r="T171" s="667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customHeight="1" x14ac:dyDescent="0.25">
      <c r="A172" s="60" t="s">
        <v>309</v>
      </c>
      <c r="B172" s="60" t="s">
        <v>310</v>
      </c>
      <c r="C172" s="34">
        <v>4301031497</v>
      </c>
      <c r="D172" s="664">
        <v>4680115887336</v>
      </c>
      <c r="E172" s="664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66"/>
      <c r="R172" s="666"/>
      <c r="S172" s="666"/>
      <c r="T172" s="667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customHeight="1" x14ac:dyDescent="0.25">
      <c r="A173" s="60" t="s">
        <v>312</v>
      </c>
      <c r="B173" s="60" t="s">
        <v>313</v>
      </c>
      <c r="C173" s="34">
        <v>4301032049</v>
      </c>
      <c r="D173" s="664">
        <v>4680115887787</v>
      </c>
      <c r="E173" s="66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66"/>
      <c r="R173" s="666"/>
      <c r="S173" s="666"/>
      <c r="T173" s="667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customHeight="1" x14ac:dyDescent="0.25">
      <c r="A174" s="60" t="s">
        <v>315</v>
      </c>
      <c r="B174" s="60" t="s">
        <v>316</v>
      </c>
      <c r="C174" s="34">
        <v>4301031448</v>
      </c>
      <c r="D174" s="664">
        <v>4680115887503</v>
      </c>
      <c r="E174" s="664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66"/>
      <c r="R174" s="666"/>
      <c r="S174" s="666"/>
      <c r="T174" s="667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customHeight="1" x14ac:dyDescent="0.25">
      <c r="A175" s="60" t="s">
        <v>317</v>
      </c>
      <c r="B175" s="60" t="s">
        <v>318</v>
      </c>
      <c r="C175" s="34">
        <v>4301031389</v>
      </c>
      <c r="D175" s="664">
        <v>4680115887763</v>
      </c>
      <c r="E175" s="66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66"/>
      <c r="R175" s="666"/>
      <c r="S175" s="666"/>
      <c r="T175" s="667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customHeight="1" x14ac:dyDescent="0.25">
      <c r="A176" s="60" t="s">
        <v>320</v>
      </c>
      <c r="B176" s="60" t="s">
        <v>321</v>
      </c>
      <c r="C176" s="34">
        <v>4301031454</v>
      </c>
      <c r="D176" s="664">
        <v>4680115887480</v>
      </c>
      <c r="E176" s="66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5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66"/>
      <c r="R176" s="666"/>
      <c r="S176" s="666"/>
      <c r="T176" s="667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customHeight="1" x14ac:dyDescent="0.25">
      <c r="A177" s="60" t="s">
        <v>322</v>
      </c>
      <c r="B177" s="60" t="s">
        <v>323</v>
      </c>
      <c r="C177" s="34">
        <v>4301031434</v>
      </c>
      <c r="D177" s="664">
        <v>4680115888067</v>
      </c>
      <c r="E177" s="664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66"/>
      <c r="R177" s="666"/>
      <c r="S177" s="666"/>
      <c r="T177" s="667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customHeight="1" x14ac:dyDescent="0.25">
      <c r="A178" s="60" t="s">
        <v>325</v>
      </c>
      <c r="B178" s="60" t="s">
        <v>326</v>
      </c>
      <c r="C178" s="34">
        <v>4301031451</v>
      </c>
      <c r="D178" s="664">
        <v>4680115887435</v>
      </c>
      <c r="E178" s="66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5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66"/>
      <c r="R178" s="666"/>
      <c r="S178" s="666"/>
      <c r="T178" s="667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x14ac:dyDescent="0.2">
      <c r="A179" s="673"/>
      <c r="B179" s="673"/>
      <c r="C179" s="673"/>
      <c r="D179" s="673"/>
      <c r="E179" s="673"/>
      <c r="F179" s="673"/>
      <c r="G179" s="673"/>
      <c r="H179" s="673"/>
      <c r="I179" s="673"/>
      <c r="J179" s="673"/>
      <c r="K179" s="673"/>
      <c r="L179" s="673"/>
      <c r="M179" s="673"/>
      <c r="N179" s="673"/>
      <c r="O179" s="674"/>
      <c r="P179" s="670" t="s">
        <v>40</v>
      </c>
      <c r="Q179" s="671"/>
      <c r="R179" s="671"/>
      <c r="S179" s="671"/>
      <c r="T179" s="671"/>
      <c r="U179" s="671"/>
      <c r="V179" s="672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0.55555555555555558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1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1.898E-2</v>
      </c>
      <c r="AA179" s="64"/>
      <c r="AB179" s="64"/>
      <c r="AC179" s="64"/>
    </row>
    <row r="180" spans="1:68" x14ac:dyDescent="0.2">
      <c r="A180" s="673"/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4"/>
      <c r="P180" s="670" t="s">
        <v>40</v>
      </c>
      <c r="Q180" s="671"/>
      <c r="R180" s="671"/>
      <c r="S180" s="671"/>
      <c r="T180" s="671"/>
      <c r="U180" s="671"/>
      <c r="V180" s="672"/>
      <c r="W180" s="40" t="s">
        <v>0</v>
      </c>
      <c r="X180" s="41">
        <f>IFERROR(SUM(X169:X178),"0")</f>
        <v>5</v>
      </c>
      <c r="Y180" s="41">
        <f>IFERROR(SUM(Y169:Y178),"0")</f>
        <v>9</v>
      </c>
      <c r="Z180" s="40"/>
      <c r="AA180" s="64"/>
      <c r="AB180" s="64"/>
      <c r="AC180" s="64"/>
    </row>
    <row r="181" spans="1:68" ht="14.25" customHeight="1" x14ac:dyDescent="0.25">
      <c r="A181" s="663" t="s">
        <v>92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3"/>
      <c r="AB181" s="63"/>
      <c r="AC181" s="63"/>
    </row>
    <row r="182" spans="1:68" ht="27" customHeight="1" x14ac:dyDescent="0.25">
      <c r="A182" s="60" t="s">
        <v>327</v>
      </c>
      <c r="B182" s="60" t="s">
        <v>328</v>
      </c>
      <c r="C182" s="34">
        <v>4301052064</v>
      </c>
      <c r="D182" s="664">
        <v>4680115887459</v>
      </c>
      <c r="E182" s="664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66"/>
      <c r="R182" s="666"/>
      <c r="S182" s="666"/>
      <c r="T182" s="66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x14ac:dyDescent="0.2">
      <c r="A183" s="673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70" t="s">
        <v>40</v>
      </c>
      <c r="Q183" s="671"/>
      <c r="R183" s="671"/>
      <c r="S183" s="671"/>
      <c r="T183" s="671"/>
      <c r="U183" s="671"/>
      <c r="V183" s="672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70" t="s">
        <v>40</v>
      </c>
      <c r="Q184" s="671"/>
      <c r="R184" s="671"/>
      <c r="S184" s="671"/>
      <c r="T184" s="671"/>
      <c r="U184" s="671"/>
      <c r="V184" s="672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customHeight="1" x14ac:dyDescent="0.25">
      <c r="A185" s="663" t="s">
        <v>123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3"/>
      <c r="AB185" s="63"/>
      <c r="AC185" s="63"/>
    </row>
    <row r="186" spans="1:68" ht="16.5" customHeight="1" x14ac:dyDescent="0.25">
      <c r="A186" s="60" t="s">
        <v>330</v>
      </c>
      <c r="B186" s="60" t="s">
        <v>331</v>
      </c>
      <c r="C186" s="34">
        <v>4301032058</v>
      </c>
      <c r="D186" s="664">
        <v>4680115889026</v>
      </c>
      <c r="E186" s="664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66"/>
      <c r="R186" s="666"/>
      <c r="S186" s="666"/>
      <c r="T186" s="667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335</v>
      </c>
      <c r="B187" s="60" t="s">
        <v>336</v>
      </c>
      <c r="C187" s="34">
        <v>4301032057</v>
      </c>
      <c r="D187" s="664">
        <v>4680115889088</v>
      </c>
      <c r="E187" s="66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5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66"/>
      <c r="R187" s="666"/>
      <c r="S187" s="666"/>
      <c r="T187" s="66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70" t="s">
        <v>40</v>
      </c>
      <c r="Q188" s="671"/>
      <c r="R188" s="671"/>
      <c r="S188" s="671"/>
      <c r="T188" s="671"/>
      <c r="U188" s="671"/>
      <c r="V188" s="67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x14ac:dyDescent="0.2">
      <c r="A189" s="673"/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4"/>
      <c r="P189" s="670" t="s">
        <v>40</v>
      </c>
      <c r="Q189" s="671"/>
      <c r="R189" s="671"/>
      <c r="S189" s="671"/>
      <c r="T189" s="671"/>
      <c r="U189" s="671"/>
      <c r="V189" s="67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customHeight="1" x14ac:dyDescent="0.25">
      <c r="A190" s="663" t="s">
        <v>338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3"/>
      <c r="AB190" s="63"/>
      <c r="AC190" s="63"/>
    </row>
    <row r="191" spans="1:68" ht="27" customHeight="1" x14ac:dyDescent="0.25">
      <c r="A191" s="60" t="s">
        <v>339</v>
      </c>
      <c r="B191" s="60" t="s">
        <v>340</v>
      </c>
      <c r="C191" s="34">
        <v>4301041009</v>
      </c>
      <c r="D191" s="664">
        <v>4680115889033</v>
      </c>
      <c r="E191" s="664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66"/>
      <c r="R191" s="666"/>
      <c r="S191" s="666"/>
      <c r="T191" s="66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673"/>
      <c r="B192" s="673"/>
      <c r="C192" s="673"/>
      <c r="D192" s="673"/>
      <c r="E192" s="673"/>
      <c r="F192" s="673"/>
      <c r="G192" s="673"/>
      <c r="H192" s="673"/>
      <c r="I192" s="673"/>
      <c r="J192" s="673"/>
      <c r="K192" s="673"/>
      <c r="L192" s="673"/>
      <c r="M192" s="673"/>
      <c r="N192" s="673"/>
      <c r="O192" s="674"/>
      <c r="P192" s="670" t="s">
        <v>40</v>
      </c>
      <c r="Q192" s="671"/>
      <c r="R192" s="671"/>
      <c r="S192" s="671"/>
      <c r="T192" s="671"/>
      <c r="U192" s="671"/>
      <c r="V192" s="672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673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70" t="s">
        <v>40</v>
      </c>
      <c r="Q193" s="671"/>
      <c r="R193" s="671"/>
      <c r="S193" s="671"/>
      <c r="T193" s="671"/>
      <c r="U193" s="671"/>
      <c r="V193" s="672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customHeight="1" x14ac:dyDescent="0.2">
      <c r="A194" s="661" t="s">
        <v>342</v>
      </c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  <c r="AA194" s="52"/>
      <c r="AB194" s="52"/>
      <c r="AC194" s="52"/>
    </row>
    <row r="195" spans="1:68" ht="16.5" customHeight="1" x14ac:dyDescent="0.25">
      <c r="A195" s="662" t="s">
        <v>343</v>
      </c>
      <c r="B195" s="662"/>
      <c r="C195" s="662"/>
      <c r="D195" s="662"/>
      <c r="E195" s="662"/>
      <c r="F195" s="662"/>
      <c r="G195" s="662"/>
      <c r="H195" s="662"/>
      <c r="I195" s="662"/>
      <c r="J195" s="662"/>
      <c r="K195" s="662"/>
      <c r="L195" s="662"/>
      <c r="M195" s="662"/>
      <c r="N195" s="662"/>
      <c r="O195" s="662"/>
      <c r="P195" s="662"/>
      <c r="Q195" s="662"/>
      <c r="R195" s="662"/>
      <c r="S195" s="662"/>
      <c r="T195" s="662"/>
      <c r="U195" s="662"/>
      <c r="V195" s="662"/>
      <c r="W195" s="662"/>
      <c r="X195" s="662"/>
      <c r="Y195" s="662"/>
      <c r="Z195" s="662"/>
      <c r="AA195" s="62"/>
      <c r="AB195" s="62"/>
      <c r="AC195" s="62"/>
    </row>
    <row r="196" spans="1:68" ht="14.25" customHeight="1" x14ac:dyDescent="0.25">
      <c r="A196" s="663" t="s">
        <v>146</v>
      </c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3"/>
      <c r="AB196" s="63"/>
      <c r="AC196" s="63"/>
    </row>
    <row r="197" spans="1:68" ht="27" customHeight="1" x14ac:dyDescent="0.25">
      <c r="A197" s="60" t="s">
        <v>344</v>
      </c>
      <c r="B197" s="60" t="s">
        <v>345</v>
      </c>
      <c r="C197" s="34">
        <v>4301011223</v>
      </c>
      <c r="D197" s="664">
        <v>4607091383423</v>
      </c>
      <c r="E197" s="664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6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66"/>
      <c r="R197" s="666"/>
      <c r="S197" s="666"/>
      <c r="T197" s="66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customHeight="1" x14ac:dyDescent="0.25">
      <c r="A198" s="60" t="s">
        <v>346</v>
      </c>
      <c r="B198" s="60" t="s">
        <v>347</v>
      </c>
      <c r="C198" s="34">
        <v>4301012199</v>
      </c>
      <c r="D198" s="664">
        <v>4680115886957</v>
      </c>
      <c r="E198" s="664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6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66"/>
      <c r="R198" s="666"/>
      <c r="S198" s="666"/>
      <c r="T198" s="66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customHeight="1" x14ac:dyDescent="0.25">
      <c r="A199" s="60" t="s">
        <v>349</v>
      </c>
      <c r="B199" s="60" t="s">
        <v>350</v>
      </c>
      <c r="C199" s="34">
        <v>4301012098</v>
      </c>
      <c r="D199" s="664">
        <v>4680115885660</v>
      </c>
      <c r="E199" s="66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66"/>
      <c r="R199" s="666"/>
      <c r="S199" s="666"/>
      <c r="T199" s="66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customHeight="1" x14ac:dyDescent="0.25">
      <c r="A200" s="60" t="s">
        <v>352</v>
      </c>
      <c r="B200" s="60" t="s">
        <v>353</v>
      </c>
      <c r="C200" s="34">
        <v>4301012176</v>
      </c>
      <c r="D200" s="664">
        <v>4680115886773</v>
      </c>
      <c r="E200" s="664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6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66"/>
      <c r="R200" s="666"/>
      <c r="S200" s="666"/>
      <c r="T200" s="66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x14ac:dyDescent="0.2">
      <c r="A201" s="673"/>
      <c r="B201" s="673"/>
      <c r="C201" s="673"/>
      <c r="D201" s="673"/>
      <c r="E201" s="673"/>
      <c r="F201" s="673"/>
      <c r="G201" s="673"/>
      <c r="H201" s="673"/>
      <c r="I201" s="673"/>
      <c r="J201" s="673"/>
      <c r="K201" s="673"/>
      <c r="L201" s="673"/>
      <c r="M201" s="673"/>
      <c r="N201" s="673"/>
      <c r="O201" s="674"/>
      <c r="P201" s="670" t="s">
        <v>40</v>
      </c>
      <c r="Q201" s="671"/>
      <c r="R201" s="671"/>
      <c r="S201" s="671"/>
      <c r="T201" s="671"/>
      <c r="U201" s="671"/>
      <c r="V201" s="672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x14ac:dyDescent="0.2">
      <c r="A202" s="673"/>
      <c r="B202" s="673"/>
      <c r="C202" s="673"/>
      <c r="D202" s="673"/>
      <c r="E202" s="673"/>
      <c r="F202" s="673"/>
      <c r="G202" s="673"/>
      <c r="H202" s="673"/>
      <c r="I202" s="673"/>
      <c r="J202" s="673"/>
      <c r="K202" s="673"/>
      <c r="L202" s="673"/>
      <c r="M202" s="673"/>
      <c r="N202" s="673"/>
      <c r="O202" s="674"/>
      <c r="P202" s="670" t="s">
        <v>40</v>
      </c>
      <c r="Q202" s="671"/>
      <c r="R202" s="671"/>
      <c r="S202" s="671"/>
      <c r="T202" s="671"/>
      <c r="U202" s="671"/>
      <c r="V202" s="672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customHeight="1" x14ac:dyDescent="0.25">
      <c r="A203" s="662" t="s">
        <v>355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62"/>
      <c r="AB203" s="62"/>
      <c r="AC203" s="62"/>
    </row>
    <row r="204" spans="1:68" ht="14.25" customHeight="1" x14ac:dyDescent="0.25">
      <c r="A204" s="663" t="s">
        <v>180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"/>
      <c r="AB204" s="63"/>
      <c r="AC204" s="63"/>
    </row>
    <row r="205" spans="1:68" ht="27" customHeight="1" x14ac:dyDescent="0.25">
      <c r="A205" s="60" t="s">
        <v>356</v>
      </c>
      <c r="B205" s="60" t="s">
        <v>357</v>
      </c>
      <c r="C205" s="34">
        <v>4301020323</v>
      </c>
      <c r="D205" s="664">
        <v>4680115886223</v>
      </c>
      <c r="E205" s="664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66"/>
      <c r="R205" s="666"/>
      <c r="S205" s="666"/>
      <c r="T205" s="667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x14ac:dyDescent="0.2">
      <c r="A206" s="673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4"/>
      <c r="P206" s="670" t="s">
        <v>40</v>
      </c>
      <c r="Q206" s="671"/>
      <c r="R206" s="671"/>
      <c r="S206" s="671"/>
      <c r="T206" s="671"/>
      <c r="U206" s="671"/>
      <c r="V206" s="672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x14ac:dyDescent="0.2">
      <c r="A207" s="673"/>
      <c r="B207" s="673"/>
      <c r="C207" s="673"/>
      <c r="D207" s="673"/>
      <c r="E207" s="673"/>
      <c r="F207" s="673"/>
      <c r="G207" s="673"/>
      <c r="H207" s="673"/>
      <c r="I207" s="673"/>
      <c r="J207" s="673"/>
      <c r="K207" s="673"/>
      <c r="L207" s="673"/>
      <c r="M207" s="673"/>
      <c r="N207" s="673"/>
      <c r="O207" s="674"/>
      <c r="P207" s="670" t="s">
        <v>40</v>
      </c>
      <c r="Q207" s="671"/>
      <c r="R207" s="671"/>
      <c r="S207" s="671"/>
      <c r="T207" s="671"/>
      <c r="U207" s="671"/>
      <c r="V207" s="672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customHeight="1" x14ac:dyDescent="0.25">
      <c r="A208" s="663" t="s">
        <v>77</v>
      </c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64">
        <v>4680115880993</v>
      </c>
      <c r="E209" s="664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66"/>
      <c r="R209" s="666"/>
      <c r="S209" s="666"/>
      <c r="T209" s="667"/>
      <c r="U209" s="37" t="s">
        <v>46</v>
      </c>
      <c r="V209" s="37" t="s">
        <v>46</v>
      </c>
      <c r="W209" s="38" t="s">
        <v>0</v>
      </c>
      <c r="X209" s="56">
        <v>130</v>
      </c>
      <c r="Y209" s="53">
        <f t="shared" ref="Y209:Y222" si="21">IFERROR(IF(X209="",0,CEILING((X209/$H209),1)*$H209),"")</f>
        <v>130.20000000000002</v>
      </c>
      <c r="Z209" s="39">
        <f>IFERROR(IF(Y209=0,"",ROUNDUP(Y209/H209,0)*0.00902),"")</f>
        <v>0.27961999999999998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137.73809523809524</v>
      </c>
      <c r="BN209" s="75">
        <f t="shared" ref="BN209:BN222" si="23">IFERROR(Y209*I209/H209,"0")</f>
        <v>137.95000000000002</v>
      </c>
      <c r="BO209" s="75">
        <f t="shared" ref="BO209:BO222" si="24">IFERROR(1/J209*(X209/H209),"0")</f>
        <v>0.23448773448773449</v>
      </c>
      <c r="BP209" s="75">
        <f t="shared" ref="BP209:BP222" si="25">IFERROR(1/J209*(Y209/H209),"0")</f>
        <v>0.23484848484848489</v>
      </c>
    </row>
    <row r="210" spans="1:68" ht="27" customHeight="1" x14ac:dyDescent="0.25">
      <c r="A210" s="60" t="s">
        <v>362</v>
      </c>
      <c r="B210" s="60" t="s">
        <v>363</v>
      </c>
      <c r="C210" s="34">
        <v>4301031204</v>
      </c>
      <c r="D210" s="664">
        <v>4680115881761</v>
      </c>
      <c r="E210" s="66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66"/>
      <c r="R210" s="666"/>
      <c r="S210" s="666"/>
      <c r="T210" s="667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64">
        <v>4680115881563</v>
      </c>
      <c r="E211" s="664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66"/>
      <c r="R211" s="666"/>
      <c r="S211" s="666"/>
      <c r="T211" s="667"/>
      <c r="U211" s="37" t="s">
        <v>46</v>
      </c>
      <c r="V211" s="37" t="s">
        <v>46</v>
      </c>
      <c r="W211" s="38" t="s">
        <v>0</v>
      </c>
      <c r="X211" s="56">
        <v>105</v>
      </c>
      <c r="Y211" s="53">
        <f t="shared" si="21"/>
        <v>105</v>
      </c>
      <c r="Z211" s="39">
        <f>IFERROR(IF(Y211=0,"",ROUNDUP(Y211/H211,0)*0.00902),"")</f>
        <v>0.22550000000000001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109.74999999999999</v>
      </c>
      <c r="BN211" s="75">
        <f t="shared" si="23"/>
        <v>109.74999999999999</v>
      </c>
      <c r="BO211" s="75">
        <f t="shared" si="24"/>
        <v>0.18939393939393939</v>
      </c>
      <c r="BP211" s="75">
        <f t="shared" si="25"/>
        <v>0.18939393939393939</v>
      </c>
    </row>
    <row r="212" spans="1:68" ht="37.5" customHeight="1" x14ac:dyDescent="0.25">
      <c r="A212" s="60" t="s">
        <v>368</v>
      </c>
      <c r="B212" s="60" t="s">
        <v>369</v>
      </c>
      <c r="C212" s="34">
        <v>4301031447</v>
      </c>
      <c r="D212" s="664">
        <v>4680115887565</v>
      </c>
      <c r="E212" s="664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66"/>
      <c r="R212" s="666"/>
      <c r="S212" s="666"/>
      <c r="T212" s="667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customHeight="1" x14ac:dyDescent="0.25">
      <c r="A213" s="60" t="s">
        <v>371</v>
      </c>
      <c r="B213" s="60" t="s">
        <v>372</v>
      </c>
      <c r="C213" s="34">
        <v>4301031199</v>
      </c>
      <c r="D213" s="664">
        <v>4680115880986</v>
      </c>
      <c r="E213" s="664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6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66"/>
      <c r="R213" s="666"/>
      <c r="S213" s="666"/>
      <c r="T213" s="667"/>
      <c r="U213" s="37" t="s">
        <v>46</v>
      </c>
      <c r="V213" s="37" t="s">
        <v>46</v>
      </c>
      <c r="W213" s="38" t="s">
        <v>0</v>
      </c>
      <c r="X213" s="56"/>
      <c r="Y213" s="53">
        <f t="shared" si="21"/>
        <v>0</v>
      </c>
      <c r="Z213" s="39" t="str">
        <f t="shared" ref="Z213:Z218" si="26">IFERROR(IF(Y213=0,"",ROUNDUP(Y213/H213,0)*0.00502),"")</f>
        <v/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0</v>
      </c>
      <c r="BN213" s="75">
        <f t="shared" si="23"/>
        <v>0</v>
      </c>
      <c r="BO213" s="75">
        <f t="shared" si="24"/>
        <v>0</v>
      </c>
      <c r="BP213" s="75">
        <f t="shared" si="25"/>
        <v>0</v>
      </c>
    </row>
    <row r="214" spans="1:68" ht="27" customHeight="1" x14ac:dyDescent="0.25">
      <c r="A214" s="60" t="s">
        <v>373</v>
      </c>
      <c r="B214" s="60" t="s">
        <v>374</v>
      </c>
      <c r="C214" s="34">
        <v>4301031443</v>
      </c>
      <c r="D214" s="664">
        <v>4680115887213</v>
      </c>
      <c r="E214" s="664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66"/>
      <c r="R214" s="666"/>
      <c r="S214" s="666"/>
      <c r="T214" s="667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customHeight="1" x14ac:dyDescent="0.25">
      <c r="A215" s="60" t="s">
        <v>376</v>
      </c>
      <c r="B215" s="60" t="s">
        <v>377</v>
      </c>
      <c r="C215" s="34">
        <v>4301031205</v>
      </c>
      <c r="D215" s="664">
        <v>4680115881785</v>
      </c>
      <c r="E215" s="664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66"/>
      <c r="R215" s="666"/>
      <c r="S215" s="666"/>
      <c r="T215" s="667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customHeight="1" x14ac:dyDescent="0.25">
      <c r="A216" s="60" t="s">
        <v>378</v>
      </c>
      <c r="B216" s="60" t="s">
        <v>379</v>
      </c>
      <c r="C216" s="34">
        <v>4301031499</v>
      </c>
      <c r="D216" s="664">
        <v>4680115888432</v>
      </c>
      <c r="E216" s="664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66"/>
      <c r="R216" s="666"/>
      <c r="S216" s="666"/>
      <c r="T216" s="667"/>
      <c r="U216" s="37" t="s">
        <v>46</v>
      </c>
      <c r="V216" s="37" t="s">
        <v>46</v>
      </c>
      <c r="W216" s="38" t="s">
        <v>0</v>
      </c>
      <c r="X216" s="56">
        <v>14.4</v>
      </c>
      <c r="Y216" s="53">
        <f t="shared" si="21"/>
        <v>14.4</v>
      </c>
      <c r="Z216" s="39">
        <f t="shared" si="26"/>
        <v>4.0160000000000001E-2</v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15.439999999999998</v>
      </c>
      <c r="BN216" s="75">
        <f t="shared" si="23"/>
        <v>15.439999999999998</v>
      </c>
      <c r="BO216" s="75">
        <f t="shared" si="24"/>
        <v>3.4188034188034191E-2</v>
      </c>
      <c r="BP216" s="75">
        <f t="shared" si="25"/>
        <v>3.4188034188034191E-2</v>
      </c>
    </row>
    <row r="217" spans="1:68" ht="27" customHeight="1" x14ac:dyDescent="0.25">
      <c r="A217" s="60" t="s">
        <v>381</v>
      </c>
      <c r="B217" s="60" t="s">
        <v>382</v>
      </c>
      <c r="C217" s="34">
        <v>4301031427</v>
      </c>
      <c r="D217" s="664">
        <v>4680115888104</v>
      </c>
      <c r="E217" s="664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66"/>
      <c r="R217" s="666"/>
      <c r="S217" s="666"/>
      <c r="T217" s="667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customHeight="1" x14ac:dyDescent="0.25">
      <c r="A218" s="60" t="s">
        <v>384</v>
      </c>
      <c r="B218" s="60" t="s">
        <v>385</v>
      </c>
      <c r="C218" s="34">
        <v>4301031399</v>
      </c>
      <c r="D218" s="664">
        <v>4680115886537</v>
      </c>
      <c r="E218" s="664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66"/>
      <c r="R218" s="666"/>
      <c r="S218" s="666"/>
      <c r="T218" s="667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387</v>
      </c>
      <c r="B219" s="60" t="s">
        <v>388</v>
      </c>
      <c r="C219" s="34">
        <v>4301031279</v>
      </c>
      <c r="D219" s="664">
        <v>4680115887596</v>
      </c>
      <c r="E219" s="664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66"/>
      <c r="R219" s="666"/>
      <c r="S219" s="666"/>
      <c r="T219" s="667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customHeight="1" x14ac:dyDescent="0.25">
      <c r="A220" s="60" t="s">
        <v>390</v>
      </c>
      <c r="B220" s="60" t="s">
        <v>391</v>
      </c>
      <c r="C220" s="34">
        <v>4301031202</v>
      </c>
      <c r="D220" s="664">
        <v>4680115881679</v>
      </c>
      <c r="E220" s="664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66"/>
      <c r="R220" s="666"/>
      <c r="S220" s="666"/>
      <c r="T220" s="667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customHeight="1" x14ac:dyDescent="0.25">
      <c r="A221" s="60" t="s">
        <v>392</v>
      </c>
      <c r="B221" s="60" t="s">
        <v>393</v>
      </c>
      <c r="C221" s="34">
        <v>4301031158</v>
      </c>
      <c r="D221" s="664">
        <v>4680115880191</v>
      </c>
      <c r="E221" s="664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66"/>
      <c r="R221" s="666"/>
      <c r="S221" s="666"/>
      <c r="T221" s="667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394</v>
      </c>
      <c r="B222" s="60" t="s">
        <v>395</v>
      </c>
      <c r="C222" s="34">
        <v>4301031245</v>
      </c>
      <c r="D222" s="664">
        <v>4680115883963</v>
      </c>
      <c r="E222" s="664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7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66"/>
      <c r="R222" s="666"/>
      <c r="S222" s="666"/>
      <c r="T222" s="667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73"/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4"/>
      <c r="P223" s="670" t="s">
        <v>40</v>
      </c>
      <c r="Q223" s="671"/>
      <c r="R223" s="671"/>
      <c r="S223" s="671"/>
      <c r="T223" s="671"/>
      <c r="U223" s="671"/>
      <c r="V223" s="672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63.952380952380949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64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0.54527999999999999</v>
      </c>
      <c r="AA223" s="64"/>
      <c r="AB223" s="64"/>
      <c r="AC223" s="64"/>
    </row>
    <row r="224" spans="1:68" x14ac:dyDescent="0.2">
      <c r="A224" s="673"/>
      <c r="B224" s="673"/>
      <c r="C224" s="673"/>
      <c r="D224" s="673"/>
      <c r="E224" s="673"/>
      <c r="F224" s="673"/>
      <c r="G224" s="673"/>
      <c r="H224" s="673"/>
      <c r="I224" s="673"/>
      <c r="J224" s="673"/>
      <c r="K224" s="673"/>
      <c r="L224" s="673"/>
      <c r="M224" s="673"/>
      <c r="N224" s="673"/>
      <c r="O224" s="674"/>
      <c r="P224" s="670" t="s">
        <v>40</v>
      </c>
      <c r="Q224" s="671"/>
      <c r="R224" s="671"/>
      <c r="S224" s="671"/>
      <c r="T224" s="671"/>
      <c r="U224" s="671"/>
      <c r="V224" s="672"/>
      <c r="W224" s="40" t="s">
        <v>0</v>
      </c>
      <c r="X224" s="41">
        <f>IFERROR(SUM(X209:X222),"0")</f>
        <v>249.4</v>
      </c>
      <c r="Y224" s="41">
        <f>IFERROR(SUM(Y209:Y222),"0")</f>
        <v>249.60000000000002</v>
      </c>
      <c r="Z224" s="40"/>
      <c r="AA224" s="64"/>
      <c r="AB224" s="64"/>
      <c r="AC224" s="64"/>
    </row>
    <row r="225" spans="1:68" ht="14.25" customHeight="1" x14ac:dyDescent="0.25">
      <c r="A225" s="663" t="s">
        <v>92</v>
      </c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3"/>
      <c r="AB225" s="63"/>
      <c r="AC225" s="63"/>
    </row>
    <row r="226" spans="1:68" ht="27" customHeight="1" x14ac:dyDescent="0.25">
      <c r="A226" s="60" t="s">
        <v>397</v>
      </c>
      <c r="B226" s="60" t="s">
        <v>398</v>
      </c>
      <c r="C226" s="34">
        <v>4301052177</v>
      </c>
      <c r="D226" s="664">
        <v>4680115888951</v>
      </c>
      <c r="E226" s="664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7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66"/>
      <c r="R226" s="666"/>
      <c r="S226" s="666"/>
      <c r="T226" s="667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70" t="s">
        <v>40</v>
      </c>
      <c r="Q227" s="671"/>
      <c r="R227" s="671"/>
      <c r="S227" s="671"/>
      <c r="T227" s="671"/>
      <c r="U227" s="671"/>
      <c r="V227" s="672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x14ac:dyDescent="0.2">
      <c r="A228" s="673"/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4"/>
      <c r="P228" s="670" t="s">
        <v>40</v>
      </c>
      <c r="Q228" s="671"/>
      <c r="R228" s="671"/>
      <c r="S228" s="671"/>
      <c r="T228" s="671"/>
      <c r="U228" s="671"/>
      <c r="V228" s="672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customHeight="1" x14ac:dyDescent="0.25">
      <c r="A229" s="663" t="s">
        <v>123</v>
      </c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A229" s="63"/>
      <c r="AB229" s="63"/>
      <c r="AC229" s="63"/>
    </row>
    <row r="230" spans="1:68" ht="27" customHeight="1" x14ac:dyDescent="0.25">
      <c r="A230" s="60" t="s">
        <v>400</v>
      </c>
      <c r="B230" s="60" t="s">
        <v>401</v>
      </c>
      <c r="C230" s="34">
        <v>4301032053</v>
      </c>
      <c r="D230" s="664">
        <v>4680115886780</v>
      </c>
      <c r="E230" s="664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66"/>
      <c r="R230" s="666"/>
      <c r="S230" s="666"/>
      <c r="T230" s="66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customHeight="1" x14ac:dyDescent="0.25">
      <c r="A231" s="60" t="s">
        <v>403</v>
      </c>
      <c r="B231" s="60" t="s">
        <v>404</v>
      </c>
      <c r="C231" s="34">
        <v>4301032051</v>
      </c>
      <c r="D231" s="664">
        <v>4680115886742</v>
      </c>
      <c r="E231" s="664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66"/>
      <c r="R231" s="666"/>
      <c r="S231" s="666"/>
      <c r="T231" s="66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406</v>
      </c>
      <c r="B232" s="60" t="s">
        <v>407</v>
      </c>
      <c r="C232" s="34">
        <v>4301032052</v>
      </c>
      <c r="D232" s="664">
        <v>4680115886766</v>
      </c>
      <c r="E232" s="664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66"/>
      <c r="R232" s="666"/>
      <c r="S232" s="666"/>
      <c r="T232" s="66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x14ac:dyDescent="0.2">
      <c r="A233" s="673"/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4"/>
      <c r="P233" s="670" t="s">
        <v>40</v>
      </c>
      <c r="Q233" s="671"/>
      <c r="R233" s="671"/>
      <c r="S233" s="671"/>
      <c r="T233" s="671"/>
      <c r="U233" s="671"/>
      <c r="V233" s="672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x14ac:dyDescent="0.2">
      <c r="A234" s="673"/>
      <c r="B234" s="673"/>
      <c r="C234" s="673"/>
      <c r="D234" s="673"/>
      <c r="E234" s="673"/>
      <c r="F234" s="673"/>
      <c r="G234" s="673"/>
      <c r="H234" s="673"/>
      <c r="I234" s="673"/>
      <c r="J234" s="673"/>
      <c r="K234" s="673"/>
      <c r="L234" s="673"/>
      <c r="M234" s="673"/>
      <c r="N234" s="673"/>
      <c r="O234" s="674"/>
      <c r="P234" s="670" t="s">
        <v>40</v>
      </c>
      <c r="Q234" s="671"/>
      <c r="R234" s="671"/>
      <c r="S234" s="671"/>
      <c r="T234" s="671"/>
      <c r="U234" s="671"/>
      <c r="V234" s="672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customHeight="1" x14ac:dyDescent="0.25">
      <c r="A235" s="663" t="s">
        <v>408</v>
      </c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A235" s="63"/>
      <c r="AB235" s="63"/>
      <c r="AC235" s="63"/>
    </row>
    <row r="236" spans="1:68" ht="27" customHeight="1" x14ac:dyDescent="0.25">
      <c r="A236" s="60" t="s">
        <v>409</v>
      </c>
      <c r="B236" s="60" t="s">
        <v>410</v>
      </c>
      <c r="C236" s="34">
        <v>4301170013</v>
      </c>
      <c r="D236" s="664">
        <v>4680115886797</v>
      </c>
      <c r="E236" s="66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66"/>
      <c r="R236" s="666"/>
      <c r="S236" s="666"/>
      <c r="T236" s="66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x14ac:dyDescent="0.2">
      <c r="A237" s="673"/>
      <c r="B237" s="673"/>
      <c r="C237" s="673"/>
      <c r="D237" s="673"/>
      <c r="E237" s="673"/>
      <c r="F237" s="673"/>
      <c r="G237" s="673"/>
      <c r="H237" s="673"/>
      <c r="I237" s="673"/>
      <c r="J237" s="673"/>
      <c r="K237" s="673"/>
      <c r="L237" s="673"/>
      <c r="M237" s="673"/>
      <c r="N237" s="673"/>
      <c r="O237" s="674"/>
      <c r="P237" s="670" t="s">
        <v>40</v>
      </c>
      <c r="Q237" s="671"/>
      <c r="R237" s="671"/>
      <c r="S237" s="671"/>
      <c r="T237" s="671"/>
      <c r="U237" s="671"/>
      <c r="V237" s="672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x14ac:dyDescent="0.2">
      <c r="A238" s="673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70" t="s">
        <v>40</v>
      </c>
      <c r="Q238" s="671"/>
      <c r="R238" s="671"/>
      <c r="S238" s="671"/>
      <c r="T238" s="671"/>
      <c r="U238" s="671"/>
      <c r="V238" s="672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customHeight="1" x14ac:dyDescent="0.25">
      <c r="A239" s="662" t="s">
        <v>411</v>
      </c>
      <c r="B239" s="662"/>
      <c r="C239" s="662"/>
      <c r="D239" s="662"/>
      <c r="E239" s="662"/>
      <c r="F239" s="662"/>
      <c r="G239" s="662"/>
      <c r="H239" s="662"/>
      <c r="I239" s="662"/>
      <c r="J239" s="662"/>
      <c r="K239" s="662"/>
      <c r="L239" s="662"/>
      <c r="M239" s="662"/>
      <c r="N239" s="662"/>
      <c r="O239" s="662"/>
      <c r="P239" s="662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2"/>
      <c r="AB239" s="62"/>
      <c r="AC239" s="62"/>
    </row>
    <row r="240" spans="1:68" ht="14.25" customHeight="1" x14ac:dyDescent="0.25">
      <c r="A240" s="663" t="s">
        <v>146</v>
      </c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3"/>
      <c r="AB240" s="63"/>
      <c r="AC240" s="63"/>
    </row>
    <row r="241" spans="1:68" ht="27" customHeight="1" x14ac:dyDescent="0.25">
      <c r="A241" s="60" t="s">
        <v>412</v>
      </c>
      <c r="B241" s="60" t="s">
        <v>413</v>
      </c>
      <c r="C241" s="34">
        <v>4301011450</v>
      </c>
      <c r="D241" s="664">
        <v>4680115881402</v>
      </c>
      <c r="E241" s="664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66"/>
      <c r="R241" s="666"/>
      <c r="S241" s="666"/>
      <c r="T241" s="66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415</v>
      </c>
      <c r="B242" s="60" t="s">
        <v>416</v>
      </c>
      <c r="C242" s="34">
        <v>4301011768</v>
      </c>
      <c r="D242" s="664">
        <v>4680115881396</v>
      </c>
      <c r="E242" s="664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66"/>
      <c r="R242" s="666"/>
      <c r="S242" s="666"/>
      <c r="T242" s="667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73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70" t="s">
        <v>40</v>
      </c>
      <c r="Q243" s="671"/>
      <c r="R243" s="671"/>
      <c r="S243" s="671"/>
      <c r="T243" s="671"/>
      <c r="U243" s="671"/>
      <c r="V243" s="672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70" t="s">
        <v>40</v>
      </c>
      <c r="Q244" s="671"/>
      <c r="R244" s="671"/>
      <c r="S244" s="671"/>
      <c r="T244" s="671"/>
      <c r="U244" s="671"/>
      <c r="V244" s="672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63" t="s">
        <v>180</v>
      </c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3"/>
      <c r="AB245" s="63"/>
      <c r="AC245" s="63"/>
    </row>
    <row r="246" spans="1:68" ht="16.5" customHeight="1" x14ac:dyDescent="0.25">
      <c r="A246" s="60" t="s">
        <v>417</v>
      </c>
      <c r="B246" s="60" t="s">
        <v>418</v>
      </c>
      <c r="C246" s="34">
        <v>4301020261</v>
      </c>
      <c r="D246" s="664">
        <v>4680115882935</v>
      </c>
      <c r="E246" s="664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66"/>
      <c r="R246" s="666"/>
      <c r="S246" s="666"/>
      <c r="T246" s="66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customHeight="1" x14ac:dyDescent="0.25">
      <c r="A247" s="60" t="s">
        <v>420</v>
      </c>
      <c r="B247" s="60" t="s">
        <v>421</v>
      </c>
      <c r="C247" s="34">
        <v>4301020220</v>
      </c>
      <c r="D247" s="664">
        <v>4680115880764</v>
      </c>
      <c r="E247" s="664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66"/>
      <c r="R247" s="666"/>
      <c r="S247" s="666"/>
      <c r="T247" s="66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70" t="s">
        <v>40</v>
      </c>
      <c r="Q248" s="671"/>
      <c r="R248" s="671"/>
      <c r="S248" s="671"/>
      <c r="T248" s="671"/>
      <c r="U248" s="671"/>
      <c r="V248" s="672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x14ac:dyDescent="0.2">
      <c r="A249" s="673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4"/>
      <c r="P249" s="670" t="s">
        <v>40</v>
      </c>
      <c r="Q249" s="671"/>
      <c r="R249" s="671"/>
      <c r="S249" s="671"/>
      <c r="T249" s="671"/>
      <c r="U249" s="671"/>
      <c r="V249" s="672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customHeight="1" x14ac:dyDescent="0.25">
      <c r="A250" s="663" t="s">
        <v>77</v>
      </c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64">
        <v>4680115882683</v>
      </c>
      <c r="E251" s="664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66"/>
      <c r="R251" s="666"/>
      <c r="S251" s="666"/>
      <c r="T251" s="667"/>
      <c r="U251" s="37" t="s">
        <v>46</v>
      </c>
      <c r="V251" s="37" t="s">
        <v>46</v>
      </c>
      <c r="W251" s="38" t="s">
        <v>0</v>
      </c>
      <c r="X251" s="56">
        <v>40</v>
      </c>
      <c r="Y251" s="53">
        <f t="shared" ref="Y251:Y258" si="27">IFERROR(IF(X251="",0,CEILING((X251/$H251),1)*$H251),"")</f>
        <v>43.2</v>
      </c>
      <c r="Z251" s="39">
        <f>IFERROR(IF(Y251=0,"",ROUNDUP(Y251/H251,0)*0.00902),"")</f>
        <v>7.2160000000000002E-2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41.407407407407405</v>
      </c>
      <c r="BN251" s="75">
        <f t="shared" ref="BN251:BN258" si="29">IFERROR(Y251*I251/H251,"0")</f>
        <v>44.72</v>
      </c>
      <c r="BO251" s="75">
        <f t="shared" ref="BO251:BO258" si="30">IFERROR(1/J251*(X251/H251),"0")</f>
        <v>5.6116722783389444E-2</v>
      </c>
      <c r="BP251" s="75">
        <f t="shared" ref="BP251:BP258" si="31">IFERROR(1/J251*(Y251/H251),"0")</f>
        <v>6.0606060606060608E-2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64">
        <v>4680115882690</v>
      </c>
      <c r="E252" s="664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8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66"/>
      <c r="R252" s="666"/>
      <c r="S252" s="666"/>
      <c r="T252" s="667"/>
      <c r="U252" s="37" t="s">
        <v>46</v>
      </c>
      <c r="V252" s="37" t="s">
        <v>46</v>
      </c>
      <c r="W252" s="38" t="s">
        <v>0</v>
      </c>
      <c r="X252" s="56">
        <v>25</v>
      </c>
      <c r="Y252" s="53">
        <f t="shared" si="27"/>
        <v>27</v>
      </c>
      <c r="Z252" s="39">
        <f>IFERROR(IF(Y252=0,"",ROUNDUP(Y252/H252,0)*0.00902),"")</f>
        <v>4.5100000000000001E-2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25.879629629629626</v>
      </c>
      <c r="BN252" s="75">
        <f t="shared" si="29"/>
        <v>27.95</v>
      </c>
      <c r="BO252" s="75">
        <f t="shared" si="30"/>
        <v>3.5072951739618406E-2</v>
      </c>
      <c r="BP252" s="75">
        <f t="shared" si="31"/>
        <v>3.787878787878788E-2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64">
        <v>4680115882669</v>
      </c>
      <c r="E253" s="664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66"/>
      <c r="R253" s="666"/>
      <c r="S253" s="666"/>
      <c r="T253" s="667"/>
      <c r="U253" s="37" t="s">
        <v>46</v>
      </c>
      <c r="V253" s="37" t="s">
        <v>46</v>
      </c>
      <c r="W253" s="38" t="s">
        <v>0</v>
      </c>
      <c r="X253" s="56">
        <v>140</v>
      </c>
      <c r="Y253" s="53">
        <f t="shared" si="27"/>
        <v>140.4</v>
      </c>
      <c r="Z253" s="39">
        <f>IFERROR(IF(Y253=0,"",ROUNDUP(Y253/H253,0)*0.00902),"")</f>
        <v>0.23452000000000001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144.92592592592592</v>
      </c>
      <c r="BN253" s="75">
        <f t="shared" si="29"/>
        <v>145.34</v>
      </c>
      <c r="BO253" s="75">
        <f t="shared" si="30"/>
        <v>0.19640852974186307</v>
      </c>
      <c r="BP253" s="75">
        <f t="shared" si="31"/>
        <v>0.19696969696969696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64">
        <v>4680115882676</v>
      </c>
      <c r="E254" s="664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66"/>
      <c r="R254" s="666"/>
      <c r="S254" s="666"/>
      <c r="T254" s="667"/>
      <c r="U254" s="37" t="s">
        <v>46</v>
      </c>
      <c r="V254" s="37" t="s">
        <v>46</v>
      </c>
      <c r="W254" s="38" t="s">
        <v>0</v>
      </c>
      <c r="X254" s="56">
        <v>125</v>
      </c>
      <c r="Y254" s="53">
        <f t="shared" si="27"/>
        <v>129.60000000000002</v>
      </c>
      <c r="Z254" s="39">
        <f>IFERROR(IF(Y254=0,"",ROUNDUP(Y254/H254,0)*0.00902),"")</f>
        <v>0.21648000000000001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129.39814814814815</v>
      </c>
      <c r="BN254" s="75">
        <f t="shared" si="29"/>
        <v>134.16</v>
      </c>
      <c r="BO254" s="75">
        <f t="shared" si="30"/>
        <v>0.17536475869809201</v>
      </c>
      <c r="BP254" s="75">
        <f t="shared" si="31"/>
        <v>0.18181818181818185</v>
      </c>
    </row>
    <row r="255" spans="1:68" ht="27" customHeight="1" x14ac:dyDescent="0.25">
      <c r="A255" s="60" t="s">
        <v>434</v>
      </c>
      <c r="B255" s="60" t="s">
        <v>435</v>
      </c>
      <c r="C255" s="34">
        <v>4301031223</v>
      </c>
      <c r="D255" s="664">
        <v>4680115884014</v>
      </c>
      <c r="E255" s="664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66"/>
      <c r="R255" s="666"/>
      <c r="S255" s="666"/>
      <c r="T255" s="667"/>
      <c r="U255" s="37" t="s">
        <v>46</v>
      </c>
      <c r="V255" s="37" t="s">
        <v>46</v>
      </c>
      <c r="W255" s="38" t="s">
        <v>0</v>
      </c>
      <c r="X255" s="56"/>
      <c r="Y255" s="53">
        <f t="shared" si="27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0</v>
      </c>
      <c r="BN255" s="75">
        <f t="shared" si="29"/>
        <v>0</v>
      </c>
      <c r="BO255" s="75">
        <f t="shared" si="30"/>
        <v>0</v>
      </c>
      <c r="BP255" s="75">
        <f t="shared" si="31"/>
        <v>0</v>
      </c>
    </row>
    <row r="256" spans="1:68" ht="27" customHeight="1" x14ac:dyDescent="0.25">
      <c r="A256" s="60" t="s">
        <v>436</v>
      </c>
      <c r="B256" s="60" t="s">
        <v>437</v>
      </c>
      <c r="C256" s="34">
        <v>4301031222</v>
      </c>
      <c r="D256" s="664">
        <v>4680115884007</v>
      </c>
      <c r="E256" s="664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66"/>
      <c r="R256" s="666"/>
      <c r="S256" s="666"/>
      <c r="T256" s="667"/>
      <c r="U256" s="37" t="s">
        <v>46</v>
      </c>
      <c r="V256" s="37" t="s">
        <v>46</v>
      </c>
      <c r="W256" s="38" t="s">
        <v>0</v>
      </c>
      <c r="X256" s="56"/>
      <c r="Y256" s="53">
        <f t="shared" si="27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0</v>
      </c>
      <c r="BN256" s="75">
        <f t="shared" si="29"/>
        <v>0</v>
      </c>
      <c r="BO256" s="75">
        <f t="shared" si="30"/>
        <v>0</v>
      </c>
      <c r="BP256" s="75">
        <f t="shared" si="31"/>
        <v>0</v>
      </c>
    </row>
    <row r="257" spans="1:68" ht="27" customHeight="1" x14ac:dyDescent="0.25">
      <c r="A257" s="60" t="s">
        <v>438</v>
      </c>
      <c r="B257" s="60" t="s">
        <v>439</v>
      </c>
      <c r="C257" s="34">
        <v>4301031229</v>
      </c>
      <c r="D257" s="664">
        <v>4680115884038</v>
      </c>
      <c r="E257" s="664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66"/>
      <c r="R257" s="666"/>
      <c r="S257" s="666"/>
      <c r="T257" s="667"/>
      <c r="U257" s="37" t="s">
        <v>46</v>
      </c>
      <c r="V257" s="37" t="s">
        <v>46</v>
      </c>
      <c r="W257" s="38" t="s">
        <v>0</v>
      </c>
      <c r="X257" s="56"/>
      <c r="Y257" s="53">
        <f t="shared" si="27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0</v>
      </c>
      <c r="BN257" s="75">
        <f t="shared" si="29"/>
        <v>0</v>
      </c>
      <c r="BO257" s="75">
        <f t="shared" si="30"/>
        <v>0</v>
      </c>
      <c r="BP257" s="75">
        <f t="shared" si="31"/>
        <v>0</v>
      </c>
    </row>
    <row r="258" spans="1:68" ht="27" customHeight="1" x14ac:dyDescent="0.25">
      <c r="A258" s="60" t="s">
        <v>440</v>
      </c>
      <c r="B258" s="60" t="s">
        <v>441</v>
      </c>
      <c r="C258" s="34">
        <v>4301031225</v>
      </c>
      <c r="D258" s="664">
        <v>4680115884021</v>
      </c>
      <c r="E258" s="664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66"/>
      <c r="R258" s="666"/>
      <c r="S258" s="666"/>
      <c r="T258" s="667"/>
      <c r="U258" s="37" t="s">
        <v>46</v>
      </c>
      <c r="V258" s="37" t="s">
        <v>46</v>
      </c>
      <c r="W258" s="38" t="s">
        <v>0</v>
      </c>
      <c r="X258" s="56"/>
      <c r="Y258" s="53">
        <f t="shared" si="27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0</v>
      </c>
      <c r="BN258" s="75">
        <f t="shared" si="29"/>
        <v>0</v>
      </c>
      <c r="BO258" s="75">
        <f t="shared" si="30"/>
        <v>0</v>
      </c>
      <c r="BP258" s="75">
        <f t="shared" si="31"/>
        <v>0</v>
      </c>
    </row>
    <row r="259" spans="1:68" x14ac:dyDescent="0.2">
      <c r="A259" s="673"/>
      <c r="B259" s="673"/>
      <c r="C259" s="673"/>
      <c r="D259" s="673"/>
      <c r="E259" s="673"/>
      <c r="F259" s="673"/>
      <c r="G259" s="673"/>
      <c r="H259" s="673"/>
      <c r="I259" s="673"/>
      <c r="J259" s="673"/>
      <c r="K259" s="673"/>
      <c r="L259" s="673"/>
      <c r="M259" s="673"/>
      <c r="N259" s="673"/>
      <c r="O259" s="674"/>
      <c r="P259" s="670" t="s">
        <v>40</v>
      </c>
      <c r="Q259" s="671"/>
      <c r="R259" s="671"/>
      <c r="S259" s="671"/>
      <c r="T259" s="671"/>
      <c r="U259" s="671"/>
      <c r="V259" s="672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61.111111111111107</v>
      </c>
      <c r="Y259" s="41">
        <f>IFERROR(Y251/H251,"0")+IFERROR(Y252/H252,"0")+IFERROR(Y253/H253,"0")+IFERROR(Y254/H254,"0")+IFERROR(Y255/H255,"0")+IFERROR(Y256/H256,"0")+IFERROR(Y257/H257,"0")+IFERROR(Y258/H258,"0")</f>
        <v>63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0.56825999999999999</v>
      </c>
      <c r="AA259" s="64"/>
      <c r="AB259" s="64"/>
      <c r="AC259" s="64"/>
    </row>
    <row r="260" spans="1:68" x14ac:dyDescent="0.2">
      <c r="A260" s="673"/>
      <c r="B260" s="673"/>
      <c r="C260" s="673"/>
      <c r="D260" s="673"/>
      <c r="E260" s="673"/>
      <c r="F260" s="673"/>
      <c r="G260" s="673"/>
      <c r="H260" s="673"/>
      <c r="I260" s="673"/>
      <c r="J260" s="673"/>
      <c r="K260" s="673"/>
      <c r="L260" s="673"/>
      <c r="M260" s="673"/>
      <c r="N260" s="673"/>
      <c r="O260" s="674"/>
      <c r="P260" s="670" t="s">
        <v>40</v>
      </c>
      <c r="Q260" s="671"/>
      <c r="R260" s="671"/>
      <c r="S260" s="671"/>
      <c r="T260" s="671"/>
      <c r="U260" s="671"/>
      <c r="V260" s="672"/>
      <c r="W260" s="40" t="s">
        <v>0</v>
      </c>
      <c r="X260" s="41">
        <f>IFERROR(SUM(X251:X258),"0")</f>
        <v>330</v>
      </c>
      <c r="Y260" s="41">
        <f>IFERROR(SUM(Y251:Y258),"0")</f>
        <v>340.20000000000005</v>
      </c>
      <c r="Z260" s="40"/>
      <c r="AA260" s="64"/>
      <c r="AB260" s="64"/>
      <c r="AC260" s="64"/>
    </row>
    <row r="261" spans="1:68" ht="14.25" customHeight="1" x14ac:dyDescent="0.25">
      <c r="A261" s="663" t="s">
        <v>92</v>
      </c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3"/>
      <c r="AB261" s="63"/>
      <c r="AC261" s="63"/>
    </row>
    <row r="262" spans="1:68" ht="37.5" customHeight="1" x14ac:dyDescent="0.25">
      <c r="A262" s="60" t="s">
        <v>442</v>
      </c>
      <c r="B262" s="60" t="s">
        <v>443</v>
      </c>
      <c r="C262" s="34">
        <v>4301051408</v>
      </c>
      <c r="D262" s="664">
        <v>4680115881594</v>
      </c>
      <c r="E262" s="664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66"/>
      <c r="R262" s="666"/>
      <c r="S262" s="666"/>
      <c r="T262" s="667"/>
      <c r="U262" s="37" t="s">
        <v>46</v>
      </c>
      <c r="V262" s="37" t="s">
        <v>46</v>
      </c>
      <c r="W262" s="38" t="s">
        <v>0</v>
      </c>
      <c r="X262" s="56">
        <v>32</v>
      </c>
      <c r="Y262" s="53">
        <f t="shared" ref="Y262:Y271" si="32">IFERROR(IF(X262="",0,CEILING((X262/$H262),1)*$H262),"")</f>
        <v>32.4</v>
      </c>
      <c r="Z262" s="39">
        <f>IFERROR(IF(Y262=0,"",ROUNDUP(Y262/H262,0)*0.01898),"")</f>
        <v>7.5920000000000001E-2</v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33.951604938271608</v>
      </c>
      <c r="BN262" s="75">
        <f t="shared" ref="BN262:BN271" si="34">IFERROR(Y262*I262/H262,"0")</f>
        <v>34.375999999999998</v>
      </c>
      <c r="BO262" s="75">
        <f t="shared" ref="BO262:BO271" si="35">IFERROR(1/J262*(X262/H262),"0")</f>
        <v>6.1728395061728399E-2</v>
      </c>
      <c r="BP262" s="75">
        <f t="shared" ref="BP262:BP271" si="36">IFERROR(1/J262*(Y262/H262),"0")</f>
        <v>6.25E-2</v>
      </c>
    </row>
    <row r="263" spans="1:68" ht="37.5" customHeight="1" x14ac:dyDescent="0.25">
      <c r="A263" s="60" t="s">
        <v>445</v>
      </c>
      <c r="B263" s="60" t="s">
        <v>446</v>
      </c>
      <c r="C263" s="34">
        <v>4301051411</v>
      </c>
      <c r="D263" s="664">
        <v>4680115881617</v>
      </c>
      <c r="E263" s="664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66"/>
      <c r="R263" s="666"/>
      <c r="S263" s="666"/>
      <c r="T263" s="667"/>
      <c r="U263" s="37" t="s">
        <v>46</v>
      </c>
      <c r="V263" s="37" t="s">
        <v>46</v>
      </c>
      <c r="W263" s="38" t="s">
        <v>0</v>
      </c>
      <c r="X263" s="56"/>
      <c r="Y263" s="53">
        <f t="shared" si="32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customHeight="1" x14ac:dyDescent="0.25">
      <c r="A264" s="60" t="s">
        <v>448</v>
      </c>
      <c r="B264" s="60" t="s">
        <v>449</v>
      </c>
      <c r="C264" s="34">
        <v>4301051656</v>
      </c>
      <c r="D264" s="664">
        <v>4680115880573</v>
      </c>
      <c r="E264" s="664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66"/>
      <c r="R264" s="666"/>
      <c r="S264" s="666"/>
      <c r="T264" s="667"/>
      <c r="U264" s="37" t="s">
        <v>46</v>
      </c>
      <c r="V264" s="37" t="s">
        <v>46</v>
      </c>
      <c r="W264" s="38" t="s">
        <v>0</v>
      </c>
      <c r="X264" s="56"/>
      <c r="Y264" s="53">
        <f t="shared" si="32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0</v>
      </c>
      <c r="BN264" s="75">
        <f t="shared" si="34"/>
        <v>0</v>
      </c>
      <c r="BO264" s="75">
        <f t="shared" si="35"/>
        <v>0</v>
      </c>
      <c r="BP264" s="75">
        <f t="shared" si="36"/>
        <v>0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64">
        <v>4680115882195</v>
      </c>
      <c r="E265" s="664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66"/>
      <c r="R265" s="666"/>
      <c r="S265" s="666"/>
      <c r="T265" s="667"/>
      <c r="U265" s="37" t="s">
        <v>46</v>
      </c>
      <c r="V265" s="37" t="s">
        <v>46</v>
      </c>
      <c r="W265" s="38" t="s">
        <v>0</v>
      </c>
      <c r="X265" s="56">
        <v>240</v>
      </c>
      <c r="Y265" s="53">
        <f t="shared" si="32"/>
        <v>240</v>
      </c>
      <c r="Z265" s="39">
        <f t="shared" ref="Z265:Z271" si="37">IFERROR(IF(Y265=0,"",ROUNDUP(Y265/H265,0)*0.00651),"")</f>
        <v>0.65100000000000002</v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267</v>
      </c>
      <c r="BN265" s="75">
        <f t="shared" si="34"/>
        <v>267</v>
      </c>
      <c r="BO265" s="75">
        <f t="shared" si="35"/>
        <v>0.5494505494505495</v>
      </c>
      <c r="BP265" s="75">
        <f t="shared" si="36"/>
        <v>0.5494505494505495</v>
      </c>
    </row>
    <row r="266" spans="1:68" ht="27" customHeight="1" x14ac:dyDescent="0.25">
      <c r="A266" s="60" t="s">
        <v>453</v>
      </c>
      <c r="B266" s="60" t="s">
        <v>454</v>
      </c>
      <c r="C266" s="34">
        <v>4301051752</v>
      </c>
      <c r="D266" s="664">
        <v>4680115882607</v>
      </c>
      <c r="E266" s="664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66"/>
      <c r="R266" s="666"/>
      <c r="S266" s="666"/>
      <c r="T266" s="667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64">
        <v>4680115880092</v>
      </c>
      <c r="E267" s="664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66"/>
      <c r="R267" s="666"/>
      <c r="S267" s="666"/>
      <c r="T267" s="667"/>
      <c r="U267" s="37" t="s">
        <v>46</v>
      </c>
      <c r="V267" s="37" t="s">
        <v>46</v>
      </c>
      <c r="W267" s="38" t="s">
        <v>0</v>
      </c>
      <c r="X267" s="56">
        <v>192</v>
      </c>
      <c r="Y267" s="53">
        <f t="shared" si="32"/>
        <v>192</v>
      </c>
      <c r="Z267" s="39">
        <f t="shared" si="37"/>
        <v>0.52080000000000004</v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212.16000000000003</v>
      </c>
      <c r="BN267" s="75">
        <f t="shared" si="34"/>
        <v>212.16000000000003</v>
      </c>
      <c r="BO267" s="75">
        <f t="shared" si="35"/>
        <v>0.43956043956043961</v>
      </c>
      <c r="BP267" s="75">
        <f t="shared" si="36"/>
        <v>0.43956043956043961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64">
        <v>4680115880221</v>
      </c>
      <c r="E268" s="664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8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66"/>
      <c r="R268" s="666"/>
      <c r="S268" s="666"/>
      <c r="T268" s="667"/>
      <c r="U268" s="37" t="s">
        <v>46</v>
      </c>
      <c r="V268" s="37" t="s">
        <v>46</v>
      </c>
      <c r="W268" s="38" t="s">
        <v>0</v>
      </c>
      <c r="X268" s="56">
        <v>120</v>
      </c>
      <c r="Y268" s="53">
        <f t="shared" si="32"/>
        <v>120</v>
      </c>
      <c r="Z268" s="39">
        <f t="shared" si="37"/>
        <v>0.32550000000000001</v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132.60000000000002</v>
      </c>
      <c r="BN268" s="75">
        <f t="shared" si="34"/>
        <v>132.60000000000002</v>
      </c>
      <c r="BO268" s="75">
        <f t="shared" si="35"/>
        <v>0.27472527472527475</v>
      </c>
      <c r="BP268" s="75">
        <f t="shared" si="36"/>
        <v>0.27472527472527475</v>
      </c>
    </row>
    <row r="269" spans="1:68" ht="27" customHeight="1" x14ac:dyDescent="0.25">
      <c r="A269" s="60" t="s">
        <v>459</v>
      </c>
      <c r="B269" s="60" t="s">
        <v>460</v>
      </c>
      <c r="C269" s="34">
        <v>4301051945</v>
      </c>
      <c r="D269" s="664">
        <v>4680115880504</v>
      </c>
      <c r="E269" s="664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66"/>
      <c r="R269" s="666"/>
      <c r="S269" s="666"/>
      <c r="T269" s="667"/>
      <c r="U269" s="37" t="s">
        <v>46</v>
      </c>
      <c r="V269" s="37" t="s">
        <v>46</v>
      </c>
      <c r="W269" s="38" t="s">
        <v>0</v>
      </c>
      <c r="X269" s="56">
        <v>120</v>
      </c>
      <c r="Y269" s="53">
        <f t="shared" si="32"/>
        <v>120</v>
      </c>
      <c r="Z269" s="39">
        <f t="shared" si="37"/>
        <v>0.32550000000000001</v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132.60000000000002</v>
      </c>
      <c r="BN269" s="75">
        <f t="shared" si="34"/>
        <v>132.60000000000002</v>
      </c>
      <c r="BO269" s="75">
        <f t="shared" si="35"/>
        <v>0.27472527472527475</v>
      </c>
      <c r="BP269" s="75">
        <f t="shared" si="36"/>
        <v>0.27472527472527475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64">
        <v>4680115882164</v>
      </c>
      <c r="E270" s="664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66"/>
      <c r="R270" s="666"/>
      <c r="S270" s="666"/>
      <c r="T270" s="667"/>
      <c r="U270" s="37" t="s">
        <v>46</v>
      </c>
      <c r="V270" s="37" t="s">
        <v>46</v>
      </c>
      <c r="W270" s="38" t="s">
        <v>0</v>
      </c>
      <c r="X270" s="56">
        <v>240</v>
      </c>
      <c r="Y270" s="53">
        <f t="shared" si="32"/>
        <v>240</v>
      </c>
      <c r="Z270" s="39">
        <f t="shared" si="37"/>
        <v>0.65100000000000002</v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265.8</v>
      </c>
      <c r="BN270" s="75">
        <f t="shared" si="34"/>
        <v>265.8</v>
      </c>
      <c r="BO270" s="75">
        <f t="shared" si="35"/>
        <v>0.5494505494505495</v>
      </c>
      <c r="BP270" s="75">
        <f t="shared" si="36"/>
        <v>0.5494505494505495</v>
      </c>
    </row>
    <row r="271" spans="1:68" ht="27" customHeight="1" x14ac:dyDescent="0.25">
      <c r="A271" s="60" t="s">
        <v>465</v>
      </c>
      <c r="B271" s="60" t="s">
        <v>466</v>
      </c>
      <c r="C271" s="34">
        <v>4301052180</v>
      </c>
      <c r="D271" s="664">
        <v>4680115888340</v>
      </c>
      <c r="E271" s="664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80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66"/>
      <c r="R271" s="666"/>
      <c r="S271" s="666"/>
      <c r="T271" s="667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73"/>
      <c r="B272" s="673"/>
      <c r="C272" s="673"/>
      <c r="D272" s="673"/>
      <c r="E272" s="673"/>
      <c r="F272" s="673"/>
      <c r="G272" s="673"/>
      <c r="H272" s="673"/>
      <c r="I272" s="673"/>
      <c r="J272" s="673"/>
      <c r="K272" s="673"/>
      <c r="L272" s="673"/>
      <c r="M272" s="673"/>
      <c r="N272" s="673"/>
      <c r="O272" s="674"/>
      <c r="P272" s="670" t="s">
        <v>40</v>
      </c>
      <c r="Q272" s="671"/>
      <c r="R272" s="671"/>
      <c r="S272" s="671"/>
      <c r="T272" s="671"/>
      <c r="U272" s="671"/>
      <c r="V272" s="672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383.95061728395063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384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2.5497199999999998</v>
      </c>
      <c r="AA272" s="64"/>
      <c r="AB272" s="64"/>
      <c r="AC272" s="64"/>
    </row>
    <row r="273" spans="1:68" x14ac:dyDescent="0.2">
      <c r="A273" s="673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70" t="s">
        <v>40</v>
      </c>
      <c r="Q273" s="671"/>
      <c r="R273" s="671"/>
      <c r="S273" s="671"/>
      <c r="T273" s="671"/>
      <c r="U273" s="671"/>
      <c r="V273" s="672"/>
      <c r="W273" s="40" t="s">
        <v>0</v>
      </c>
      <c r="X273" s="41">
        <f>IFERROR(SUM(X262:X271),"0")</f>
        <v>944</v>
      </c>
      <c r="Y273" s="41">
        <f>IFERROR(SUM(Y262:Y271),"0")</f>
        <v>944.4</v>
      </c>
      <c r="Z273" s="40"/>
      <c r="AA273" s="64"/>
      <c r="AB273" s="64"/>
      <c r="AC273" s="64"/>
    </row>
    <row r="274" spans="1:68" ht="14.25" customHeight="1" x14ac:dyDescent="0.25">
      <c r="A274" s="663" t="s">
        <v>197</v>
      </c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A274" s="63"/>
      <c r="AB274" s="63"/>
      <c r="AC274" s="63"/>
    </row>
    <row r="275" spans="1:68" ht="27" customHeight="1" x14ac:dyDescent="0.25">
      <c r="A275" s="60" t="s">
        <v>468</v>
      </c>
      <c r="B275" s="60" t="s">
        <v>469</v>
      </c>
      <c r="C275" s="34">
        <v>4301060463</v>
      </c>
      <c r="D275" s="664">
        <v>4680115880818</v>
      </c>
      <c r="E275" s="66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8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66"/>
      <c r="R275" s="666"/>
      <c r="S275" s="666"/>
      <c r="T275" s="667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customHeight="1" x14ac:dyDescent="0.25">
      <c r="A276" s="60" t="s">
        <v>471</v>
      </c>
      <c r="B276" s="60" t="s">
        <v>472</v>
      </c>
      <c r="C276" s="34">
        <v>4301060389</v>
      </c>
      <c r="D276" s="664">
        <v>4680115880801</v>
      </c>
      <c r="E276" s="66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66"/>
      <c r="R276" s="666"/>
      <c r="S276" s="666"/>
      <c r="T276" s="667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x14ac:dyDescent="0.2">
      <c r="A277" s="673"/>
      <c r="B277" s="673"/>
      <c r="C277" s="673"/>
      <c r="D277" s="673"/>
      <c r="E277" s="673"/>
      <c r="F277" s="673"/>
      <c r="G277" s="673"/>
      <c r="H277" s="673"/>
      <c r="I277" s="673"/>
      <c r="J277" s="673"/>
      <c r="K277" s="673"/>
      <c r="L277" s="673"/>
      <c r="M277" s="673"/>
      <c r="N277" s="673"/>
      <c r="O277" s="674"/>
      <c r="P277" s="670" t="s">
        <v>40</v>
      </c>
      <c r="Q277" s="671"/>
      <c r="R277" s="671"/>
      <c r="S277" s="671"/>
      <c r="T277" s="671"/>
      <c r="U277" s="671"/>
      <c r="V277" s="672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x14ac:dyDescent="0.2">
      <c r="A278" s="673"/>
      <c r="B278" s="673"/>
      <c r="C278" s="673"/>
      <c r="D278" s="673"/>
      <c r="E278" s="673"/>
      <c r="F278" s="673"/>
      <c r="G278" s="673"/>
      <c r="H278" s="673"/>
      <c r="I278" s="673"/>
      <c r="J278" s="673"/>
      <c r="K278" s="673"/>
      <c r="L278" s="673"/>
      <c r="M278" s="673"/>
      <c r="N278" s="673"/>
      <c r="O278" s="674"/>
      <c r="P278" s="670" t="s">
        <v>40</v>
      </c>
      <c r="Q278" s="671"/>
      <c r="R278" s="671"/>
      <c r="S278" s="671"/>
      <c r="T278" s="671"/>
      <c r="U278" s="671"/>
      <c r="V278" s="672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customHeight="1" x14ac:dyDescent="0.25">
      <c r="A279" s="662" t="s">
        <v>474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2"/>
      <c r="AB279" s="62"/>
      <c r="AC279" s="62"/>
    </row>
    <row r="280" spans="1:68" ht="14.25" customHeight="1" x14ac:dyDescent="0.25">
      <c r="A280" s="663" t="s">
        <v>146</v>
      </c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A280" s="63"/>
      <c r="AB280" s="63"/>
      <c r="AC280" s="63"/>
    </row>
    <row r="281" spans="1:68" ht="27" customHeight="1" x14ac:dyDescent="0.25">
      <c r="A281" s="60" t="s">
        <v>475</v>
      </c>
      <c r="B281" s="60" t="s">
        <v>476</v>
      </c>
      <c r="C281" s="34">
        <v>4301011826</v>
      </c>
      <c r="D281" s="664">
        <v>4680115884137</v>
      </c>
      <c r="E281" s="664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80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66"/>
      <c r="R281" s="666"/>
      <c r="S281" s="666"/>
      <c r="T281" s="66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customHeight="1" x14ac:dyDescent="0.25">
      <c r="A282" s="60" t="s">
        <v>478</v>
      </c>
      <c r="B282" s="60" t="s">
        <v>479</v>
      </c>
      <c r="C282" s="34">
        <v>4301011724</v>
      </c>
      <c r="D282" s="664">
        <v>4680115884236</v>
      </c>
      <c r="E282" s="664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80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66"/>
      <c r="R282" s="666"/>
      <c r="S282" s="666"/>
      <c r="T282" s="66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customHeight="1" x14ac:dyDescent="0.25">
      <c r="A283" s="60" t="s">
        <v>481</v>
      </c>
      <c r="B283" s="60" t="s">
        <v>482</v>
      </c>
      <c r="C283" s="34">
        <v>4301011721</v>
      </c>
      <c r="D283" s="664">
        <v>4680115884175</v>
      </c>
      <c r="E283" s="664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8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66"/>
      <c r="R283" s="666"/>
      <c r="S283" s="666"/>
      <c r="T283" s="66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customHeight="1" x14ac:dyDescent="0.25">
      <c r="A284" s="60" t="s">
        <v>483</v>
      </c>
      <c r="B284" s="60" t="s">
        <v>484</v>
      </c>
      <c r="C284" s="34">
        <v>4301011824</v>
      </c>
      <c r="D284" s="664">
        <v>4680115884144</v>
      </c>
      <c r="E284" s="664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66"/>
      <c r="R284" s="666"/>
      <c r="S284" s="666"/>
      <c r="T284" s="66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customHeight="1" x14ac:dyDescent="0.25">
      <c r="A285" s="60" t="s">
        <v>485</v>
      </c>
      <c r="B285" s="60" t="s">
        <v>486</v>
      </c>
      <c r="C285" s="34">
        <v>4301012149</v>
      </c>
      <c r="D285" s="664">
        <v>4680115886551</v>
      </c>
      <c r="E285" s="664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66"/>
      <c r="R285" s="666"/>
      <c r="S285" s="666"/>
      <c r="T285" s="66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customHeight="1" x14ac:dyDescent="0.25">
      <c r="A286" s="60" t="s">
        <v>488</v>
      </c>
      <c r="B286" s="60" t="s">
        <v>489</v>
      </c>
      <c r="C286" s="34">
        <v>4301012228</v>
      </c>
      <c r="D286" s="664">
        <v>4680115887282</v>
      </c>
      <c r="E286" s="664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66"/>
      <c r="R286" s="666"/>
      <c r="S286" s="666"/>
      <c r="T286" s="66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customHeight="1" x14ac:dyDescent="0.25">
      <c r="A287" s="60" t="s">
        <v>491</v>
      </c>
      <c r="B287" s="60" t="s">
        <v>492</v>
      </c>
      <c r="C287" s="34">
        <v>4301011722</v>
      </c>
      <c r="D287" s="664">
        <v>4680115884205</v>
      </c>
      <c r="E287" s="664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81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66"/>
      <c r="R287" s="666"/>
      <c r="S287" s="666"/>
      <c r="T287" s="66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70" t="s">
        <v>40</v>
      </c>
      <c r="Q288" s="671"/>
      <c r="R288" s="671"/>
      <c r="S288" s="671"/>
      <c r="T288" s="671"/>
      <c r="U288" s="671"/>
      <c r="V288" s="672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x14ac:dyDescent="0.2">
      <c r="A289" s="673"/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4"/>
      <c r="P289" s="670" t="s">
        <v>40</v>
      </c>
      <c r="Q289" s="671"/>
      <c r="R289" s="671"/>
      <c r="S289" s="671"/>
      <c r="T289" s="671"/>
      <c r="U289" s="671"/>
      <c r="V289" s="672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customHeight="1" x14ac:dyDescent="0.25">
      <c r="A290" s="663" t="s">
        <v>180</v>
      </c>
      <c r="B290" s="663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A290" s="63"/>
      <c r="AB290" s="63"/>
      <c r="AC290" s="63"/>
    </row>
    <row r="291" spans="1:68" ht="27" customHeight="1" x14ac:dyDescent="0.25">
      <c r="A291" s="60" t="s">
        <v>493</v>
      </c>
      <c r="B291" s="60" t="s">
        <v>494</v>
      </c>
      <c r="C291" s="34">
        <v>4301020377</v>
      </c>
      <c r="D291" s="664">
        <v>4680115885981</v>
      </c>
      <c r="E291" s="664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66"/>
      <c r="R291" s="666"/>
      <c r="S291" s="666"/>
      <c r="T291" s="66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70" t="s">
        <v>40</v>
      </c>
      <c r="Q292" s="671"/>
      <c r="R292" s="671"/>
      <c r="S292" s="671"/>
      <c r="T292" s="671"/>
      <c r="U292" s="671"/>
      <c r="V292" s="672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x14ac:dyDescent="0.2">
      <c r="A293" s="673"/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4"/>
      <c r="P293" s="670" t="s">
        <v>40</v>
      </c>
      <c r="Q293" s="671"/>
      <c r="R293" s="671"/>
      <c r="S293" s="671"/>
      <c r="T293" s="671"/>
      <c r="U293" s="671"/>
      <c r="V293" s="672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customHeight="1" x14ac:dyDescent="0.25">
      <c r="A294" s="663" t="s">
        <v>496</v>
      </c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A294" s="63"/>
      <c r="AB294" s="63"/>
      <c r="AC294" s="63"/>
    </row>
    <row r="295" spans="1:68" ht="27" customHeight="1" x14ac:dyDescent="0.25">
      <c r="A295" s="60" t="s">
        <v>497</v>
      </c>
      <c r="B295" s="60" t="s">
        <v>498</v>
      </c>
      <c r="C295" s="34">
        <v>4301040362</v>
      </c>
      <c r="D295" s="664">
        <v>4680115886803</v>
      </c>
      <c r="E295" s="664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66"/>
      <c r="R295" s="666"/>
      <c r="S295" s="666"/>
      <c r="T295" s="66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70" t="s">
        <v>40</v>
      </c>
      <c r="Q296" s="671"/>
      <c r="R296" s="671"/>
      <c r="S296" s="671"/>
      <c r="T296" s="671"/>
      <c r="U296" s="671"/>
      <c r="V296" s="672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x14ac:dyDescent="0.2">
      <c r="A297" s="673"/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4"/>
      <c r="P297" s="670" t="s">
        <v>40</v>
      </c>
      <c r="Q297" s="671"/>
      <c r="R297" s="671"/>
      <c r="S297" s="671"/>
      <c r="T297" s="671"/>
      <c r="U297" s="671"/>
      <c r="V297" s="672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customHeight="1" x14ac:dyDescent="0.25">
      <c r="A298" s="663" t="s">
        <v>338</v>
      </c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A298" s="63"/>
      <c r="AB298" s="63"/>
      <c r="AC298" s="63"/>
    </row>
    <row r="299" spans="1:68" ht="27" customHeight="1" x14ac:dyDescent="0.25">
      <c r="A299" s="60" t="s">
        <v>500</v>
      </c>
      <c r="B299" s="60" t="s">
        <v>501</v>
      </c>
      <c r="C299" s="34">
        <v>4301041004</v>
      </c>
      <c r="D299" s="664">
        <v>4680115886704</v>
      </c>
      <c r="E299" s="664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81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66"/>
      <c r="R299" s="666"/>
      <c r="S299" s="666"/>
      <c r="T299" s="667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503</v>
      </c>
      <c r="B300" s="60" t="s">
        <v>504</v>
      </c>
      <c r="C300" s="34">
        <v>4301041008</v>
      </c>
      <c r="D300" s="664">
        <v>4680115886681</v>
      </c>
      <c r="E300" s="664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8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66"/>
      <c r="R300" s="666"/>
      <c r="S300" s="666"/>
      <c r="T300" s="667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505</v>
      </c>
      <c r="B301" s="60" t="s">
        <v>506</v>
      </c>
      <c r="C301" s="34">
        <v>4301041007</v>
      </c>
      <c r="D301" s="664">
        <v>4680115886735</v>
      </c>
      <c r="E301" s="664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8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66"/>
      <c r="R301" s="666"/>
      <c r="S301" s="666"/>
      <c r="T301" s="66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customHeight="1" x14ac:dyDescent="0.25">
      <c r="A302" s="60" t="s">
        <v>507</v>
      </c>
      <c r="B302" s="60" t="s">
        <v>508</v>
      </c>
      <c r="C302" s="34">
        <v>4301041006</v>
      </c>
      <c r="D302" s="664">
        <v>4680115886728</v>
      </c>
      <c r="E302" s="664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8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66"/>
      <c r="R302" s="666"/>
      <c r="S302" s="666"/>
      <c r="T302" s="667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customHeight="1" x14ac:dyDescent="0.25">
      <c r="A303" s="60" t="s">
        <v>509</v>
      </c>
      <c r="B303" s="60" t="s">
        <v>510</v>
      </c>
      <c r="C303" s="34">
        <v>4301041005</v>
      </c>
      <c r="D303" s="664">
        <v>4680115886711</v>
      </c>
      <c r="E303" s="664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8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66"/>
      <c r="R303" s="666"/>
      <c r="S303" s="666"/>
      <c r="T303" s="667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x14ac:dyDescent="0.2">
      <c r="A304" s="673"/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4"/>
      <c r="P304" s="670" t="s">
        <v>40</v>
      </c>
      <c r="Q304" s="671"/>
      <c r="R304" s="671"/>
      <c r="S304" s="671"/>
      <c r="T304" s="671"/>
      <c r="U304" s="671"/>
      <c r="V304" s="672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x14ac:dyDescent="0.2">
      <c r="A305" s="673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70" t="s">
        <v>40</v>
      </c>
      <c r="Q305" s="671"/>
      <c r="R305" s="671"/>
      <c r="S305" s="671"/>
      <c r="T305" s="671"/>
      <c r="U305" s="671"/>
      <c r="V305" s="672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customHeight="1" x14ac:dyDescent="0.25">
      <c r="A306" s="662" t="s">
        <v>511</v>
      </c>
      <c r="B306" s="662"/>
      <c r="C306" s="662"/>
      <c r="D306" s="662"/>
      <c r="E306" s="662"/>
      <c r="F306" s="662"/>
      <c r="G306" s="662"/>
      <c r="H306" s="662"/>
      <c r="I306" s="662"/>
      <c r="J306" s="662"/>
      <c r="K306" s="662"/>
      <c r="L306" s="662"/>
      <c r="M306" s="662"/>
      <c r="N306" s="662"/>
      <c r="O306" s="662"/>
      <c r="P306" s="662"/>
      <c r="Q306" s="662"/>
      <c r="R306" s="662"/>
      <c r="S306" s="662"/>
      <c r="T306" s="662"/>
      <c r="U306" s="662"/>
      <c r="V306" s="662"/>
      <c r="W306" s="662"/>
      <c r="X306" s="662"/>
      <c r="Y306" s="662"/>
      <c r="Z306" s="662"/>
      <c r="AA306" s="62"/>
      <c r="AB306" s="62"/>
      <c r="AC306" s="62"/>
    </row>
    <row r="307" spans="1:68" ht="14.25" customHeight="1" x14ac:dyDescent="0.25">
      <c r="A307" s="663" t="s">
        <v>146</v>
      </c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A307" s="63"/>
      <c r="AB307" s="63"/>
      <c r="AC307" s="63"/>
    </row>
    <row r="308" spans="1:68" ht="27" customHeight="1" x14ac:dyDescent="0.25">
      <c r="A308" s="60" t="s">
        <v>512</v>
      </c>
      <c r="B308" s="60" t="s">
        <v>513</v>
      </c>
      <c r="C308" s="34">
        <v>4301011855</v>
      </c>
      <c r="D308" s="664">
        <v>4680115885837</v>
      </c>
      <c r="E308" s="664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8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66"/>
      <c r="R308" s="666"/>
      <c r="S308" s="666"/>
      <c r="T308" s="667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customHeight="1" x14ac:dyDescent="0.25">
      <c r="A309" s="60" t="s">
        <v>515</v>
      </c>
      <c r="B309" s="60" t="s">
        <v>516</v>
      </c>
      <c r="C309" s="34">
        <v>4301012234</v>
      </c>
      <c r="D309" s="664">
        <v>4680115887237</v>
      </c>
      <c r="E309" s="664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82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66"/>
      <c r="R309" s="666"/>
      <c r="S309" s="666"/>
      <c r="T309" s="667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518</v>
      </c>
      <c r="B310" s="60" t="s">
        <v>519</v>
      </c>
      <c r="C310" s="34">
        <v>4301011850</v>
      </c>
      <c r="D310" s="664">
        <v>4680115885806</v>
      </c>
      <c r="E310" s="664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8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66"/>
      <c r="R310" s="666"/>
      <c r="S310" s="666"/>
      <c r="T310" s="667"/>
      <c r="U310" s="37" t="s">
        <v>46</v>
      </c>
      <c r="V310" s="37" t="s">
        <v>46</v>
      </c>
      <c r="W310" s="38" t="s">
        <v>0</v>
      </c>
      <c r="X310" s="56">
        <v>10</v>
      </c>
      <c r="Y310" s="53">
        <f>IFERROR(IF(X310="",0,CEILING((X310/$H310),1)*$H310),"")</f>
        <v>10.8</v>
      </c>
      <c r="Z310" s="39">
        <f>IFERROR(IF(Y310=0,"",ROUNDUP(Y310/H310,0)*0.01898),"")</f>
        <v>1.898E-2</v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10.37962962962963</v>
      </c>
      <c r="BN310" s="75">
        <f>IFERROR(Y310*I310/H310,"0")</f>
        <v>11.21</v>
      </c>
      <c r="BO310" s="75">
        <f>IFERROR(1/J310*(X310/H310),"0")</f>
        <v>1.4467592592592591E-2</v>
      </c>
      <c r="BP310" s="75">
        <f>IFERROR(1/J310*(Y310/H310),"0")</f>
        <v>1.5625E-2</v>
      </c>
    </row>
    <row r="311" spans="1:68" ht="27" customHeight="1" x14ac:dyDescent="0.25">
      <c r="A311" s="60" t="s">
        <v>521</v>
      </c>
      <c r="B311" s="60" t="s">
        <v>522</v>
      </c>
      <c r="C311" s="34">
        <v>4301011852</v>
      </c>
      <c r="D311" s="664">
        <v>4680115885844</v>
      </c>
      <c r="E311" s="664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8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66"/>
      <c r="R311" s="666"/>
      <c r="S311" s="666"/>
      <c r="T311" s="667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customHeight="1" x14ac:dyDescent="0.25">
      <c r="A312" s="60" t="s">
        <v>524</v>
      </c>
      <c r="B312" s="60" t="s">
        <v>525</v>
      </c>
      <c r="C312" s="34">
        <v>4301011851</v>
      </c>
      <c r="D312" s="664">
        <v>4680115885820</v>
      </c>
      <c r="E312" s="664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8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66"/>
      <c r="R312" s="666"/>
      <c r="S312" s="666"/>
      <c r="T312" s="667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x14ac:dyDescent="0.2">
      <c r="A313" s="673"/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4"/>
      <c r="P313" s="670" t="s">
        <v>40</v>
      </c>
      <c r="Q313" s="671"/>
      <c r="R313" s="671"/>
      <c r="S313" s="671"/>
      <c r="T313" s="671"/>
      <c r="U313" s="671"/>
      <c r="V313" s="672"/>
      <c r="W313" s="40" t="s">
        <v>39</v>
      </c>
      <c r="X313" s="41">
        <f>IFERROR(X308/H308,"0")+IFERROR(X309/H309,"0")+IFERROR(X310/H310,"0")+IFERROR(X311/H311,"0")+IFERROR(X312/H312,"0")</f>
        <v>0.92592592592592582</v>
      </c>
      <c r="Y313" s="41">
        <f>IFERROR(Y308/H308,"0")+IFERROR(Y309/H309,"0")+IFERROR(Y310/H310,"0")+IFERROR(Y311/H311,"0")+IFERROR(Y312/H312,"0")</f>
        <v>1</v>
      </c>
      <c r="Z313" s="41">
        <f>IFERROR(IF(Z308="",0,Z308),"0")+IFERROR(IF(Z309="",0,Z309),"0")+IFERROR(IF(Z310="",0,Z310),"0")+IFERROR(IF(Z311="",0,Z311),"0")+IFERROR(IF(Z312="",0,Z312),"0")</f>
        <v>1.898E-2</v>
      </c>
      <c r="AA313" s="64"/>
      <c r="AB313" s="64"/>
      <c r="AC313" s="64"/>
    </row>
    <row r="314" spans="1:68" x14ac:dyDescent="0.2">
      <c r="A314" s="673"/>
      <c r="B314" s="673"/>
      <c r="C314" s="673"/>
      <c r="D314" s="673"/>
      <c r="E314" s="673"/>
      <c r="F314" s="673"/>
      <c r="G314" s="673"/>
      <c r="H314" s="673"/>
      <c r="I314" s="673"/>
      <c r="J314" s="673"/>
      <c r="K314" s="673"/>
      <c r="L314" s="673"/>
      <c r="M314" s="673"/>
      <c r="N314" s="673"/>
      <c r="O314" s="674"/>
      <c r="P314" s="670" t="s">
        <v>40</v>
      </c>
      <c r="Q314" s="671"/>
      <c r="R314" s="671"/>
      <c r="S314" s="671"/>
      <c r="T314" s="671"/>
      <c r="U314" s="671"/>
      <c r="V314" s="672"/>
      <c r="W314" s="40" t="s">
        <v>0</v>
      </c>
      <c r="X314" s="41">
        <f>IFERROR(SUM(X308:X312),"0")</f>
        <v>10</v>
      </c>
      <c r="Y314" s="41">
        <f>IFERROR(SUM(Y308:Y312),"0")</f>
        <v>10.8</v>
      </c>
      <c r="Z314" s="40"/>
      <c r="AA314" s="64"/>
      <c r="AB314" s="64"/>
      <c r="AC314" s="64"/>
    </row>
    <row r="315" spans="1:68" ht="16.5" customHeight="1" x14ac:dyDescent="0.25">
      <c r="A315" s="662" t="s">
        <v>527</v>
      </c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P315" s="662"/>
      <c r="Q315" s="662"/>
      <c r="R315" s="662"/>
      <c r="S315" s="662"/>
      <c r="T315" s="662"/>
      <c r="U315" s="662"/>
      <c r="V315" s="662"/>
      <c r="W315" s="662"/>
      <c r="X315" s="662"/>
      <c r="Y315" s="662"/>
      <c r="Z315" s="662"/>
      <c r="AA315" s="62"/>
      <c r="AB315" s="62"/>
      <c r="AC315" s="62"/>
    </row>
    <row r="316" spans="1:68" ht="14.25" customHeight="1" x14ac:dyDescent="0.25">
      <c r="A316" s="663" t="s">
        <v>92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"/>
      <c r="AB316" s="63"/>
      <c r="AC316" s="63"/>
    </row>
    <row r="317" spans="1:68" ht="27" customHeight="1" x14ac:dyDescent="0.25">
      <c r="A317" s="60" t="s">
        <v>528</v>
      </c>
      <c r="B317" s="60" t="s">
        <v>529</v>
      </c>
      <c r="C317" s="34">
        <v>4301051893</v>
      </c>
      <c r="D317" s="664">
        <v>4680115886186</v>
      </c>
      <c r="E317" s="664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82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66"/>
      <c r="R317" s="666"/>
      <c r="S317" s="666"/>
      <c r="T317" s="667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531</v>
      </c>
      <c r="B318" s="60" t="s">
        <v>532</v>
      </c>
      <c r="C318" s="34">
        <v>4301051795</v>
      </c>
      <c r="D318" s="664">
        <v>4680115881228</v>
      </c>
      <c r="E318" s="664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82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66"/>
      <c r="R318" s="666"/>
      <c r="S318" s="666"/>
      <c r="T318" s="667"/>
      <c r="U318" s="37" t="s">
        <v>46</v>
      </c>
      <c r="V318" s="37" t="s">
        <v>46</v>
      </c>
      <c r="W318" s="38" t="s">
        <v>0</v>
      </c>
      <c r="X318" s="56">
        <v>12</v>
      </c>
      <c r="Y318" s="53">
        <f>IFERROR(IF(X318="",0,CEILING((X318/$H318),1)*$H318),"")</f>
        <v>12</v>
      </c>
      <c r="Z318" s="39">
        <f>IFERROR(IF(Y318=0,"",ROUNDUP(Y318/H318,0)*0.00651),"")</f>
        <v>3.2550000000000003E-2</v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13.260000000000002</v>
      </c>
      <c r="BN318" s="75">
        <f>IFERROR(Y318*I318/H318,"0")</f>
        <v>13.260000000000002</v>
      </c>
      <c r="BO318" s="75">
        <f>IFERROR(1/J318*(X318/H318),"0")</f>
        <v>2.7472527472527476E-2</v>
      </c>
      <c r="BP318" s="75">
        <f>IFERROR(1/J318*(Y318/H318),"0")</f>
        <v>2.7472527472527476E-2</v>
      </c>
    </row>
    <row r="319" spans="1:68" ht="27" customHeight="1" x14ac:dyDescent="0.25">
      <c r="A319" s="60" t="s">
        <v>534</v>
      </c>
      <c r="B319" s="60" t="s">
        <v>535</v>
      </c>
      <c r="C319" s="34">
        <v>4301051388</v>
      </c>
      <c r="D319" s="664">
        <v>4680115881211</v>
      </c>
      <c r="E319" s="664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8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66"/>
      <c r="R319" s="666"/>
      <c r="S319" s="666"/>
      <c r="T319" s="667"/>
      <c r="U319" s="37" t="s">
        <v>46</v>
      </c>
      <c r="V319" s="37" t="s">
        <v>46</v>
      </c>
      <c r="W319" s="38" t="s">
        <v>0</v>
      </c>
      <c r="X319" s="56">
        <v>12</v>
      </c>
      <c r="Y319" s="53">
        <f>IFERROR(IF(X319="",0,CEILING((X319/$H319),1)*$H319),"")</f>
        <v>12</v>
      </c>
      <c r="Z319" s="39">
        <f>IFERROR(IF(Y319=0,"",ROUNDUP(Y319/H319,0)*0.00651),"")</f>
        <v>3.2550000000000003E-2</v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12.9</v>
      </c>
      <c r="BN319" s="75">
        <f>IFERROR(Y319*I319/H319,"0")</f>
        <v>12.9</v>
      </c>
      <c r="BO319" s="75">
        <f>IFERROR(1/J319*(X319/H319),"0")</f>
        <v>2.7472527472527476E-2</v>
      </c>
      <c r="BP319" s="75">
        <f>IFERROR(1/J319*(Y319/H319),"0")</f>
        <v>2.7472527472527476E-2</v>
      </c>
    </row>
    <row r="320" spans="1:68" x14ac:dyDescent="0.2">
      <c r="A320" s="673"/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4"/>
      <c r="P320" s="670" t="s">
        <v>40</v>
      </c>
      <c r="Q320" s="671"/>
      <c r="R320" s="671"/>
      <c r="S320" s="671"/>
      <c r="T320" s="671"/>
      <c r="U320" s="671"/>
      <c r="V320" s="672"/>
      <c r="W320" s="40" t="s">
        <v>39</v>
      </c>
      <c r="X320" s="41">
        <f>IFERROR(X317/H317,"0")+IFERROR(X318/H318,"0")+IFERROR(X319/H319,"0")</f>
        <v>10</v>
      </c>
      <c r="Y320" s="41">
        <f>IFERROR(Y317/H317,"0")+IFERROR(Y318/H318,"0")+IFERROR(Y319/H319,"0")</f>
        <v>10</v>
      </c>
      <c r="Z320" s="41">
        <f>IFERROR(IF(Z317="",0,Z317),"0")+IFERROR(IF(Z318="",0,Z318),"0")+IFERROR(IF(Z319="",0,Z319),"0")</f>
        <v>6.5100000000000005E-2</v>
      </c>
      <c r="AA320" s="64"/>
      <c r="AB320" s="64"/>
      <c r="AC320" s="64"/>
    </row>
    <row r="321" spans="1:68" x14ac:dyDescent="0.2">
      <c r="A321" s="673"/>
      <c r="B321" s="673"/>
      <c r="C321" s="673"/>
      <c r="D321" s="673"/>
      <c r="E321" s="673"/>
      <c r="F321" s="673"/>
      <c r="G321" s="673"/>
      <c r="H321" s="673"/>
      <c r="I321" s="673"/>
      <c r="J321" s="673"/>
      <c r="K321" s="673"/>
      <c r="L321" s="673"/>
      <c r="M321" s="673"/>
      <c r="N321" s="673"/>
      <c r="O321" s="674"/>
      <c r="P321" s="670" t="s">
        <v>40</v>
      </c>
      <c r="Q321" s="671"/>
      <c r="R321" s="671"/>
      <c r="S321" s="671"/>
      <c r="T321" s="671"/>
      <c r="U321" s="671"/>
      <c r="V321" s="672"/>
      <c r="W321" s="40" t="s">
        <v>0</v>
      </c>
      <c r="X321" s="41">
        <f>IFERROR(SUM(X317:X319),"0")</f>
        <v>24</v>
      </c>
      <c r="Y321" s="41">
        <f>IFERROR(SUM(Y317:Y319),"0")</f>
        <v>24</v>
      </c>
      <c r="Z321" s="40"/>
      <c r="AA321" s="64"/>
      <c r="AB321" s="64"/>
      <c r="AC321" s="64"/>
    </row>
    <row r="322" spans="1:68" ht="16.5" customHeight="1" x14ac:dyDescent="0.25">
      <c r="A322" s="662" t="s">
        <v>536</v>
      </c>
      <c r="B322" s="662"/>
      <c r="C322" s="662"/>
      <c r="D322" s="662"/>
      <c r="E322" s="662"/>
      <c r="F322" s="662"/>
      <c r="G322" s="662"/>
      <c r="H322" s="662"/>
      <c r="I322" s="662"/>
      <c r="J322" s="662"/>
      <c r="K322" s="662"/>
      <c r="L322" s="662"/>
      <c r="M322" s="662"/>
      <c r="N322" s="662"/>
      <c r="O322" s="662"/>
      <c r="P322" s="662"/>
      <c r="Q322" s="662"/>
      <c r="R322" s="662"/>
      <c r="S322" s="662"/>
      <c r="T322" s="662"/>
      <c r="U322" s="662"/>
      <c r="V322" s="662"/>
      <c r="W322" s="662"/>
      <c r="X322" s="662"/>
      <c r="Y322" s="662"/>
      <c r="Z322" s="662"/>
      <c r="AA322" s="62"/>
      <c r="AB322" s="62"/>
      <c r="AC322" s="62"/>
    </row>
    <row r="323" spans="1:68" ht="14.25" customHeight="1" x14ac:dyDescent="0.25">
      <c r="A323" s="663" t="s">
        <v>77</v>
      </c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3"/>
      <c r="P323" s="663"/>
      <c r="Q323" s="663"/>
      <c r="R323" s="663"/>
      <c r="S323" s="663"/>
      <c r="T323" s="663"/>
      <c r="U323" s="663"/>
      <c r="V323" s="663"/>
      <c r="W323" s="663"/>
      <c r="X323" s="663"/>
      <c r="Y323" s="663"/>
      <c r="Z323" s="663"/>
      <c r="AA323" s="63"/>
      <c r="AB323" s="63"/>
      <c r="AC323" s="63"/>
    </row>
    <row r="324" spans="1:68" ht="27" customHeight="1" x14ac:dyDescent="0.25">
      <c r="A324" s="60" t="s">
        <v>537</v>
      </c>
      <c r="B324" s="60" t="s">
        <v>538</v>
      </c>
      <c r="C324" s="34">
        <v>4301031445</v>
      </c>
      <c r="D324" s="664">
        <v>4680115888319</v>
      </c>
      <c r="E324" s="664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8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66"/>
      <c r="R324" s="666"/>
      <c r="S324" s="666"/>
      <c r="T324" s="66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customHeight="1" x14ac:dyDescent="0.25">
      <c r="A325" s="60" t="s">
        <v>539</v>
      </c>
      <c r="B325" s="60" t="s">
        <v>540</v>
      </c>
      <c r="C325" s="34">
        <v>4301031502</v>
      </c>
      <c r="D325" s="664">
        <v>4680115884700</v>
      </c>
      <c r="E325" s="664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8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66"/>
      <c r="R325" s="666"/>
      <c r="S325" s="666"/>
      <c r="T325" s="66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542</v>
      </c>
      <c r="B326" s="60" t="s">
        <v>543</v>
      </c>
      <c r="C326" s="34">
        <v>4301031307</v>
      </c>
      <c r="D326" s="664">
        <v>4680115880344</v>
      </c>
      <c r="E326" s="664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8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66"/>
      <c r="R326" s="666"/>
      <c r="S326" s="666"/>
      <c r="T326" s="66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545</v>
      </c>
      <c r="B327" s="60" t="s">
        <v>546</v>
      </c>
      <c r="C327" s="34">
        <v>4301031501</v>
      </c>
      <c r="D327" s="664">
        <v>4680115886919</v>
      </c>
      <c r="E327" s="66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66"/>
      <c r="R327" s="666"/>
      <c r="S327" s="666"/>
      <c r="T327" s="66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548</v>
      </c>
      <c r="B328" s="60" t="s">
        <v>549</v>
      </c>
      <c r="C328" s="34">
        <v>4301031246</v>
      </c>
      <c r="D328" s="664">
        <v>4680115883970</v>
      </c>
      <c r="E328" s="664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83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66"/>
      <c r="R328" s="666"/>
      <c r="S328" s="666"/>
      <c r="T328" s="66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x14ac:dyDescent="0.2">
      <c r="A329" s="673"/>
      <c r="B329" s="673"/>
      <c r="C329" s="673"/>
      <c r="D329" s="673"/>
      <c r="E329" s="673"/>
      <c r="F329" s="673"/>
      <c r="G329" s="673"/>
      <c r="H329" s="673"/>
      <c r="I329" s="673"/>
      <c r="J329" s="673"/>
      <c r="K329" s="673"/>
      <c r="L329" s="673"/>
      <c r="M329" s="673"/>
      <c r="N329" s="673"/>
      <c r="O329" s="674"/>
      <c r="P329" s="670" t="s">
        <v>40</v>
      </c>
      <c r="Q329" s="671"/>
      <c r="R329" s="671"/>
      <c r="S329" s="671"/>
      <c r="T329" s="671"/>
      <c r="U329" s="671"/>
      <c r="V329" s="672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x14ac:dyDescent="0.2">
      <c r="A330" s="673"/>
      <c r="B330" s="673"/>
      <c r="C330" s="673"/>
      <c r="D330" s="673"/>
      <c r="E330" s="673"/>
      <c r="F330" s="673"/>
      <c r="G330" s="673"/>
      <c r="H330" s="673"/>
      <c r="I330" s="673"/>
      <c r="J330" s="673"/>
      <c r="K330" s="673"/>
      <c r="L330" s="673"/>
      <c r="M330" s="673"/>
      <c r="N330" s="673"/>
      <c r="O330" s="674"/>
      <c r="P330" s="670" t="s">
        <v>40</v>
      </c>
      <c r="Q330" s="671"/>
      <c r="R330" s="671"/>
      <c r="S330" s="671"/>
      <c r="T330" s="671"/>
      <c r="U330" s="671"/>
      <c r="V330" s="672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customHeight="1" x14ac:dyDescent="0.25">
      <c r="A331" s="663" t="s">
        <v>92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A331" s="63"/>
      <c r="AB331" s="63"/>
      <c r="AC331" s="63"/>
    </row>
    <row r="332" spans="1:68" ht="37.5" customHeight="1" x14ac:dyDescent="0.25">
      <c r="A332" s="60" t="s">
        <v>551</v>
      </c>
      <c r="B332" s="60" t="s">
        <v>552</v>
      </c>
      <c r="C332" s="34">
        <v>4301051782</v>
      </c>
      <c r="D332" s="664">
        <v>4680115884618</v>
      </c>
      <c r="E332" s="664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83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66"/>
      <c r="R332" s="666"/>
      <c r="S332" s="666"/>
      <c r="T332" s="66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554</v>
      </c>
      <c r="B333" s="60" t="s">
        <v>555</v>
      </c>
      <c r="C333" s="34">
        <v>4301052057</v>
      </c>
      <c r="D333" s="664">
        <v>4680115887114</v>
      </c>
      <c r="E333" s="664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83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66"/>
      <c r="R333" s="666"/>
      <c r="S333" s="666"/>
      <c r="T333" s="66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x14ac:dyDescent="0.2">
      <c r="A334" s="673"/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4"/>
      <c r="P334" s="670" t="s">
        <v>40</v>
      </c>
      <c r="Q334" s="671"/>
      <c r="R334" s="671"/>
      <c r="S334" s="671"/>
      <c r="T334" s="671"/>
      <c r="U334" s="671"/>
      <c r="V334" s="672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x14ac:dyDescent="0.2">
      <c r="A335" s="673"/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4"/>
      <c r="P335" s="670" t="s">
        <v>40</v>
      </c>
      <c r="Q335" s="671"/>
      <c r="R335" s="671"/>
      <c r="S335" s="671"/>
      <c r="T335" s="671"/>
      <c r="U335" s="671"/>
      <c r="V335" s="672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customHeight="1" x14ac:dyDescent="0.25">
      <c r="A336" s="662" t="s">
        <v>557</v>
      </c>
      <c r="B336" s="662"/>
      <c r="C336" s="662"/>
      <c r="D336" s="662"/>
      <c r="E336" s="662"/>
      <c r="F336" s="662"/>
      <c r="G336" s="662"/>
      <c r="H336" s="662"/>
      <c r="I336" s="662"/>
      <c r="J336" s="662"/>
      <c r="K336" s="662"/>
      <c r="L336" s="662"/>
      <c r="M336" s="662"/>
      <c r="N336" s="662"/>
      <c r="O336" s="662"/>
      <c r="P336" s="662"/>
      <c r="Q336" s="662"/>
      <c r="R336" s="662"/>
      <c r="S336" s="662"/>
      <c r="T336" s="662"/>
      <c r="U336" s="662"/>
      <c r="V336" s="662"/>
      <c r="W336" s="662"/>
      <c r="X336" s="662"/>
      <c r="Y336" s="662"/>
      <c r="Z336" s="662"/>
      <c r="AA336" s="62"/>
      <c r="AB336" s="62"/>
      <c r="AC336" s="62"/>
    </row>
    <row r="337" spans="1:68" ht="14.25" customHeight="1" x14ac:dyDescent="0.25">
      <c r="A337" s="663" t="s">
        <v>146</v>
      </c>
      <c r="B337" s="663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N337" s="663"/>
      <c r="O337" s="663"/>
      <c r="P337" s="663"/>
      <c r="Q337" s="663"/>
      <c r="R337" s="663"/>
      <c r="S337" s="663"/>
      <c r="T337" s="663"/>
      <c r="U337" s="663"/>
      <c r="V337" s="663"/>
      <c r="W337" s="663"/>
      <c r="X337" s="663"/>
      <c r="Y337" s="663"/>
      <c r="Z337" s="663"/>
      <c r="AA337" s="63"/>
      <c r="AB337" s="63"/>
      <c r="AC337" s="63"/>
    </row>
    <row r="338" spans="1:68" ht="27" customHeight="1" x14ac:dyDescent="0.25">
      <c r="A338" s="60" t="s">
        <v>558</v>
      </c>
      <c r="B338" s="60" t="s">
        <v>559</v>
      </c>
      <c r="C338" s="34">
        <v>4301012324</v>
      </c>
      <c r="D338" s="664">
        <v>4680115887947</v>
      </c>
      <c r="E338" s="664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83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66"/>
      <c r="R338" s="666"/>
      <c r="S338" s="666"/>
      <c r="T338" s="66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561</v>
      </c>
      <c r="B339" s="60" t="s">
        <v>562</v>
      </c>
      <c r="C339" s="34">
        <v>4301012325</v>
      </c>
      <c r="D339" s="664">
        <v>4680115887978</v>
      </c>
      <c r="E339" s="664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83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66"/>
      <c r="R339" s="666"/>
      <c r="S339" s="666"/>
      <c r="T339" s="66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564</v>
      </c>
      <c r="B340" s="60" t="s">
        <v>565</v>
      </c>
      <c r="C340" s="34">
        <v>4301012327</v>
      </c>
      <c r="D340" s="664">
        <v>4680115887992</v>
      </c>
      <c r="E340" s="664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83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66"/>
      <c r="R340" s="666"/>
      <c r="S340" s="666"/>
      <c r="T340" s="66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70" t="s">
        <v>40</v>
      </c>
      <c r="Q341" s="671"/>
      <c r="R341" s="671"/>
      <c r="S341" s="671"/>
      <c r="T341" s="671"/>
      <c r="U341" s="671"/>
      <c r="V341" s="672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x14ac:dyDescent="0.2">
      <c r="A342" s="673"/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4"/>
      <c r="P342" s="670" t="s">
        <v>40</v>
      </c>
      <c r="Q342" s="671"/>
      <c r="R342" s="671"/>
      <c r="S342" s="671"/>
      <c r="T342" s="671"/>
      <c r="U342" s="671"/>
      <c r="V342" s="672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customHeight="1" x14ac:dyDescent="0.25">
      <c r="A343" s="662" t="s">
        <v>567</v>
      </c>
      <c r="B343" s="662"/>
      <c r="C343" s="662"/>
      <c r="D343" s="662"/>
      <c r="E343" s="662"/>
      <c r="F343" s="662"/>
      <c r="G343" s="662"/>
      <c r="H343" s="662"/>
      <c r="I343" s="662"/>
      <c r="J343" s="662"/>
      <c r="K343" s="662"/>
      <c r="L343" s="662"/>
      <c r="M343" s="662"/>
      <c r="N343" s="662"/>
      <c r="O343" s="662"/>
      <c r="P343" s="662"/>
      <c r="Q343" s="662"/>
      <c r="R343" s="662"/>
      <c r="S343" s="662"/>
      <c r="T343" s="662"/>
      <c r="U343" s="662"/>
      <c r="V343" s="662"/>
      <c r="W343" s="662"/>
      <c r="X343" s="662"/>
      <c r="Y343" s="662"/>
      <c r="Z343" s="662"/>
      <c r="AA343" s="62"/>
      <c r="AB343" s="62"/>
      <c r="AC343" s="62"/>
    </row>
    <row r="344" spans="1:68" ht="14.25" customHeight="1" x14ac:dyDescent="0.25">
      <c r="A344" s="663" t="s">
        <v>146</v>
      </c>
      <c r="B344" s="663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N344" s="663"/>
      <c r="O344" s="663"/>
      <c r="P344" s="663"/>
      <c r="Q344" s="663"/>
      <c r="R344" s="663"/>
      <c r="S344" s="663"/>
      <c r="T344" s="663"/>
      <c r="U344" s="663"/>
      <c r="V344" s="663"/>
      <c r="W344" s="663"/>
      <c r="X344" s="663"/>
      <c r="Y344" s="663"/>
      <c r="Z344" s="663"/>
      <c r="AA344" s="63"/>
      <c r="AB344" s="63"/>
      <c r="AC344" s="63"/>
    </row>
    <row r="345" spans="1:68" ht="27" customHeight="1" x14ac:dyDescent="0.25">
      <c r="A345" s="60" t="s">
        <v>568</v>
      </c>
      <c r="B345" s="60" t="s">
        <v>569</v>
      </c>
      <c r="C345" s="34">
        <v>4301012126</v>
      </c>
      <c r="D345" s="664">
        <v>4607091386004</v>
      </c>
      <c r="E345" s="664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84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66"/>
      <c r="R345" s="666"/>
      <c r="S345" s="666"/>
      <c r="T345" s="667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customHeight="1" x14ac:dyDescent="0.25">
      <c r="A346" s="60" t="s">
        <v>571</v>
      </c>
      <c r="B346" s="60" t="s">
        <v>572</v>
      </c>
      <c r="C346" s="34">
        <v>4301012235</v>
      </c>
      <c r="D346" s="664">
        <v>4680115887190</v>
      </c>
      <c r="E346" s="664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8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66"/>
      <c r="R346" s="666"/>
      <c r="S346" s="666"/>
      <c r="T346" s="667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customHeight="1" x14ac:dyDescent="0.25">
      <c r="A347" s="60" t="s">
        <v>574</v>
      </c>
      <c r="B347" s="60" t="s">
        <v>575</v>
      </c>
      <c r="C347" s="34">
        <v>4301012233</v>
      </c>
      <c r="D347" s="664">
        <v>4680115887138</v>
      </c>
      <c r="E347" s="664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8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66"/>
      <c r="R347" s="666"/>
      <c r="S347" s="666"/>
      <c r="T347" s="667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customHeight="1" x14ac:dyDescent="0.25">
      <c r="A348" s="60" t="s">
        <v>577</v>
      </c>
      <c r="B348" s="60" t="s">
        <v>578</v>
      </c>
      <c r="C348" s="34">
        <v>4301012016</v>
      </c>
      <c r="D348" s="664">
        <v>4680115885554</v>
      </c>
      <c r="E348" s="664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66"/>
      <c r="R348" s="666"/>
      <c r="S348" s="666"/>
      <c r="T348" s="667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customHeight="1" x14ac:dyDescent="0.25">
      <c r="A349" s="60" t="s">
        <v>580</v>
      </c>
      <c r="B349" s="60" t="s">
        <v>581</v>
      </c>
      <c r="C349" s="34">
        <v>4301012236</v>
      </c>
      <c r="D349" s="664">
        <v>4680115887220</v>
      </c>
      <c r="E349" s="664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8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66"/>
      <c r="R349" s="666"/>
      <c r="S349" s="666"/>
      <c r="T349" s="66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customHeight="1" x14ac:dyDescent="0.25">
      <c r="A350" s="60" t="s">
        <v>582</v>
      </c>
      <c r="B350" s="60" t="s">
        <v>583</v>
      </c>
      <c r="C350" s="34">
        <v>4301011859</v>
      </c>
      <c r="D350" s="664">
        <v>4680115885608</v>
      </c>
      <c r="E350" s="664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66"/>
      <c r="R350" s="666"/>
      <c r="S350" s="666"/>
      <c r="T350" s="66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x14ac:dyDescent="0.2">
      <c r="A351" s="673"/>
      <c r="B351" s="673"/>
      <c r="C351" s="673"/>
      <c r="D351" s="673"/>
      <c r="E351" s="673"/>
      <c r="F351" s="673"/>
      <c r="G351" s="673"/>
      <c r="H351" s="673"/>
      <c r="I351" s="673"/>
      <c r="J351" s="673"/>
      <c r="K351" s="673"/>
      <c r="L351" s="673"/>
      <c r="M351" s="673"/>
      <c r="N351" s="673"/>
      <c r="O351" s="674"/>
      <c r="P351" s="670" t="s">
        <v>40</v>
      </c>
      <c r="Q351" s="671"/>
      <c r="R351" s="671"/>
      <c r="S351" s="671"/>
      <c r="T351" s="671"/>
      <c r="U351" s="671"/>
      <c r="V351" s="672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x14ac:dyDescent="0.2">
      <c r="A352" s="673"/>
      <c r="B352" s="673"/>
      <c r="C352" s="673"/>
      <c r="D352" s="673"/>
      <c r="E352" s="673"/>
      <c r="F352" s="673"/>
      <c r="G352" s="673"/>
      <c r="H352" s="673"/>
      <c r="I352" s="673"/>
      <c r="J352" s="673"/>
      <c r="K352" s="673"/>
      <c r="L352" s="673"/>
      <c r="M352" s="673"/>
      <c r="N352" s="673"/>
      <c r="O352" s="674"/>
      <c r="P352" s="670" t="s">
        <v>40</v>
      </c>
      <c r="Q352" s="671"/>
      <c r="R352" s="671"/>
      <c r="S352" s="671"/>
      <c r="T352" s="671"/>
      <c r="U352" s="671"/>
      <c r="V352" s="672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customHeight="1" x14ac:dyDescent="0.25">
      <c r="A353" s="663" t="s">
        <v>77</v>
      </c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3"/>
      <c r="P353" s="663"/>
      <c r="Q353" s="663"/>
      <c r="R353" s="663"/>
      <c r="S353" s="663"/>
      <c r="T353" s="663"/>
      <c r="U353" s="663"/>
      <c r="V353" s="663"/>
      <c r="W353" s="663"/>
      <c r="X353" s="663"/>
      <c r="Y353" s="663"/>
      <c r="Z353" s="663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64">
        <v>4607091387193</v>
      </c>
      <c r="E354" s="664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8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66"/>
      <c r="R354" s="666"/>
      <c r="S354" s="666"/>
      <c r="T354" s="667"/>
      <c r="U354" s="37" t="s">
        <v>46</v>
      </c>
      <c r="V354" s="37" t="s">
        <v>46</v>
      </c>
      <c r="W354" s="38" t="s">
        <v>0</v>
      </c>
      <c r="X354" s="56">
        <v>165</v>
      </c>
      <c r="Y354" s="53">
        <f t="shared" ref="Y354:Y360" si="48">IFERROR(IF(X354="",0,CEILING((X354/$H354),1)*$H354),"")</f>
        <v>168</v>
      </c>
      <c r="Z354" s="39">
        <f>IFERROR(IF(Y354=0,"",ROUNDUP(Y354/H354,0)*0.00902),"")</f>
        <v>0.36080000000000001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174.82142857142856</v>
      </c>
      <c r="BN354" s="75">
        <f t="shared" ref="BN354:BN360" si="50">IFERROR(Y354*I354/H354,"0")</f>
        <v>178</v>
      </c>
      <c r="BO354" s="75">
        <f t="shared" ref="BO354:BO360" si="51">IFERROR(1/J354*(X354/H354),"0")</f>
        <v>0.29761904761904762</v>
      </c>
      <c r="BP354" s="75">
        <f t="shared" ref="BP354:BP360" si="52">IFERROR(1/J354*(Y354/H354),"0")</f>
        <v>0.30303030303030304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64">
        <v>4607091387230</v>
      </c>
      <c r="E355" s="664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8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66"/>
      <c r="R355" s="666"/>
      <c r="S355" s="666"/>
      <c r="T355" s="667"/>
      <c r="U355" s="37" t="s">
        <v>46</v>
      </c>
      <c r="V355" s="37" t="s">
        <v>46</v>
      </c>
      <c r="W355" s="38" t="s">
        <v>0</v>
      </c>
      <c r="X355" s="56">
        <v>75</v>
      </c>
      <c r="Y355" s="53">
        <f t="shared" si="48"/>
        <v>75.600000000000009</v>
      </c>
      <c r="Z355" s="39">
        <f>IFERROR(IF(Y355=0,"",ROUNDUP(Y355/H355,0)*0.00902),"")</f>
        <v>0.16236</v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79.464285714285708</v>
      </c>
      <c r="BN355" s="75">
        <f t="shared" si="50"/>
        <v>80.100000000000009</v>
      </c>
      <c r="BO355" s="75">
        <f t="shared" si="51"/>
        <v>0.13528138528138528</v>
      </c>
      <c r="BP355" s="75">
        <f t="shared" si="52"/>
        <v>0.13636363636363635</v>
      </c>
    </row>
    <row r="356" spans="1:68" ht="27" customHeight="1" x14ac:dyDescent="0.25">
      <c r="A356" s="60" t="s">
        <v>591</v>
      </c>
      <c r="B356" s="60" t="s">
        <v>592</v>
      </c>
      <c r="C356" s="34">
        <v>4301031154</v>
      </c>
      <c r="D356" s="664">
        <v>4607091387292</v>
      </c>
      <c r="E356" s="664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8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66"/>
      <c r="R356" s="666"/>
      <c r="S356" s="666"/>
      <c r="T356" s="667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customHeight="1" x14ac:dyDescent="0.25">
      <c r="A357" s="60" t="s">
        <v>594</v>
      </c>
      <c r="B357" s="60" t="s">
        <v>595</v>
      </c>
      <c r="C357" s="34">
        <v>4301031152</v>
      </c>
      <c r="D357" s="664">
        <v>4607091387285</v>
      </c>
      <c r="E357" s="664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66"/>
      <c r="R357" s="666"/>
      <c r="S357" s="666"/>
      <c r="T357" s="667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customHeight="1" x14ac:dyDescent="0.25">
      <c r="A358" s="60" t="s">
        <v>596</v>
      </c>
      <c r="B358" s="60" t="s">
        <v>597</v>
      </c>
      <c r="C358" s="34">
        <v>4301031305</v>
      </c>
      <c r="D358" s="664">
        <v>4607091389845</v>
      </c>
      <c r="E358" s="664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85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66"/>
      <c r="R358" s="666"/>
      <c r="S358" s="666"/>
      <c r="T358" s="667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customHeight="1" x14ac:dyDescent="0.25">
      <c r="A359" s="60" t="s">
        <v>599</v>
      </c>
      <c r="B359" s="60" t="s">
        <v>600</v>
      </c>
      <c r="C359" s="34">
        <v>4301031460</v>
      </c>
      <c r="D359" s="664">
        <v>4680115887442</v>
      </c>
      <c r="E359" s="664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85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66"/>
      <c r="R359" s="666"/>
      <c r="S359" s="666"/>
      <c r="T359" s="667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customHeight="1" x14ac:dyDescent="0.25">
      <c r="A360" s="60" t="s">
        <v>601</v>
      </c>
      <c r="B360" s="60" t="s">
        <v>602</v>
      </c>
      <c r="C360" s="34">
        <v>4301031066</v>
      </c>
      <c r="D360" s="664">
        <v>4607091383836</v>
      </c>
      <c r="E360" s="664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66"/>
      <c r="R360" s="666"/>
      <c r="S360" s="666"/>
      <c r="T360" s="667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73"/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4"/>
      <c r="P361" s="670" t="s">
        <v>40</v>
      </c>
      <c r="Q361" s="671"/>
      <c r="R361" s="671"/>
      <c r="S361" s="671"/>
      <c r="T361" s="671"/>
      <c r="U361" s="671"/>
      <c r="V361" s="672"/>
      <c r="W361" s="40" t="s">
        <v>39</v>
      </c>
      <c r="X361" s="41">
        <f>IFERROR(X354/H354,"0")+IFERROR(X355/H355,"0")+IFERROR(X356/H356,"0")+IFERROR(X357/H357,"0")+IFERROR(X358/H358,"0")+IFERROR(X359/H359,"0")+IFERROR(X360/H360,"0")</f>
        <v>57.142857142857139</v>
      </c>
      <c r="Y361" s="41">
        <f>IFERROR(Y354/H354,"0")+IFERROR(Y355/H355,"0")+IFERROR(Y356/H356,"0")+IFERROR(Y357/H357,"0")+IFERROR(Y358/H358,"0")+IFERROR(Y359/H359,"0")+IFERROR(Y360/H360,"0")</f>
        <v>58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0.52316000000000007</v>
      </c>
      <c r="AA361" s="64"/>
      <c r="AB361" s="64"/>
      <c r="AC361" s="64"/>
    </row>
    <row r="362" spans="1:68" x14ac:dyDescent="0.2">
      <c r="A362" s="673"/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4"/>
      <c r="P362" s="670" t="s">
        <v>40</v>
      </c>
      <c r="Q362" s="671"/>
      <c r="R362" s="671"/>
      <c r="S362" s="671"/>
      <c r="T362" s="671"/>
      <c r="U362" s="671"/>
      <c r="V362" s="672"/>
      <c r="W362" s="40" t="s">
        <v>0</v>
      </c>
      <c r="X362" s="41">
        <f>IFERROR(SUM(X354:X360),"0")</f>
        <v>240</v>
      </c>
      <c r="Y362" s="41">
        <f>IFERROR(SUM(Y354:Y360),"0")</f>
        <v>243.60000000000002</v>
      </c>
      <c r="Z362" s="40"/>
      <c r="AA362" s="64"/>
      <c r="AB362" s="64"/>
      <c r="AC362" s="64"/>
    </row>
    <row r="363" spans="1:68" ht="14.25" customHeight="1" x14ac:dyDescent="0.25">
      <c r="A363" s="663" t="s">
        <v>92</v>
      </c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3"/>
      <c r="P363" s="663"/>
      <c r="Q363" s="663"/>
      <c r="R363" s="663"/>
      <c r="S363" s="663"/>
      <c r="T363" s="663"/>
      <c r="U363" s="663"/>
      <c r="V363" s="663"/>
      <c r="W363" s="663"/>
      <c r="X363" s="663"/>
      <c r="Y363" s="663"/>
      <c r="Z363" s="663"/>
      <c r="AA363" s="63"/>
      <c r="AB363" s="63"/>
      <c r="AC363" s="63"/>
    </row>
    <row r="364" spans="1:68" ht="27" customHeight="1" x14ac:dyDescent="0.25">
      <c r="A364" s="60" t="s">
        <v>604</v>
      </c>
      <c r="B364" s="60" t="s">
        <v>605</v>
      </c>
      <c r="C364" s="34">
        <v>4301051100</v>
      </c>
      <c r="D364" s="664">
        <v>4607091387766</v>
      </c>
      <c r="E364" s="664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66"/>
      <c r="R364" s="666"/>
      <c r="S364" s="666"/>
      <c r="T364" s="667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607</v>
      </c>
      <c r="B365" s="60" t="s">
        <v>608</v>
      </c>
      <c r="C365" s="34">
        <v>4301051818</v>
      </c>
      <c r="D365" s="664">
        <v>4607091387957</v>
      </c>
      <c r="E365" s="664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66"/>
      <c r="R365" s="666"/>
      <c r="S365" s="666"/>
      <c r="T365" s="667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customHeight="1" x14ac:dyDescent="0.25">
      <c r="A366" s="60" t="s">
        <v>610</v>
      </c>
      <c r="B366" s="60" t="s">
        <v>611</v>
      </c>
      <c r="C366" s="34">
        <v>4301051819</v>
      </c>
      <c r="D366" s="664">
        <v>4607091387964</v>
      </c>
      <c r="E366" s="664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8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66"/>
      <c r="R366" s="666"/>
      <c r="S366" s="666"/>
      <c r="T366" s="667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613</v>
      </c>
      <c r="B367" s="60" t="s">
        <v>614</v>
      </c>
      <c r="C367" s="34">
        <v>4301051734</v>
      </c>
      <c r="D367" s="664">
        <v>4680115884588</v>
      </c>
      <c r="E367" s="664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8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66"/>
      <c r="R367" s="666"/>
      <c r="S367" s="666"/>
      <c r="T367" s="667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73"/>
      <c r="B368" s="673"/>
      <c r="C368" s="673"/>
      <c r="D368" s="673"/>
      <c r="E368" s="673"/>
      <c r="F368" s="673"/>
      <c r="G368" s="673"/>
      <c r="H368" s="673"/>
      <c r="I368" s="673"/>
      <c r="J368" s="673"/>
      <c r="K368" s="673"/>
      <c r="L368" s="673"/>
      <c r="M368" s="673"/>
      <c r="N368" s="673"/>
      <c r="O368" s="674"/>
      <c r="P368" s="670" t="s">
        <v>40</v>
      </c>
      <c r="Q368" s="671"/>
      <c r="R368" s="671"/>
      <c r="S368" s="671"/>
      <c r="T368" s="671"/>
      <c r="U368" s="671"/>
      <c r="V368" s="672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73"/>
      <c r="B369" s="673"/>
      <c r="C369" s="673"/>
      <c r="D369" s="673"/>
      <c r="E369" s="673"/>
      <c r="F369" s="673"/>
      <c r="G369" s="673"/>
      <c r="H369" s="673"/>
      <c r="I369" s="673"/>
      <c r="J369" s="673"/>
      <c r="K369" s="673"/>
      <c r="L369" s="673"/>
      <c r="M369" s="673"/>
      <c r="N369" s="673"/>
      <c r="O369" s="674"/>
      <c r="P369" s="670" t="s">
        <v>40</v>
      </c>
      <c r="Q369" s="671"/>
      <c r="R369" s="671"/>
      <c r="S369" s="671"/>
      <c r="T369" s="671"/>
      <c r="U369" s="671"/>
      <c r="V369" s="672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customHeight="1" x14ac:dyDescent="0.25">
      <c r="A370" s="663" t="s">
        <v>197</v>
      </c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3"/>
      <c r="P370" s="663"/>
      <c r="Q370" s="663"/>
      <c r="R370" s="663"/>
      <c r="S370" s="663"/>
      <c r="T370" s="663"/>
      <c r="U370" s="663"/>
      <c r="V370" s="663"/>
      <c r="W370" s="663"/>
      <c r="X370" s="663"/>
      <c r="Y370" s="663"/>
      <c r="Z370" s="663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64">
        <v>4607091380880</v>
      </c>
      <c r="E371" s="664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8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66"/>
      <c r="R371" s="666"/>
      <c r="S371" s="666"/>
      <c r="T371" s="667"/>
      <c r="U371" s="37" t="s">
        <v>46</v>
      </c>
      <c r="V371" s="37" t="s">
        <v>46</v>
      </c>
      <c r="W371" s="38" t="s">
        <v>0</v>
      </c>
      <c r="X371" s="56">
        <v>212</v>
      </c>
      <c r="Y371" s="53">
        <f>IFERROR(IF(X371="",0,CEILING((X371/$H371),1)*$H371),"")</f>
        <v>218.4</v>
      </c>
      <c r="Z371" s="39">
        <f>IFERROR(IF(Y371=0,"",ROUNDUP(Y371/H371,0)*0.01898),"")</f>
        <v>0.49348000000000003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224.46761904761905</v>
      </c>
      <c r="BN371" s="75">
        <f>IFERROR(Y371*I371/H371,"0")</f>
        <v>231.244</v>
      </c>
      <c r="BO371" s="75">
        <f>IFERROR(1/J371*(X371/H371),"0")</f>
        <v>0.39434523809523808</v>
      </c>
      <c r="BP371" s="75">
        <f>IFERROR(1/J371*(Y371/H371),"0")</f>
        <v>0.40625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64">
        <v>4607091384482</v>
      </c>
      <c r="E372" s="664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8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66"/>
      <c r="R372" s="666"/>
      <c r="S372" s="666"/>
      <c r="T372" s="667"/>
      <c r="U372" s="37" t="s">
        <v>46</v>
      </c>
      <c r="V372" s="37" t="s">
        <v>46</v>
      </c>
      <c r="W372" s="38" t="s">
        <v>0</v>
      </c>
      <c r="X372" s="56">
        <v>590</v>
      </c>
      <c r="Y372" s="53">
        <f>IFERROR(IF(X372="",0,CEILING((X372/$H372),1)*$H372),"")</f>
        <v>592.79999999999995</v>
      </c>
      <c r="Z372" s="39">
        <f>IFERROR(IF(Y372=0,"",ROUNDUP(Y372/H372,0)*0.01898),"")</f>
        <v>1.44248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627.36666666666667</v>
      </c>
      <c r="BN372" s="75">
        <f>IFERROR(Y372*I372/H372,"0")</f>
        <v>630.34399999999994</v>
      </c>
      <c r="BO372" s="75">
        <f>IFERROR(1/J372*(X372/H372),"0")</f>
        <v>1.1818910256410258</v>
      </c>
      <c r="BP372" s="75">
        <f>IFERROR(1/J372*(Y372/H372),"0")</f>
        <v>1.1875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64">
        <v>4607091380897</v>
      </c>
      <c r="E373" s="664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66"/>
      <c r="R373" s="666"/>
      <c r="S373" s="666"/>
      <c r="T373" s="667"/>
      <c r="U373" s="37" t="s">
        <v>46</v>
      </c>
      <c r="V373" s="37" t="s">
        <v>46</v>
      </c>
      <c r="W373" s="38" t="s">
        <v>0</v>
      </c>
      <c r="X373" s="56">
        <v>23</v>
      </c>
      <c r="Y373" s="53">
        <f>IFERROR(IF(X373="",0,CEILING((X373/$H373),1)*$H373),"")</f>
        <v>25.200000000000003</v>
      </c>
      <c r="Z373" s="39">
        <f>IFERROR(IF(Y373=0,"",ROUNDUP(Y373/H373,0)*0.01898),"")</f>
        <v>5.6940000000000004E-2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24.352619047619047</v>
      </c>
      <c r="BN373" s="75">
        <f>IFERROR(Y373*I373/H373,"0")</f>
        <v>26.682000000000002</v>
      </c>
      <c r="BO373" s="75">
        <f>IFERROR(1/J373*(X373/H373),"0")</f>
        <v>4.2782738095238096E-2</v>
      </c>
      <c r="BP373" s="75">
        <f>IFERROR(1/J373*(Y373/H373),"0")</f>
        <v>4.6875E-2</v>
      </c>
    </row>
    <row r="374" spans="1:68" x14ac:dyDescent="0.2">
      <c r="A374" s="673"/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4"/>
      <c r="P374" s="670" t="s">
        <v>40</v>
      </c>
      <c r="Q374" s="671"/>
      <c r="R374" s="671"/>
      <c r="S374" s="671"/>
      <c r="T374" s="671"/>
      <c r="U374" s="671"/>
      <c r="V374" s="672"/>
      <c r="W374" s="40" t="s">
        <v>39</v>
      </c>
      <c r="X374" s="41">
        <f>IFERROR(X371/H371,"0")+IFERROR(X372/H372,"0")+IFERROR(X373/H373,"0")</f>
        <v>103.61721611721613</v>
      </c>
      <c r="Y374" s="41">
        <f>IFERROR(Y371/H371,"0")+IFERROR(Y372/H372,"0")+IFERROR(Y373/H373,"0")</f>
        <v>105</v>
      </c>
      <c r="Z374" s="41">
        <f>IFERROR(IF(Z371="",0,Z371),"0")+IFERROR(IF(Z372="",0,Z372),"0")+IFERROR(IF(Z373="",0,Z373),"0")</f>
        <v>1.9929000000000001</v>
      </c>
      <c r="AA374" s="64"/>
      <c r="AB374" s="64"/>
      <c r="AC374" s="64"/>
    </row>
    <row r="375" spans="1:68" x14ac:dyDescent="0.2">
      <c r="A375" s="673"/>
      <c r="B375" s="673"/>
      <c r="C375" s="673"/>
      <c r="D375" s="673"/>
      <c r="E375" s="673"/>
      <c r="F375" s="673"/>
      <c r="G375" s="673"/>
      <c r="H375" s="673"/>
      <c r="I375" s="673"/>
      <c r="J375" s="673"/>
      <c r="K375" s="673"/>
      <c r="L375" s="673"/>
      <c r="M375" s="673"/>
      <c r="N375" s="673"/>
      <c r="O375" s="674"/>
      <c r="P375" s="670" t="s">
        <v>40</v>
      </c>
      <c r="Q375" s="671"/>
      <c r="R375" s="671"/>
      <c r="S375" s="671"/>
      <c r="T375" s="671"/>
      <c r="U375" s="671"/>
      <c r="V375" s="672"/>
      <c r="W375" s="40" t="s">
        <v>0</v>
      </c>
      <c r="X375" s="41">
        <f>IFERROR(SUM(X371:X373),"0")</f>
        <v>825</v>
      </c>
      <c r="Y375" s="41">
        <f>IFERROR(SUM(Y371:Y373),"0")</f>
        <v>836.4</v>
      </c>
      <c r="Z375" s="40"/>
      <c r="AA375" s="64"/>
      <c r="AB375" s="64"/>
      <c r="AC375" s="64"/>
    </row>
    <row r="376" spans="1:68" ht="14.25" customHeight="1" x14ac:dyDescent="0.25">
      <c r="A376" s="663" t="s">
        <v>123</v>
      </c>
      <c r="B376" s="663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663"/>
      <c r="S376" s="663"/>
      <c r="T376" s="663"/>
      <c r="U376" s="663"/>
      <c r="V376" s="663"/>
      <c r="W376" s="663"/>
      <c r="X376" s="663"/>
      <c r="Y376" s="663"/>
      <c r="Z376" s="663"/>
      <c r="AA376" s="63"/>
      <c r="AB376" s="63"/>
      <c r="AC376" s="63"/>
    </row>
    <row r="377" spans="1:68" ht="27" customHeight="1" x14ac:dyDescent="0.25">
      <c r="A377" s="60" t="s">
        <v>624</v>
      </c>
      <c r="B377" s="60" t="s">
        <v>625</v>
      </c>
      <c r="C377" s="34">
        <v>4301030235</v>
      </c>
      <c r="D377" s="664">
        <v>4607091388381</v>
      </c>
      <c r="E377" s="664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86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66"/>
      <c r="R377" s="666"/>
      <c r="S377" s="666"/>
      <c r="T377" s="66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customHeight="1" x14ac:dyDescent="0.25">
      <c r="A378" s="60" t="s">
        <v>627</v>
      </c>
      <c r="B378" s="60" t="s">
        <v>628</v>
      </c>
      <c r="C378" s="34">
        <v>4301030232</v>
      </c>
      <c r="D378" s="664">
        <v>4607091388374</v>
      </c>
      <c r="E378" s="664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8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66"/>
      <c r="R378" s="666"/>
      <c r="S378" s="666"/>
      <c r="T378" s="66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629</v>
      </c>
      <c r="B379" s="60" t="s">
        <v>630</v>
      </c>
      <c r="C379" s="34">
        <v>4301032015</v>
      </c>
      <c r="D379" s="664">
        <v>4607091383102</v>
      </c>
      <c r="E379" s="664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86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66"/>
      <c r="R379" s="666"/>
      <c r="S379" s="666"/>
      <c r="T379" s="66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customHeight="1" x14ac:dyDescent="0.25">
      <c r="A380" s="60" t="s">
        <v>631</v>
      </c>
      <c r="B380" s="60" t="s">
        <v>632</v>
      </c>
      <c r="C380" s="34">
        <v>4301030233</v>
      </c>
      <c r="D380" s="664">
        <v>4607091388404</v>
      </c>
      <c r="E380" s="664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66"/>
      <c r="R380" s="666"/>
      <c r="S380" s="666"/>
      <c r="T380" s="66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73"/>
      <c r="B381" s="673"/>
      <c r="C381" s="673"/>
      <c r="D381" s="673"/>
      <c r="E381" s="673"/>
      <c r="F381" s="673"/>
      <c r="G381" s="673"/>
      <c r="H381" s="673"/>
      <c r="I381" s="673"/>
      <c r="J381" s="673"/>
      <c r="K381" s="673"/>
      <c r="L381" s="673"/>
      <c r="M381" s="673"/>
      <c r="N381" s="673"/>
      <c r="O381" s="674"/>
      <c r="P381" s="670" t="s">
        <v>40</v>
      </c>
      <c r="Q381" s="671"/>
      <c r="R381" s="671"/>
      <c r="S381" s="671"/>
      <c r="T381" s="671"/>
      <c r="U381" s="671"/>
      <c r="V381" s="672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673"/>
      <c r="B382" s="673"/>
      <c r="C382" s="673"/>
      <c r="D382" s="673"/>
      <c r="E382" s="673"/>
      <c r="F382" s="673"/>
      <c r="G382" s="673"/>
      <c r="H382" s="673"/>
      <c r="I382" s="673"/>
      <c r="J382" s="673"/>
      <c r="K382" s="673"/>
      <c r="L382" s="673"/>
      <c r="M382" s="673"/>
      <c r="N382" s="673"/>
      <c r="O382" s="674"/>
      <c r="P382" s="670" t="s">
        <v>40</v>
      </c>
      <c r="Q382" s="671"/>
      <c r="R382" s="671"/>
      <c r="S382" s="671"/>
      <c r="T382" s="671"/>
      <c r="U382" s="671"/>
      <c r="V382" s="672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customHeight="1" x14ac:dyDescent="0.25">
      <c r="A383" s="663" t="s">
        <v>633</v>
      </c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3"/>
      <c r="P383" s="663"/>
      <c r="Q383" s="663"/>
      <c r="R383" s="663"/>
      <c r="S383" s="663"/>
      <c r="T383" s="663"/>
      <c r="U383" s="663"/>
      <c r="V383" s="663"/>
      <c r="W383" s="663"/>
      <c r="X383" s="663"/>
      <c r="Y383" s="663"/>
      <c r="Z383" s="663"/>
      <c r="AA383" s="63"/>
      <c r="AB383" s="63"/>
      <c r="AC383" s="63"/>
    </row>
    <row r="384" spans="1:68" ht="16.5" customHeight="1" x14ac:dyDescent="0.25">
      <c r="A384" s="60" t="s">
        <v>634</v>
      </c>
      <c r="B384" s="60" t="s">
        <v>635</v>
      </c>
      <c r="C384" s="34">
        <v>4301180007</v>
      </c>
      <c r="D384" s="664">
        <v>4680115881808</v>
      </c>
      <c r="E384" s="664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86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66"/>
      <c r="R384" s="666"/>
      <c r="S384" s="666"/>
      <c r="T384" s="66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638</v>
      </c>
      <c r="B385" s="60" t="s">
        <v>639</v>
      </c>
      <c r="C385" s="34">
        <v>4301180006</v>
      </c>
      <c r="D385" s="664">
        <v>4680115881822</v>
      </c>
      <c r="E385" s="664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86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66"/>
      <c r="R385" s="666"/>
      <c r="S385" s="666"/>
      <c r="T385" s="66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640</v>
      </c>
      <c r="B386" s="60" t="s">
        <v>641</v>
      </c>
      <c r="C386" s="34">
        <v>4301180001</v>
      </c>
      <c r="D386" s="664">
        <v>4680115880016</v>
      </c>
      <c r="E386" s="664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86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66"/>
      <c r="R386" s="666"/>
      <c r="S386" s="666"/>
      <c r="T386" s="66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73"/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4"/>
      <c r="P387" s="670" t="s">
        <v>40</v>
      </c>
      <c r="Q387" s="671"/>
      <c r="R387" s="671"/>
      <c r="S387" s="671"/>
      <c r="T387" s="671"/>
      <c r="U387" s="671"/>
      <c r="V387" s="672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x14ac:dyDescent="0.2">
      <c r="A388" s="673"/>
      <c r="B388" s="673"/>
      <c r="C388" s="673"/>
      <c r="D388" s="673"/>
      <c r="E388" s="673"/>
      <c r="F388" s="673"/>
      <c r="G388" s="673"/>
      <c r="H388" s="673"/>
      <c r="I388" s="673"/>
      <c r="J388" s="673"/>
      <c r="K388" s="673"/>
      <c r="L388" s="673"/>
      <c r="M388" s="673"/>
      <c r="N388" s="673"/>
      <c r="O388" s="674"/>
      <c r="P388" s="670" t="s">
        <v>40</v>
      </c>
      <c r="Q388" s="671"/>
      <c r="R388" s="671"/>
      <c r="S388" s="671"/>
      <c r="T388" s="671"/>
      <c r="U388" s="671"/>
      <c r="V388" s="672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customHeight="1" x14ac:dyDescent="0.25">
      <c r="A389" s="662" t="s">
        <v>642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62"/>
      <c r="AB389" s="62"/>
      <c r="AC389" s="62"/>
    </row>
    <row r="390" spans="1:68" ht="14.25" customHeight="1" x14ac:dyDescent="0.25">
      <c r="A390" s="663" t="s">
        <v>92</v>
      </c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3"/>
      <c r="P390" s="663"/>
      <c r="Q390" s="663"/>
      <c r="R390" s="663"/>
      <c r="S390" s="663"/>
      <c r="T390" s="663"/>
      <c r="U390" s="663"/>
      <c r="V390" s="663"/>
      <c r="W390" s="663"/>
      <c r="X390" s="663"/>
      <c r="Y390" s="663"/>
      <c r="Z390" s="663"/>
      <c r="AA390" s="63"/>
      <c r="AB390" s="63"/>
      <c r="AC390" s="63"/>
    </row>
    <row r="391" spans="1:68" ht="37.5" customHeight="1" x14ac:dyDescent="0.25">
      <c r="A391" s="60" t="s">
        <v>643</v>
      </c>
      <c r="B391" s="60" t="s">
        <v>644</v>
      </c>
      <c r="C391" s="34">
        <v>4301051489</v>
      </c>
      <c r="D391" s="664">
        <v>4607091387919</v>
      </c>
      <c r="E391" s="664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8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66"/>
      <c r="R391" s="666"/>
      <c r="S391" s="666"/>
      <c r="T391" s="667"/>
      <c r="U391" s="37" t="s">
        <v>46</v>
      </c>
      <c r="V391" s="37" t="s">
        <v>46</v>
      </c>
      <c r="W391" s="38" t="s">
        <v>0</v>
      </c>
      <c r="X391" s="56">
        <v>8</v>
      </c>
      <c r="Y391" s="53">
        <f>IFERROR(IF(X391="",0,CEILING((X391/$H391),1)*$H391),"")</f>
        <v>8.1</v>
      </c>
      <c r="Z391" s="39">
        <f>IFERROR(IF(Y391=0,"",ROUNDUP(Y391/H391,0)*0.01898),"")</f>
        <v>1.898E-2</v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8.4879012345679019</v>
      </c>
      <c r="BN391" s="75">
        <f>IFERROR(Y391*I391/H391,"0")</f>
        <v>8.5939999999999994</v>
      </c>
      <c r="BO391" s="75">
        <f>IFERROR(1/J391*(X391/H391),"0")</f>
        <v>1.54320987654321E-2</v>
      </c>
      <c r="BP391" s="75">
        <f>IFERROR(1/J391*(Y391/H391),"0")</f>
        <v>1.5625E-2</v>
      </c>
    </row>
    <row r="392" spans="1:68" ht="37.5" customHeight="1" x14ac:dyDescent="0.25">
      <c r="A392" s="60" t="s">
        <v>646</v>
      </c>
      <c r="B392" s="60" t="s">
        <v>647</v>
      </c>
      <c r="C392" s="34">
        <v>4301051461</v>
      </c>
      <c r="D392" s="664">
        <v>4680115883604</v>
      </c>
      <c r="E392" s="664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8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66"/>
      <c r="R392" s="666"/>
      <c r="S392" s="666"/>
      <c r="T392" s="667"/>
      <c r="U392" s="37" t="s">
        <v>46</v>
      </c>
      <c r="V392" s="37" t="s">
        <v>46</v>
      </c>
      <c r="W392" s="38" t="s">
        <v>0</v>
      </c>
      <c r="X392" s="56">
        <v>12.6</v>
      </c>
      <c r="Y392" s="53">
        <f>IFERROR(IF(X392="",0,CEILING((X392/$H392),1)*$H392),"")</f>
        <v>12.600000000000001</v>
      </c>
      <c r="Z392" s="39">
        <f>IFERROR(IF(Y392=0,"",ROUNDUP(Y392/H392,0)*0.00651),"")</f>
        <v>3.9059999999999997E-2</v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14.111999999999998</v>
      </c>
      <c r="BN392" s="75">
        <f>IFERROR(Y392*I392/H392,"0")</f>
        <v>14.112</v>
      </c>
      <c r="BO392" s="75">
        <f>IFERROR(1/J392*(X392/H392),"0")</f>
        <v>3.2967032967032968E-2</v>
      </c>
      <c r="BP392" s="75">
        <f>IFERROR(1/J392*(Y392/H392),"0")</f>
        <v>3.2967032967032968E-2</v>
      </c>
    </row>
    <row r="393" spans="1:68" ht="27" customHeight="1" x14ac:dyDescent="0.25">
      <c r="A393" s="60" t="s">
        <v>649</v>
      </c>
      <c r="B393" s="60" t="s">
        <v>650</v>
      </c>
      <c r="C393" s="34">
        <v>4301051864</v>
      </c>
      <c r="D393" s="664">
        <v>4680115883567</v>
      </c>
      <c r="E393" s="664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66"/>
      <c r="R393" s="666"/>
      <c r="S393" s="666"/>
      <c r="T393" s="667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73"/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4"/>
      <c r="P394" s="670" t="s">
        <v>40</v>
      </c>
      <c r="Q394" s="671"/>
      <c r="R394" s="671"/>
      <c r="S394" s="671"/>
      <c r="T394" s="671"/>
      <c r="U394" s="671"/>
      <c r="V394" s="672"/>
      <c r="W394" s="40" t="s">
        <v>39</v>
      </c>
      <c r="X394" s="41">
        <f>IFERROR(X391/H391,"0")+IFERROR(X392/H392,"0")+IFERROR(X393/H393,"0")</f>
        <v>6.9876543209876543</v>
      </c>
      <c r="Y394" s="41">
        <f>IFERROR(Y391/H391,"0")+IFERROR(Y392/H392,"0")+IFERROR(Y393/H393,"0")</f>
        <v>7</v>
      </c>
      <c r="Z394" s="41">
        <f>IFERROR(IF(Z391="",0,Z391),"0")+IFERROR(IF(Z392="",0,Z392),"0")+IFERROR(IF(Z393="",0,Z393),"0")</f>
        <v>5.8039999999999994E-2</v>
      </c>
      <c r="AA394" s="64"/>
      <c r="AB394" s="64"/>
      <c r="AC394" s="64"/>
    </row>
    <row r="395" spans="1:68" x14ac:dyDescent="0.2">
      <c r="A395" s="673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70" t="s">
        <v>40</v>
      </c>
      <c r="Q395" s="671"/>
      <c r="R395" s="671"/>
      <c r="S395" s="671"/>
      <c r="T395" s="671"/>
      <c r="U395" s="671"/>
      <c r="V395" s="672"/>
      <c r="W395" s="40" t="s">
        <v>0</v>
      </c>
      <c r="X395" s="41">
        <f>IFERROR(SUM(X391:X393),"0")</f>
        <v>20.6</v>
      </c>
      <c r="Y395" s="41">
        <f>IFERROR(SUM(Y391:Y393),"0")</f>
        <v>20.700000000000003</v>
      </c>
      <c r="Z395" s="40"/>
      <c r="AA395" s="64"/>
      <c r="AB395" s="64"/>
      <c r="AC395" s="64"/>
    </row>
    <row r="396" spans="1:68" ht="27.75" customHeight="1" x14ac:dyDescent="0.2">
      <c r="A396" s="661" t="s">
        <v>652</v>
      </c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1"/>
      <c r="P396" s="661"/>
      <c r="Q396" s="661"/>
      <c r="R396" s="661"/>
      <c r="S396" s="661"/>
      <c r="T396" s="661"/>
      <c r="U396" s="661"/>
      <c r="V396" s="661"/>
      <c r="W396" s="661"/>
      <c r="X396" s="661"/>
      <c r="Y396" s="661"/>
      <c r="Z396" s="661"/>
      <c r="AA396" s="52"/>
      <c r="AB396" s="52"/>
      <c r="AC396" s="52"/>
    </row>
    <row r="397" spans="1:68" ht="16.5" customHeight="1" x14ac:dyDescent="0.25">
      <c r="A397" s="662" t="s">
        <v>653</v>
      </c>
      <c r="B397" s="662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  <c r="Z397" s="662"/>
      <c r="AA397" s="62"/>
      <c r="AB397" s="62"/>
      <c r="AC397" s="62"/>
    </row>
    <row r="398" spans="1:68" ht="14.25" customHeight="1" x14ac:dyDescent="0.25">
      <c r="A398" s="663" t="s">
        <v>146</v>
      </c>
      <c r="B398" s="663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N398" s="663"/>
      <c r="O398" s="663"/>
      <c r="P398" s="663"/>
      <c r="Q398" s="663"/>
      <c r="R398" s="663"/>
      <c r="S398" s="663"/>
      <c r="T398" s="663"/>
      <c r="U398" s="663"/>
      <c r="V398" s="663"/>
      <c r="W398" s="663"/>
      <c r="X398" s="663"/>
      <c r="Y398" s="663"/>
      <c r="Z398" s="663"/>
      <c r="AA398" s="63"/>
      <c r="AB398" s="63"/>
      <c r="AC398" s="63"/>
    </row>
    <row r="399" spans="1:68" ht="27" customHeight="1" x14ac:dyDescent="0.25">
      <c r="A399" s="60" t="s">
        <v>654</v>
      </c>
      <c r="B399" s="60" t="s">
        <v>655</v>
      </c>
      <c r="C399" s="34">
        <v>4301012332</v>
      </c>
      <c r="D399" s="664">
        <v>4680115888401</v>
      </c>
      <c r="E399" s="664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8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66"/>
      <c r="R399" s="666"/>
      <c r="S399" s="666"/>
      <c r="T399" s="667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64">
        <v>4680115884847</v>
      </c>
      <c r="E400" s="664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8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66"/>
      <c r="R400" s="666"/>
      <c r="S400" s="666"/>
      <c r="T400" s="667"/>
      <c r="U400" s="37" t="s">
        <v>46</v>
      </c>
      <c r="V400" s="37" t="s">
        <v>46</v>
      </c>
      <c r="W400" s="38" t="s">
        <v>0</v>
      </c>
      <c r="X400" s="56">
        <v>1655</v>
      </c>
      <c r="Y400" s="53">
        <f t="shared" si="53"/>
        <v>1665</v>
      </c>
      <c r="Z400" s="39">
        <f>IFERROR(IF(Y400=0,"",ROUNDUP(Y400/H400,0)*0.02175),"")</f>
        <v>2.41425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1706.8566666666668</v>
      </c>
      <c r="BN400" s="75">
        <f t="shared" si="55"/>
        <v>1717.1699999999998</v>
      </c>
      <c r="BO400" s="75">
        <f t="shared" si="56"/>
        <v>2.2986111111111107</v>
      </c>
      <c r="BP400" s="75">
        <f t="shared" si="57"/>
        <v>2.3125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64">
        <v>4680115884854</v>
      </c>
      <c r="E401" s="664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8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66"/>
      <c r="R401" s="666"/>
      <c r="S401" s="666"/>
      <c r="T401" s="667"/>
      <c r="U401" s="37" t="s">
        <v>46</v>
      </c>
      <c r="V401" s="37" t="s">
        <v>46</v>
      </c>
      <c r="W401" s="38" t="s">
        <v>0</v>
      </c>
      <c r="X401" s="56">
        <v>2230</v>
      </c>
      <c r="Y401" s="53">
        <f t="shared" si="53"/>
        <v>2235</v>
      </c>
      <c r="Z401" s="39">
        <f>IFERROR(IF(Y401=0,"",ROUNDUP(Y401/H401,0)*0.02175),"")</f>
        <v>3.2407499999999998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2299.8733333333334</v>
      </c>
      <c r="BN401" s="75">
        <f t="shared" si="55"/>
        <v>2305.0300000000002</v>
      </c>
      <c r="BO401" s="75">
        <f t="shared" si="56"/>
        <v>3.0972222222222219</v>
      </c>
      <c r="BP401" s="75">
        <f t="shared" si="57"/>
        <v>3.1041666666666665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64">
        <v>4680115884830</v>
      </c>
      <c r="E402" s="664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8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66"/>
      <c r="R402" s="666"/>
      <c r="S402" s="666"/>
      <c r="T402" s="667"/>
      <c r="U402" s="37" t="s">
        <v>46</v>
      </c>
      <c r="V402" s="37" t="s">
        <v>46</v>
      </c>
      <c r="W402" s="38" t="s">
        <v>0</v>
      </c>
      <c r="X402" s="56">
        <v>2400</v>
      </c>
      <c r="Y402" s="53">
        <f t="shared" si="53"/>
        <v>2400</v>
      </c>
      <c r="Z402" s="39">
        <f>IFERROR(IF(Y402=0,"",ROUNDUP(Y402/H402,0)*0.02175),"")</f>
        <v>3.4799999999999995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2475.1999999999998</v>
      </c>
      <c r="BN402" s="75">
        <f t="shared" si="55"/>
        <v>2475.1999999999998</v>
      </c>
      <c r="BO402" s="75">
        <f t="shared" si="56"/>
        <v>3.333333333333333</v>
      </c>
      <c r="BP402" s="75">
        <f t="shared" si="57"/>
        <v>3.333333333333333</v>
      </c>
    </row>
    <row r="403" spans="1:68" ht="27" customHeight="1" x14ac:dyDescent="0.25">
      <c r="A403" s="60" t="s">
        <v>666</v>
      </c>
      <c r="B403" s="60" t="s">
        <v>667</v>
      </c>
      <c r="C403" s="34">
        <v>4301012215</v>
      </c>
      <c r="D403" s="664">
        <v>4680115887046</v>
      </c>
      <c r="E403" s="66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8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66"/>
      <c r="R403" s="666"/>
      <c r="S403" s="666"/>
      <c r="T403" s="667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customHeight="1" x14ac:dyDescent="0.25">
      <c r="A404" s="60" t="s">
        <v>669</v>
      </c>
      <c r="B404" s="60" t="s">
        <v>670</v>
      </c>
      <c r="C404" s="34">
        <v>4301011433</v>
      </c>
      <c r="D404" s="664">
        <v>4680115882638</v>
      </c>
      <c r="E404" s="664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66"/>
      <c r="R404" s="666"/>
      <c r="S404" s="666"/>
      <c r="T404" s="667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customHeight="1" x14ac:dyDescent="0.25">
      <c r="A405" s="60" t="s">
        <v>672</v>
      </c>
      <c r="B405" s="60" t="s">
        <v>673</v>
      </c>
      <c r="C405" s="34">
        <v>4301011952</v>
      </c>
      <c r="D405" s="664">
        <v>4680115884922</v>
      </c>
      <c r="E405" s="664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8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66"/>
      <c r="R405" s="666"/>
      <c r="S405" s="666"/>
      <c r="T405" s="667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customHeight="1" x14ac:dyDescent="0.25">
      <c r="A406" s="60" t="s">
        <v>675</v>
      </c>
      <c r="B406" s="60" t="s">
        <v>676</v>
      </c>
      <c r="C406" s="34">
        <v>4301011868</v>
      </c>
      <c r="D406" s="664">
        <v>4680115884861</v>
      </c>
      <c r="E406" s="664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8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66"/>
      <c r="R406" s="666"/>
      <c r="S406" s="666"/>
      <c r="T406" s="667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73"/>
      <c r="B407" s="673"/>
      <c r="C407" s="673"/>
      <c r="D407" s="673"/>
      <c r="E407" s="673"/>
      <c r="F407" s="673"/>
      <c r="G407" s="673"/>
      <c r="H407" s="673"/>
      <c r="I407" s="673"/>
      <c r="J407" s="673"/>
      <c r="K407" s="673"/>
      <c r="L407" s="673"/>
      <c r="M407" s="673"/>
      <c r="N407" s="673"/>
      <c r="O407" s="674"/>
      <c r="P407" s="670" t="s">
        <v>40</v>
      </c>
      <c r="Q407" s="671"/>
      <c r="R407" s="671"/>
      <c r="S407" s="671"/>
      <c r="T407" s="671"/>
      <c r="U407" s="671"/>
      <c r="V407" s="672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419</v>
      </c>
      <c r="Y407" s="41">
        <f>IFERROR(Y399/H399,"0")+IFERROR(Y400/H400,"0")+IFERROR(Y401/H401,"0")+IFERROR(Y402/H402,"0")+IFERROR(Y403/H403,"0")+IFERROR(Y404/H404,"0")+IFERROR(Y405/H405,"0")+IFERROR(Y406/H406,"0")</f>
        <v>420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9.134999999999998</v>
      </c>
      <c r="AA407" s="64"/>
      <c r="AB407" s="64"/>
      <c r="AC407" s="64"/>
    </row>
    <row r="408" spans="1:68" x14ac:dyDescent="0.2">
      <c r="A408" s="673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70" t="s">
        <v>40</v>
      </c>
      <c r="Q408" s="671"/>
      <c r="R408" s="671"/>
      <c r="S408" s="671"/>
      <c r="T408" s="671"/>
      <c r="U408" s="671"/>
      <c r="V408" s="672"/>
      <c r="W408" s="40" t="s">
        <v>0</v>
      </c>
      <c r="X408" s="41">
        <f>IFERROR(SUM(X399:X406),"0")</f>
        <v>6285</v>
      </c>
      <c r="Y408" s="41">
        <f>IFERROR(SUM(Y399:Y406),"0")</f>
        <v>6300</v>
      </c>
      <c r="Z408" s="40"/>
      <c r="AA408" s="64"/>
      <c r="AB408" s="64"/>
      <c r="AC408" s="64"/>
    </row>
    <row r="409" spans="1:68" ht="14.25" customHeight="1" x14ac:dyDescent="0.25">
      <c r="A409" s="663" t="s">
        <v>180</v>
      </c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3"/>
      <c r="P409" s="663"/>
      <c r="Q409" s="663"/>
      <c r="R409" s="663"/>
      <c r="S409" s="663"/>
      <c r="T409" s="663"/>
      <c r="U409" s="663"/>
      <c r="V409" s="663"/>
      <c r="W409" s="663"/>
      <c r="X409" s="663"/>
      <c r="Y409" s="663"/>
      <c r="Z409" s="663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64">
        <v>4607091383980</v>
      </c>
      <c r="E410" s="664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66"/>
      <c r="R410" s="666"/>
      <c r="S410" s="666"/>
      <c r="T410" s="667"/>
      <c r="U410" s="37" t="s">
        <v>46</v>
      </c>
      <c r="V410" s="37" t="s">
        <v>46</v>
      </c>
      <c r="W410" s="38" t="s">
        <v>0</v>
      </c>
      <c r="X410" s="56">
        <v>2430</v>
      </c>
      <c r="Y410" s="53">
        <f>IFERROR(IF(X410="",0,CEILING((X410/$H410),1)*$H410),"")</f>
        <v>2430</v>
      </c>
      <c r="Z410" s="39">
        <f>IFERROR(IF(Y410=0,"",ROUNDUP(Y410/H410,0)*0.02175),"")</f>
        <v>3.5234999999999999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2506.14</v>
      </c>
      <c r="BN410" s="75">
        <f>IFERROR(Y410*I410/H410,"0")</f>
        <v>2506.14</v>
      </c>
      <c r="BO410" s="75">
        <f>IFERROR(1/J410*(X410/H410),"0")</f>
        <v>3.375</v>
      </c>
      <c r="BP410" s="75">
        <f>IFERROR(1/J410*(Y410/H410),"0")</f>
        <v>3.375</v>
      </c>
    </row>
    <row r="411" spans="1:68" ht="27" customHeight="1" x14ac:dyDescent="0.25">
      <c r="A411" s="60" t="s">
        <v>681</v>
      </c>
      <c r="B411" s="60" t="s">
        <v>682</v>
      </c>
      <c r="C411" s="34">
        <v>4301020355</v>
      </c>
      <c r="D411" s="664">
        <v>4680115888425</v>
      </c>
      <c r="E411" s="664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8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66"/>
      <c r="R411" s="666"/>
      <c r="S411" s="666"/>
      <c r="T411" s="667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customHeight="1" x14ac:dyDescent="0.25">
      <c r="A412" s="60" t="s">
        <v>684</v>
      </c>
      <c r="B412" s="60" t="s">
        <v>685</v>
      </c>
      <c r="C412" s="34">
        <v>4301020179</v>
      </c>
      <c r="D412" s="664">
        <v>4607091384178</v>
      </c>
      <c r="E412" s="664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8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66"/>
      <c r="R412" s="666"/>
      <c r="S412" s="666"/>
      <c r="T412" s="667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3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70" t="s">
        <v>40</v>
      </c>
      <c r="Q413" s="671"/>
      <c r="R413" s="671"/>
      <c r="S413" s="671"/>
      <c r="T413" s="671"/>
      <c r="U413" s="671"/>
      <c r="V413" s="672"/>
      <c r="W413" s="40" t="s">
        <v>39</v>
      </c>
      <c r="X413" s="41">
        <f>IFERROR(X410/H410,"0")+IFERROR(X411/H411,"0")+IFERROR(X412/H412,"0")</f>
        <v>162</v>
      </c>
      <c r="Y413" s="41">
        <f>IFERROR(Y410/H410,"0")+IFERROR(Y411/H411,"0")+IFERROR(Y412/H412,"0")</f>
        <v>162</v>
      </c>
      <c r="Z413" s="41">
        <f>IFERROR(IF(Z410="",0,Z410),"0")+IFERROR(IF(Z411="",0,Z411),"0")+IFERROR(IF(Z412="",0,Z412),"0")</f>
        <v>3.5234999999999999</v>
      </c>
      <c r="AA413" s="64"/>
      <c r="AB413" s="64"/>
      <c r="AC413" s="64"/>
    </row>
    <row r="414" spans="1:68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70" t="s">
        <v>40</v>
      </c>
      <c r="Q414" s="671"/>
      <c r="R414" s="671"/>
      <c r="S414" s="671"/>
      <c r="T414" s="671"/>
      <c r="U414" s="671"/>
      <c r="V414" s="672"/>
      <c r="W414" s="40" t="s">
        <v>0</v>
      </c>
      <c r="X414" s="41">
        <f>IFERROR(SUM(X410:X412),"0")</f>
        <v>2430</v>
      </c>
      <c r="Y414" s="41">
        <f>IFERROR(SUM(Y410:Y412),"0")</f>
        <v>2430</v>
      </c>
      <c r="Z414" s="40"/>
      <c r="AA414" s="64"/>
      <c r="AB414" s="64"/>
      <c r="AC414" s="64"/>
    </row>
    <row r="415" spans="1:68" ht="14.25" customHeight="1" x14ac:dyDescent="0.25">
      <c r="A415" s="663" t="s">
        <v>92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64">
        <v>4607091383928</v>
      </c>
      <c r="E416" s="664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8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66"/>
      <c r="R416" s="666"/>
      <c r="S416" s="666"/>
      <c r="T416" s="667"/>
      <c r="U416" s="37" t="s">
        <v>46</v>
      </c>
      <c r="V416" s="37" t="s">
        <v>46</v>
      </c>
      <c r="W416" s="38" t="s">
        <v>0</v>
      </c>
      <c r="X416" s="56">
        <v>1424</v>
      </c>
      <c r="Y416" s="53">
        <f>IFERROR(IF(X416="",0,CEILING((X416/$H416),1)*$H416),"")</f>
        <v>1431</v>
      </c>
      <c r="Z416" s="39">
        <f>IFERROR(IF(Y416=0,"",ROUNDUP(Y416/H416,0)*0.01898),"")</f>
        <v>3.0178199999999999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1503.1111111111111</v>
      </c>
      <c r="BN416" s="75">
        <f>IFERROR(Y416*I416/H416,"0")</f>
        <v>1510.5</v>
      </c>
      <c r="BO416" s="75">
        <f>IFERROR(1/J416*(X416/H416),"0")</f>
        <v>2.4722222222222223</v>
      </c>
      <c r="BP416" s="75">
        <f>IFERROR(1/J416*(Y416/H416),"0")</f>
        <v>2.484375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64">
        <v>4607091384260</v>
      </c>
      <c r="E417" s="664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8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66"/>
      <c r="R417" s="666"/>
      <c r="S417" s="666"/>
      <c r="T417" s="667"/>
      <c r="U417" s="37" t="s">
        <v>46</v>
      </c>
      <c r="V417" s="37" t="s">
        <v>46</v>
      </c>
      <c r="W417" s="38" t="s">
        <v>0</v>
      </c>
      <c r="X417" s="56">
        <v>324</v>
      </c>
      <c r="Y417" s="53">
        <f>IFERROR(IF(X417="",0,CEILING((X417/$H417),1)*$H417),"")</f>
        <v>324</v>
      </c>
      <c r="Z417" s="39">
        <f>IFERROR(IF(Y417=0,"",ROUNDUP(Y417/H417,0)*0.01898),"")</f>
        <v>0.68328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341.78399999999999</v>
      </c>
      <c r="BN417" s="75">
        <f>IFERROR(Y417*I417/H417,"0")</f>
        <v>341.78399999999999</v>
      </c>
      <c r="BO417" s="75">
        <f>IFERROR(1/J417*(X417/H417),"0")</f>
        <v>0.5625</v>
      </c>
      <c r="BP417" s="75">
        <f>IFERROR(1/J417*(Y417/H417),"0")</f>
        <v>0.5625</v>
      </c>
    </row>
    <row r="418" spans="1:68" x14ac:dyDescent="0.2">
      <c r="A418" s="673"/>
      <c r="B418" s="673"/>
      <c r="C418" s="673"/>
      <c r="D418" s="673"/>
      <c r="E418" s="673"/>
      <c r="F418" s="673"/>
      <c r="G418" s="673"/>
      <c r="H418" s="673"/>
      <c r="I418" s="673"/>
      <c r="J418" s="673"/>
      <c r="K418" s="673"/>
      <c r="L418" s="673"/>
      <c r="M418" s="673"/>
      <c r="N418" s="673"/>
      <c r="O418" s="674"/>
      <c r="P418" s="670" t="s">
        <v>40</v>
      </c>
      <c r="Q418" s="671"/>
      <c r="R418" s="671"/>
      <c r="S418" s="671"/>
      <c r="T418" s="671"/>
      <c r="U418" s="671"/>
      <c r="V418" s="672"/>
      <c r="W418" s="40" t="s">
        <v>39</v>
      </c>
      <c r="X418" s="41">
        <f>IFERROR(X416/H416,"0")+IFERROR(X417/H417,"0")</f>
        <v>194.22222222222223</v>
      </c>
      <c r="Y418" s="41">
        <f>IFERROR(Y416/H416,"0")+IFERROR(Y417/H417,"0")</f>
        <v>195</v>
      </c>
      <c r="Z418" s="41">
        <f>IFERROR(IF(Z416="",0,Z416),"0")+IFERROR(IF(Z417="",0,Z417),"0")</f>
        <v>3.7010999999999998</v>
      </c>
      <c r="AA418" s="64"/>
      <c r="AB418" s="64"/>
      <c r="AC418" s="64"/>
    </row>
    <row r="419" spans="1:68" x14ac:dyDescent="0.2">
      <c r="A419" s="673"/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4"/>
      <c r="P419" s="670" t="s">
        <v>40</v>
      </c>
      <c r="Q419" s="671"/>
      <c r="R419" s="671"/>
      <c r="S419" s="671"/>
      <c r="T419" s="671"/>
      <c r="U419" s="671"/>
      <c r="V419" s="672"/>
      <c r="W419" s="40" t="s">
        <v>0</v>
      </c>
      <c r="X419" s="41">
        <f>IFERROR(SUM(X416:X417),"0")</f>
        <v>1748</v>
      </c>
      <c r="Y419" s="41">
        <f>IFERROR(SUM(Y416:Y417),"0")</f>
        <v>1755</v>
      </c>
      <c r="Z419" s="40"/>
      <c r="AA419" s="64"/>
      <c r="AB419" s="64"/>
      <c r="AC419" s="64"/>
    </row>
    <row r="420" spans="1:68" ht="14.25" customHeight="1" x14ac:dyDescent="0.25">
      <c r="A420" s="663" t="s">
        <v>197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64">
        <v>4607091384673</v>
      </c>
      <c r="E421" s="66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8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66"/>
      <c r="R421" s="666"/>
      <c r="S421" s="666"/>
      <c r="T421" s="667"/>
      <c r="U421" s="37" t="s">
        <v>46</v>
      </c>
      <c r="V421" s="37" t="s">
        <v>46</v>
      </c>
      <c r="W421" s="38" t="s">
        <v>0</v>
      </c>
      <c r="X421" s="56">
        <v>534</v>
      </c>
      <c r="Y421" s="53">
        <f>IFERROR(IF(X421="",0,CEILING((X421/$H421),1)*$H421),"")</f>
        <v>540</v>
      </c>
      <c r="Z421" s="39">
        <f>IFERROR(IF(Y421=0,"",ROUNDUP(Y421/H421,0)*0.01898),"")</f>
        <v>1.1388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563.31066666666675</v>
      </c>
      <c r="BN421" s="75">
        <f>IFERROR(Y421*I421/H421,"0")</f>
        <v>569.64</v>
      </c>
      <c r="BO421" s="75">
        <f>IFERROR(1/J421*(X421/H421),"0")</f>
        <v>0.92708333333333337</v>
      </c>
      <c r="BP421" s="75">
        <f>IFERROR(1/J421*(Y421/H421),"0")</f>
        <v>0.9375</v>
      </c>
    </row>
    <row r="422" spans="1:68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70" t="s">
        <v>40</v>
      </c>
      <c r="Q422" s="671"/>
      <c r="R422" s="671"/>
      <c r="S422" s="671"/>
      <c r="T422" s="671"/>
      <c r="U422" s="671"/>
      <c r="V422" s="672"/>
      <c r="W422" s="40" t="s">
        <v>39</v>
      </c>
      <c r="X422" s="41">
        <f>IFERROR(X421/H421,"0")</f>
        <v>59.333333333333336</v>
      </c>
      <c r="Y422" s="41">
        <f>IFERROR(Y421/H421,"0")</f>
        <v>60</v>
      </c>
      <c r="Z422" s="41">
        <f>IFERROR(IF(Z421="",0,Z421),"0")</f>
        <v>1.1388</v>
      </c>
      <c r="AA422" s="64"/>
      <c r="AB422" s="64"/>
      <c r="AC422" s="64"/>
    </row>
    <row r="423" spans="1:68" x14ac:dyDescent="0.2">
      <c r="A423" s="673"/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4"/>
      <c r="P423" s="670" t="s">
        <v>40</v>
      </c>
      <c r="Q423" s="671"/>
      <c r="R423" s="671"/>
      <c r="S423" s="671"/>
      <c r="T423" s="671"/>
      <c r="U423" s="671"/>
      <c r="V423" s="672"/>
      <c r="W423" s="40" t="s">
        <v>0</v>
      </c>
      <c r="X423" s="41">
        <f>IFERROR(SUM(X421:X421),"0")</f>
        <v>534</v>
      </c>
      <c r="Y423" s="41">
        <f>IFERROR(SUM(Y421:Y421),"0")</f>
        <v>540</v>
      </c>
      <c r="Z423" s="40"/>
      <c r="AA423" s="64"/>
      <c r="AB423" s="64"/>
      <c r="AC423" s="64"/>
    </row>
    <row r="424" spans="1:68" ht="16.5" customHeight="1" x14ac:dyDescent="0.25">
      <c r="A424" s="662" t="s">
        <v>696</v>
      </c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2"/>
      <c r="P424" s="662"/>
      <c r="Q424" s="662"/>
      <c r="R424" s="662"/>
      <c r="S424" s="662"/>
      <c r="T424" s="662"/>
      <c r="U424" s="662"/>
      <c r="V424" s="662"/>
      <c r="W424" s="662"/>
      <c r="X424" s="662"/>
      <c r="Y424" s="662"/>
      <c r="Z424" s="662"/>
      <c r="AA424" s="62"/>
      <c r="AB424" s="62"/>
      <c r="AC424" s="62"/>
    </row>
    <row r="425" spans="1:68" ht="14.25" customHeight="1" x14ac:dyDescent="0.25">
      <c r="A425" s="663" t="s">
        <v>146</v>
      </c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3"/>
      <c r="P425" s="663"/>
      <c r="Q425" s="663"/>
      <c r="R425" s="663"/>
      <c r="S425" s="663"/>
      <c r="T425" s="663"/>
      <c r="U425" s="663"/>
      <c r="V425" s="663"/>
      <c r="W425" s="663"/>
      <c r="X425" s="663"/>
      <c r="Y425" s="663"/>
      <c r="Z425" s="663"/>
      <c r="AA425" s="63"/>
      <c r="AB425" s="63"/>
      <c r="AC425" s="63"/>
    </row>
    <row r="426" spans="1:68" ht="27" customHeight="1" x14ac:dyDescent="0.25">
      <c r="A426" s="60" t="s">
        <v>697</v>
      </c>
      <c r="B426" s="60" t="s">
        <v>698</v>
      </c>
      <c r="C426" s="34">
        <v>4301011875</v>
      </c>
      <c r="D426" s="664">
        <v>4680115884885</v>
      </c>
      <c r="E426" s="664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8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66"/>
      <c r="R426" s="666"/>
      <c r="S426" s="666"/>
      <c r="T426" s="667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customHeight="1" x14ac:dyDescent="0.25">
      <c r="A427" s="60" t="s">
        <v>700</v>
      </c>
      <c r="B427" s="60" t="s">
        <v>701</v>
      </c>
      <c r="C427" s="34">
        <v>4301011871</v>
      </c>
      <c r="D427" s="664">
        <v>4680115884908</v>
      </c>
      <c r="E427" s="66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66"/>
      <c r="R427" s="666"/>
      <c r="S427" s="666"/>
      <c r="T427" s="667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x14ac:dyDescent="0.2">
      <c r="A428" s="673"/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4"/>
      <c r="P428" s="670" t="s">
        <v>40</v>
      </c>
      <c r="Q428" s="671"/>
      <c r="R428" s="671"/>
      <c r="S428" s="671"/>
      <c r="T428" s="671"/>
      <c r="U428" s="671"/>
      <c r="V428" s="672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x14ac:dyDescent="0.2">
      <c r="A429" s="673"/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4"/>
      <c r="P429" s="670" t="s">
        <v>40</v>
      </c>
      <c r="Q429" s="671"/>
      <c r="R429" s="671"/>
      <c r="S429" s="671"/>
      <c r="T429" s="671"/>
      <c r="U429" s="671"/>
      <c r="V429" s="672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customHeight="1" x14ac:dyDescent="0.25">
      <c r="A430" s="663" t="s">
        <v>77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3"/>
      <c r="AB430" s="63"/>
      <c r="AC430" s="63"/>
    </row>
    <row r="431" spans="1:68" ht="27" customHeight="1" x14ac:dyDescent="0.25">
      <c r="A431" s="60" t="s">
        <v>702</v>
      </c>
      <c r="B431" s="60" t="s">
        <v>703</v>
      </c>
      <c r="C431" s="34">
        <v>4301031457</v>
      </c>
      <c r="D431" s="664">
        <v>4607091384802</v>
      </c>
      <c r="E431" s="664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8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66"/>
      <c r="R431" s="666"/>
      <c r="S431" s="666"/>
      <c r="T431" s="667"/>
      <c r="U431" s="37" t="s">
        <v>46</v>
      </c>
      <c r="V431" s="37" t="s">
        <v>46</v>
      </c>
      <c r="W431" s="38" t="s">
        <v>0</v>
      </c>
      <c r="X431" s="56"/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x14ac:dyDescent="0.2">
      <c r="A432" s="673"/>
      <c r="B432" s="673"/>
      <c r="C432" s="673"/>
      <c r="D432" s="673"/>
      <c r="E432" s="673"/>
      <c r="F432" s="673"/>
      <c r="G432" s="673"/>
      <c r="H432" s="673"/>
      <c r="I432" s="673"/>
      <c r="J432" s="673"/>
      <c r="K432" s="673"/>
      <c r="L432" s="673"/>
      <c r="M432" s="673"/>
      <c r="N432" s="673"/>
      <c r="O432" s="674"/>
      <c r="P432" s="670" t="s">
        <v>40</v>
      </c>
      <c r="Q432" s="671"/>
      <c r="R432" s="671"/>
      <c r="S432" s="671"/>
      <c r="T432" s="671"/>
      <c r="U432" s="671"/>
      <c r="V432" s="672"/>
      <c r="W432" s="40" t="s">
        <v>39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x14ac:dyDescent="0.2">
      <c r="A433" s="673"/>
      <c r="B433" s="673"/>
      <c r="C433" s="673"/>
      <c r="D433" s="673"/>
      <c r="E433" s="673"/>
      <c r="F433" s="673"/>
      <c r="G433" s="673"/>
      <c r="H433" s="673"/>
      <c r="I433" s="673"/>
      <c r="J433" s="673"/>
      <c r="K433" s="673"/>
      <c r="L433" s="673"/>
      <c r="M433" s="673"/>
      <c r="N433" s="673"/>
      <c r="O433" s="674"/>
      <c r="P433" s="670" t="s">
        <v>40</v>
      </c>
      <c r="Q433" s="671"/>
      <c r="R433" s="671"/>
      <c r="S433" s="671"/>
      <c r="T433" s="671"/>
      <c r="U433" s="671"/>
      <c r="V433" s="672"/>
      <c r="W433" s="40" t="s">
        <v>0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customHeight="1" x14ac:dyDescent="0.25">
      <c r="A434" s="663" t="s">
        <v>92</v>
      </c>
      <c r="B434" s="663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N434" s="663"/>
      <c r="O434" s="663"/>
      <c r="P434" s="663"/>
      <c r="Q434" s="663"/>
      <c r="R434" s="663"/>
      <c r="S434" s="663"/>
      <c r="T434" s="663"/>
      <c r="U434" s="663"/>
      <c r="V434" s="663"/>
      <c r="W434" s="663"/>
      <c r="X434" s="663"/>
      <c r="Y434" s="663"/>
      <c r="Z434" s="663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64">
        <v>4607091384246</v>
      </c>
      <c r="E435" s="664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8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66"/>
      <c r="R435" s="666"/>
      <c r="S435" s="666"/>
      <c r="T435" s="667"/>
      <c r="U435" s="37" t="s">
        <v>46</v>
      </c>
      <c r="V435" s="37" t="s">
        <v>46</v>
      </c>
      <c r="W435" s="38" t="s">
        <v>0</v>
      </c>
      <c r="X435" s="56">
        <v>208</v>
      </c>
      <c r="Y435" s="53">
        <f>IFERROR(IF(X435="",0,CEILING((X435/$H435),1)*$H435),"")</f>
        <v>216</v>
      </c>
      <c r="Z435" s="39">
        <f>IFERROR(IF(Y435=0,"",ROUNDUP(Y435/H435,0)*0.01898),"")</f>
        <v>0.45552000000000004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219.41688888888888</v>
      </c>
      <c r="BN435" s="75">
        <f>IFERROR(Y435*I435/H435,"0")</f>
        <v>227.85599999999997</v>
      </c>
      <c r="BO435" s="75">
        <f>IFERROR(1/J435*(X435/H435),"0")</f>
        <v>0.3611111111111111</v>
      </c>
      <c r="BP435" s="75">
        <f>IFERROR(1/J435*(Y435/H435),"0")</f>
        <v>0.375</v>
      </c>
    </row>
    <row r="436" spans="1:68" ht="27" customHeight="1" x14ac:dyDescent="0.25">
      <c r="A436" s="60" t="s">
        <v>708</v>
      </c>
      <c r="B436" s="60" t="s">
        <v>709</v>
      </c>
      <c r="C436" s="34">
        <v>4301051660</v>
      </c>
      <c r="D436" s="664">
        <v>4607091384253</v>
      </c>
      <c r="E436" s="664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8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66"/>
      <c r="R436" s="666"/>
      <c r="S436" s="666"/>
      <c r="T436" s="667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customHeight="1" x14ac:dyDescent="0.25">
      <c r="A437" s="60" t="s">
        <v>708</v>
      </c>
      <c r="B437" s="60" t="s">
        <v>710</v>
      </c>
      <c r="C437" s="34">
        <v>4301052069</v>
      </c>
      <c r="D437" s="664">
        <v>4607091384253</v>
      </c>
      <c r="E437" s="664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8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66"/>
      <c r="R437" s="666"/>
      <c r="S437" s="666"/>
      <c r="T437" s="667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73"/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4"/>
      <c r="P438" s="670" t="s">
        <v>40</v>
      </c>
      <c r="Q438" s="671"/>
      <c r="R438" s="671"/>
      <c r="S438" s="671"/>
      <c r="T438" s="671"/>
      <c r="U438" s="671"/>
      <c r="V438" s="672"/>
      <c r="W438" s="40" t="s">
        <v>39</v>
      </c>
      <c r="X438" s="41">
        <f>IFERROR(X435/H435,"0")+IFERROR(X436/H436,"0")+IFERROR(X437/H437,"0")</f>
        <v>23.111111111111111</v>
      </c>
      <c r="Y438" s="41">
        <f>IFERROR(Y435/H435,"0")+IFERROR(Y436/H436,"0")+IFERROR(Y437/H437,"0")</f>
        <v>24</v>
      </c>
      <c r="Z438" s="41">
        <f>IFERROR(IF(Z435="",0,Z435),"0")+IFERROR(IF(Z436="",0,Z436),"0")+IFERROR(IF(Z437="",0,Z437),"0")</f>
        <v>0.45552000000000004</v>
      </c>
      <c r="AA438" s="64"/>
      <c r="AB438" s="64"/>
      <c r="AC438" s="64"/>
    </row>
    <row r="439" spans="1:68" x14ac:dyDescent="0.2">
      <c r="A439" s="673"/>
      <c r="B439" s="673"/>
      <c r="C439" s="673"/>
      <c r="D439" s="673"/>
      <c r="E439" s="673"/>
      <c r="F439" s="673"/>
      <c r="G439" s="673"/>
      <c r="H439" s="673"/>
      <c r="I439" s="673"/>
      <c r="J439" s="673"/>
      <c r="K439" s="673"/>
      <c r="L439" s="673"/>
      <c r="M439" s="673"/>
      <c r="N439" s="673"/>
      <c r="O439" s="674"/>
      <c r="P439" s="670" t="s">
        <v>40</v>
      </c>
      <c r="Q439" s="671"/>
      <c r="R439" s="671"/>
      <c r="S439" s="671"/>
      <c r="T439" s="671"/>
      <c r="U439" s="671"/>
      <c r="V439" s="672"/>
      <c r="W439" s="40" t="s">
        <v>0</v>
      </c>
      <c r="X439" s="41">
        <f>IFERROR(SUM(X435:X437),"0")</f>
        <v>208</v>
      </c>
      <c r="Y439" s="41">
        <f>IFERROR(SUM(Y435:Y437),"0")</f>
        <v>216</v>
      </c>
      <c r="Z439" s="40"/>
      <c r="AA439" s="64"/>
      <c r="AB439" s="64"/>
      <c r="AC439" s="64"/>
    </row>
    <row r="440" spans="1:68" ht="27.75" customHeight="1" x14ac:dyDescent="0.2">
      <c r="A440" s="661" t="s">
        <v>712</v>
      </c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1"/>
      <c r="P440" s="661"/>
      <c r="Q440" s="661"/>
      <c r="R440" s="661"/>
      <c r="S440" s="661"/>
      <c r="T440" s="661"/>
      <c r="U440" s="661"/>
      <c r="V440" s="661"/>
      <c r="W440" s="661"/>
      <c r="X440" s="661"/>
      <c r="Y440" s="661"/>
      <c r="Z440" s="661"/>
      <c r="AA440" s="52"/>
      <c r="AB440" s="52"/>
      <c r="AC440" s="52"/>
    </row>
    <row r="441" spans="1:68" ht="16.5" customHeight="1" x14ac:dyDescent="0.25">
      <c r="A441" s="662" t="s">
        <v>713</v>
      </c>
      <c r="B441" s="662"/>
      <c r="C441" s="662"/>
      <c r="D441" s="662"/>
      <c r="E441" s="662"/>
      <c r="F441" s="662"/>
      <c r="G441" s="662"/>
      <c r="H441" s="662"/>
      <c r="I441" s="662"/>
      <c r="J441" s="662"/>
      <c r="K441" s="662"/>
      <c r="L441" s="662"/>
      <c r="M441" s="662"/>
      <c r="N441" s="662"/>
      <c r="O441" s="662"/>
      <c r="P441" s="662"/>
      <c r="Q441" s="662"/>
      <c r="R441" s="662"/>
      <c r="S441" s="662"/>
      <c r="T441" s="662"/>
      <c r="U441" s="662"/>
      <c r="V441" s="662"/>
      <c r="W441" s="662"/>
      <c r="X441" s="662"/>
      <c r="Y441" s="662"/>
      <c r="Z441" s="662"/>
      <c r="AA441" s="62"/>
      <c r="AB441" s="62"/>
      <c r="AC441" s="62"/>
    </row>
    <row r="442" spans="1:68" ht="14.25" customHeight="1" x14ac:dyDescent="0.25">
      <c r="A442" s="663" t="s">
        <v>77</v>
      </c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3"/>
      <c r="P442" s="663"/>
      <c r="Q442" s="663"/>
      <c r="R442" s="663"/>
      <c r="S442" s="663"/>
      <c r="T442" s="663"/>
      <c r="U442" s="663"/>
      <c r="V442" s="663"/>
      <c r="W442" s="663"/>
      <c r="X442" s="663"/>
      <c r="Y442" s="663"/>
      <c r="Z442" s="663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64">
        <v>4680115886100</v>
      </c>
      <c r="E443" s="664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8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66"/>
      <c r="R443" s="666"/>
      <c r="S443" s="666"/>
      <c r="T443" s="667"/>
      <c r="U443" s="37" t="s">
        <v>46</v>
      </c>
      <c r="V443" s="37" t="s">
        <v>46</v>
      </c>
      <c r="W443" s="38" t="s">
        <v>0</v>
      </c>
      <c r="X443" s="56">
        <v>150</v>
      </c>
      <c r="Y443" s="53">
        <f t="shared" ref="Y443:Y448" si="58">IFERROR(IF(X443="",0,CEILING((X443/$H443),1)*$H443),"")</f>
        <v>151.20000000000002</v>
      </c>
      <c r="Z443" s="39">
        <f>IFERROR(IF(Y443=0,"",ROUNDUP(Y443/H443,0)*0.00902),"")</f>
        <v>0.25256000000000001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155.27777777777777</v>
      </c>
      <c r="BN443" s="75">
        <f t="shared" ref="BN443:BN448" si="60">IFERROR(Y443*I443/H443,"0")</f>
        <v>156.52000000000001</v>
      </c>
      <c r="BO443" s="75">
        <f t="shared" ref="BO443:BO448" si="61">IFERROR(1/J443*(X443/H443),"0")</f>
        <v>0.21043771043771042</v>
      </c>
      <c r="BP443" s="75">
        <f t="shared" ref="BP443:BP448" si="62">IFERROR(1/J443*(Y443/H443),"0")</f>
        <v>0.21212121212121213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64">
        <v>4680115886124</v>
      </c>
      <c r="E444" s="664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8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66"/>
      <c r="R444" s="666"/>
      <c r="S444" s="666"/>
      <c r="T444" s="667"/>
      <c r="U444" s="37" t="s">
        <v>46</v>
      </c>
      <c r="V444" s="37" t="s">
        <v>46</v>
      </c>
      <c r="W444" s="38" t="s">
        <v>0</v>
      </c>
      <c r="X444" s="56">
        <v>380</v>
      </c>
      <c r="Y444" s="53">
        <f t="shared" si="58"/>
        <v>383.40000000000003</v>
      </c>
      <c r="Z444" s="39">
        <f>IFERROR(IF(Y444=0,"",ROUNDUP(Y444/H444,0)*0.00902),"")</f>
        <v>0.64041999999999999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393.37037037037032</v>
      </c>
      <c r="BN444" s="75">
        <f t="shared" si="60"/>
        <v>396.89</v>
      </c>
      <c r="BO444" s="75">
        <f t="shared" si="61"/>
        <v>0.53310886644219979</v>
      </c>
      <c r="BP444" s="75">
        <f t="shared" si="62"/>
        <v>0.53787878787878785</v>
      </c>
    </row>
    <row r="445" spans="1:68" ht="27" customHeight="1" x14ac:dyDescent="0.25">
      <c r="A445" s="60" t="s">
        <v>720</v>
      </c>
      <c r="B445" s="60" t="s">
        <v>721</v>
      </c>
      <c r="C445" s="34">
        <v>4301031362</v>
      </c>
      <c r="D445" s="664">
        <v>4607091384338</v>
      </c>
      <c r="E445" s="664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8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66"/>
      <c r="R445" s="666"/>
      <c r="S445" s="666"/>
      <c r="T445" s="667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customHeight="1" x14ac:dyDescent="0.25">
      <c r="A446" s="60" t="s">
        <v>722</v>
      </c>
      <c r="B446" s="60" t="s">
        <v>723</v>
      </c>
      <c r="C446" s="34">
        <v>4301031364</v>
      </c>
      <c r="D446" s="664">
        <v>4680115883161</v>
      </c>
      <c r="E446" s="664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8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66"/>
      <c r="R446" s="666"/>
      <c r="S446" s="666"/>
      <c r="T446" s="667"/>
      <c r="U446" s="37" t="s">
        <v>46</v>
      </c>
      <c r="V446" s="37" t="s">
        <v>46</v>
      </c>
      <c r="W446" s="38" t="s">
        <v>0</v>
      </c>
      <c r="X446" s="56">
        <v>10.08</v>
      </c>
      <c r="Y446" s="53">
        <f t="shared" si="58"/>
        <v>10.08</v>
      </c>
      <c r="Z446" s="39">
        <f>IFERROR(IF(Y446=0,"",ROUNDUP(Y446/H446,0)*0.00502),"")</f>
        <v>3.0120000000000001E-2</v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10.860000000000001</v>
      </c>
      <c r="BN446" s="75">
        <f t="shared" si="60"/>
        <v>10.860000000000001</v>
      </c>
      <c r="BO446" s="75">
        <f t="shared" si="61"/>
        <v>2.5641025641025644E-2</v>
      </c>
      <c r="BP446" s="75">
        <f t="shared" si="62"/>
        <v>2.5641025641025644E-2</v>
      </c>
    </row>
    <row r="447" spans="1:68" ht="27" customHeight="1" x14ac:dyDescent="0.25">
      <c r="A447" s="60" t="s">
        <v>725</v>
      </c>
      <c r="B447" s="60" t="s">
        <v>726</v>
      </c>
      <c r="C447" s="34">
        <v>4301031358</v>
      </c>
      <c r="D447" s="664">
        <v>4607091389531</v>
      </c>
      <c r="E447" s="664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8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66"/>
      <c r="R447" s="666"/>
      <c r="S447" s="666"/>
      <c r="T447" s="667"/>
      <c r="U447" s="37" t="s">
        <v>46</v>
      </c>
      <c r="V447" s="37" t="s">
        <v>46</v>
      </c>
      <c r="W447" s="38" t="s">
        <v>0</v>
      </c>
      <c r="X447" s="56">
        <v>12.6</v>
      </c>
      <c r="Y447" s="53">
        <f t="shared" si="58"/>
        <v>12.600000000000001</v>
      </c>
      <c r="Z447" s="39">
        <f>IFERROR(IF(Y447=0,"",ROUNDUP(Y447/H447,0)*0.00502),"")</f>
        <v>3.0120000000000001E-2</v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13.379999999999999</v>
      </c>
      <c r="BN447" s="75">
        <f t="shared" si="60"/>
        <v>13.38</v>
      </c>
      <c r="BO447" s="75">
        <f t="shared" si="61"/>
        <v>2.5641025641025644E-2</v>
      </c>
      <c r="BP447" s="75">
        <f t="shared" si="62"/>
        <v>2.5641025641025644E-2</v>
      </c>
    </row>
    <row r="448" spans="1:68" ht="37.5" customHeight="1" x14ac:dyDescent="0.25">
      <c r="A448" s="60" t="s">
        <v>728</v>
      </c>
      <c r="B448" s="60" t="s">
        <v>729</v>
      </c>
      <c r="C448" s="34">
        <v>4301031360</v>
      </c>
      <c r="D448" s="664">
        <v>4607091384345</v>
      </c>
      <c r="E448" s="664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8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66"/>
      <c r="R448" s="666"/>
      <c r="S448" s="666"/>
      <c r="T448" s="667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x14ac:dyDescent="0.2">
      <c r="A449" s="673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4"/>
      <c r="P449" s="670" t="s">
        <v>40</v>
      </c>
      <c r="Q449" s="671"/>
      <c r="R449" s="671"/>
      <c r="S449" s="671"/>
      <c r="T449" s="671"/>
      <c r="U449" s="671"/>
      <c r="V449" s="672"/>
      <c r="W449" s="40" t="s">
        <v>39</v>
      </c>
      <c r="X449" s="41">
        <f>IFERROR(X443/H443,"0")+IFERROR(X444/H444,"0")+IFERROR(X445/H445,"0")+IFERROR(X446/H446,"0")+IFERROR(X447/H447,"0")+IFERROR(X448/H448,"0")</f>
        <v>110.14814814814814</v>
      </c>
      <c r="Y449" s="41">
        <f>IFERROR(Y443/H443,"0")+IFERROR(Y444/H444,"0")+IFERROR(Y445/H445,"0")+IFERROR(Y446/H446,"0")+IFERROR(Y447/H447,"0")+IFERROR(Y448/H448,"0")</f>
        <v>111</v>
      </c>
      <c r="Z449" s="41">
        <f>IFERROR(IF(Z443="",0,Z443),"0")+IFERROR(IF(Z444="",0,Z444),"0")+IFERROR(IF(Z445="",0,Z445),"0")+IFERROR(IF(Z446="",0,Z446),"0")+IFERROR(IF(Z447="",0,Z447),"0")+IFERROR(IF(Z448="",0,Z448),"0")</f>
        <v>0.95322000000000007</v>
      </c>
      <c r="AA449" s="64"/>
      <c r="AB449" s="64"/>
      <c r="AC449" s="64"/>
    </row>
    <row r="450" spans="1:68" x14ac:dyDescent="0.2">
      <c r="A450" s="673"/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4"/>
      <c r="P450" s="670" t="s">
        <v>40</v>
      </c>
      <c r="Q450" s="671"/>
      <c r="R450" s="671"/>
      <c r="S450" s="671"/>
      <c r="T450" s="671"/>
      <c r="U450" s="671"/>
      <c r="V450" s="672"/>
      <c r="W450" s="40" t="s">
        <v>0</v>
      </c>
      <c r="X450" s="41">
        <f>IFERROR(SUM(X443:X448),"0")</f>
        <v>552.68000000000006</v>
      </c>
      <c r="Y450" s="41">
        <f>IFERROR(SUM(Y443:Y448),"0")</f>
        <v>557.28000000000009</v>
      </c>
      <c r="Z450" s="40"/>
      <c r="AA450" s="64"/>
      <c r="AB450" s="64"/>
      <c r="AC450" s="64"/>
    </row>
    <row r="451" spans="1:68" ht="14.25" customHeight="1" x14ac:dyDescent="0.25">
      <c r="A451" s="663" t="s">
        <v>92</v>
      </c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3"/>
      <c r="P451" s="663"/>
      <c r="Q451" s="663"/>
      <c r="R451" s="663"/>
      <c r="S451" s="663"/>
      <c r="T451" s="663"/>
      <c r="U451" s="663"/>
      <c r="V451" s="663"/>
      <c r="W451" s="663"/>
      <c r="X451" s="663"/>
      <c r="Y451" s="663"/>
      <c r="Z451" s="663"/>
      <c r="AA451" s="63"/>
      <c r="AB451" s="63"/>
      <c r="AC451" s="63"/>
    </row>
    <row r="452" spans="1:68" ht="27" customHeight="1" x14ac:dyDescent="0.25">
      <c r="A452" s="60" t="s">
        <v>730</v>
      </c>
      <c r="B452" s="60" t="s">
        <v>731</v>
      </c>
      <c r="C452" s="34">
        <v>4301051284</v>
      </c>
      <c r="D452" s="664">
        <v>4607091384352</v>
      </c>
      <c r="E452" s="664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8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66"/>
      <c r="R452" s="666"/>
      <c r="S452" s="666"/>
      <c r="T452" s="66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customHeight="1" x14ac:dyDescent="0.25">
      <c r="A453" s="60" t="s">
        <v>733</v>
      </c>
      <c r="B453" s="60" t="s">
        <v>734</v>
      </c>
      <c r="C453" s="34">
        <v>4301051431</v>
      </c>
      <c r="D453" s="664">
        <v>4607091389654</v>
      </c>
      <c r="E453" s="664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8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66"/>
      <c r="R453" s="666"/>
      <c r="S453" s="666"/>
      <c r="T453" s="66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70" t="s">
        <v>40</v>
      </c>
      <c r="Q454" s="671"/>
      <c r="R454" s="671"/>
      <c r="S454" s="671"/>
      <c r="T454" s="671"/>
      <c r="U454" s="671"/>
      <c r="V454" s="67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x14ac:dyDescent="0.2">
      <c r="A455" s="673"/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4"/>
      <c r="P455" s="670" t="s">
        <v>40</v>
      </c>
      <c r="Q455" s="671"/>
      <c r="R455" s="671"/>
      <c r="S455" s="671"/>
      <c r="T455" s="671"/>
      <c r="U455" s="671"/>
      <c r="V455" s="67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customHeight="1" x14ac:dyDescent="0.25">
      <c r="A456" s="662" t="s">
        <v>736</v>
      </c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2"/>
      <c r="P456" s="662"/>
      <c r="Q456" s="662"/>
      <c r="R456" s="662"/>
      <c r="S456" s="662"/>
      <c r="T456" s="662"/>
      <c r="U456" s="662"/>
      <c r="V456" s="662"/>
      <c r="W456" s="662"/>
      <c r="X456" s="662"/>
      <c r="Y456" s="662"/>
      <c r="Z456" s="662"/>
      <c r="AA456" s="62"/>
      <c r="AB456" s="62"/>
      <c r="AC456" s="62"/>
    </row>
    <row r="457" spans="1:68" ht="14.25" customHeight="1" x14ac:dyDescent="0.25">
      <c r="A457" s="663" t="s">
        <v>180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"/>
      <c r="AB457" s="63"/>
      <c r="AC457" s="63"/>
    </row>
    <row r="458" spans="1:68" ht="27" customHeight="1" x14ac:dyDescent="0.25">
      <c r="A458" s="60" t="s">
        <v>737</v>
      </c>
      <c r="B458" s="60" t="s">
        <v>738</v>
      </c>
      <c r="C458" s="34">
        <v>4301020416</v>
      </c>
      <c r="D458" s="664">
        <v>4680115885240</v>
      </c>
      <c r="E458" s="664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8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66"/>
      <c r="R458" s="666"/>
      <c r="S458" s="666"/>
      <c r="T458" s="667"/>
      <c r="U458" s="37" t="s">
        <v>46</v>
      </c>
      <c r="V458" s="37" t="s">
        <v>46</v>
      </c>
      <c r="W458" s="38" t="s">
        <v>0</v>
      </c>
      <c r="X458" s="56">
        <v>25.2</v>
      </c>
      <c r="Y458" s="53">
        <f>IFERROR(IF(X458="",0,CEILING((X458/$H458),1)*$H458),"")</f>
        <v>25.200000000000003</v>
      </c>
      <c r="Z458" s="39">
        <f>IFERROR(IF(Y458=0,"",ROUNDUP(Y458/H458,0)*0.00651),"")</f>
        <v>7.8119999999999995E-2</v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27.719999999999995</v>
      </c>
      <c r="BN458" s="75">
        <f>IFERROR(Y458*I458/H458,"0")</f>
        <v>27.720000000000002</v>
      </c>
      <c r="BO458" s="75">
        <f>IFERROR(1/J458*(X458/H458),"0")</f>
        <v>6.5934065934065936E-2</v>
      </c>
      <c r="BP458" s="75">
        <f>IFERROR(1/J458*(Y458/H458),"0")</f>
        <v>6.5934065934065936E-2</v>
      </c>
    </row>
    <row r="459" spans="1:68" x14ac:dyDescent="0.2">
      <c r="A459" s="673"/>
      <c r="B459" s="673"/>
      <c r="C459" s="673"/>
      <c r="D459" s="673"/>
      <c r="E459" s="673"/>
      <c r="F459" s="673"/>
      <c r="G459" s="673"/>
      <c r="H459" s="673"/>
      <c r="I459" s="673"/>
      <c r="J459" s="673"/>
      <c r="K459" s="673"/>
      <c r="L459" s="673"/>
      <c r="M459" s="673"/>
      <c r="N459" s="673"/>
      <c r="O459" s="674"/>
      <c r="P459" s="670" t="s">
        <v>40</v>
      </c>
      <c r="Q459" s="671"/>
      <c r="R459" s="671"/>
      <c r="S459" s="671"/>
      <c r="T459" s="671"/>
      <c r="U459" s="671"/>
      <c r="V459" s="672"/>
      <c r="W459" s="40" t="s">
        <v>39</v>
      </c>
      <c r="X459" s="41">
        <f>IFERROR(X458/H458,"0")</f>
        <v>12</v>
      </c>
      <c r="Y459" s="41">
        <f>IFERROR(Y458/H458,"0")</f>
        <v>12</v>
      </c>
      <c r="Z459" s="41">
        <f>IFERROR(IF(Z458="",0,Z458),"0")</f>
        <v>7.8119999999999995E-2</v>
      </c>
      <c r="AA459" s="64"/>
      <c r="AB459" s="64"/>
      <c r="AC459" s="64"/>
    </row>
    <row r="460" spans="1:68" x14ac:dyDescent="0.2">
      <c r="A460" s="673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70" t="s">
        <v>40</v>
      </c>
      <c r="Q460" s="671"/>
      <c r="R460" s="671"/>
      <c r="S460" s="671"/>
      <c r="T460" s="671"/>
      <c r="U460" s="671"/>
      <c r="V460" s="672"/>
      <c r="W460" s="40" t="s">
        <v>0</v>
      </c>
      <c r="X460" s="41">
        <f>IFERROR(SUM(X458:X458),"0")</f>
        <v>25.2</v>
      </c>
      <c r="Y460" s="41">
        <f>IFERROR(SUM(Y458:Y458),"0")</f>
        <v>25.200000000000003</v>
      </c>
      <c r="Z460" s="40"/>
      <c r="AA460" s="64"/>
      <c r="AB460" s="64"/>
      <c r="AC460" s="64"/>
    </row>
    <row r="461" spans="1:68" ht="14.25" customHeight="1" x14ac:dyDescent="0.25">
      <c r="A461" s="663" t="s">
        <v>77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  <c r="Y461" s="663"/>
      <c r="Z461" s="663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64">
        <v>4680115886094</v>
      </c>
      <c r="E462" s="664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8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66"/>
      <c r="R462" s="666"/>
      <c r="S462" s="666"/>
      <c r="T462" s="667"/>
      <c r="U462" s="37" t="s">
        <v>46</v>
      </c>
      <c r="V462" s="37" t="s">
        <v>46</v>
      </c>
      <c r="W462" s="38" t="s">
        <v>0</v>
      </c>
      <c r="X462" s="56">
        <v>480</v>
      </c>
      <c r="Y462" s="53">
        <f>IFERROR(IF(X462="",0,CEILING((X462/$H462),1)*$H462),"")</f>
        <v>480.6</v>
      </c>
      <c r="Z462" s="39">
        <f>IFERROR(IF(Y462=0,"",ROUNDUP(Y462/H462,0)*0.00902),"")</f>
        <v>0.80278000000000005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496.8888888888888</v>
      </c>
      <c r="BN462" s="75">
        <f>IFERROR(Y462*I462/H462,"0")</f>
        <v>497.51</v>
      </c>
      <c r="BO462" s="75">
        <f>IFERROR(1/J462*(X462/H462),"0")</f>
        <v>0.67340067340067344</v>
      </c>
      <c r="BP462" s="75">
        <f>IFERROR(1/J462*(Y462/H462),"0")</f>
        <v>0.67424242424242431</v>
      </c>
    </row>
    <row r="463" spans="1:68" ht="27" customHeight="1" x14ac:dyDescent="0.25">
      <c r="A463" s="60" t="s">
        <v>743</v>
      </c>
      <c r="B463" s="60" t="s">
        <v>744</v>
      </c>
      <c r="C463" s="34">
        <v>4301031373</v>
      </c>
      <c r="D463" s="664">
        <v>4680115880771</v>
      </c>
      <c r="E463" s="664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9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66"/>
      <c r="R463" s="666"/>
      <c r="S463" s="666"/>
      <c r="T463" s="667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customHeight="1" x14ac:dyDescent="0.25">
      <c r="A464" s="60" t="s">
        <v>746</v>
      </c>
      <c r="B464" s="60" t="s">
        <v>747</v>
      </c>
      <c r="C464" s="34">
        <v>4301031359</v>
      </c>
      <c r="D464" s="664">
        <v>4607091389500</v>
      </c>
      <c r="E464" s="664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9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66"/>
      <c r="R464" s="666"/>
      <c r="S464" s="666"/>
      <c r="T464" s="667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73"/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4"/>
      <c r="P465" s="670" t="s">
        <v>40</v>
      </c>
      <c r="Q465" s="671"/>
      <c r="R465" s="671"/>
      <c r="S465" s="671"/>
      <c r="T465" s="671"/>
      <c r="U465" s="671"/>
      <c r="V465" s="672"/>
      <c r="W465" s="40" t="s">
        <v>39</v>
      </c>
      <c r="X465" s="41">
        <f>IFERROR(X462/H462,"0")+IFERROR(X463/H463,"0")+IFERROR(X464/H464,"0")</f>
        <v>88.888888888888886</v>
      </c>
      <c r="Y465" s="41">
        <f>IFERROR(Y462/H462,"0")+IFERROR(Y463/H463,"0")+IFERROR(Y464/H464,"0")</f>
        <v>89</v>
      </c>
      <c r="Z465" s="41">
        <f>IFERROR(IF(Z462="",0,Z462),"0")+IFERROR(IF(Z463="",0,Z463),"0")+IFERROR(IF(Z464="",0,Z464),"0")</f>
        <v>0.80278000000000005</v>
      </c>
      <c r="AA465" s="64"/>
      <c r="AB465" s="64"/>
      <c r="AC465" s="64"/>
    </row>
    <row r="466" spans="1:68" x14ac:dyDescent="0.2">
      <c r="A466" s="673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70" t="s">
        <v>40</v>
      </c>
      <c r="Q466" s="671"/>
      <c r="R466" s="671"/>
      <c r="S466" s="671"/>
      <c r="T466" s="671"/>
      <c r="U466" s="671"/>
      <c r="V466" s="672"/>
      <c r="W466" s="40" t="s">
        <v>0</v>
      </c>
      <c r="X466" s="41">
        <f>IFERROR(SUM(X462:X464),"0")</f>
        <v>480</v>
      </c>
      <c r="Y466" s="41">
        <f>IFERROR(SUM(Y462:Y464),"0")</f>
        <v>480.6</v>
      </c>
      <c r="Z466" s="40"/>
      <c r="AA466" s="64"/>
      <c r="AB466" s="64"/>
      <c r="AC466" s="64"/>
    </row>
    <row r="467" spans="1:68" ht="27.75" customHeight="1" x14ac:dyDescent="0.2">
      <c r="A467" s="661" t="s">
        <v>748</v>
      </c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1"/>
      <c r="P467" s="661"/>
      <c r="Q467" s="661"/>
      <c r="R467" s="661"/>
      <c r="S467" s="661"/>
      <c r="T467" s="661"/>
      <c r="U467" s="661"/>
      <c r="V467" s="661"/>
      <c r="W467" s="661"/>
      <c r="X467" s="661"/>
      <c r="Y467" s="661"/>
      <c r="Z467" s="661"/>
      <c r="AA467" s="52"/>
      <c r="AB467" s="52"/>
      <c r="AC467" s="52"/>
    </row>
    <row r="468" spans="1:68" ht="16.5" customHeight="1" x14ac:dyDescent="0.25">
      <c r="A468" s="662" t="s">
        <v>748</v>
      </c>
      <c r="B468" s="662"/>
      <c r="C468" s="662"/>
      <c r="D468" s="662"/>
      <c r="E468" s="662"/>
      <c r="F468" s="662"/>
      <c r="G468" s="662"/>
      <c r="H468" s="662"/>
      <c r="I468" s="662"/>
      <c r="J468" s="662"/>
      <c r="K468" s="662"/>
      <c r="L468" s="662"/>
      <c r="M468" s="662"/>
      <c r="N468" s="662"/>
      <c r="O468" s="662"/>
      <c r="P468" s="662"/>
      <c r="Q468" s="662"/>
      <c r="R468" s="662"/>
      <c r="S468" s="662"/>
      <c r="T468" s="662"/>
      <c r="U468" s="662"/>
      <c r="V468" s="662"/>
      <c r="W468" s="662"/>
      <c r="X468" s="662"/>
      <c r="Y468" s="662"/>
      <c r="Z468" s="662"/>
      <c r="AA468" s="62"/>
      <c r="AB468" s="62"/>
      <c r="AC468" s="62"/>
    </row>
    <row r="469" spans="1:68" ht="14.25" customHeight="1" x14ac:dyDescent="0.25">
      <c r="A469" s="663" t="s">
        <v>146</v>
      </c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663"/>
      <c r="S469" s="663"/>
      <c r="T469" s="663"/>
      <c r="U469" s="663"/>
      <c r="V469" s="663"/>
      <c r="W469" s="663"/>
      <c r="X469" s="663"/>
      <c r="Y469" s="663"/>
      <c r="Z469" s="663"/>
      <c r="AA469" s="63"/>
      <c r="AB469" s="63"/>
      <c r="AC469" s="63"/>
    </row>
    <row r="470" spans="1:68" ht="27" customHeight="1" x14ac:dyDescent="0.25">
      <c r="A470" s="60" t="s">
        <v>749</v>
      </c>
      <c r="B470" s="60" t="s">
        <v>750</v>
      </c>
      <c r="C470" s="34">
        <v>4301011769</v>
      </c>
      <c r="D470" s="664">
        <v>4607091389067</v>
      </c>
      <c r="E470" s="664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9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66"/>
      <c r="R470" s="666"/>
      <c r="S470" s="666"/>
      <c r="T470" s="667"/>
      <c r="U470" s="37" t="s">
        <v>46</v>
      </c>
      <c r="V470" s="37" t="s">
        <v>46</v>
      </c>
      <c r="W470" s="38" t="s">
        <v>0</v>
      </c>
      <c r="X470" s="56">
        <v>30</v>
      </c>
      <c r="Y470" s="53">
        <f t="shared" ref="Y470:Y478" si="63">IFERROR(IF(X470="",0,CEILING((X470/$H470),1)*$H470),"")</f>
        <v>31.68</v>
      </c>
      <c r="Z470" s="39">
        <f t="shared" ref="Z470:Z475" si="64">IFERROR(IF(Y470=0,"",ROUNDUP(Y470/H470,0)*0.01196),"")</f>
        <v>7.1760000000000004E-2</v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31.988636363636363</v>
      </c>
      <c r="BN470" s="75">
        <f t="shared" ref="BN470:BN478" si="66">IFERROR(Y470*I470/H470,"0")</f>
        <v>33.779999999999994</v>
      </c>
      <c r="BO470" s="75">
        <f t="shared" ref="BO470:BO478" si="67">IFERROR(1/J470*(X470/H470),"0")</f>
        <v>5.4632867132867136E-2</v>
      </c>
      <c r="BP470" s="75">
        <f t="shared" ref="BP470:BP478" si="68">IFERROR(1/J470*(Y470/H470),"0")</f>
        <v>5.7692307692307696E-2</v>
      </c>
    </row>
    <row r="471" spans="1:68" ht="27" customHeight="1" x14ac:dyDescent="0.25">
      <c r="A471" s="60" t="s">
        <v>751</v>
      </c>
      <c r="B471" s="60" t="s">
        <v>752</v>
      </c>
      <c r="C471" s="34">
        <v>4301012210</v>
      </c>
      <c r="D471" s="664">
        <v>4607091383522</v>
      </c>
      <c r="E471" s="664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9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66"/>
      <c r="R471" s="666"/>
      <c r="S471" s="666"/>
      <c r="T471" s="667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754</v>
      </c>
      <c r="B472" s="60" t="s">
        <v>755</v>
      </c>
      <c r="C472" s="34">
        <v>4301011961</v>
      </c>
      <c r="D472" s="664">
        <v>4680115885271</v>
      </c>
      <c r="E472" s="664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9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66"/>
      <c r="R472" s="666"/>
      <c r="S472" s="666"/>
      <c r="T472" s="667"/>
      <c r="U472" s="37" t="s">
        <v>46</v>
      </c>
      <c r="V472" s="37" t="s">
        <v>46</v>
      </c>
      <c r="W472" s="38" t="s">
        <v>0</v>
      </c>
      <c r="X472" s="56">
        <v>5</v>
      </c>
      <c r="Y472" s="53">
        <f t="shared" si="63"/>
        <v>5.28</v>
      </c>
      <c r="Z472" s="39">
        <f t="shared" si="64"/>
        <v>1.196E-2</v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5.3314393939393936</v>
      </c>
      <c r="BN472" s="75">
        <f t="shared" si="66"/>
        <v>5.63</v>
      </c>
      <c r="BO472" s="75">
        <f t="shared" si="67"/>
        <v>9.1054778554778559E-3</v>
      </c>
      <c r="BP472" s="75">
        <f t="shared" si="68"/>
        <v>9.6153846153846159E-3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64">
        <v>4680115885226</v>
      </c>
      <c r="E473" s="664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9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66"/>
      <c r="R473" s="666"/>
      <c r="S473" s="666"/>
      <c r="T473" s="667"/>
      <c r="U473" s="37" t="s">
        <v>46</v>
      </c>
      <c r="V473" s="37" t="s">
        <v>46</v>
      </c>
      <c r="W473" s="38" t="s">
        <v>0</v>
      </c>
      <c r="X473" s="56">
        <v>15</v>
      </c>
      <c r="Y473" s="53">
        <f t="shared" si="63"/>
        <v>15.84</v>
      </c>
      <c r="Z473" s="39">
        <f t="shared" si="64"/>
        <v>3.5880000000000002E-2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15.994318181818182</v>
      </c>
      <c r="BN473" s="75">
        <f t="shared" si="66"/>
        <v>16.889999999999997</v>
      </c>
      <c r="BO473" s="75">
        <f t="shared" si="67"/>
        <v>2.7316433566433568E-2</v>
      </c>
      <c r="BP473" s="75">
        <f t="shared" si="68"/>
        <v>2.8846153846153848E-2</v>
      </c>
    </row>
    <row r="474" spans="1:68" ht="16.5" customHeight="1" x14ac:dyDescent="0.25">
      <c r="A474" s="60" t="s">
        <v>760</v>
      </c>
      <c r="B474" s="60" t="s">
        <v>761</v>
      </c>
      <c r="C474" s="34">
        <v>4301011797</v>
      </c>
      <c r="D474" s="664">
        <v>4680115884502</v>
      </c>
      <c r="E474" s="66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9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66"/>
      <c r="R474" s="666"/>
      <c r="S474" s="666"/>
      <c r="T474" s="667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64">
        <v>4607091389104</v>
      </c>
      <c r="E475" s="66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9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66"/>
      <c r="R475" s="666"/>
      <c r="S475" s="666"/>
      <c r="T475" s="667"/>
      <c r="U475" s="37" t="s">
        <v>46</v>
      </c>
      <c r="V475" s="37" t="s">
        <v>46</v>
      </c>
      <c r="W475" s="38" t="s">
        <v>0</v>
      </c>
      <c r="X475" s="56">
        <v>390</v>
      </c>
      <c r="Y475" s="53">
        <f t="shared" si="63"/>
        <v>390.72</v>
      </c>
      <c r="Z475" s="39">
        <f t="shared" si="64"/>
        <v>0.88504000000000005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415.85227272727269</v>
      </c>
      <c r="BN475" s="75">
        <f t="shared" si="66"/>
        <v>416.62</v>
      </c>
      <c r="BO475" s="75">
        <f t="shared" si="67"/>
        <v>0.71022727272727271</v>
      </c>
      <c r="BP475" s="75">
        <f t="shared" si="68"/>
        <v>0.71153846153846156</v>
      </c>
    </row>
    <row r="476" spans="1:68" ht="27" customHeight="1" x14ac:dyDescent="0.25">
      <c r="A476" s="60" t="s">
        <v>766</v>
      </c>
      <c r="B476" s="60" t="s">
        <v>767</v>
      </c>
      <c r="C476" s="34">
        <v>4301012125</v>
      </c>
      <c r="D476" s="664">
        <v>4680115886391</v>
      </c>
      <c r="E476" s="664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9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66"/>
      <c r="R476" s="666"/>
      <c r="S476" s="666"/>
      <c r="T476" s="667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customHeight="1" x14ac:dyDescent="0.25">
      <c r="A477" s="60" t="s">
        <v>768</v>
      </c>
      <c r="B477" s="60" t="s">
        <v>769</v>
      </c>
      <c r="C477" s="34">
        <v>4301012048</v>
      </c>
      <c r="D477" s="664">
        <v>4680115880603</v>
      </c>
      <c r="E477" s="664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90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66"/>
      <c r="R477" s="666"/>
      <c r="S477" s="666"/>
      <c r="T477" s="667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customHeight="1" x14ac:dyDescent="0.25">
      <c r="A478" s="60" t="s">
        <v>770</v>
      </c>
      <c r="B478" s="60" t="s">
        <v>771</v>
      </c>
      <c r="C478" s="34">
        <v>4301012034</v>
      </c>
      <c r="D478" s="664">
        <v>4607091389982</v>
      </c>
      <c r="E478" s="664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9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66"/>
      <c r="R478" s="666"/>
      <c r="S478" s="666"/>
      <c r="T478" s="667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73"/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4"/>
      <c r="P479" s="670" t="s">
        <v>40</v>
      </c>
      <c r="Q479" s="671"/>
      <c r="R479" s="671"/>
      <c r="S479" s="671"/>
      <c r="T479" s="671"/>
      <c r="U479" s="671"/>
      <c r="V479" s="672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83.333333333333329</v>
      </c>
      <c r="Y479" s="41">
        <f>IFERROR(Y470/H470,"0")+IFERROR(Y471/H471,"0")+IFERROR(Y472/H472,"0")+IFERROR(Y473/H473,"0")+IFERROR(Y474/H474,"0")+IFERROR(Y475/H475,"0")+IFERROR(Y476/H476,"0")+IFERROR(Y477/H477,"0")+IFERROR(Y478/H478,"0")</f>
        <v>84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1.00464</v>
      </c>
      <c r="AA479" s="64"/>
      <c r="AB479" s="64"/>
      <c r="AC479" s="64"/>
    </row>
    <row r="480" spans="1:68" x14ac:dyDescent="0.2">
      <c r="A480" s="673"/>
      <c r="B480" s="673"/>
      <c r="C480" s="673"/>
      <c r="D480" s="673"/>
      <c r="E480" s="673"/>
      <c r="F480" s="673"/>
      <c r="G480" s="673"/>
      <c r="H480" s="673"/>
      <c r="I480" s="673"/>
      <c r="J480" s="673"/>
      <c r="K480" s="673"/>
      <c r="L480" s="673"/>
      <c r="M480" s="673"/>
      <c r="N480" s="673"/>
      <c r="O480" s="674"/>
      <c r="P480" s="670" t="s">
        <v>40</v>
      </c>
      <c r="Q480" s="671"/>
      <c r="R480" s="671"/>
      <c r="S480" s="671"/>
      <c r="T480" s="671"/>
      <c r="U480" s="671"/>
      <c r="V480" s="672"/>
      <c r="W480" s="40" t="s">
        <v>0</v>
      </c>
      <c r="X480" s="41">
        <f>IFERROR(SUM(X470:X478),"0")</f>
        <v>440</v>
      </c>
      <c r="Y480" s="41">
        <f>IFERROR(SUM(Y470:Y478),"0")</f>
        <v>443.52000000000004</v>
      </c>
      <c r="Z480" s="40"/>
      <c r="AA480" s="64"/>
      <c r="AB480" s="64"/>
      <c r="AC480" s="64"/>
    </row>
    <row r="481" spans="1:68" ht="14.25" customHeight="1" x14ac:dyDescent="0.25">
      <c r="A481" s="663" t="s">
        <v>180</v>
      </c>
      <c r="B481" s="663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N481" s="663"/>
      <c r="O481" s="663"/>
      <c r="P481" s="663"/>
      <c r="Q481" s="663"/>
      <c r="R481" s="663"/>
      <c r="S481" s="663"/>
      <c r="T481" s="663"/>
      <c r="U481" s="663"/>
      <c r="V481" s="663"/>
      <c r="W481" s="663"/>
      <c r="X481" s="663"/>
      <c r="Y481" s="663"/>
      <c r="Z481" s="663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64">
        <v>4607091388930</v>
      </c>
      <c r="E482" s="664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66"/>
      <c r="R482" s="666"/>
      <c r="S482" s="666"/>
      <c r="T482" s="667"/>
      <c r="U482" s="37" t="s">
        <v>46</v>
      </c>
      <c r="V482" s="37" t="s">
        <v>46</v>
      </c>
      <c r="W482" s="38" t="s">
        <v>0</v>
      </c>
      <c r="X482" s="56">
        <v>65</v>
      </c>
      <c r="Y482" s="53">
        <f>IFERROR(IF(X482="",0,CEILING((X482/$H482),1)*$H482),"")</f>
        <v>68.64</v>
      </c>
      <c r="Z482" s="39">
        <f>IFERROR(IF(Y482=0,"",ROUNDUP(Y482/H482,0)*0.01196),"")</f>
        <v>0.15548000000000001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69.30871212121211</v>
      </c>
      <c r="BN482" s="75">
        <f>IFERROR(Y482*I482/H482,"0")</f>
        <v>73.19</v>
      </c>
      <c r="BO482" s="75">
        <f>IFERROR(1/J482*(X482/H482),"0")</f>
        <v>0.11837121212121213</v>
      </c>
      <c r="BP482" s="75">
        <f>IFERROR(1/J482*(Y482/H482),"0")</f>
        <v>0.125</v>
      </c>
    </row>
    <row r="483" spans="1:68" ht="16.5" customHeight="1" x14ac:dyDescent="0.25">
      <c r="A483" s="60" t="s">
        <v>775</v>
      </c>
      <c r="B483" s="60" t="s">
        <v>776</v>
      </c>
      <c r="C483" s="34">
        <v>4301020374</v>
      </c>
      <c r="D483" s="664">
        <v>4680115886407</v>
      </c>
      <c r="E483" s="664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9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66"/>
      <c r="R483" s="666"/>
      <c r="S483" s="666"/>
      <c r="T483" s="667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customHeight="1" x14ac:dyDescent="0.25">
      <c r="A484" s="60" t="s">
        <v>777</v>
      </c>
      <c r="B484" s="60" t="s">
        <v>778</v>
      </c>
      <c r="C484" s="34">
        <v>4301020385</v>
      </c>
      <c r="D484" s="664">
        <v>4680115880054</v>
      </c>
      <c r="E484" s="664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66"/>
      <c r="R484" s="666"/>
      <c r="S484" s="666"/>
      <c r="T484" s="667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73"/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4"/>
      <c r="P485" s="670" t="s">
        <v>40</v>
      </c>
      <c r="Q485" s="671"/>
      <c r="R485" s="671"/>
      <c r="S485" s="671"/>
      <c r="T485" s="671"/>
      <c r="U485" s="671"/>
      <c r="V485" s="672"/>
      <c r="W485" s="40" t="s">
        <v>39</v>
      </c>
      <c r="X485" s="41">
        <f>IFERROR(X482/H482,"0")+IFERROR(X483/H483,"0")+IFERROR(X484/H484,"0")</f>
        <v>12.310606060606061</v>
      </c>
      <c r="Y485" s="41">
        <f>IFERROR(Y482/H482,"0")+IFERROR(Y483/H483,"0")+IFERROR(Y484/H484,"0")</f>
        <v>13</v>
      </c>
      <c r="Z485" s="41">
        <f>IFERROR(IF(Z482="",0,Z482),"0")+IFERROR(IF(Z483="",0,Z483),"0")+IFERROR(IF(Z484="",0,Z484),"0")</f>
        <v>0.15548000000000001</v>
      </c>
      <c r="AA485" s="64"/>
      <c r="AB485" s="64"/>
      <c r="AC485" s="64"/>
    </row>
    <row r="486" spans="1:68" x14ac:dyDescent="0.2">
      <c r="A486" s="673"/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3"/>
      <c r="M486" s="673"/>
      <c r="N486" s="673"/>
      <c r="O486" s="674"/>
      <c r="P486" s="670" t="s">
        <v>40</v>
      </c>
      <c r="Q486" s="671"/>
      <c r="R486" s="671"/>
      <c r="S486" s="671"/>
      <c r="T486" s="671"/>
      <c r="U486" s="671"/>
      <c r="V486" s="672"/>
      <c r="W486" s="40" t="s">
        <v>0</v>
      </c>
      <c r="X486" s="41">
        <f>IFERROR(SUM(X482:X484),"0")</f>
        <v>65</v>
      </c>
      <c r="Y486" s="41">
        <f>IFERROR(SUM(Y482:Y484),"0")</f>
        <v>68.64</v>
      </c>
      <c r="Z486" s="40"/>
      <c r="AA486" s="64"/>
      <c r="AB486" s="64"/>
      <c r="AC486" s="64"/>
    </row>
    <row r="487" spans="1:68" ht="14.25" customHeight="1" x14ac:dyDescent="0.25">
      <c r="A487" s="663" t="s">
        <v>77</v>
      </c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3"/>
      <c r="P487" s="663"/>
      <c r="Q487" s="663"/>
      <c r="R487" s="663"/>
      <c r="S487" s="663"/>
      <c r="T487" s="663"/>
      <c r="U487" s="663"/>
      <c r="V487" s="663"/>
      <c r="W487" s="663"/>
      <c r="X487" s="663"/>
      <c r="Y487" s="663"/>
      <c r="Z487" s="663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64">
        <v>4680115883116</v>
      </c>
      <c r="E488" s="664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9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66"/>
      <c r="R488" s="666"/>
      <c r="S488" s="666"/>
      <c r="T488" s="667"/>
      <c r="U488" s="37" t="s">
        <v>46</v>
      </c>
      <c r="V488" s="37" t="s">
        <v>46</v>
      </c>
      <c r="W488" s="38" t="s">
        <v>0</v>
      </c>
      <c r="X488" s="56">
        <v>65</v>
      </c>
      <c r="Y488" s="53">
        <f t="shared" ref="Y488:Y494" si="69">IFERROR(IF(X488="",0,CEILING((X488/$H488),1)*$H488),"")</f>
        <v>68.64</v>
      </c>
      <c r="Z488" s="39">
        <f>IFERROR(IF(Y488=0,"",ROUNDUP(Y488/H488,0)*0.01196),"")</f>
        <v>0.15548000000000001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69.30871212121211</v>
      </c>
      <c r="BN488" s="75">
        <f t="shared" ref="BN488:BN494" si="71">IFERROR(Y488*I488/H488,"0")</f>
        <v>73.19</v>
      </c>
      <c r="BO488" s="75">
        <f t="shared" ref="BO488:BO494" si="72">IFERROR(1/J488*(X488/H488),"0")</f>
        <v>0.11837121212121213</v>
      </c>
      <c r="BP488" s="75">
        <f t="shared" ref="BP488:BP494" si="73">IFERROR(1/J488*(Y488/H488),"0")</f>
        <v>0.125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64">
        <v>4680115883093</v>
      </c>
      <c r="E489" s="664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66"/>
      <c r="R489" s="666"/>
      <c r="S489" s="666"/>
      <c r="T489" s="667"/>
      <c r="U489" s="37" t="s">
        <v>46</v>
      </c>
      <c r="V489" s="37" t="s">
        <v>46</v>
      </c>
      <c r="W489" s="38" t="s">
        <v>0</v>
      </c>
      <c r="X489" s="56">
        <v>55</v>
      </c>
      <c r="Y489" s="53">
        <f t="shared" si="69"/>
        <v>58.080000000000005</v>
      </c>
      <c r="Z489" s="39">
        <f>IFERROR(IF(Y489=0,"",ROUNDUP(Y489/H489,0)*0.01196),"")</f>
        <v>0.13156000000000001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58.645833333333329</v>
      </c>
      <c r="BN489" s="75">
        <f t="shared" si="71"/>
        <v>61.93</v>
      </c>
      <c r="BO489" s="75">
        <f t="shared" si="72"/>
        <v>0.10016025641025642</v>
      </c>
      <c r="BP489" s="75">
        <f t="shared" si="73"/>
        <v>0.10576923076923078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64">
        <v>4680115883109</v>
      </c>
      <c r="E490" s="664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9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66"/>
      <c r="R490" s="666"/>
      <c r="S490" s="666"/>
      <c r="T490" s="667"/>
      <c r="U490" s="37" t="s">
        <v>46</v>
      </c>
      <c r="V490" s="37" t="s">
        <v>46</v>
      </c>
      <c r="W490" s="38" t="s">
        <v>0</v>
      </c>
      <c r="X490" s="56">
        <v>60</v>
      </c>
      <c r="Y490" s="53">
        <f t="shared" si="69"/>
        <v>63.36</v>
      </c>
      <c r="Z490" s="39">
        <f>IFERROR(IF(Y490=0,"",ROUNDUP(Y490/H490,0)*0.01196),"")</f>
        <v>0.14352000000000001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63.977272727272727</v>
      </c>
      <c r="BN490" s="75">
        <f t="shared" si="71"/>
        <v>67.559999999999988</v>
      </c>
      <c r="BO490" s="75">
        <f t="shared" si="72"/>
        <v>0.10926573426573427</v>
      </c>
      <c r="BP490" s="75">
        <f t="shared" si="73"/>
        <v>0.11538461538461539</v>
      </c>
    </row>
    <row r="491" spans="1:68" ht="27" customHeight="1" x14ac:dyDescent="0.25">
      <c r="A491" s="60" t="s">
        <v>788</v>
      </c>
      <c r="B491" s="60" t="s">
        <v>789</v>
      </c>
      <c r="C491" s="34">
        <v>4301031419</v>
      </c>
      <c r="D491" s="664">
        <v>4680115882072</v>
      </c>
      <c r="E491" s="664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9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66"/>
      <c r="R491" s="666"/>
      <c r="S491" s="666"/>
      <c r="T491" s="667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customHeight="1" x14ac:dyDescent="0.25">
      <c r="A492" s="60" t="s">
        <v>790</v>
      </c>
      <c r="B492" s="60" t="s">
        <v>791</v>
      </c>
      <c r="C492" s="34">
        <v>4301031352</v>
      </c>
      <c r="D492" s="664">
        <v>4680115882102</v>
      </c>
      <c r="E492" s="664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91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66"/>
      <c r="R492" s="666"/>
      <c r="S492" s="666"/>
      <c r="T492" s="667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customHeight="1" x14ac:dyDescent="0.25">
      <c r="A493" s="60" t="s">
        <v>790</v>
      </c>
      <c r="B493" s="60" t="s">
        <v>792</v>
      </c>
      <c r="C493" s="34">
        <v>4301031418</v>
      </c>
      <c r="D493" s="664">
        <v>4680115882102</v>
      </c>
      <c r="E493" s="664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9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66"/>
      <c r="R493" s="666"/>
      <c r="S493" s="666"/>
      <c r="T493" s="667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customHeight="1" x14ac:dyDescent="0.25">
      <c r="A494" s="60" t="s">
        <v>793</v>
      </c>
      <c r="B494" s="60" t="s">
        <v>794</v>
      </c>
      <c r="C494" s="34">
        <v>4301031417</v>
      </c>
      <c r="D494" s="664">
        <v>4680115882096</v>
      </c>
      <c r="E494" s="664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9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66"/>
      <c r="R494" s="666"/>
      <c r="S494" s="666"/>
      <c r="T494" s="667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3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70" t="s">
        <v>40</v>
      </c>
      <c r="Q495" s="671"/>
      <c r="R495" s="671"/>
      <c r="S495" s="671"/>
      <c r="T495" s="671"/>
      <c r="U495" s="671"/>
      <c r="V495" s="672"/>
      <c r="W495" s="40" t="s">
        <v>39</v>
      </c>
      <c r="X495" s="41">
        <f>IFERROR(X488/H488,"0")+IFERROR(X489/H489,"0")+IFERROR(X490/H490,"0")+IFERROR(X491/H491,"0")+IFERROR(X492/H492,"0")+IFERROR(X493/H493,"0")+IFERROR(X494/H494,"0")</f>
        <v>34.090909090909093</v>
      </c>
      <c r="Y495" s="41">
        <f>IFERROR(Y488/H488,"0")+IFERROR(Y489/H489,"0")+IFERROR(Y490/H490,"0")+IFERROR(Y491/H491,"0")+IFERROR(Y492/H492,"0")+IFERROR(Y493/H493,"0")+IFERROR(Y494/H494,"0")</f>
        <v>36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0.43056000000000005</v>
      </c>
      <c r="AA495" s="64"/>
      <c r="AB495" s="64"/>
      <c r="AC495" s="64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70" t="s">
        <v>40</v>
      </c>
      <c r="Q496" s="671"/>
      <c r="R496" s="671"/>
      <c r="S496" s="671"/>
      <c r="T496" s="671"/>
      <c r="U496" s="671"/>
      <c r="V496" s="672"/>
      <c r="W496" s="40" t="s">
        <v>0</v>
      </c>
      <c r="X496" s="41">
        <f>IFERROR(SUM(X488:X494),"0")</f>
        <v>180</v>
      </c>
      <c r="Y496" s="41">
        <f>IFERROR(SUM(Y488:Y494),"0")</f>
        <v>190.07999999999998</v>
      </c>
      <c r="Z496" s="40"/>
      <c r="AA496" s="64"/>
      <c r="AB496" s="64"/>
      <c r="AC496" s="64"/>
    </row>
    <row r="497" spans="1:68" ht="27.75" customHeight="1" x14ac:dyDescent="0.2">
      <c r="A497" s="661" t="s">
        <v>795</v>
      </c>
      <c r="B497" s="661"/>
      <c r="C497" s="661"/>
      <c r="D497" s="661"/>
      <c r="E497" s="661"/>
      <c r="F497" s="661"/>
      <c r="G497" s="661"/>
      <c r="H497" s="661"/>
      <c r="I497" s="661"/>
      <c r="J497" s="661"/>
      <c r="K497" s="661"/>
      <c r="L497" s="661"/>
      <c r="M497" s="661"/>
      <c r="N497" s="661"/>
      <c r="O497" s="661"/>
      <c r="P497" s="661"/>
      <c r="Q497" s="661"/>
      <c r="R497" s="661"/>
      <c r="S497" s="661"/>
      <c r="T497" s="661"/>
      <c r="U497" s="661"/>
      <c r="V497" s="661"/>
      <c r="W497" s="661"/>
      <c r="X497" s="661"/>
      <c r="Y497" s="661"/>
      <c r="Z497" s="661"/>
      <c r="AA497" s="52"/>
      <c r="AB497" s="52"/>
      <c r="AC497" s="52"/>
    </row>
    <row r="498" spans="1:68" ht="16.5" customHeight="1" x14ac:dyDescent="0.25">
      <c r="A498" s="662" t="s">
        <v>795</v>
      </c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2"/>
      <c r="P498" s="662"/>
      <c r="Q498" s="662"/>
      <c r="R498" s="662"/>
      <c r="S498" s="662"/>
      <c r="T498" s="662"/>
      <c r="U498" s="662"/>
      <c r="V498" s="662"/>
      <c r="W498" s="662"/>
      <c r="X498" s="662"/>
      <c r="Y498" s="662"/>
      <c r="Z498" s="662"/>
      <c r="AA498" s="62"/>
      <c r="AB498" s="62"/>
      <c r="AC498" s="62"/>
    </row>
    <row r="499" spans="1:68" ht="14.25" customHeight="1" x14ac:dyDescent="0.25">
      <c r="A499" s="663" t="s">
        <v>146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63"/>
      <c r="AB499" s="63"/>
      <c r="AC499" s="63"/>
    </row>
    <row r="500" spans="1:68" ht="27" customHeight="1" x14ac:dyDescent="0.25">
      <c r="A500" s="60" t="s">
        <v>796</v>
      </c>
      <c r="B500" s="60" t="s">
        <v>797</v>
      </c>
      <c r="C500" s="34">
        <v>4301011584</v>
      </c>
      <c r="D500" s="664">
        <v>4640242180564</v>
      </c>
      <c r="E500" s="664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9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66"/>
      <c r="R500" s="666"/>
      <c r="S500" s="666"/>
      <c r="T500" s="667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x14ac:dyDescent="0.2">
      <c r="A501" s="673"/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3"/>
      <c r="M501" s="673"/>
      <c r="N501" s="673"/>
      <c r="O501" s="674"/>
      <c r="P501" s="670" t="s">
        <v>40</v>
      </c>
      <c r="Q501" s="671"/>
      <c r="R501" s="671"/>
      <c r="S501" s="671"/>
      <c r="T501" s="671"/>
      <c r="U501" s="671"/>
      <c r="V501" s="672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x14ac:dyDescent="0.2">
      <c r="A502" s="673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70" t="s">
        <v>40</v>
      </c>
      <c r="Q502" s="671"/>
      <c r="R502" s="671"/>
      <c r="S502" s="671"/>
      <c r="T502" s="671"/>
      <c r="U502" s="671"/>
      <c r="V502" s="672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customHeight="1" x14ac:dyDescent="0.25">
      <c r="A503" s="663" t="s">
        <v>180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3"/>
      <c r="AB503" s="63"/>
      <c r="AC503" s="63"/>
    </row>
    <row r="504" spans="1:68" ht="27" customHeight="1" x14ac:dyDescent="0.25">
      <c r="A504" s="60" t="s">
        <v>799</v>
      </c>
      <c r="B504" s="60" t="s">
        <v>800</v>
      </c>
      <c r="C504" s="34">
        <v>4301020400</v>
      </c>
      <c r="D504" s="664">
        <v>4640242180519</v>
      </c>
      <c r="E504" s="66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9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66"/>
      <c r="R504" s="666"/>
      <c r="S504" s="666"/>
      <c r="T504" s="667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x14ac:dyDescent="0.2">
      <c r="A505" s="673"/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3"/>
      <c r="M505" s="673"/>
      <c r="N505" s="673"/>
      <c r="O505" s="674"/>
      <c r="P505" s="670" t="s">
        <v>40</v>
      </c>
      <c r="Q505" s="671"/>
      <c r="R505" s="671"/>
      <c r="S505" s="671"/>
      <c r="T505" s="671"/>
      <c r="U505" s="671"/>
      <c r="V505" s="672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x14ac:dyDescent="0.2">
      <c r="A506" s="673"/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3"/>
      <c r="M506" s="673"/>
      <c r="N506" s="673"/>
      <c r="O506" s="674"/>
      <c r="P506" s="670" t="s">
        <v>40</v>
      </c>
      <c r="Q506" s="671"/>
      <c r="R506" s="671"/>
      <c r="S506" s="671"/>
      <c r="T506" s="671"/>
      <c r="U506" s="671"/>
      <c r="V506" s="672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customHeight="1" x14ac:dyDescent="0.25">
      <c r="A507" s="663" t="s">
        <v>77</v>
      </c>
      <c r="B507" s="663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N507" s="663"/>
      <c r="O507" s="663"/>
      <c r="P507" s="663"/>
      <c r="Q507" s="663"/>
      <c r="R507" s="663"/>
      <c r="S507" s="663"/>
      <c r="T507" s="663"/>
      <c r="U507" s="663"/>
      <c r="V507" s="663"/>
      <c r="W507" s="663"/>
      <c r="X507" s="663"/>
      <c r="Y507" s="663"/>
      <c r="Z507" s="663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64">
        <v>4640242180595</v>
      </c>
      <c r="E508" s="664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9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66"/>
      <c r="R508" s="666"/>
      <c r="S508" s="666"/>
      <c r="T508" s="667"/>
      <c r="U508" s="37" t="s">
        <v>46</v>
      </c>
      <c r="V508" s="37" t="s">
        <v>46</v>
      </c>
      <c r="W508" s="38" t="s">
        <v>0</v>
      </c>
      <c r="X508" s="56">
        <v>140</v>
      </c>
      <c r="Y508" s="53">
        <f>IFERROR(IF(X508="",0,CEILING((X508/$H508),1)*$H508),"")</f>
        <v>144</v>
      </c>
      <c r="Z508" s="39">
        <f>IFERROR(IF(Y508=0,"",ROUNDUP(Y508/H508,0)*0.00902),"")</f>
        <v>0.27060000000000001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147.29166666666669</v>
      </c>
      <c r="BN508" s="75">
        <f>IFERROR(Y508*I508/H508,"0")</f>
        <v>151.5</v>
      </c>
      <c r="BO508" s="75">
        <f>IFERROR(1/J508*(X508/H508),"0")</f>
        <v>0.22095959595959597</v>
      </c>
      <c r="BP508" s="75">
        <f>IFERROR(1/J508*(Y508/H508),"0")</f>
        <v>0.22727272727272729</v>
      </c>
    </row>
    <row r="509" spans="1:68" x14ac:dyDescent="0.2">
      <c r="A509" s="673"/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3"/>
      <c r="M509" s="673"/>
      <c r="N509" s="673"/>
      <c r="O509" s="674"/>
      <c r="P509" s="670" t="s">
        <v>40</v>
      </c>
      <c r="Q509" s="671"/>
      <c r="R509" s="671"/>
      <c r="S509" s="671"/>
      <c r="T509" s="671"/>
      <c r="U509" s="671"/>
      <c r="V509" s="672"/>
      <c r="W509" s="40" t="s">
        <v>39</v>
      </c>
      <c r="X509" s="41">
        <f>IFERROR(X508/H508,"0")</f>
        <v>29.166666666666668</v>
      </c>
      <c r="Y509" s="41">
        <f>IFERROR(Y508/H508,"0")</f>
        <v>30</v>
      </c>
      <c r="Z509" s="41">
        <f>IFERROR(IF(Z508="",0,Z508),"0")</f>
        <v>0.27060000000000001</v>
      </c>
      <c r="AA509" s="64"/>
      <c r="AB509" s="64"/>
      <c r="AC509" s="64"/>
    </row>
    <row r="510" spans="1:68" x14ac:dyDescent="0.2">
      <c r="A510" s="673"/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3"/>
      <c r="M510" s="673"/>
      <c r="N510" s="673"/>
      <c r="O510" s="674"/>
      <c r="P510" s="670" t="s">
        <v>40</v>
      </c>
      <c r="Q510" s="671"/>
      <c r="R510" s="671"/>
      <c r="S510" s="671"/>
      <c r="T510" s="671"/>
      <c r="U510" s="671"/>
      <c r="V510" s="672"/>
      <c r="W510" s="40" t="s">
        <v>0</v>
      </c>
      <c r="X510" s="41">
        <f>IFERROR(SUM(X508:X508),"0")</f>
        <v>140</v>
      </c>
      <c r="Y510" s="41">
        <f>IFERROR(SUM(Y508:Y508),"0")</f>
        <v>144</v>
      </c>
      <c r="Z510" s="40"/>
      <c r="AA510" s="64"/>
      <c r="AB510" s="64"/>
      <c r="AC510" s="64"/>
    </row>
    <row r="511" spans="1:68" ht="14.25" customHeight="1" x14ac:dyDescent="0.25">
      <c r="A511" s="663" t="s">
        <v>92</v>
      </c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N511" s="663"/>
      <c r="O511" s="663"/>
      <c r="P511" s="663"/>
      <c r="Q511" s="663"/>
      <c r="R511" s="663"/>
      <c r="S511" s="663"/>
      <c r="T511" s="663"/>
      <c r="U511" s="663"/>
      <c r="V511" s="663"/>
      <c r="W511" s="663"/>
      <c r="X511" s="663"/>
      <c r="Y511" s="663"/>
      <c r="Z511" s="663"/>
      <c r="AA511" s="63"/>
      <c r="AB511" s="63"/>
      <c r="AC511" s="63"/>
    </row>
    <row r="512" spans="1:68" ht="27" customHeight="1" x14ac:dyDescent="0.25">
      <c r="A512" s="60" t="s">
        <v>805</v>
      </c>
      <c r="B512" s="60" t="s">
        <v>806</v>
      </c>
      <c r="C512" s="34">
        <v>4301052046</v>
      </c>
      <c r="D512" s="664">
        <v>4640242180533</v>
      </c>
      <c r="E512" s="664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9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66"/>
      <c r="R512" s="666"/>
      <c r="S512" s="666"/>
      <c r="T512" s="667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x14ac:dyDescent="0.2">
      <c r="A513" s="673"/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3"/>
      <c r="M513" s="673"/>
      <c r="N513" s="673"/>
      <c r="O513" s="674"/>
      <c r="P513" s="670" t="s">
        <v>40</v>
      </c>
      <c r="Q513" s="671"/>
      <c r="R513" s="671"/>
      <c r="S513" s="671"/>
      <c r="T513" s="671"/>
      <c r="U513" s="671"/>
      <c r="V513" s="67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x14ac:dyDescent="0.2">
      <c r="A514" s="673"/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3"/>
      <c r="M514" s="673"/>
      <c r="N514" s="673"/>
      <c r="O514" s="674"/>
      <c r="P514" s="670" t="s">
        <v>40</v>
      </c>
      <c r="Q514" s="671"/>
      <c r="R514" s="671"/>
      <c r="S514" s="671"/>
      <c r="T514" s="671"/>
      <c r="U514" s="671"/>
      <c r="V514" s="67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customHeight="1" x14ac:dyDescent="0.25">
      <c r="A515" s="663" t="s">
        <v>197</v>
      </c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663"/>
      <c r="S515" s="663"/>
      <c r="T515" s="663"/>
      <c r="U515" s="663"/>
      <c r="V515" s="663"/>
      <c r="W515" s="663"/>
      <c r="X515" s="663"/>
      <c r="Y515" s="663"/>
      <c r="Z515" s="663"/>
      <c r="AA515" s="63"/>
      <c r="AB515" s="63"/>
      <c r="AC515" s="63"/>
    </row>
    <row r="516" spans="1:68" ht="27" customHeight="1" x14ac:dyDescent="0.25">
      <c r="A516" s="60" t="s">
        <v>808</v>
      </c>
      <c r="B516" s="60" t="s">
        <v>809</v>
      </c>
      <c r="C516" s="34">
        <v>4301060491</v>
      </c>
      <c r="D516" s="664">
        <v>4640242180120</v>
      </c>
      <c r="E516" s="664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92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66"/>
      <c r="R516" s="666"/>
      <c r="S516" s="666"/>
      <c r="T516" s="667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customHeight="1" x14ac:dyDescent="0.25">
      <c r="A517" s="60" t="s">
        <v>811</v>
      </c>
      <c r="B517" s="60" t="s">
        <v>812</v>
      </c>
      <c r="C517" s="34">
        <v>4301060493</v>
      </c>
      <c r="D517" s="664">
        <v>4640242180137</v>
      </c>
      <c r="E517" s="664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9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66"/>
      <c r="R517" s="666"/>
      <c r="S517" s="666"/>
      <c r="T517" s="667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70" t="s">
        <v>40</v>
      </c>
      <c r="Q518" s="671"/>
      <c r="R518" s="671"/>
      <c r="S518" s="671"/>
      <c r="T518" s="671"/>
      <c r="U518" s="671"/>
      <c r="V518" s="672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x14ac:dyDescent="0.2">
      <c r="A519" s="673"/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4"/>
      <c r="P519" s="670" t="s">
        <v>40</v>
      </c>
      <c r="Q519" s="671"/>
      <c r="R519" s="671"/>
      <c r="S519" s="671"/>
      <c r="T519" s="671"/>
      <c r="U519" s="671"/>
      <c r="V519" s="672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customHeight="1" x14ac:dyDescent="0.25">
      <c r="A520" s="662" t="s">
        <v>814</v>
      </c>
      <c r="B520" s="662"/>
      <c r="C520" s="662"/>
      <c r="D520" s="662"/>
      <c r="E520" s="662"/>
      <c r="F520" s="662"/>
      <c r="G520" s="662"/>
      <c r="H520" s="662"/>
      <c r="I520" s="662"/>
      <c r="J520" s="662"/>
      <c r="K520" s="662"/>
      <c r="L520" s="662"/>
      <c r="M520" s="662"/>
      <c r="N520" s="662"/>
      <c r="O520" s="662"/>
      <c r="P520" s="662"/>
      <c r="Q520" s="662"/>
      <c r="R520" s="662"/>
      <c r="S520" s="662"/>
      <c r="T520" s="662"/>
      <c r="U520" s="662"/>
      <c r="V520" s="662"/>
      <c r="W520" s="662"/>
      <c r="X520" s="662"/>
      <c r="Y520" s="662"/>
      <c r="Z520" s="662"/>
      <c r="AA520" s="62"/>
      <c r="AB520" s="62"/>
      <c r="AC520" s="62"/>
    </row>
    <row r="521" spans="1:68" ht="14.25" customHeight="1" x14ac:dyDescent="0.25">
      <c r="A521" s="663" t="s">
        <v>180</v>
      </c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3"/>
      <c r="P521" s="663"/>
      <c r="Q521" s="663"/>
      <c r="R521" s="663"/>
      <c r="S521" s="663"/>
      <c r="T521" s="663"/>
      <c r="U521" s="663"/>
      <c r="V521" s="663"/>
      <c r="W521" s="663"/>
      <c r="X521" s="663"/>
      <c r="Y521" s="663"/>
      <c r="Z521" s="663"/>
      <c r="AA521" s="63"/>
      <c r="AB521" s="63"/>
      <c r="AC521" s="63"/>
    </row>
    <row r="522" spans="1:68" ht="27" customHeight="1" x14ac:dyDescent="0.25">
      <c r="A522" s="60" t="s">
        <v>815</v>
      </c>
      <c r="B522" s="60" t="s">
        <v>816</v>
      </c>
      <c r="C522" s="34">
        <v>4301020428</v>
      </c>
      <c r="D522" s="664">
        <v>4640242180090</v>
      </c>
      <c r="E522" s="664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9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66"/>
      <c r="R522" s="666"/>
      <c r="S522" s="666"/>
      <c r="T522" s="66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x14ac:dyDescent="0.2">
      <c r="A523" s="673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70" t="s">
        <v>40</v>
      </c>
      <c r="Q523" s="671"/>
      <c r="R523" s="671"/>
      <c r="S523" s="671"/>
      <c r="T523" s="671"/>
      <c r="U523" s="671"/>
      <c r="V523" s="672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70" t="s">
        <v>40</v>
      </c>
      <c r="Q524" s="671"/>
      <c r="R524" s="671"/>
      <c r="S524" s="671"/>
      <c r="T524" s="671"/>
      <c r="U524" s="671"/>
      <c r="V524" s="672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73"/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931"/>
      <c r="P525" s="928" t="s">
        <v>33</v>
      </c>
      <c r="Q525" s="929"/>
      <c r="R525" s="929"/>
      <c r="S525" s="929"/>
      <c r="T525" s="929"/>
      <c r="U525" s="929"/>
      <c r="V525" s="930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18070.88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18202.02</v>
      </c>
      <c r="Z525" s="40"/>
      <c r="AA525" s="64"/>
      <c r="AB525" s="64"/>
      <c r="AC525" s="64"/>
    </row>
    <row r="526" spans="1:68" x14ac:dyDescent="0.2">
      <c r="A526" s="673"/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931"/>
      <c r="P526" s="928" t="s">
        <v>34</v>
      </c>
      <c r="Q526" s="929"/>
      <c r="R526" s="929"/>
      <c r="S526" s="929"/>
      <c r="T526" s="929"/>
      <c r="U526" s="929"/>
      <c r="V526" s="930"/>
      <c r="W526" s="40" t="s">
        <v>0</v>
      </c>
      <c r="X526" s="41">
        <f>IFERROR(SUM(BM22:BM522),"0")</f>
        <v>18893.981281625784</v>
      </c>
      <c r="Y526" s="41">
        <f>IFERROR(SUM(BN22:BN522),"0")</f>
        <v>19031.611999999997</v>
      </c>
      <c r="Z526" s="40"/>
      <c r="AA526" s="64"/>
      <c r="AB526" s="64"/>
      <c r="AC526" s="64"/>
    </row>
    <row r="527" spans="1:68" x14ac:dyDescent="0.2">
      <c r="A527" s="673"/>
      <c r="B527" s="673"/>
      <c r="C527" s="673"/>
      <c r="D527" s="673"/>
      <c r="E527" s="673"/>
      <c r="F527" s="673"/>
      <c r="G527" s="673"/>
      <c r="H527" s="673"/>
      <c r="I527" s="673"/>
      <c r="J527" s="673"/>
      <c r="K527" s="673"/>
      <c r="L527" s="673"/>
      <c r="M527" s="673"/>
      <c r="N527" s="673"/>
      <c r="O527" s="931"/>
      <c r="P527" s="928" t="s">
        <v>35</v>
      </c>
      <c r="Q527" s="929"/>
      <c r="R527" s="929"/>
      <c r="S527" s="929"/>
      <c r="T527" s="929"/>
      <c r="U527" s="929"/>
      <c r="V527" s="930"/>
      <c r="W527" s="40" t="s">
        <v>20</v>
      </c>
      <c r="X527" s="42">
        <f>ROUNDUP(SUM(BO22:BO522),0)</f>
        <v>29</v>
      </c>
      <c r="Y527" s="42">
        <f>ROUNDUP(SUM(BP22:BP522),0)</f>
        <v>30</v>
      </c>
      <c r="Z527" s="40"/>
      <c r="AA527" s="64"/>
      <c r="AB527" s="64"/>
      <c r="AC527" s="64"/>
    </row>
    <row r="528" spans="1:68" x14ac:dyDescent="0.2">
      <c r="A528" s="673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931"/>
      <c r="P528" s="928" t="s">
        <v>36</v>
      </c>
      <c r="Q528" s="929"/>
      <c r="R528" s="929"/>
      <c r="S528" s="929"/>
      <c r="T528" s="929"/>
      <c r="U528" s="929"/>
      <c r="V528" s="930"/>
      <c r="W528" s="40" t="s">
        <v>0</v>
      </c>
      <c r="X528" s="41">
        <f>GrossWeightTotal+PalletQtyTotal*25</f>
        <v>19618.981281625784</v>
      </c>
      <c r="Y528" s="41">
        <f>GrossWeightTotalR+PalletQtyTotalR*25</f>
        <v>19781.611999999997</v>
      </c>
      <c r="Z528" s="40"/>
      <c r="AA528" s="64"/>
      <c r="AB528" s="64"/>
      <c r="AC528" s="64"/>
    </row>
    <row r="529" spans="1:32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931"/>
      <c r="P529" s="928" t="s">
        <v>37</v>
      </c>
      <c r="Q529" s="929"/>
      <c r="R529" s="929"/>
      <c r="S529" s="929"/>
      <c r="T529" s="929"/>
      <c r="U529" s="929"/>
      <c r="V529" s="930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2187.9102656602654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2205</v>
      </c>
      <c r="Z529" s="40"/>
      <c r="AA529" s="64"/>
      <c r="AB529" s="64"/>
      <c r="AC529" s="64"/>
    </row>
    <row r="530" spans="1:32" ht="14.25" x14ac:dyDescent="0.2">
      <c r="A530" s="673"/>
      <c r="B530" s="673"/>
      <c r="C530" s="673"/>
      <c r="D530" s="673"/>
      <c r="E530" s="673"/>
      <c r="F530" s="673"/>
      <c r="G530" s="673"/>
      <c r="H530" s="673"/>
      <c r="I530" s="673"/>
      <c r="J530" s="673"/>
      <c r="K530" s="673"/>
      <c r="L530" s="673"/>
      <c r="M530" s="673"/>
      <c r="N530" s="673"/>
      <c r="O530" s="931"/>
      <c r="P530" s="928" t="s">
        <v>38</v>
      </c>
      <c r="Q530" s="929"/>
      <c r="R530" s="929"/>
      <c r="S530" s="929"/>
      <c r="T530" s="929"/>
      <c r="U530" s="929"/>
      <c r="V530" s="930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33.108699999999999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934" t="s">
        <v>144</v>
      </c>
      <c r="E532" s="934" t="s">
        <v>144</v>
      </c>
      <c r="F532" s="934" t="s">
        <v>144</v>
      </c>
      <c r="G532" s="934" t="s">
        <v>144</v>
      </c>
      <c r="H532" s="934" t="s">
        <v>144</v>
      </c>
      <c r="I532" s="934" t="s">
        <v>144</v>
      </c>
      <c r="J532" s="934" t="s">
        <v>144</v>
      </c>
      <c r="K532" s="934" t="s">
        <v>342</v>
      </c>
      <c r="L532" s="934" t="s">
        <v>342</v>
      </c>
      <c r="M532" s="934" t="s">
        <v>342</v>
      </c>
      <c r="N532" s="935"/>
      <c r="O532" s="934" t="s">
        <v>342</v>
      </c>
      <c r="P532" s="934" t="s">
        <v>342</v>
      </c>
      <c r="Q532" s="934" t="s">
        <v>342</v>
      </c>
      <c r="R532" s="934" t="s">
        <v>342</v>
      </c>
      <c r="S532" s="934" t="s">
        <v>342</v>
      </c>
      <c r="T532" s="934" t="s">
        <v>342</v>
      </c>
      <c r="U532" s="934" t="s">
        <v>342</v>
      </c>
      <c r="V532" s="934" t="s">
        <v>652</v>
      </c>
      <c r="W532" s="934" t="s">
        <v>652</v>
      </c>
      <c r="X532" s="934" t="s">
        <v>712</v>
      </c>
      <c r="Y532" s="934" t="s">
        <v>712</v>
      </c>
      <c r="Z532" s="80" t="s">
        <v>748</v>
      </c>
      <c r="AA532" s="934" t="s">
        <v>795</v>
      </c>
      <c r="AB532" s="934" t="s">
        <v>795</v>
      </c>
      <c r="AC532" s="9"/>
      <c r="AF532" s="1"/>
    </row>
    <row r="533" spans="1:32" ht="14.25" customHeight="1" thickTop="1" x14ac:dyDescent="0.2">
      <c r="A533" s="932" t="s">
        <v>10</v>
      </c>
      <c r="B533" s="934" t="s">
        <v>76</v>
      </c>
      <c r="C533" s="934" t="s">
        <v>129</v>
      </c>
      <c r="D533" s="934" t="s">
        <v>145</v>
      </c>
      <c r="E533" s="934" t="s">
        <v>161</v>
      </c>
      <c r="F533" s="934" t="s">
        <v>204</v>
      </c>
      <c r="G533" s="934" t="s">
        <v>225</v>
      </c>
      <c r="H533" s="934" t="s">
        <v>266</v>
      </c>
      <c r="I533" s="934" t="s">
        <v>278</v>
      </c>
      <c r="J533" s="934" t="s">
        <v>144</v>
      </c>
      <c r="K533" s="934" t="s">
        <v>343</v>
      </c>
      <c r="L533" s="934" t="s">
        <v>355</v>
      </c>
      <c r="M533" s="934" t="s">
        <v>411</v>
      </c>
      <c r="N533" s="1"/>
      <c r="O533" s="934" t="s">
        <v>474</v>
      </c>
      <c r="P533" s="934" t="s">
        <v>511</v>
      </c>
      <c r="Q533" s="934" t="s">
        <v>527</v>
      </c>
      <c r="R533" s="934" t="s">
        <v>536</v>
      </c>
      <c r="S533" s="934" t="s">
        <v>557</v>
      </c>
      <c r="T533" s="934" t="s">
        <v>567</v>
      </c>
      <c r="U533" s="934" t="s">
        <v>642</v>
      </c>
      <c r="V533" s="934" t="s">
        <v>653</v>
      </c>
      <c r="W533" s="934" t="s">
        <v>696</v>
      </c>
      <c r="X533" s="934" t="s">
        <v>713</v>
      </c>
      <c r="Y533" s="934" t="s">
        <v>736</v>
      </c>
      <c r="Z533" s="934" t="s">
        <v>748</v>
      </c>
      <c r="AA533" s="934" t="s">
        <v>795</v>
      </c>
      <c r="AB533" s="934" t="s">
        <v>814</v>
      </c>
      <c r="AC533" s="9"/>
      <c r="AF533" s="1"/>
    </row>
    <row r="534" spans="1:32" ht="13.5" thickBot="1" x14ac:dyDescent="0.25">
      <c r="A534" s="933"/>
      <c r="B534" s="934"/>
      <c r="C534" s="934"/>
      <c r="D534" s="934"/>
      <c r="E534" s="934"/>
      <c r="F534" s="934"/>
      <c r="G534" s="934"/>
      <c r="H534" s="934"/>
      <c r="I534" s="934"/>
      <c r="J534" s="934"/>
      <c r="K534" s="934"/>
      <c r="L534" s="934"/>
      <c r="M534" s="934"/>
      <c r="N534" s="1"/>
      <c r="O534" s="934"/>
      <c r="P534" s="934"/>
      <c r="Q534" s="934"/>
      <c r="R534" s="934"/>
      <c r="S534" s="934"/>
      <c r="T534" s="934"/>
      <c r="U534" s="934"/>
      <c r="V534" s="934"/>
      <c r="W534" s="934"/>
      <c r="X534" s="934"/>
      <c r="Y534" s="934"/>
      <c r="Z534" s="934"/>
      <c r="AA534" s="934"/>
      <c r="AB534" s="934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368.40000000000003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195.60000000000002</v>
      </c>
      <c r="F535" s="50">
        <f>IFERROR(Y91*1,"0")+IFERROR(Y92*1,"0")+IFERROR(Y93*1,"0")+IFERROR(Y94*1,"0")+IFERROR(Y98*1,"0")+IFERROR(Y99*1,"0")+IFERROR(Y100*1,"0")+IFERROR(Y101*1,"0")</f>
        <v>810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999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9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249.60000000000002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1284.5999999999999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10.8</v>
      </c>
      <c r="Q535" s="50">
        <f>IFERROR(Y317*1,"0")+IFERROR(Y318*1,"0")+IFERROR(Y319*1,"0")</f>
        <v>24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1080</v>
      </c>
      <c r="U535" s="50">
        <f>IFERROR(Y391*1,"0")+IFERROR(Y392*1,"0")+IFERROR(Y393*1,"0")</f>
        <v>20.700000000000003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11025</v>
      </c>
      <c r="W535" s="50">
        <f>IFERROR(Y426*1,"0")+IFERROR(Y427*1,"0")+IFERROR(Y431*1,"0")+IFERROR(Y435*1,"0")+IFERROR(Y436*1,"0")+IFERROR(Y437*1,"0")</f>
        <v>216</v>
      </c>
      <c r="X535" s="50">
        <f>IFERROR(Y443*1,"0")+IFERROR(Y444*1,"0")+IFERROR(Y445*1,"0")+IFERROR(Y446*1,"0")+IFERROR(Y447*1,"0")+IFERROR(Y448*1,"0")+IFERROR(Y452*1,"0")+IFERROR(Y453*1,"0")</f>
        <v>557.28000000000009</v>
      </c>
      <c r="Y535" s="50">
        <f>IFERROR(Y458*1,"0")+IFERROR(Y462*1,"0")+IFERROR(Y463*1,"0")+IFERROR(Y464*1,"0")</f>
        <v>505.8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702.24000000000012</v>
      </c>
      <c r="AA535" s="50">
        <f>IFERROR(Y500*1,"0")+IFERROR(Y504*1,"0")+IFERROR(Y508*1,"0")+IFERROR(Y512*1,"0")+IFERROR(Y516*1,"0")+IFERROR(Y517*1,"0")</f>
        <v>144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39"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2026-07-07T08:59:58Z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