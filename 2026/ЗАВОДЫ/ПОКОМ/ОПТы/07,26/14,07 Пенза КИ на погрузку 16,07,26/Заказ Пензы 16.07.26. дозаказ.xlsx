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9C28453-488C-4C6A-ABE7-44FBB2EE03D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Z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Z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Y100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21" i="2" l="1"/>
  <c r="Z280" i="2"/>
  <c r="BN280" i="2"/>
  <c r="Z187" i="2"/>
  <c r="BN187" i="2"/>
  <c r="Y190" i="2"/>
  <c r="Z225" i="2"/>
  <c r="BN225" i="2"/>
  <c r="Z231" i="2"/>
  <c r="Z367" i="2"/>
  <c r="Z419" i="2"/>
  <c r="Y130" i="2"/>
  <c r="Y210" i="2"/>
  <c r="Y302" i="2"/>
  <c r="Y343" i="2"/>
  <c r="X536" i="2"/>
  <c r="Y161" i="2"/>
  <c r="Z176" i="2"/>
  <c r="Z224" i="2"/>
  <c r="Z278" i="2"/>
  <c r="Y306" i="2"/>
  <c r="Z355" i="2"/>
  <c r="Z410" i="2"/>
  <c r="Z497" i="2"/>
  <c r="BN497" i="2"/>
  <c r="BP516" i="2"/>
  <c r="BN52" i="2"/>
  <c r="Y80" i="2"/>
  <c r="BN107" i="2"/>
  <c r="Z29" i="2"/>
  <c r="BN29" i="2"/>
  <c r="BN31" i="2"/>
  <c r="Z44" i="2"/>
  <c r="BN44" i="2"/>
  <c r="BN45" i="2"/>
  <c r="E544" i="2"/>
  <c r="BN61" i="2"/>
  <c r="Y74" i="2"/>
  <c r="BN90" i="2"/>
  <c r="Z103" i="2"/>
  <c r="BN112" i="2"/>
  <c r="BN117" i="2"/>
  <c r="BN125" i="2"/>
  <c r="BN129" i="2"/>
  <c r="Y155" i="2"/>
  <c r="Z159" i="2"/>
  <c r="Z160" i="2" s="1"/>
  <c r="Y189" i="2"/>
  <c r="Z203" i="2"/>
  <c r="BN209" i="2"/>
  <c r="BN214" i="2"/>
  <c r="Z223" i="2"/>
  <c r="BP224" i="2"/>
  <c r="BP244" i="2"/>
  <c r="Y251" i="2"/>
  <c r="BN262" i="2"/>
  <c r="Z264" i="2"/>
  <c r="BN272" i="2"/>
  <c r="BP278" i="2"/>
  <c r="BN293" i="2"/>
  <c r="Z295" i="2"/>
  <c r="BN301" i="2"/>
  <c r="BN305" i="2"/>
  <c r="Z311" i="2"/>
  <c r="BN325" i="2"/>
  <c r="Z334" i="2"/>
  <c r="BN334" i="2"/>
  <c r="BN340" i="2"/>
  <c r="Z341" i="2"/>
  <c r="Z342" i="2" s="1"/>
  <c r="Z358" i="2"/>
  <c r="Z365" i="2"/>
  <c r="BP367" i="2"/>
  <c r="BN368" i="2"/>
  <c r="BN387" i="2"/>
  <c r="BP401" i="2"/>
  <c r="Z412" i="2"/>
  <c r="Z413" i="2"/>
  <c r="BN413" i="2"/>
  <c r="Z434" i="2"/>
  <c r="Y436" i="2"/>
  <c r="Z443" i="2"/>
  <c r="Y446" i="2"/>
  <c r="Y447" i="2"/>
  <c r="BN452" i="2"/>
  <c r="Y474" i="2"/>
  <c r="BN482" i="2"/>
  <c r="BN485" i="2"/>
  <c r="Z490" i="2"/>
  <c r="Y493" i="2"/>
  <c r="Y494" i="2"/>
  <c r="BN499" i="2"/>
  <c r="BP502" i="2"/>
  <c r="BN73" i="2"/>
  <c r="BN78" i="2"/>
  <c r="BN96" i="2"/>
  <c r="BN122" i="2"/>
  <c r="Y126" i="2"/>
  <c r="BP159" i="2"/>
  <c r="BN170" i="2"/>
  <c r="BN174" i="2"/>
  <c r="BN182" i="2"/>
  <c r="BP203" i="2"/>
  <c r="BN204" i="2"/>
  <c r="BN217" i="2"/>
  <c r="BN250" i="2"/>
  <c r="BP311" i="2"/>
  <c r="BN320" i="2"/>
  <c r="BP358" i="2"/>
  <c r="BN372" i="2"/>
  <c r="BP412" i="2"/>
  <c r="BP434" i="2"/>
  <c r="BN435" i="2"/>
  <c r="BN454" i="2"/>
  <c r="BN470" i="2"/>
  <c r="BN479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7" i="2" s="1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Z421" i="2" s="1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Z382" i="2" s="1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84" i="2" l="1"/>
  <c r="Z189" i="2"/>
  <c r="Z436" i="2"/>
  <c r="Z312" i="2"/>
  <c r="Z376" i="2"/>
  <c r="Z473" i="2"/>
  <c r="Z457" i="2"/>
  <c r="Z527" i="2"/>
  <c r="Z46" i="2"/>
  <c r="Z24" i="2"/>
  <c r="Z146" i="2"/>
  <c r="Z359" i="2"/>
  <c r="Z395" i="2"/>
  <c r="Z119" i="2"/>
  <c r="Z415" i="2"/>
  <c r="Z321" i="2"/>
  <c r="Z205" i="2"/>
  <c r="Z74" i="2"/>
  <c r="Z493" i="2"/>
  <c r="Z446" i="2"/>
  <c r="Z402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<sst xmlns="http://schemas.openxmlformats.org/spreadsheetml/2006/main" count="4047" uniqueCount="860">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</sst>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408" sqref="AA40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8" t="s">
        <v>26</v>
      </c>
      <c r="E1" s="958"/>
      <c r="F1" s="958"/>
      <c r="G1" s="14" t="s">
        <v>67</v>
      </c>
      <c r="H1" s="958" t="s">
        <v>47</v>
      </c>
      <c r="I1" s="958"/>
      <c r="J1" s="958"/>
      <c r="K1" s="958"/>
      <c r="L1" s="958"/>
      <c r="M1" s="958"/>
      <c r="N1" s="958"/>
      <c r="O1" s="958"/>
      <c r="P1" s="958"/>
      <c r="Q1" s="958"/>
      <c r="R1" s="959" t="s">
        <v>68</v>
      </c>
      <c r="S1" s="960"/>
      <c r="T1" s="9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1"/>
      <c r="R2" s="961"/>
      <c r="S2" s="961"/>
      <c r="T2" s="961"/>
      <c r="U2" s="961"/>
      <c r="V2" s="961"/>
      <c r="W2" s="9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1"/>
      <c r="Q3" s="961"/>
      <c r="R3" s="961"/>
      <c r="S3" s="961"/>
      <c r="T3" s="961"/>
      <c r="U3" s="961"/>
      <c r="V3" s="961"/>
      <c r="W3" s="9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2"/>
      <c r="E5" s="962"/>
      <c r="F5" s="963" t="s">
        <v>14</v>
      </c>
      <c r="G5" s="963"/>
      <c r="H5" s="962"/>
      <c r="I5" s="962"/>
      <c r="J5" s="962"/>
      <c r="K5" s="962"/>
      <c r="L5" s="962"/>
      <c r="M5" s="962"/>
      <c r="N5" s="72"/>
      <c r="P5" s="27" t="s">
        <v>4</v>
      </c>
      <c r="Q5" s="964">
        <v>46219</v>
      </c>
      <c r="R5" s="964"/>
      <c r="T5" s="965" t="s">
        <v>3</v>
      </c>
      <c r="U5" s="966"/>
      <c r="V5" s="967" t="s">
        <v>836</v>
      </c>
      <c r="W5" s="968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Четверг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0.41666666666666669</v>
      </c>
      <c r="R8" s="955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6" t="str">
        <f>IF(AND($A$9="Тип доверенности/получателя при получении в адресе перегруза:",$D$9="Разовая доверенность"),"Введите ФИО","")</f>
        <v/>
      </c>
      <c r="I9" s="956"/>
      <c r="J9" s="9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6"/>
      <c r="L9" s="956"/>
      <c r="M9" s="956"/>
      <c r="N9" s="70"/>
      <c r="P9" s="31" t="s">
        <v>15</v>
      </c>
      <c r="Q9" s="957"/>
      <c r="R9" s="957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hidden="1" customHeight="1" x14ac:dyDescent="0.25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hidden="1" customHeight="1" x14ac:dyDescent="0.25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hidden="1" customHeight="1" x14ac:dyDescent="0.25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hidden="1" customHeight="1" x14ac:dyDescent="0.25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hidden="1" customHeight="1" x14ac:dyDescent="0.25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hidden="1" customHeight="1" x14ac:dyDescent="0.25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hidden="1" customHeight="1" x14ac:dyDescent="0.25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hidden="1" customHeight="1" x14ac:dyDescent="0.25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hidden="1" customHeight="1" x14ac:dyDescent="0.25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hidden="1" customHeight="1" x14ac:dyDescent="0.25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hidden="1" customHeight="1" x14ac:dyDescent="0.25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hidden="1" customHeight="1" x14ac:dyDescent="0.25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hidden="1" customHeight="1" x14ac:dyDescent="0.25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idden="1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hidden="1" customHeight="1" x14ac:dyDescent="0.25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hidden="1" customHeight="1" x14ac:dyDescent="0.25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hidden="1" customHeight="1" x14ac:dyDescent="0.25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idden="1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idden="1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idden="1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200</v>
      </c>
      <c r="Y408" s="55">
        <f t="shared" si="57"/>
        <v>210</v>
      </c>
      <c r="Z408" s="41">
        <f>IFERROR(IF(Y408=0,"",ROUNDUP(Y408/H408,0)*0.02175),"")</f>
        <v>0.30449999999999999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206.26666666666668</v>
      </c>
      <c r="BN408" s="78">
        <f t="shared" si="59"/>
        <v>216.58</v>
      </c>
      <c r="BO408" s="78">
        <f t="shared" si="60"/>
        <v>0.27777777777777779</v>
      </c>
      <c r="BP408" s="78">
        <f t="shared" si="61"/>
        <v>0.29166666666666663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2100</v>
      </c>
      <c r="Y411" s="55">
        <f t="shared" si="57"/>
        <v>2100</v>
      </c>
      <c r="Z411" s="41">
        <f>IFERROR(IF(Y411=0,"",ROUNDUP(Y411/H411,0)*0.02175),"")</f>
        <v>3.0449999999999999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2165.8000000000002</v>
      </c>
      <c r="BN411" s="78">
        <f t="shared" si="59"/>
        <v>2165.8000000000002</v>
      </c>
      <c r="BO411" s="78">
        <f t="shared" si="60"/>
        <v>2.9166666666666665</v>
      </c>
      <c r="BP411" s="78">
        <f t="shared" si="61"/>
        <v>2.9166666666666665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153.33333333333334</v>
      </c>
      <c r="Y415" s="43">
        <f>IFERROR(Y407/H407,"0")+IFERROR(Y408/H408,"0")+IFERROR(Y409/H409,"0")+IFERROR(Y410/H410,"0")+IFERROR(Y411/H411,"0")+IFERROR(Y412/H412,"0")+IFERROR(Y413/H413,"0")+IFERROR(Y414/H414,"0")</f>
        <v>154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3.3494999999999999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2300</v>
      </c>
      <c r="Y416" s="43">
        <f>IFERROR(SUM(Y407:Y414),"0")</f>
        <v>2310</v>
      </c>
      <c r="Z416" s="42"/>
      <c r="AA416" s="67"/>
      <c r="AB416" s="67"/>
      <c r="AC416" s="67"/>
    </row>
    <row r="417" spans="1:68" ht="14.25" hidden="1" customHeight="1" x14ac:dyDescent="0.25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1000</v>
      </c>
      <c r="Y418" s="55">
        <f>IFERROR(IF(X418="",0,CEILING((X418/$H418),1)*$H418),"")</f>
        <v>1005</v>
      </c>
      <c r="Z418" s="41">
        <f>IFERROR(IF(Y418=0,"",ROUNDUP(Y418/H418,0)*0.02175),"")</f>
        <v>1.4572499999999999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1031.3333333333333</v>
      </c>
      <c r="BN418" s="78">
        <f>IFERROR(Y418*I418/H418,"0")</f>
        <v>1036.49</v>
      </c>
      <c r="BO418" s="78">
        <f>IFERROR(1/J418*(X418/H418),"0")</f>
        <v>1.3888888888888888</v>
      </c>
      <c r="BP418" s="78">
        <f>IFERROR(1/J418*(Y418/H418),"0")</f>
        <v>1.3958333333333333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66.666666666666671</v>
      </c>
      <c r="Y421" s="43">
        <f>IFERROR(Y418/H418,"0")+IFERROR(Y419/H419,"0")+IFERROR(Y420/H420,"0")</f>
        <v>67</v>
      </c>
      <c r="Z421" s="43">
        <f>IFERROR(IF(Z418="",0,Z418),"0")+IFERROR(IF(Z419="",0,Z419),"0")+IFERROR(IF(Z420="",0,Z420),"0")</f>
        <v>1.4572499999999999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1000</v>
      </c>
      <c r="Y422" s="43">
        <f>IFERROR(SUM(Y418:Y420),"0")</f>
        <v>1005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hidden="1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hidden="1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hidden="1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hidden="1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3300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3315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3403.4000000000005</v>
      </c>
      <c r="Y535" s="43">
        <f>IFERROR(SUM(BN22:BN531),"0")</f>
        <v>3418.87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5</v>
      </c>
      <c r="Y536" s="44">
        <f>ROUNDUP(SUM(BP22:BP531),0)</f>
        <v>5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3528.4000000000005</v>
      </c>
      <c r="Y537" s="43">
        <f>GrossWeightTotalR+PalletQtyTotalR*25</f>
        <v>3543.87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220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221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4.8067500000000001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0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0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3315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53,33"/>
        <filter val="2 100,00"/>
        <filter val="2 300,00"/>
        <filter val="200,00"/>
        <filter val="220,00"/>
        <filter val="3 300,00"/>
        <filter val="3 403,40"/>
        <filter val="3 528,40"/>
        <filter val="5"/>
        <filter val="66,67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2026-07-16T06:04:31Z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