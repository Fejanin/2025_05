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EE70B70C-27BF-48C4-BBAE-2AF804E210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Y519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N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N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Y334" i="2" s="1"/>
  <c r="P333" i="2"/>
  <c r="BO332" i="2"/>
  <c r="BN332" i="2"/>
  <c r="BM332" i="2"/>
  <c r="Y332" i="2"/>
  <c r="P332" i="2"/>
  <c r="X330" i="2"/>
  <c r="X329" i="2"/>
  <c r="BO328" i="2"/>
  <c r="BM328" i="2"/>
  <c r="Y328" i="2"/>
  <c r="P328" i="2"/>
  <c r="BO327" i="2"/>
  <c r="BN327" i="2"/>
  <c r="BM327" i="2"/>
  <c r="Y327" i="2"/>
  <c r="Z327" i="2" s="1"/>
  <c r="P327" i="2"/>
  <c r="BO326" i="2"/>
  <c r="BM326" i="2"/>
  <c r="Y326" i="2"/>
  <c r="P326" i="2"/>
  <c r="BP325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N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N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N295" i="2"/>
  <c r="BM295" i="2"/>
  <c r="Y295" i="2"/>
  <c r="Y296" i="2" s="1"/>
  <c r="P295" i="2"/>
  <c r="X293" i="2"/>
  <c r="X292" i="2"/>
  <c r="BO291" i="2"/>
  <c r="BN291" i="2"/>
  <c r="BM291" i="2"/>
  <c r="Y291" i="2"/>
  <c r="P291" i="2"/>
  <c r="X289" i="2"/>
  <c r="X288" i="2"/>
  <c r="BO287" i="2"/>
  <c r="BN287" i="2"/>
  <c r="BM287" i="2"/>
  <c r="Y287" i="2"/>
  <c r="Z287" i="2" s="1"/>
  <c r="P287" i="2"/>
  <c r="BO286" i="2"/>
  <c r="BN286" i="2"/>
  <c r="BM286" i="2"/>
  <c r="Y286" i="2"/>
  <c r="BP286" i="2" s="1"/>
  <c r="P286" i="2"/>
  <c r="BP285" i="2"/>
  <c r="BO285" i="2"/>
  <c r="BM285" i="2"/>
  <c r="Y285" i="2"/>
  <c r="P285" i="2"/>
  <c r="BO284" i="2"/>
  <c r="BM284" i="2"/>
  <c r="Z284" i="2"/>
  <c r="Y284" i="2"/>
  <c r="P284" i="2"/>
  <c r="BO283" i="2"/>
  <c r="BM283" i="2"/>
  <c r="Y283" i="2"/>
  <c r="P283" i="2"/>
  <c r="BO282" i="2"/>
  <c r="BN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Z236" i="2"/>
  <c r="Z237" i="2" s="1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Y193" i="2"/>
  <c r="X193" i="2"/>
  <c r="Y192" i="2"/>
  <c r="X192" i="2"/>
  <c r="BP191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Y167" i="2"/>
  <c r="X167" i="2"/>
  <c r="X166" i="2"/>
  <c r="BO165" i="2"/>
  <c r="BN165" i="2"/>
  <c r="BM165" i="2"/>
  <c r="Z165" i="2"/>
  <c r="Z166" i="2" s="1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Z154" i="2"/>
  <c r="Y154" i="2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Y144" i="2"/>
  <c r="X144" i="2"/>
  <c r="Y143" i="2"/>
  <c r="X143" i="2"/>
  <c r="BP142" i="2"/>
  <c r="BO142" i="2"/>
  <c r="BN142" i="2"/>
  <c r="BM142" i="2"/>
  <c r="Z142" i="2"/>
  <c r="Z143" i="2" s="1"/>
  <c r="Y142" i="2"/>
  <c r="P142" i="2"/>
  <c r="BO141" i="2"/>
  <c r="BN141" i="2"/>
  <c r="BM141" i="2"/>
  <c r="Z141" i="2"/>
  <c r="Y141" i="2"/>
  <c r="BP141" i="2" s="1"/>
  <c r="P141" i="2"/>
  <c r="X139" i="2"/>
  <c r="X138" i="2"/>
  <c r="BO137" i="2"/>
  <c r="BN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Y51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N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N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Y78" i="2" l="1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23" i="2" l="1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<sst xmlns="http://schemas.openxmlformats.org/spreadsheetml/2006/main" count="3932" uniqueCount="844">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</sst>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5"/>
  <sheetViews>
    <sheetView showGridLines="0" tabSelected="1" topLeftCell="F505" zoomScaleNormal="100" zoomScaleSheetLayoutView="100" workbookViewId="0">
      <selection activeCell="X403" sqref="X40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/>
      <c r="I5" s="598"/>
      <c r="J5" s="598"/>
      <c r="K5" s="598"/>
      <c r="L5" s="598"/>
      <c r="M5" s="598"/>
      <c r="N5" s="69"/>
      <c r="P5" s="26" t="s">
        <v>4</v>
      </c>
      <c r="Q5" s="600">
        <v>46240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/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>
        <v>42.84</v>
      </c>
      <c r="Y29" s="53">
        <f t="shared" si="0"/>
        <v>42.84</v>
      </c>
      <c r="Z29" s="39">
        <f t="shared" si="1"/>
        <v>0.11067</v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47.022000000000006</v>
      </c>
      <c r="BN29" s="75">
        <f t="shared" si="3"/>
        <v>47.022000000000006</v>
      </c>
      <c r="BO29" s="75">
        <f t="shared" si="4"/>
        <v>9.3406593406593408E-2</v>
      </c>
      <c r="BP29" s="75">
        <f t="shared" si="5"/>
        <v>9.3406593406593408E-2</v>
      </c>
    </row>
    <row r="30" spans="1:68" ht="27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>
        <v>21.42</v>
      </c>
      <c r="Y34" s="53">
        <f t="shared" si="0"/>
        <v>21.6</v>
      </c>
      <c r="Z34" s="39">
        <f t="shared" si="1"/>
        <v>7.8119999999999995E-2</v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37.842000000000006</v>
      </c>
      <c r="BN34" s="75">
        <f t="shared" si="3"/>
        <v>38.160000000000004</v>
      </c>
      <c r="BO34" s="75">
        <f t="shared" si="4"/>
        <v>6.5384615384615388E-2</v>
      </c>
      <c r="BP34" s="75">
        <f t="shared" si="5"/>
        <v>6.5934065934065936E-2</v>
      </c>
    </row>
    <row r="35" spans="1:68" ht="27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28.9</v>
      </c>
      <c r="Y38" s="41">
        <f>IFERROR(Y28/H28,"0")+IFERROR(Y29/H29,"0")+IFERROR(Y30/H30,"0")+IFERROR(Y31/H31,"0")+IFERROR(Y32/H32,"0")+IFERROR(Y33/H33,"0")+IFERROR(Y34/H34,"0")+IFERROR(Y35/H35,"0")+IFERROR(Y36/H36,"0")+IFERROR(Y37/H37,"0")</f>
        <v>29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0.18879000000000001</v>
      </c>
      <c r="AA38" s="64"/>
      <c r="AB38" s="64"/>
      <c r="AC38" s="64"/>
    </row>
    <row r="39" spans="1:68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64.260000000000005</v>
      </c>
      <c r="Y39" s="41">
        <f>IFERROR(SUM(Y28:Y37),"0")</f>
        <v>64.44</v>
      </c>
      <c r="Z39" s="40"/>
      <c r="AA39" s="64"/>
      <c r="AB39" s="64"/>
      <c r="AC39" s="64"/>
    </row>
    <row r="40" spans="1:68" ht="14.25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500</v>
      </c>
      <c r="Y56" s="53">
        <f>IFERROR(IF(X56="",0,CEILING((X56/$H56),1)*$H56),"")</f>
        <v>507.6</v>
      </c>
      <c r="Z56" s="39">
        <f>IFERROR(IF(Y56=0,"",ROUNDUP(Y56/H56,0)*0.01898),"")</f>
        <v>0.89205999999999996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518.98148148148141</v>
      </c>
      <c r="BN56" s="75">
        <f>IFERROR(Y56*I56/H56,"0")</f>
        <v>526.87</v>
      </c>
      <c r="BO56" s="75">
        <f>IFERROR(1/J56*(X56/H56),"0")</f>
        <v>0.72337962962962954</v>
      </c>
      <c r="BP56" s="75">
        <f>IFERROR(1/J56*(Y56/H56),"0")</f>
        <v>0.734375</v>
      </c>
    </row>
    <row r="57" spans="1:68" ht="27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46.296296296296291</v>
      </c>
      <c r="Y60" s="41">
        <f>IFERROR(Y56/H56,"0")+IFERROR(Y57/H57,"0")+IFERROR(Y58/H58,"0")+IFERROR(Y59/H59,"0")</f>
        <v>47</v>
      </c>
      <c r="Z60" s="41">
        <f>IFERROR(IF(Z56="",0,Z56),"0")+IFERROR(IF(Z57="",0,Z57),"0")+IFERROR(IF(Z58="",0,Z58),"0")+IFERROR(IF(Z59="",0,Z59),"0")</f>
        <v>0.89205999999999996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500</v>
      </c>
      <c r="Y61" s="41">
        <f>IFERROR(SUM(Y56:Y59),"0")</f>
        <v>507.6</v>
      </c>
      <c r="Z61" s="40"/>
      <c r="AA61" s="64"/>
      <c r="AB61" s="64"/>
      <c r="AC61" s="64"/>
    </row>
    <row r="62" spans="1:68" ht="16.5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>
        <v>20</v>
      </c>
      <c r="Y65" s="53">
        <f t="shared" si="6"/>
        <v>21.6</v>
      </c>
      <c r="Z65" s="39">
        <f>IFERROR(IF(Y65=0,"",ROUNDUP(Y65/H65,0)*0.01898),"")</f>
        <v>3.7960000000000001E-2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20.75925925925926</v>
      </c>
      <c r="BN65" s="75">
        <f t="shared" si="8"/>
        <v>22.42</v>
      </c>
      <c r="BO65" s="75">
        <f t="shared" si="9"/>
        <v>2.8935185185185182E-2</v>
      </c>
      <c r="BP65" s="75">
        <f t="shared" si="10"/>
        <v>3.125E-2</v>
      </c>
    </row>
    <row r="66" spans="1:68" ht="27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1.8518518518518516</v>
      </c>
      <c r="Y70" s="41">
        <f>IFERROR(Y64/H64,"0")+IFERROR(Y65/H65,"0")+IFERROR(Y66/H66,"0")+IFERROR(Y67/H67,"0")+IFERROR(Y68/H68,"0")+IFERROR(Y69/H69,"0")</f>
        <v>2</v>
      </c>
      <c r="Z70" s="41">
        <f>IFERROR(IF(Z64="",0,Z64),"0")+IFERROR(IF(Z65="",0,Z65),"0")+IFERROR(IF(Z66="",0,Z66),"0")+IFERROR(IF(Z67="",0,Z67),"0")+IFERROR(IF(Z68="",0,Z68),"0")+IFERROR(IF(Z69="",0,Z69),"0")</f>
        <v>3.7960000000000001E-2</v>
      </c>
      <c r="AA70" s="64"/>
      <c r="AB70" s="64"/>
      <c r="AC70" s="64"/>
    </row>
    <row r="71" spans="1:68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20</v>
      </c>
      <c r="Y71" s="41">
        <f>IFERROR(SUM(Y64:Y69),"0")</f>
        <v>21.6</v>
      </c>
      <c r="Z71" s="40"/>
      <c r="AA71" s="64"/>
      <c r="AB71" s="64"/>
      <c r="AC71" s="64"/>
    </row>
    <row r="72" spans="1:68" ht="14.25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70</v>
      </c>
      <c r="Y73" s="53">
        <f>IFERROR(IF(X73="",0,CEILING((X73/$H73),1)*$H73),"")</f>
        <v>75.600000000000009</v>
      </c>
      <c r="Z73" s="39">
        <f>IFERROR(IF(Y73=0,"",ROUNDUP(Y73/H73,0)*0.01898),"")</f>
        <v>0.13286000000000001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72.657407407407405</v>
      </c>
      <c r="BN73" s="75">
        <f>IFERROR(Y73*I73/H73,"0")</f>
        <v>78.47</v>
      </c>
      <c r="BO73" s="75">
        <f>IFERROR(1/J73*(X73/H73),"0")</f>
        <v>0.10127314814814814</v>
      </c>
      <c r="BP73" s="75">
        <f>IFERROR(1/J73*(Y73/H73),"0")</f>
        <v>0.109375</v>
      </c>
    </row>
    <row r="74" spans="1:68" ht="16.5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>
        <v>8.1</v>
      </c>
      <c r="Y76" s="53">
        <f>IFERROR(IF(X76="",0,CEILING((X76/$H76),1)*$H76),"")</f>
        <v>8.1000000000000014</v>
      </c>
      <c r="Z76" s="39">
        <f>IFERROR(IF(Y76=0,"",ROUNDUP(Y76/H76,0)*0.00651),"")</f>
        <v>1.9529999999999999E-2</v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8.6399999999999988</v>
      </c>
      <c r="BN76" s="75">
        <f>IFERROR(Y76*I76/H76,"0")</f>
        <v>8.64</v>
      </c>
      <c r="BO76" s="75">
        <f>IFERROR(1/J76*(X76/H76),"0")</f>
        <v>1.6483516483516484E-2</v>
      </c>
      <c r="BP76" s="75">
        <f>IFERROR(1/J76*(Y76/H76),"0")</f>
        <v>1.6483516483516487E-2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9.481481481481481</v>
      </c>
      <c r="Y77" s="41">
        <f>IFERROR(Y73/H73,"0")+IFERROR(Y74/H74,"0")+IFERROR(Y75/H75,"0")+IFERROR(Y76/H76,"0")</f>
        <v>10</v>
      </c>
      <c r="Z77" s="41">
        <f>IFERROR(IF(Z73="",0,Z73),"0")+IFERROR(IF(Z74="",0,Z74),"0")+IFERROR(IF(Z75="",0,Z75),"0")+IFERROR(IF(Z76="",0,Z76),"0")</f>
        <v>0.15239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78.099999999999994</v>
      </c>
      <c r="Y78" s="41">
        <f>IFERROR(SUM(Y73:Y76),"0")</f>
        <v>83.700000000000017</v>
      </c>
      <c r="Z78" s="40"/>
      <c r="AA78" s="64"/>
      <c r="AB78" s="64"/>
      <c r="AC78" s="64"/>
    </row>
    <row r="79" spans="1:68" ht="14.25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280</v>
      </c>
      <c r="Y91" s="53">
        <f>IFERROR(IF(X91="",0,CEILING((X91/$H91),1)*$H91),"")</f>
        <v>280.8</v>
      </c>
      <c r="Z91" s="39">
        <f>IFERROR(IF(Y91=0,"",ROUNDUP(Y91/H91,0)*0.01898),"")</f>
        <v>0.49348000000000003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290.62962962962962</v>
      </c>
      <c r="BN91" s="75">
        <f>IFERROR(Y91*I91/H91,"0")</f>
        <v>291.46000000000004</v>
      </c>
      <c r="BO91" s="75">
        <f>IFERROR(1/J91*(X91/H91),"0")</f>
        <v>0.40509259259259256</v>
      </c>
      <c r="BP91" s="75">
        <f>IFERROR(1/J91*(Y91/H91),"0")</f>
        <v>0.40625</v>
      </c>
    </row>
    <row r="92" spans="1:68" ht="27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/>
      <c r="Y94" s="53">
        <f>IFERROR(IF(X94="",0,CEILING((X94/$H94),1)*$H94),"")</f>
        <v>0</v>
      </c>
      <c r="Z94" s="39" t="str">
        <f>IFERROR(IF(Y94=0,"",ROUNDUP(Y94/H94,0)*0.00902),"")</f>
        <v/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25.925925925925924</v>
      </c>
      <c r="Y95" s="41">
        <f>IFERROR(Y91/H91,"0")+IFERROR(Y92/H92,"0")+IFERROR(Y93/H93,"0")+IFERROR(Y94/H94,"0")</f>
        <v>26</v>
      </c>
      <c r="Z95" s="41">
        <f>IFERROR(IF(Z91="",0,Z91),"0")+IFERROR(IF(Z92="",0,Z92),"0")+IFERROR(IF(Z93="",0,Z93),"0")+IFERROR(IF(Z94="",0,Z94),"0")</f>
        <v>0.49348000000000003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280</v>
      </c>
      <c r="Y96" s="41">
        <f>IFERROR(SUM(Y91:Y94),"0")</f>
        <v>280.8</v>
      </c>
      <c r="Z96" s="40"/>
      <c r="AA96" s="64"/>
      <c r="AB96" s="64"/>
      <c r="AC96" s="64"/>
    </row>
    <row r="97" spans="1:68" ht="14.25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450</v>
      </c>
      <c r="Y98" s="53">
        <f>IFERROR(IF(X98="",0,CEILING((X98/$H98),1)*$H98),"")</f>
        <v>453.59999999999997</v>
      </c>
      <c r="Z98" s="39">
        <f>IFERROR(IF(Y98=0,"",ROUNDUP(Y98/H98,0)*0.01898),"")</f>
        <v>1.06288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477.44444444444446</v>
      </c>
      <c r="BN98" s="75">
        <f>IFERROR(Y98*I98/H98,"0")</f>
        <v>481.26399999999995</v>
      </c>
      <c r="BO98" s="75">
        <f>IFERROR(1/J98*(X98/H98),"0")</f>
        <v>0.86805555555555558</v>
      </c>
      <c r="BP98" s="75">
        <f>IFERROR(1/J98*(Y98/H98),"0")</f>
        <v>0.875</v>
      </c>
    </row>
    <row r="99" spans="1:68" ht="27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>
        <v>72.900000000000006</v>
      </c>
      <c r="Y100" s="53">
        <f>IFERROR(IF(X100="",0,CEILING((X100/$H100),1)*$H100),"")</f>
        <v>72.900000000000006</v>
      </c>
      <c r="Z100" s="39">
        <f>IFERROR(IF(Y100=0,"",ROUNDUP(Y100/H100,0)*0.00651),"")</f>
        <v>0.17577000000000001</v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79.703999999999994</v>
      </c>
      <c r="BN100" s="75">
        <f>IFERROR(Y100*I100/H100,"0")</f>
        <v>79.703999999999994</v>
      </c>
      <c r="BO100" s="75">
        <f>IFERROR(1/J100*(X100/H100),"0")</f>
        <v>0.14835164835164835</v>
      </c>
      <c r="BP100" s="75">
        <f>IFERROR(1/J100*(Y100/H100),"0")</f>
        <v>0.14835164835164835</v>
      </c>
    </row>
    <row r="101" spans="1:68" ht="16.5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82.555555555555557</v>
      </c>
      <c r="Y102" s="41">
        <f>IFERROR(Y98/H98,"0")+IFERROR(Y99/H99,"0")+IFERROR(Y100/H100,"0")+IFERROR(Y101/H101,"0")</f>
        <v>83</v>
      </c>
      <c r="Z102" s="41">
        <f>IFERROR(IF(Z98="",0,Z98),"0")+IFERROR(IF(Z99="",0,Z99),"0")+IFERROR(IF(Z100="",0,Z100),"0")+IFERROR(IF(Z101="",0,Z101),"0")</f>
        <v>1.23865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522.9</v>
      </c>
      <c r="Y103" s="41">
        <f>IFERROR(SUM(Y98:Y101),"0")</f>
        <v>526.5</v>
      </c>
      <c r="Z103" s="40"/>
      <c r="AA103" s="64"/>
      <c r="AB103" s="64"/>
      <c r="AC103" s="64"/>
    </row>
    <row r="104" spans="1:68" ht="16.5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130</v>
      </c>
      <c r="Y106" s="53">
        <f t="shared" ref="Y106:Y112" si="11">IFERROR(IF(X106="",0,CEILING((X106/$H106),1)*$H106),"")</f>
        <v>140.4</v>
      </c>
      <c r="Z106" s="39">
        <f>IFERROR(IF(Y106=0,"",ROUNDUP(Y106/H106,0)*0.01898),"")</f>
        <v>0.24674000000000001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134.93518518518519</v>
      </c>
      <c r="BN106" s="75">
        <f t="shared" ref="BN106:BN112" si="13">IFERROR(Y106*I106/H106,"0")</f>
        <v>145.73000000000002</v>
      </c>
      <c r="BO106" s="75">
        <f t="shared" ref="BO106:BO112" si="14">IFERROR(1/J106*(X106/H106),"0")</f>
        <v>0.18807870370370369</v>
      </c>
      <c r="BP106" s="75">
        <f t="shared" ref="BP106:BP112" si="15">IFERROR(1/J106*(Y106/H106),"0")</f>
        <v>0.203125</v>
      </c>
    </row>
    <row r="107" spans="1:68" ht="27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13.5</v>
      </c>
      <c r="Y111" s="53">
        <f t="shared" si="11"/>
        <v>13.5</v>
      </c>
      <c r="Z111" s="39">
        <f>IFERROR(IF(Y111=0,"",ROUNDUP(Y111/H111,0)*0.00902),"")</f>
        <v>2.7060000000000001E-2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14.07</v>
      </c>
      <c r="BN111" s="75">
        <f t="shared" si="13"/>
        <v>14.07</v>
      </c>
      <c r="BO111" s="75">
        <f t="shared" si="14"/>
        <v>2.2727272727272728E-2</v>
      </c>
      <c r="BP111" s="75">
        <f t="shared" si="15"/>
        <v>2.2727272727272728E-2</v>
      </c>
    </row>
    <row r="112" spans="1:68" ht="37.5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15.037037037037036</v>
      </c>
      <c r="Y113" s="41">
        <f>IFERROR(Y106/H106,"0")+IFERROR(Y107/H107,"0")+IFERROR(Y108/H108,"0")+IFERROR(Y109/H109,"0")+IFERROR(Y110/H110,"0")+IFERROR(Y111/H111,"0")+IFERROR(Y112/H112,"0")</f>
        <v>16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0.27380000000000004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143.5</v>
      </c>
      <c r="Y114" s="41">
        <f>IFERROR(SUM(Y106:Y112),"0")</f>
        <v>153.9</v>
      </c>
      <c r="Z114" s="40"/>
      <c r="AA114" s="64"/>
      <c r="AB114" s="64"/>
      <c r="AC114" s="64"/>
    </row>
    <row r="115" spans="1:68" ht="14.25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810</v>
      </c>
      <c r="Y124" s="53">
        <f>IFERROR(IF(X124="",0,CEILING((X124/$H124),1)*$H124),"")</f>
        <v>810</v>
      </c>
      <c r="Z124" s="39">
        <f>IFERROR(IF(Y124=0,"",ROUNDUP(Y124/H124,0)*0.01898),"")</f>
        <v>1.8980000000000001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858.8</v>
      </c>
      <c r="BN124" s="75">
        <f>IFERROR(Y124*I124/H124,"0")</f>
        <v>858.8</v>
      </c>
      <c r="BO124" s="75">
        <f>IFERROR(1/J124*(X124/H124),"0")</f>
        <v>1.5625</v>
      </c>
      <c r="BP124" s="75">
        <f>IFERROR(1/J124*(Y124/H124),"0")</f>
        <v>1.5625</v>
      </c>
    </row>
    <row r="125" spans="1:68" ht="27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>
        <v>72.900000000000006</v>
      </c>
      <c r="Y126" s="53">
        <f>IFERROR(IF(X126="",0,CEILING((X126/$H126),1)*$H126),"")</f>
        <v>72.900000000000006</v>
      </c>
      <c r="Z126" s="39">
        <f>IFERROR(IF(Y126=0,"",ROUNDUP(Y126/H126,0)*0.00651),"")</f>
        <v>0.17577000000000001</v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79.703999999999994</v>
      </c>
      <c r="BN126" s="75">
        <f>IFERROR(Y126*I126/H126,"0")</f>
        <v>79.703999999999994</v>
      </c>
      <c r="BO126" s="75">
        <f>IFERROR(1/J126*(X126/H126),"0")</f>
        <v>0.14835164835164835</v>
      </c>
      <c r="BP126" s="75">
        <f>IFERROR(1/J126*(Y126/H126),"0")</f>
        <v>0.14835164835164835</v>
      </c>
    </row>
    <row r="127" spans="1:68" ht="16.5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127</v>
      </c>
      <c r="Y128" s="41">
        <f>IFERROR(Y124/H124,"0")+IFERROR(Y125/H125,"0")+IFERROR(Y126/H126,"0")+IFERROR(Y127/H127,"0")</f>
        <v>127</v>
      </c>
      <c r="Z128" s="41">
        <f>IFERROR(IF(Z124="",0,Z124),"0")+IFERROR(IF(Z125="",0,Z125),"0")+IFERROR(IF(Z126="",0,Z126),"0")+IFERROR(IF(Z127="",0,Z127),"0")</f>
        <v>2.0737700000000001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882.9</v>
      </c>
      <c r="Y129" s="41">
        <f>IFERROR(SUM(Y124:Y127),"0")</f>
        <v>882.9</v>
      </c>
      <c r="Z129" s="40"/>
      <c r="AA129" s="64"/>
      <c r="AB129" s="64"/>
      <c r="AC129" s="64"/>
    </row>
    <row r="130" spans="1:68" ht="14.25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65</v>
      </c>
      <c r="Y209" s="53">
        <f t="shared" ref="Y209:Y222" si="21">IFERROR(IF(X209="",0,CEILING((X209/$H209),1)*$H209),"")</f>
        <v>67.2</v>
      </c>
      <c r="Z209" s="39">
        <f>IFERROR(IF(Y209=0,"",ROUNDUP(Y209/H209,0)*0.00902),"")</f>
        <v>0.14432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68.86904761904762</v>
      </c>
      <c r="BN209" s="75">
        <f t="shared" ref="BN209:BN222" si="23">IFERROR(Y209*I209/H209,"0")</f>
        <v>71.2</v>
      </c>
      <c r="BO209" s="75">
        <f t="shared" ref="BO209:BO222" si="24">IFERROR(1/J209*(X209/H209),"0")</f>
        <v>0.11724386724386725</v>
      </c>
      <c r="BP209" s="75">
        <f t="shared" ref="BP209:BP222" si="25">IFERROR(1/J209*(Y209/H209),"0")</f>
        <v>0.12121212121212122</v>
      </c>
    </row>
    <row r="210" spans="1:68" ht="27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20</v>
      </c>
      <c r="Y211" s="53">
        <f t="shared" si="21"/>
        <v>21</v>
      </c>
      <c r="Z211" s="39">
        <f>IFERROR(IF(Y211=0,"",ROUNDUP(Y211/H211,0)*0.00902),"")</f>
        <v>4.5100000000000001E-2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20.904761904761902</v>
      </c>
      <c r="BN211" s="75">
        <f t="shared" si="23"/>
        <v>21.95</v>
      </c>
      <c r="BO211" s="75">
        <f t="shared" si="24"/>
        <v>3.6075036075036072E-2</v>
      </c>
      <c r="BP211" s="75">
        <f t="shared" si="25"/>
        <v>3.787878787878788E-2</v>
      </c>
    </row>
    <row r="212" spans="1:68" ht="37.5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>
        <v>10.5</v>
      </c>
      <c r="Y213" s="53">
        <f t="shared" si="21"/>
        <v>10.5</v>
      </c>
      <c r="Z213" s="39">
        <f t="shared" ref="Z213:Z218" si="26">IFERROR(IF(Y213=0,"",ROUNDUP(Y213/H213,0)*0.00502),"")</f>
        <v>2.5100000000000001E-2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11.149999999999999</v>
      </c>
      <c r="BN213" s="75">
        <f t="shared" si="23"/>
        <v>11.149999999999999</v>
      </c>
      <c r="BO213" s="75">
        <f t="shared" si="24"/>
        <v>2.1367521367521368E-2</v>
      </c>
      <c r="BP213" s="75">
        <f t="shared" si="25"/>
        <v>2.1367521367521368E-2</v>
      </c>
    </row>
    <row r="214" spans="1:68" ht="27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>
        <v>18.899999999999999</v>
      </c>
      <c r="Y220" s="53">
        <f t="shared" si="21"/>
        <v>18.900000000000002</v>
      </c>
      <c r="Z220" s="39">
        <f>IFERROR(IF(Y220=0,"",ROUNDUP(Y220/H220,0)*0.00502),"")</f>
        <v>4.5179999999999998E-2</v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19.799999999999997</v>
      </c>
      <c r="BN220" s="75">
        <f t="shared" si="23"/>
        <v>19.8</v>
      </c>
      <c r="BO220" s="75">
        <f t="shared" si="24"/>
        <v>3.8461538461538457E-2</v>
      </c>
      <c r="BP220" s="75">
        <f t="shared" si="25"/>
        <v>3.8461538461538464E-2</v>
      </c>
    </row>
    <row r="221" spans="1:68" ht="27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34.238095238095234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35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0.25970000000000004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114.4</v>
      </c>
      <c r="Y224" s="41">
        <f>IFERROR(SUM(Y209:Y222),"0")</f>
        <v>117.60000000000001</v>
      </c>
      <c r="Z224" s="40"/>
      <c r="AA224" s="64"/>
      <c r="AB224" s="64"/>
      <c r="AC224" s="64"/>
    </row>
    <row r="225" spans="1:68" ht="14.25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395</v>
      </c>
      <c r="Y251" s="53">
        <f t="shared" ref="Y251:Y258" si="27">IFERROR(IF(X251="",0,CEILING((X251/$H251),1)*$H251),"")</f>
        <v>399.6</v>
      </c>
      <c r="Z251" s="39">
        <f>IFERROR(IF(Y251=0,"",ROUNDUP(Y251/H251,0)*0.00902),"")</f>
        <v>0.66748000000000007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408.8981481481481</v>
      </c>
      <c r="BN251" s="75">
        <f t="shared" ref="BN251:BN258" si="29">IFERROR(Y251*I251/H251,"0")</f>
        <v>413.65999999999997</v>
      </c>
      <c r="BO251" s="75">
        <f t="shared" ref="BO251:BO258" si="30">IFERROR(1/J251*(X251/H251),"0")</f>
        <v>0.55415263748597077</v>
      </c>
      <c r="BP251" s="75">
        <f t="shared" ref="BP251:BP258" si="31">IFERROR(1/J251*(Y251/H251),"0")</f>
        <v>0.56060606060606066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150</v>
      </c>
      <c r="Y252" s="53">
        <f t="shared" si="27"/>
        <v>151.20000000000002</v>
      </c>
      <c r="Z252" s="39">
        <f>IFERROR(IF(Y252=0,"",ROUNDUP(Y252/H252,0)*0.00902),"")</f>
        <v>0.25256000000000001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155.27777777777777</v>
      </c>
      <c r="BN252" s="75">
        <f t="shared" si="29"/>
        <v>156.52000000000001</v>
      </c>
      <c r="BO252" s="75">
        <f t="shared" si="30"/>
        <v>0.21043771043771042</v>
      </c>
      <c r="BP252" s="75">
        <f t="shared" si="31"/>
        <v>0.21212121212121213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285</v>
      </c>
      <c r="Y253" s="53">
        <f t="shared" si="27"/>
        <v>286.20000000000005</v>
      </c>
      <c r="Z253" s="39">
        <f>IFERROR(IF(Y253=0,"",ROUNDUP(Y253/H253,0)*0.00902),"")</f>
        <v>0.47806000000000004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295.02777777777771</v>
      </c>
      <c r="BN253" s="75">
        <f t="shared" si="29"/>
        <v>296.27000000000004</v>
      </c>
      <c r="BO253" s="75">
        <f t="shared" si="30"/>
        <v>0.39983164983164982</v>
      </c>
      <c r="BP253" s="75">
        <f t="shared" si="31"/>
        <v>0.4015151515151516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325</v>
      </c>
      <c r="Y254" s="53">
        <f t="shared" si="27"/>
        <v>329.40000000000003</v>
      </c>
      <c r="Z254" s="39">
        <f>IFERROR(IF(Y254=0,"",ROUNDUP(Y254/H254,0)*0.00902),"")</f>
        <v>0.55022000000000004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336.43518518518516</v>
      </c>
      <c r="BN254" s="75">
        <f t="shared" si="29"/>
        <v>340.99</v>
      </c>
      <c r="BO254" s="75">
        <f t="shared" si="30"/>
        <v>0.45594837261503929</v>
      </c>
      <c r="BP254" s="75">
        <f t="shared" si="31"/>
        <v>0.46212121212121215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>
        <v>12.6</v>
      </c>
      <c r="Y255" s="53">
        <f t="shared" si="27"/>
        <v>12.6</v>
      </c>
      <c r="Z255" s="39">
        <f>IFERROR(IF(Y255=0,"",ROUNDUP(Y255/H255,0)*0.00502),"")</f>
        <v>3.5140000000000005E-2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13.509999999999998</v>
      </c>
      <c r="BN255" s="75">
        <f t="shared" si="29"/>
        <v>13.509999999999998</v>
      </c>
      <c r="BO255" s="75">
        <f t="shared" si="30"/>
        <v>2.9914529914529919E-2</v>
      </c>
      <c r="BP255" s="75">
        <f t="shared" si="31"/>
        <v>2.9914529914529919E-2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>
        <v>10.8</v>
      </c>
      <c r="Y256" s="53">
        <f t="shared" si="27"/>
        <v>10.8</v>
      </c>
      <c r="Z256" s="39">
        <f>IFERROR(IF(Y256=0,"",ROUNDUP(Y256/H256,0)*0.00502),"")</f>
        <v>3.0120000000000001E-2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11.4</v>
      </c>
      <c r="BN256" s="75">
        <f t="shared" si="29"/>
        <v>11.4</v>
      </c>
      <c r="BO256" s="75">
        <f t="shared" si="30"/>
        <v>2.5641025641025644E-2</v>
      </c>
      <c r="BP256" s="75">
        <f t="shared" si="31"/>
        <v>2.5641025641025644E-2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226.88888888888889</v>
      </c>
      <c r="Y259" s="41">
        <f>IFERROR(Y251/H251,"0")+IFERROR(Y252/H252,"0")+IFERROR(Y253/H253,"0")+IFERROR(Y254/H254,"0")+IFERROR(Y255/H255,"0")+IFERROR(Y256/H256,"0")+IFERROR(Y257/H257,"0")+IFERROR(Y258/H258,"0")</f>
        <v>229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2.0135800000000001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1178.3999999999999</v>
      </c>
      <c r="Y260" s="41">
        <f>IFERROR(SUM(Y251:Y258),"0")</f>
        <v>1189.8</v>
      </c>
      <c r="Z260" s="40"/>
      <c r="AA260" s="64"/>
      <c r="AB260" s="64"/>
      <c r="AC260" s="64"/>
    </row>
    <row r="261" spans="1:68" ht="14.25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>
        <v>74</v>
      </c>
      <c r="Y262" s="53">
        <f t="shared" ref="Y262:Y271" si="32">IFERROR(IF(X262="",0,CEILING((X262/$H262),1)*$H262),"")</f>
        <v>81</v>
      </c>
      <c r="Z262" s="39">
        <f>IFERROR(IF(Y262=0,"",ROUNDUP(Y262/H262,0)*0.01898),"")</f>
        <v>0.1898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78.51308641975308</v>
      </c>
      <c r="BN262" s="75">
        <f t="shared" ref="BN262:BN271" si="34">IFERROR(Y262*I262/H262,"0")</f>
        <v>85.94</v>
      </c>
      <c r="BO262" s="75">
        <f t="shared" ref="BO262:BO271" si="35">IFERROR(1/J262*(X262/H262),"0")</f>
        <v>0.14274691358024691</v>
      </c>
      <c r="BP262" s="75">
        <f t="shared" ref="BP262:BP271" si="36">IFERROR(1/J262*(Y262/H262),"0")</f>
        <v>0.15625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>
        <v>260</v>
      </c>
      <c r="Y264" s="53">
        <f t="shared" si="32"/>
        <v>261</v>
      </c>
      <c r="Z264" s="39">
        <f>IFERROR(IF(Y264=0,"",ROUNDUP(Y264/H264,0)*0.01898),"")</f>
        <v>0.56940000000000002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274.76321839080464</v>
      </c>
      <c r="BN264" s="75">
        <f t="shared" si="34"/>
        <v>275.82000000000005</v>
      </c>
      <c r="BO264" s="75">
        <f t="shared" si="35"/>
        <v>0.4669540229885058</v>
      </c>
      <c r="BP264" s="75">
        <f t="shared" si="36"/>
        <v>0.46875000000000006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256.8</v>
      </c>
      <c r="Y265" s="53">
        <f t="shared" si="32"/>
        <v>256.8</v>
      </c>
      <c r="Z265" s="39">
        <f t="shared" ref="Z265:Z271" si="37">IFERROR(IF(Y265=0,"",ROUNDUP(Y265/H265,0)*0.00651),"")</f>
        <v>0.69657000000000002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285.69000000000005</v>
      </c>
      <c r="BN265" s="75">
        <f t="shared" si="34"/>
        <v>285.69000000000005</v>
      </c>
      <c r="BO265" s="75">
        <f t="shared" si="35"/>
        <v>0.58791208791208804</v>
      </c>
      <c r="BP265" s="75">
        <f t="shared" si="36"/>
        <v>0.58791208791208804</v>
      </c>
    </row>
    <row r="266" spans="1:68" ht="27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273.60000000000002</v>
      </c>
      <c r="Y267" s="53">
        <f t="shared" si="32"/>
        <v>273.59999999999997</v>
      </c>
      <c r="Z267" s="39">
        <f t="shared" si="37"/>
        <v>0.74214000000000002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302.32800000000003</v>
      </c>
      <c r="BN267" s="75">
        <f t="shared" si="34"/>
        <v>302.32799999999997</v>
      </c>
      <c r="BO267" s="75">
        <f t="shared" si="35"/>
        <v>0.62637362637362648</v>
      </c>
      <c r="BP267" s="75">
        <f t="shared" si="36"/>
        <v>0.62637362637362637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273.60000000000002</v>
      </c>
      <c r="Y268" s="53">
        <f t="shared" si="32"/>
        <v>273.59999999999997</v>
      </c>
      <c r="Z268" s="39">
        <f t="shared" si="37"/>
        <v>0.74214000000000002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302.32800000000003</v>
      </c>
      <c r="BN268" s="75">
        <f t="shared" si="34"/>
        <v>302.32799999999997</v>
      </c>
      <c r="BO268" s="75">
        <f t="shared" si="35"/>
        <v>0.62637362637362648</v>
      </c>
      <c r="BP268" s="75">
        <f t="shared" si="36"/>
        <v>0.62637362637362637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244.8</v>
      </c>
      <c r="Y269" s="53">
        <f t="shared" si="32"/>
        <v>244.79999999999998</v>
      </c>
      <c r="Z269" s="39">
        <f t="shared" si="37"/>
        <v>0.66402000000000005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270.50400000000002</v>
      </c>
      <c r="BN269" s="75">
        <f t="shared" si="34"/>
        <v>270.50400000000002</v>
      </c>
      <c r="BO269" s="75">
        <f t="shared" si="35"/>
        <v>0.56043956043956056</v>
      </c>
      <c r="BP269" s="75">
        <f t="shared" si="36"/>
        <v>0.56043956043956045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225.6</v>
      </c>
      <c r="Y270" s="53">
        <f t="shared" si="32"/>
        <v>225.6</v>
      </c>
      <c r="Z270" s="39">
        <f t="shared" si="37"/>
        <v>0.61194000000000004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249.85199999999998</v>
      </c>
      <c r="BN270" s="75">
        <f t="shared" si="34"/>
        <v>249.85199999999998</v>
      </c>
      <c r="BO270" s="75">
        <f t="shared" si="35"/>
        <v>0.51648351648351654</v>
      </c>
      <c r="BP270" s="75">
        <f t="shared" si="36"/>
        <v>0.51648351648351654</v>
      </c>
    </row>
    <row r="271" spans="1:68" ht="27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570.02085994040021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571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4.2160099999999998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1608.3999999999999</v>
      </c>
      <c r="Y273" s="41">
        <f>IFERROR(SUM(Y262:Y271),"0")</f>
        <v>1616.3999999999996</v>
      </c>
      <c r="Z273" s="40"/>
      <c r="AA273" s="64"/>
      <c r="AB273" s="64"/>
      <c r="AC273" s="64"/>
    </row>
    <row r="274" spans="1:68" ht="14.25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25</v>
      </c>
      <c r="Y354" s="53">
        <f t="shared" ref="Y354:Y360" si="48">IFERROR(IF(X354="",0,CEILING((X354/$H354),1)*$H354),"")</f>
        <v>25.200000000000003</v>
      </c>
      <c r="Z354" s="39">
        <f>IFERROR(IF(Y354=0,"",ROUNDUP(Y354/H354,0)*0.00902),"")</f>
        <v>5.4120000000000001E-2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26.488095238095237</v>
      </c>
      <c r="BN354" s="75">
        <f t="shared" ref="BN354:BN360" si="50">IFERROR(Y354*I354/H354,"0")</f>
        <v>26.700000000000003</v>
      </c>
      <c r="BO354" s="75">
        <f t="shared" ref="BO354:BO360" si="51">IFERROR(1/J354*(X354/H354),"0")</f>
        <v>4.5093795093795096E-2</v>
      </c>
      <c r="BP354" s="75">
        <f t="shared" ref="BP354:BP360" si="52">IFERROR(1/J354*(Y354/H354),"0")</f>
        <v>4.5454545454545456E-2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110</v>
      </c>
      <c r="Y355" s="53">
        <f t="shared" si="48"/>
        <v>113.4</v>
      </c>
      <c r="Z355" s="39">
        <f>IFERROR(IF(Y355=0,"",ROUNDUP(Y355/H355,0)*0.00902),"")</f>
        <v>0.24354000000000001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116.54761904761904</v>
      </c>
      <c r="BN355" s="75">
        <f t="shared" si="50"/>
        <v>120.15</v>
      </c>
      <c r="BO355" s="75">
        <f t="shared" si="51"/>
        <v>0.1984126984126984</v>
      </c>
      <c r="BP355" s="75">
        <f t="shared" si="52"/>
        <v>0.20454545454545456</v>
      </c>
    </row>
    <row r="356" spans="1:68" ht="27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>
        <v>14.7</v>
      </c>
      <c r="Y357" s="53">
        <f t="shared" si="48"/>
        <v>14.700000000000001</v>
      </c>
      <c r="Z357" s="39">
        <f>IFERROR(IF(Y357=0,"",ROUNDUP(Y357/H357,0)*0.00502),"")</f>
        <v>3.5140000000000005E-2</v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15.61</v>
      </c>
      <c r="BN357" s="75">
        <f t="shared" si="50"/>
        <v>15.61</v>
      </c>
      <c r="BO357" s="75">
        <f t="shared" si="51"/>
        <v>2.9914529914529912E-2</v>
      </c>
      <c r="BP357" s="75">
        <f t="shared" si="52"/>
        <v>2.9914529914529919E-2</v>
      </c>
    </row>
    <row r="358" spans="1:68" ht="27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>
        <v>10.5</v>
      </c>
      <c r="Y358" s="53">
        <f t="shared" si="48"/>
        <v>10.5</v>
      </c>
      <c r="Z358" s="39">
        <f>IFERROR(IF(Y358=0,"",ROUNDUP(Y358/H358,0)*0.00502),"")</f>
        <v>2.5100000000000001E-2</v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11</v>
      </c>
      <c r="BN358" s="75">
        <f t="shared" si="50"/>
        <v>11</v>
      </c>
      <c r="BO358" s="75">
        <f t="shared" si="51"/>
        <v>2.1367521367521368E-2</v>
      </c>
      <c r="BP358" s="75">
        <f t="shared" si="52"/>
        <v>2.1367521367521368E-2</v>
      </c>
    </row>
    <row r="359" spans="1:68" ht="27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44.142857142857139</v>
      </c>
      <c r="Y361" s="41">
        <f>IFERROR(Y354/H354,"0")+IFERROR(Y355/H355,"0")+IFERROR(Y356/H356,"0")+IFERROR(Y357/H357,"0")+IFERROR(Y358/H358,"0")+IFERROR(Y359/H359,"0")+IFERROR(Y360/H360,"0")</f>
        <v>45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0.35790000000000005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160.19999999999999</v>
      </c>
      <c r="Y362" s="41">
        <f>IFERROR(SUM(Y354:Y360),"0")</f>
        <v>163.80000000000001</v>
      </c>
      <c r="Z362" s="40"/>
      <c r="AA362" s="64"/>
      <c r="AB362" s="64"/>
      <c r="AC362" s="64"/>
    </row>
    <row r="363" spans="1:68" ht="14.25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336</v>
      </c>
      <c r="Y371" s="53">
        <f>IFERROR(IF(X371="",0,CEILING((X371/$H371),1)*$H371),"")</f>
        <v>336</v>
      </c>
      <c r="Z371" s="39">
        <f>IFERROR(IF(Y371=0,"",ROUNDUP(Y371/H371,0)*0.01898),"")</f>
        <v>0.75919999999999999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355.76</v>
      </c>
      <c r="BN371" s="75">
        <f>IFERROR(Y371*I371/H371,"0")</f>
        <v>355.76</v>
      </c>
      <c r="BO371" s="75">
        <f>IFERROR(1/J371*(X371/H371),"0")</f>
        <v>0.625</v>
      </c>
      <c r="BP371" s="75">
        <f>IFERROR(1/J371*(Y371/H371),"0")</f>
        <v>0.625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716</v>
      </c>
      <c r="Y372" s="53">
        <f>IFERROR(IF(X372="",0,CEILING((X372/$H372),1)*$H372),"")</f>
        <v>717.6</v>
      </c>
      <c r="Z372" s="39">
        <f>IFERROR(IF(Y372=0,"",ROUNDUP(Y372/H372,0)*0.01898),"")</f>
        <v>1.7461599999999999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761.34666666666669</v>
      </c>
      <c r="BN372" s="75">
        <f>IFERROR(Y372*I372/H372,"0")</f>
        <v>763.048</v>
      </c>
      <c r="BO372" s="75">
        <f>IFERROR(1/J372*(X372/H372),"0")</f>
        <v>1.4342948717948718</v>
      </c>
      <c r="BP372" s="75">
        <f>IFERROR(1/J372*(Y372/H372),"0")</f>
        <v>1.4375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200</v>
      </c>
      <c r="Y373" s="53">
        <f>IFERROR(IF(X373="",0,CEILING((X373/$H373),1)*$H373),"")</f>
        <v>201.60000000000002</v>
      </c>
      <c r="Z373" s="39">
        <f>IFERROR(IF(Y373=0,"",ROUNDUP(Y373/H373,0)*0.01898),"")</f>
        <v>0.45552000000000004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211.76190476190476</v>
      </c>
      <c r="BN373" s="75">
        <f>IFERROR(Y373*I373/H373,"0")</f>
        <v>213.45600000000002</v>
      </c>
      <c r="BO373" s="75">
        <f>IFERROR(1/J373*(X373/H373),"0")</f>
        <v>0.37202380952380953</v>
      </c>
      <c r="BP373" s="75">
        <f>IFERROR(1/J373*(Y373/H373),"0")</f>
        <v>0.375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155.60439560439562</v>
      </c>
      <c r="Y374" s="41">
        <f>IFERROR(Y371/H371,"0")+IFERROR(Y372/H372,"0")+IFERROR(Y373/H373,"0")</f>
        <v>156</v>
      </c>
      <c r="Z374" s="41">
        <f>IFERROR(IF(Z371="",0,Z371),"0")+IFERROR(IF(Z372="",0,Z372),"0")+IFERROR(IF(Z373="",0,Z373),"0")</f>
        <v>2.96088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1252</v>
      </c>
      <c r="Y375" s="41">
        <f>IFERROR(SUM(Y371:Y373),"0")</f>
        <v>1255.1999999999998</v>
      </c>
      <c r="Z375" s="40"/>
      <c r="AA375" s="64"/>
      <c r="AB375" s="64"/>
      <c r="AC375" s="64"/>
    </row>
    <row r="376" spans="1:68" ht="14.25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>
        <v>104</v>
      </c>
      <c r="Y391" s="53">
        <f>IFERROR(IF(X391="",0,CEILING((X391/$H391),1)*$H391),"")</f>
        <v>105.3</v>
      </c>
      <c r="Z391" s="39">
        <f>IFERROR(IF(Y391=0,"",ROUNDUP(Y391/H391,0)*0.01898),"")</f>
        <v>0.24674000000000001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110.34271604938272</v>
      </c>
      <c r="BN391" s="75">
        <f>IFERROR(Y391*I391/H391,"0")</f>
        <v>111.72199999999999</v>
      </c>
      <c r="BO391" s="75">
        <f>IFERROR(1/J391*(X391/H391),"0")</f>
        <v>0.20061728395061729</v>
      </c>
      <c r="BP391" s="75">
        <f>IFERROR(1/J391*(Y391/H391),"0")</f>
        <v>0.203125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>
        <v>105</v>
      </c>
      <c r="Y392" s="53">
        <f>IFERROR(IF(X392="",0,CEILING((X392/$H392),1)*$H392),"")</f>
        <v>105</v>
      </c>
      <c r="Z392" s="39">
        <f>IFERROR(IF(Y392=0,"",ROUNDUP(Y392/H392,0)*0.00651),"")</f>
        <v>0.32550000000000001</v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117.59999999999998</v>
      </c>
      <c r="BN392" s="75">
        <f>IFERROR(Y392*I392/H392,"0")</f>
        <v>117.59999999999998</v>
      </c>
      <c r="BO392" s="75">
        <f>IFERROR(1/J392*(X392/H392),"0")</f>
        <v>0.27472527472527475</v>
      </c>
      <c r="BP392" s="75">
        <f>IFERROR(1/J392*(Y392/H392),"0")</f>
        <v>0.27472527472527475</v>
      </c>
    </row>
    <row r="393" spans="1:68" ht="27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>
        <v>77.7</v>
      </c>
      <c r="Y393" s="53">
        <f>IFERROR(IF(X393="",0,CEILING((X393/$H393),1)*$H393),"")</f>
        <v>77.7</v>
      </c>
      <c r="Z393" s="39">
        <f>IFERROR(IF(Y393=0,"",ROUNDUP(Y393/H393,0)*0.00651),"")</f>
        <v>0.24087</v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86.579999999999984</v>
      </c>
      <c r="BN393" s="75">
        <f>IFERROR(Y393*I393/H393,"0")</f>
        <v>86.579999999999984</v>
      </c>
      <c r="BO393" s="75">
        <f>IFERROR(1/J393*(X393/H393),"0")</f>
        <v>0.20329670329670332</v>
      </c>
      <c r="BP393" s="75">
        <f>IFERROR(1/J393*(Y393/H393),"0")</f>
        <v>0.20329670329670332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99.839506172839506</v>
      </c>
      <c r="Y394" s="41">
        <f>IFERROR(Y391/H391,"0")+IFERROR(Y392/H392,"0")+IFERROR(Y393/H393,"0")</f>
        <v>100</v>
      </c>
      <c r="Z394" s="41">
        <f>IFERROR(IF(Z391="",0,Z391),"0")+IFERROR(IF(Z392="",0,Z392),"0")+IFERROR(IF(Z393="",0,Z393),"0")</f>
        <v>0.81311000000000011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286.7</v>
      </c>
      <c r="Y395" s="41">
        <f>IFERROR(SUM(Y391:Y393),"0")</f>
        <v>288</v>
      </c>
      <c r="Z395" s="40"/>
      <c r="AA395" s="64"/>
      <c r="AB395" s="64"/>
      <c r="AC395" s="64"/>
    </row>
    <row r="396" spans="1:68" ht="27.75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2450</v>
      </c>
      <c r="Y400" s="53">
        <f t="shared" si="53"/>
        <v>2460</v>
      </c>
      <c r="Z400" s="39">
        <f>IFERROR(IF(Y400=0,"",ROUNDUP(Y400/H400,0)*0.02175),"")</f>
        <v>3.5669999999999997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2526.7666666666669</v>
      </c>
      <c r="BN400" s="75">
        <f t="shared" si="55"/>
        <v>2537.0800000000004</v>
      </c>
      <c r="BO400" s="75">
        <f t="shared" si="56"/>
        <v>3.4027777777777777</v>
      </c>
      <c r="BP400" s="75">
        <f t="shared" si="57"/>
        <v>3.4166666666666665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2100</v>
      </c>
      <c r="Y401" s="53">
        <f t="shared" si="53"/>
        <v>2100</v>
      </c>
      <c r="Z401" s="39">
        <f>IFERROR(IF(Y401=0,"",ROUNDUP(Y401/H401,0)*0.02175),"")</f>
        <v>3.0449999999999999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2165.8000000000002</v>
      </c>
      <c r="BN401" s="75">
        <f t="shared" si="55"/>
        <v>2165.8000000000002</v>
      </c>
      <c r="BO401" s="75">
        <f t="shared" si="56"/>
        <v>2.9166666666666665</v>
      </c>
      <c r="BP401" s="75">
        <f t="shared" si="57"/>
        <v>2.9166666666666665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660</v>
      </c>
      <c r="Y402" s="53">
        <f t="shared" si="53"/>
        <v>660</v>
      </c>
      <c r="Z402" s="39">
        <f>IFERROR(IF(Y402=0,"",ROUNDUP(Y402/H402,0)*0.02175),"")</f>
        <v>0.95699999999999996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680.68000000000006</v>
      </c>
      <c r="BN402" s="75">
        <f t="shared" si="55"/>
        <v>680.68000000000006</v>
      </c>
      <c r="BO402" s="75">
        <f t="shared" si="56"/>
        <v>0.91666666666666663</v>
      </c>
      <c r="BP402" s="75">
        <f t="shared" si="57"/>
        <v>0.91666666666666663</v>
      </c>
    </row>
    <row r="403" spans="1:68" ht="27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347.33333333333337</v>
      </c>
      <c r="Y407" s="41">
        <f>IFERROR(Y399/H399,"0")+IFERROR(Y400/H400,"0")+IFERROR(Y401/H401,"0")+IFERROR(Y402/H402,"0")+IFERROR(Y403/H403,"0")+IFERROR(Y404/H404,"0")+IFERROR(Y405/H405,"0")+IFERROR(Y406/H406,"0")</f>
        <v>348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7.569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5210</v>
      </c>
      <c r="Y408" s="41">
        <f>IFERROR(SUM(Y399:Y406),"0")</f>
        <v>5220</v>
      </c>
      <c r="Z408" s="40"/>
      <c r="AA408" s="64"/>
      <c r="AB408" s="64"/>
      <c r="AC408" s="64"/>
    </row>
    <row r="409" spans="1:68" ht="14.25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1550</v>
      </c>
      <c r="Y410" s="53">
        <f>IFERROR(IF(X410="",0,CEILING((X410/$H410),1)*$H410),"")</f>
        <v>1560</v>
      </c>
      <c r="Z410" s="39">
        <f>IFERROR(IF(Y410=0,"",ROUNDUP(Y410/H410,0)*0.02175),"")</f>
        <v>2.262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1598.5666666666666</v>
      </c>
      <c r="BN410" s="75">
        <f>IFERROR(Y410*I410/H410,"0")</f>
        <v>1608.88</v>
      </c>
      <c r="BO410" s="75">
        <f>IFERROR(1/J410*(X410/H410),"0")</f>
        <v>2.1527777777777777</v>
      </c>
      <c r="BP410" s="75">
        <f>IFERROR(1/J410*(Y410/H410),"0")</f>
        <v>2.1666666666666665</v>
      </c>
    </row>
    <row r="411" spans="1:68" ht="27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103.33333333333333</v>
      </c>
      <c r="Y413" s="41">
        <f>IFERROR(Y410/H410,"0")+IFERROR(Y411/H411,"0")+IFERROR(Y412/H412,"0")</f>
        <v>104</v>
      </c>
      <c r="Z413" s="41">
        <f>IFERROR(IF(Z410="",0,Z410),"0")+IFERROR(IF(Z411="",0,Z411),"0")+IFERROR(IF(Z412="",0,Z412),"0")</f>
        <v>2.262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1550</v>
      </c>
      <c r="Y414" s="41">
        <f>IFERROR(SUM(Y410:Y412),"0")</f>
        <v>1560</v>
      </c>
      <c r="Z414" s="40"/>
      <c r="AA414" s="64"/>
      <c r="AB414" s="64"/>
      <c r="AC414" s="64"/>
    </row>
    <row r="415" spans="1:68" ht="14.25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1124</v>
      </c>
      <c r="Y416" s="53">
        <f>IFERROR(IF(X416="",0,CEILING((X416/$H416),1)*$H416),"")</f>
        <v>1125</v>
      </c>
      <c r="Z416" s="39">
        <f>IFERROR(IF(Y416=0,"",ROUNDUP(Y416/H416,0)*0.01898),"")</f>
        <v>2.3725000000000001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1186.4444444444443</v>
      </c>
      <c r="BN416" s="75">
        <f>IFERROR(Y416*I416/H416,"0")</f>
        <v>1187.5</v>
      </c>
      <c r="BO416" s="75">
        <f>IFERROR(1/J416*(X416/H416),"0")</f>
        <v>1.9513888888888888</v>
      </c>
      <c r="BP416" s="75">
        <f>IFERROR(1/J416*(Y416/H416),"0")</f>
        <v>1.953125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324</v>
      </c>
      <c r="Y417" s="53">
        <f>IFERROR(IF(X417="",0,CEILING((X417/$H417),1)*$H417),"")</f>
        <v>324</v>
      </c>
      <c r="Z417" s="39">
        <f>IFERROR(IF(Y417=0,"",ROUNDUP(Y417/H417,0)*0.01898),"")</f>
        <v>0.68328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341.78399999999999</v>
      </c>
      <c r="BN417" s="75">
        <f>IFERROR(Y417*I417/H417,"0")</f>
        <v>341.78399999999999</v>
      </c>
      <c r="BO417" s="75">
        <f>IFERROR(1/J417*(X417/H417),"0")</f>
        <v>0.5625</v>
      </c>
      <c r="BP417" s="75">
        <f>IFERROR(1/J417*(Y417/H417),"0")</f>
        <v>0.5625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160.88888888888889</v>
      </c>
      <c r="Y418" s="41">
        <f>IFERROR(Y416/H416,"0")+IFERROR(Y417/H417,"0")</f>
        <v>161</v>
      </c>
      <c r="Z418" s="41">
        <f>IFERROR(IF(Z416="",0,Z416),"0")+IFERROR(IF(Z417="",0,Z417),"0")</f>
        <v>3.0557799999999999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1448</v>
      </c>
      <c r="Y419" s="41">
        <f>IFERROR(SUM(Y416:Y417),"0")</f>
        <v>1449</v>
      </c>
      <c r="Z419" s="40"/>
      <c r="AA419" s="64"/>
      <c r="AB419" s="64"/>
      <c r="AC419" s="64"/>
    </row>
    <row r="420" spans="1:68" ht="14.25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366</v>
      </c>
      <c r="Y421" s="53">
        <f>IFERROR(IF(X421="",0,CEILING((X421/$H421),1)*$H421),"")</f>
        <v>369</v>
      </c>
      <c r="Z421" s="39">
        <f>IFERROR(IF(Y421=0,"",ROUNDUP(Y421/H421,0)*0.01898),"")</f>
        <v>0.77817999999999998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386.08933333333334</v>
      </c>
      <c r="BN421" s="75">
        <f>IFERROR(Y421*I421/H421,"0")</f>
        <v>389.25400000000002</v>
      </c>
      <c r="BO421" s="75">
        <f>IFERROR(1/J421*(X421/H421),"0")</f>
        <v>0.63541666666666663</v>
      </c>
      <c r="BP421" s="75">
        <f>IFERROR(1/J421*(Y421/H421),"0")</f>
        <v>0.640625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40.666666666666664</v>
      </c>
      <c r="Y422" s="41">
        <f>IFERROR(Y421/H421,"0")</f>
        <v>41</v>
      </c>
      <c r="Z422" s="41">
        <f>IFERROR(IF(Z421="",0,Z421),"0")</f>
        <v>0.77817999999999998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366</v>
      </c>
      <c r="Y423" s="41">
        <f>IFERROR(SUM(Y421:Y421),"0")</f>
        <v>369</v>
      </c>
      <c r="Z423" s="40"/>
      <c r="AA423" s="64"/>
      <c r="AB423" s="64"/>
      <c r="AC423" s="64"/>
    </row>
    <row r="424" spans="1:68" ht="16.5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>
        <v>90</v>
      </c>
      <c r="Y431" s="53">
        <f>IFERROR(IF(X431="",0,CEILING((X431/$H431),1)*$H431),"")</f>
        <v>92.4</v>
      </c>
      <c r="Z431" s="39">
        <f>IFERROR(IF(Y431=0,"",ROUNDUP(Y431/H431,0)*0.00902),"")</f>
        <v>0.19844000000000001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95.357142857142847</v>
      </c>
      <c r="BN431" s="75">
        <f>IFERROR(Y431*I431/H431,"0")</f>
        <v>97.9</v>
      </c>
      <c r="BO431" s="75">
        <f>IFERROR(1/J431*(X431/H431),"0")</f>
        <v>0.16233766233766234</v>
      </c>
      <c r="BP431" s="75">
        <f>IFERROR(1/J431*(Y431/H431),"0")</f>
        <v>0.16666666666666669</v>
      </c>
    </row>
    <row r="432" spans="1:68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21.428571428571427</v>
      </c>
      <c r="Y432" s="41">
        <f>IFERROR(Y431/H431,"0")</f>
        <v>22</v>
      </c>
      <c r="Z432" s="41">
        <f>IFERROR(IF(Z431="",0,Z431),"0")</f>
        <v>0.19844000000000001</v>
      </c>
      <c r="AA432" s="64"/>
      <c r="AB432" s="64"/>
      <c r="AC432" s="64"/>
    </row>
    <row r="433" spans="1:68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90</v>
      </c>
      <c r="Y433" s="41">
        <f>IFERROR(SUM(Y431:Y431),"0")</f>
        <v>92.4</v>
      </c>
      <c r="Z433" s="40"/>
      <c r="AA433" s="64"/>
      <c r="AB433" s="64"/>
      <c r="AC433" s="64"/>
    </row>
    <row r="434" spans="1:68" ht="14.25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360</v>
      </c>
      <c r="Y435" s="53">
        <f>IFERROR(IF(X435="",0,CEILING((X435/$H435),1)*$H435),"")</f>
        <v>360</v>
      </c>
      <c r="Z435" s="39">
        <f>IFERROR(IF(Y435=0,"",ROUNDUP(Y435/H435,0)*0.01898),"")</f>
        <v>0.75919999999999999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379.76</v>
      </c>
      <c r="BN435" s="75">
        <f>IFERROR(Y435*I435/H435,"0")</f>
        <v>379.76</v>
      </c>
      <c r="BO435" s="75">
        <f>IFERROR(1/J435*(X435/H435),"0")</f>
        <v>0.625</v>
      </c>
      <c r="BP435" s="75">
        <f>IFERROR(1/J435*(Y435/H435),"0")</f>
        <v>0.625</v>
      </c>
    </row>
    <row r="436" spans="1:68" ht="27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40</v>
      </c>
      <c r="Y438" s="41">
        <f>IFERROR(Y435/H435,"0")+IFERROR(Y436/H436,"0")+IFERROR(Y437/H437,"0")</f>
        <v>40</v>
      </c>
      <c r="Z438" s="41">
        <f>IFERROR(IF(Z435="",0,Z435),"0")+IFERROR(IF(Z436="",0,Z436),"0")+IFERROR(IF(Z437="",0,Z437),"0")</f>
        <v>0.75919999999999999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360</v>
      </c>
      <c r="Y439" s="41">
        <f>IFERROR(SUM(Y435:Y437),"0")</f>
        <v>360</v>
      </c>
      <c r="Z439" s="40"/>
      <c r="AA439" s="64"/>
      <c r="AB439" s="64"/>
      <c r="AC439" s="64"/>
    </row>
    <row r="440" spans="1:68" ht="27.75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80</v>
      </c>
      <c r="Y443" s="53">
        <f t="shared" ref="Y443:Y448" si="58">IFERROR(IF(X443="",0,CEILING((X443/$H443),1)*$H443),"")</f>
        <v>81</v>
      </c>
      <c r="Z443" s="39">
        <f>IFERROR(IF(Y443=0,"",ROUNDUP(Y443/H443,0)*0.00902),"")</f>
        <v>0.1353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82.81481481481481</v>
      </c>
      <c r="BN443" s="75">
        <f t="shared" ref="BN443:BN448" si="60">IFERROR(Y443*I443/H443,"0")</f>
        <v>83.85</v>
      </c>
      <c r="BO443" s="75">
        <f t="shared" ref="BO443:BO448" si="61">IFERROR(1/J443*(X443/H443),"0")</f>
        <v>0.11223344556677889</v>
      </c>
      <c r="BP443" s="75">
        <f t="shared" ref="BP443:BP448" si="62">IFERROR(1/J443*(Y443/H443),"0")</f>
        <v>0.11363636363636363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80</v>
      </c>
      <c r="Y444" s="53">
        <f t="shared" si="58"/>
        <v>81</v>
      </c>
      <c r="Z444" s="39">
        <f>IFERROR(IF(Y444=0,"",ROUNDUP(Y444/H444,0)*0.00902),"")</f>
        <v>0.1353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82.81481481481481</v>
      </c>
      <c r="BN444" s="75">
        <f t="shared" si="60"/>
        <v>83.85</v>
      </c>
      <c r="BO444" s="75">
        <f t="shared" si="61"/>
        <v>0.11223344556677889</v>
      </c>
      <c r="BP444" s="75">
        <f t="shared" si="62"/>
        <v>0.11363636363636363</v>
      </c>
    </row>
    <row r="445" spans="1:68" ht="27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29.629629629629626</v>
      </c>
      <c r="Y449" s="41">
        <f>IFERROR(Y443/H443,"0")+IFERROR(Y444/H444,"0")+IFERROR(Y445/H445,"0")+IFERROR(Y446/H446,"0")+IFERROR(Y447/H447,"0")+IFERROR(Y448/H448,"0")</f>
        <v>29.999999999999996</v>
      </c>
      <c r="Z449" s="41">
        <f>IFERROR(IF(Z443="",0,Z443),"0")+IFERROR(IF(Z444="",0,Z444),"0")+IFERROR(IF(Z445="",0,Z445),"0")+IFERROR(IF(Z446="",0,Z446),"0")+IFERROR(IF(Z447="",0,Z447),"0")+IFERROR(IF(Z448="",0,Z448),"0")</f>
        <v>0.27060000000000001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160</v>
      </c>
      <c r="Y450" s="41">
        <f>IFERROR(SUM(Y443:Y448),"0")</f>
        <v>162</v>
      </c>
      <c r="Z450" s="40"/>
      <c r="AA450" s="64"/>
      <c r="AB450" s="64"/>
      <c r="AC450" s="64"/>
    </row>
    <row r="451" spans="1:68" ht="14.25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265</v>
      </c>
      <c r="Y462" s="53">
        <f>IFERROR(IF(X462="",0,CEILING((X462/$H462),1)*$H462),"")</f>
        <v>270</v>
      </c>
      <c r="Z462" s="39">
        <f>IFERROR(IF(Y462=0,"",ROUNDUP(Y462/H462,0)*0.00902),"")</f>
        <v>0.45100000000000001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274.32407407407402</v>
      </c>
      <c r="BN462" s="75">
        <f>IFERROR(Y462*I462/H462,"0")</f>
        <v>279.5</v>
      </c>
      <c r="BO462" s="75">
        <f>IFERROR(1/J462*(X462/H462),"0")</f>
        <v>0.37177328843995505</v>
      </c>
      <c r="BP462" s="75">
        <f>IFERROR(1/J462*(Y462/H462),"0")</f>
        <v>0.37878787878787878</v>
      </c>
    </row>
    <row r="463" spans="1:68" ht="27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49.074074074074069</v>
      </c>
      <c r="Y465" s="41">
        <f>IFERROR(Y462/H462,"0")+IFERROR(Y463/H463,"0")+IFERROR(Y464/H464,"0")</f>
        <v>50</v>
      </c>
      <c r="Z465" s="41">
        <f>IFERROR(IF(Z462="",0,Z462),"0")+IFERROR(IF(Z463="",0,Z463),"0")+IFERROR(IF(Z464="",0,Z464),"0")</f>
        <v>0.45100000000000001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265</v>
      </c>
      <c r="Y466" s="41">
        <f>IFERROR(SUM(Y462:Y464),"0")</f>
        <v>270</v>
      </c>
      <c r="Z466" s="40"/>
      <c r="AA466" s="64"/>
      <c r="AB466" s="64"/>
      <c r="AC466" s="64"/>
    </row>
    <row r="467" spans="1:68" ht="27.75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>
        <v>65</v>
      </c>
      <c r="Y470" s="53">
        <f t="shared" ref="Y470:Y478" si="63">IFERROR(IF(X470="",0,CEILING((X470/$H470),1)*$H470),"")</f>
        <v>68.64</v>
      </c>
      <c r="Z470" s="39">
        <f t="shared" ref="Z470:Z475" si="64">IFERROR(IF(Y470=0,"",ROUNDUP(Y470/H470,0)*0.01196),"")</f>
        <v>0.15548000000000001</v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69.30871212121211</v>
      </c>
      <c r="BN470" s="75">
        <f t="shared" ref="BN470:BN478" si="66">IFERROR(Y470*I470/H470,"0")</f>
        <v>73.19</v>
      </c>
      <c r="BO470" s="75">
        <f t="shared" ref="BO470:BO478" si="67">IFERROR(1/J470*(X470/H470),"0")</f>
        <v>0.11837121212121213</v>
      </c>
      <c r="BP470" s="75">
        <f t="shared" ref="BP470:BP478" si="68">IFERROR(1/J470*(Y470/H470),"0")</f>
        <v>0.125</v>
      </c>
    </row>
    <row r="471" spans="1:68" ht="27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120</v>
      </c>
      <c r="Y473" s="53">
        <f t="shared" si="63"/>
        <v>121.44000000000001</v>
      </c>
      <c r="Z473" s="39">
        <f t="shared" si="64"/>
        <v>0.27507999999999999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127.95454545454545</v>
      </c>
      <c r="BN473" s="75">
        <f t="shared" si="66"/>
        <v>129.49</v>
      </c>
      <c r="BO473" s="75">
        <f t="shared" si="67"/>
        <v>0.21853146853146854</v>
      </c>
      <c r="BP473" s="75">
        <f t="shared" si="68"/>
        <v>0.22115384615384617</v>
      </c>
    </row>
    <row r="474" spans="1:68" ht="16.5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405</v>
      </c>
      <c r="Y475" s="53">
        <f t="shared" si="63"/>
        <v>406.56</v>
      </c>
      <c r="Z475" s="39">
        <f t="shared" si="64"/>
        <v>0.92091999999999996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431.84659090909088</v>
      </c>
      <c r="BN475" s="75">
        <f t="shared" si="66"/>
        <v>433.51</v>
      </c>
      <c r="BO475" s="75">
        <f t="shared" si="67"/>
        <v>0.73754370629370636</v>
      </c>
      <c r="BP475" s="75">
        <f t="shared" si="68"/>
        <v>0.74038461538461542</v>
      </c>
    </row>
    <row r="476" spans="1:68" ht="27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111.74242424242425</v>
      </c>
      <c r="Y479" s="41">
        <f>IFERROR(Y470/H470,"0")+IFERROR(Y471/H471,"0")+IFERROR(Y472/H472,"0")+IFERROR(Y473/H473,"0")+IFERROR(Y474/H474,"0")+IFERROR(Y475/H475,"0")+IFERROR(Y476/H476,"0")+IFERROR(Y477/H477,"0")+IFERROR(Y478/H478,"0")</f>
        <v>113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1.35148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590</v>
      </c>
      <c r="Y480" s="41">
        <f>IFERROR(SUM(Y470:Y478),"0")</f>
        <v>596.64</v>
      </c>
      <c r="Z480" s="40"/>
      <c r="AA480" s="64"/>
      <c r="AB480" s="64"/>
      <c r="AC480" s="64"/>
    </row>
    <row r="481" spans="1:68" ht="14.25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485</v>
      </c>
      <c r="Y482" s="53">
        <f>IFERROR(IF(X482="",0,CEILING((X482/$H482),1)*$H482),"")</f>
        <v>485.76000000000005</v>
      </c>
      <c r="Z482" s="39">
        <f>IFERROR(IF(Y482=0,"",ROUNDUP(Y482/H482,0)*0.01196),"")</f>
        <v>1.10032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517.14962121212113</v>
      </c>
      <c r="BN482" s="75">
        <f>IFERROR(Y482*I482/H482,"0")</f>
        <v>517.96</v>
      </c>
      <c r="BO482" s="75">
        <f>IFERROR(1/J482*(X482/H482),"0")</f>
        <v>0.88323135198135194</v>
      </c>
      <c r="BP482" s="75">
        <f>IFERROR(1/J482*(Y482/H482),"0")</f>
        <v>0.88461538461538469</v>
      </c>
    </row>
    <row r="483" spans="1:68" ht="16.5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91.856060606060595</v>
      </c>
      <c r="Y485" s="41">
        <f>IFERROR(Y482/H482,"0")+IFERROR(Y483/H483,"0")+IFERROR(Y484/H484,"0")</f>
        <v>92</v>
      </c>
      <c r="Z485" s="41">
        <f>IFERROR(IF(Z482="",0,Z482),"0")+IFERROR(IF(Z483="",0,Z483),"0")+IFERROR(IF(Z484="",0,Z484),"0")</f>
        <v>1.10032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485</v>
      </c>
      <c r="Y486" s="41">
        <f>IFERROR(SUM(Y482:Y484),"0")</f>
        <v>485.76000000000005</v>
      </c>
      <c r="Z486" s="40"/>
      <c r="AA486" s="64"/>
      <c r="AB486" s="64"/>
      <c r="AC486" s="64"/>
    </row>
    <row r="487" spans="1:68" ht="14.25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180</v>
      </c>
      <c r="Y488" s="53">
        <f t="shared" ref="Y488:Y494" si="69">IFERROR(IF(X488="",0,CEILING((X488/$H488),1)*$H488),"")</f>
        <v>184.8</v>
      </c>
      <c r="Z488" s="39">
        <f>IFERROR(IF(Y488=0,"",ROUNDUP(Y488/H488,0)*0.01196),"")</f>
        <v>0.41860000000000003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191.93181818181816</v>
      </c>
      <c r="BN488" s="75">
        <f t="shared" ref="BN488:BN494" si="71">IFERROR(Y488*I488/H488,"0")</f>
        <v>197.04999999999998</v>
      </c>
      <c r="BO488" s="75">
        <f t="shared" ref="BO488:BO494" si="72">IFERROR(1/J488*(X488/H488),"0")</f>
        <v>0.32779720279720276</v>
      </c>
      <c r="BP488" s="75">
        <f t="shared" ref="BP488:BP494" si="73">IFERROR(1/J488*(Y488/H488),"0")</f>
        <v>0.33653846153846156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150</v>
      </c>
      <c r="Y489" s="53">
        <f t="shared" si="69"/>
        <v>153.12</v>
      </c>
      <c r="Z489" s="39">
        <f>IFERROR(IF(Y489=0,"",ROUNDUP(Y489/H489,0)*0.01196),"")</f>
        <v>0.34683999999999998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159.94318181818181</v>
      </c>
      <c r="BN489" s="75">
        <f t="shared" si="71"/>
        <v>163.26999999999998</v>
      </c>
      <c r="BO489" s="75">
        <f t="shared" si="72"/>
        <v>0.27316433566433568</v>
      </c>
      <c r="BP489" s="75">
        <f t="shared" si="73"/>
        <v>0.27884615384615385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30</v>
      </c>
      <c r="Y490" s="53">
        <f t="shared" si="69"/>
        <v>31.68</v>
      </c>
      <c r="Z490" s="39">
        <f>IFERROR(IF(Y490=0,"",ROUNDUP(Y490/H490,0)*0.01196),"")</f>
        <v>7.1760000000000004E-2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31.988636363636363</v>
      </c>
      <c r="BN490" s="75">
        <f t="shared" si="71"/>
        <v>33.779999999999994</v>
      </c>
      <c r="BO490" s="75">
        <f t="shared" si="72"/>
        <v>5.4632867132867136E-2</v>
      </c>
      <c r="BP490" s="75">
        <f t="shared" si="73"/>
        <v>5.7692307692307696E-2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68.181818181818173</v>
      </c>
      <c r="Y495" s="41">
        <f>IFERROR(Y488/H488,"0")+IFERROR(Y489/H489,"0")+IFERROR(Y490/H490,"0")+IFERROR(Y491/H491,"0")+IFERROR(Y492/H492,"0")+IFERROR(Y493/H493,"0")+IFERROR(Y494/H494,"0")</f>
        <v>70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0.83720000000000006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360</v>
      </c>
      <c r="Y496" s="41">
        <f>IFERROR(SUM(Y488:Y494),"0")</f>
        <v>369.6</v>
      </c>
      <c r="Z496" s="40"/>
      <c r="AA496" s="64"/>
      <c r="AB496" s="64"/>
      <c r="AC496" s="64"/>
    </row>
    <row r="497" spans="1:68" ht="27.75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30</v>
      </c>
      <c r="Y508" s="53">
        <f>IFERROR(IF(X508="",0,CEILING((X508/$H508),1)*$H508),"")</f>
        <v>33.6</v>
      </c>
      <c r="Z508" s="39">
        <f>IFERROR(IF(Y508=0,"",ROUNDUP(Y508/H508,0)*0.00902),"")</f>
        <v>6.3140000000000002E-2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31.5625</v>
      </c>
      <c r="BN508" s="75">
        <f>IFERROR(Y508*I508/H508,"0")</f>
        <v>35.35</v>
      </c>
      <c r="BO508" s="75">
        <f>IFERROR(1/J508*(X508/H508),"0")</f>
        <v>4.7348484848484848E-2</v>
      </c>
      <c r="BP508" s="75">
        <f>IFERROR(1/J508*(Y508/H508),"0")</f>
        <v>5.3030303030303039E-2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6.25</v>
      </c>
      <c r="Y509" s="41">
        <f>IFERROR(Y508/H508,"0")</f>
        <v>7.0000000000000009</v>
      </c>
      <c r="Z509" s="41">
        <f>IFERROR(IF(Z508="",0,Z508),"0")</f>
        <v>6.3140000000000002E-2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30</v>
      </c>
      <c r="Y510" s="41">
        <f>IFERROR(SUM(Y508:Y508),"0")</f>
        <v>33.6</v>
      </c>
      <c r="Z510" s="40"/>
      <c r="AA510" s="64"/>
      <c r="AB510" s="64"/>
      <c r="AC510" s="64"/>
    </row>
    <row r="511" spans="1:68" ht="14.25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18005.759999999998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18120.239999999994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18922.36497612689</v>
      </c>
      <c r="Y526" s="41">
        <f>IFERROR(SUM(BN22:BN522),"0")</f>
        <v>19042.289999999994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30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19672.36497612689</v>
      </c>
      <c r="Y528" s="41">
        <f>GrossWeightTotalR+PalletQtyTotalR*25</f>
        <v>19792.289999999994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2538.1675515204247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2554</v>
      </c>
      <c r="Z529" s="40"/>
      <c r="AA529" s="64"/>
      <c r="AB529" s="64"/>
      <c r="AC529" s="64"/>
    </row>
    <row r="530" spans="1:32" ht="14.25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34.668419999999998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64.44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507.6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105.30000000000001</v>
      </c>
      <c r="F535" s="50">
        <f>IFERROR(Y91*1,"0")+IFERROR(Y92*1,"0")+IFERROR(Y93*1,"0")+IFERROR(Y94*1,"0")+IFERROR(Y98*1,"0")+IFERROR(Y99*1,"0")+IFERROR(Y100*1,"0")+IFERROR(Y101*1,"0")</f>
        <v>807.3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1036.8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117.60000000000001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2806.2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1419</v>
      </c>
      <c r="U535" s="50">
        <f>IFERROR(Y391*1,"0")+IFERROR(Y392*1,"0")+IFERROR(Y393*1,"0")</f>
        <v>288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8598</v>
      </c>
      <c r="W535" s="50">
        <f>IFERROR(Y426*1,"0")+IFERROR(Y427*1,"0")+IFERROR(Y431*1,"0")+IFERROR(Y435*1,"0")+IFERROR(Y436*1,"0")+IFERROR(Y437*1,"0")</f>
        <v>452.4</v>
      </c>
      <c r="X535" s="50">
        <f>IFERROR(Y443*1,"0")+IFERROR(Y444*1,"0")+IFERROR(Y445*1,"0")+IFERROR(Y446*1,"0")+IFERROR(Y447*1,"0")+IFERROR(Y448*1,"0")+IFERROR(Y452*1,"0")+IFERROR(Y453*1,"0")</f>
        <v>162</v>
      </c>
      <c r="Y535" s="50">
        <f>IFERROR(Y458*1,"0")+IFERROR(Y462*1,"0")+IFERROR(Y463*1,"0")+IFERROR(Y464*1,"0")</f>
        <v>270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1452.0000000000002</v>
      </c>
      <c r="AA535" s="50">
        <f>IFERROR(Y500*1,"0")+IFERROR(Y504*1,"0")+IFERROR(Y508*1,"0")+IFERROR(Y512*1,"0")+IFERROR(Y516*1,"0")+IFERROR(Y517*1,"0")</f>
        <v>33.6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1070</vt:i4>
      </vt:variant>
    </vt:vector>
  </HeadingPairs>
  <TitlesOfParts>
    <vt:vector size="10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2026-08-04T08:35:36Z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