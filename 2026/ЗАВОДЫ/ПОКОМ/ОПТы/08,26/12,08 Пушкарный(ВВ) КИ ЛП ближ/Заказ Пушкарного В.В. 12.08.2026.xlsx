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FDB2445-A0C7-4BE9-92FF-0BCDCDF87BA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M520" i="2"/>
  <c r="Y520" i="2"/>
  <c r="BP520" i="2" s="1"/>
  <c r="P520" i="2"/>
  <c r="BO519" i="2"/>
  <c r="BM519" i="2"/>
  <c r="Y519" i="2"/>
  <c r="BN519" i="2" s="1"/>
  <c r="P519" i="2"/>
  <c r="BO518" i="2"/>
  <c r="BM518" i="2"/>
  <c r="Y518" i="2"/>
  <c r="P518" i="2"/>
  <c r="X516" i="2"/>
  <c r="X515" i="2"/>
  <c r="BO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M492" i="2"/>
  <c r="Y492" i="2"/>
  <c r="Z492" i="2" s="1"/>
  <c r="P492" i="2"/>
  <c r="X490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Y466" i="2"/>
  <c r="BN466" i="2" s="1"/>
  <c r="P466" i="2"/>
  <c r="BO465" i="2"/>
  <c r="BM465" i="2"/>
  <c r="Y465" i="2"/>
  <c r="BN465" i="2" s="1"/>
  <c r="P465" i="2"/>
  <c r="X463" i="2"/>
  <c r="X462" i="2"/>
  <c r="BO461" i="2"/>
  <c r="BM461" i="2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X452" i="2"/>
  <c r="BO451" i="2"/>
  <c r="BM451" i="2"/>
  <c r="Y451" i="2"/>
  <c r="BN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M444" i="2"/>
  <c r="Y444" i="2"/>
  <c r="Z444" i="2" s="1"/>
  <c r="P444" i="2"/>
  <c r="X442" i="2"/>
  <c r="X441" i="2"/>
  <c r="BO440" i="2"/>
  <c r="BM440" i="2"/>
  <c r="Y440" i="2"/>
  <c r="BN440" i="2" s="1"/>
  <c r="P440" i="2"/>
  <c r="BO439" i="2"/>
  <c r="BM439" i="2"/>
  <c r="Y439" i="2"/>
  <c r="BN439" i="2" s="1"/>
  <c r="P439" i="2"/>
  <c r="BO438" i="2"/>
  <c r="BM438" i="2"/>
  <c r="Y438" i="2"/>
  <c r="Z438" i="2" s="1"/>
  <c r="P438" i="2"/>
  <c r="X436" i="2"/>
  <c r="X435" i="2"/>
  <c r="BO434" i="2"/>
  <c r="BM434" i="2"/>
  <c r="Y434" i="2"/>
  <c r="BP434" i="2" s="1"/>
  <c r="P434" i="2"/>
  <c r="BO433" i="2"/>
  <c r="BM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Y419" i="2"/>
  <c r="Z419" i="2" s="1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P402" i="2"/>
  <c r="BO401" i="2"/>
  <c r="BM401" i="2"/>
  <c r="Y401" i="2"/>
  <c r="BN401" i="2" s="1"/>
  <c r="P401" i="2"/>
  <c r="BO400" i="2"/>
  <c r="BM400" i="2"/>
  <c r="Y400" i="2"/>
  <c r="BP400" i="2" s="1"/>
  <c r="P400" i="2"/>
  <c r="X398" i="2"/>
  <c r="X397" i="2"/>
  <c r="BO396" i="2"/>
  <c r="BM396" i="2"/>
  <c r="Y396" i="2"/>
  <c r="BP396" i="2" s="1"/>
  <c r="P396" i="2"/>
  <c r="BO395" i="2"/>
  <c r="BM395" i="2"/>
  <c r="Y395" i="2"/>
  <c r="BN395" i="2" s="1"/>
  <c r="P395" i="2"/>
  <c r="BO394" i="2"/>
  <c r="BM394" i="2"/>
  <c r="Y394" i="2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X358" i="2"/>
  <c r="X357" i="2"/>
  <c r="BO356" i="2"/>
  <c r="BM356" i="2"/>
  <c r="Y356" i="2"/>
  <c r="BN356" i="2" s="1"/>
  <c r="P356" i="2"/>
  <c r="BO355" i="2"/>
  <c r="BM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Z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Z317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O293" i="2"/>
  <c r="BM293" i="2"/>
  <c r="Y293" i="2"/>
  <c r="BP293" i="2" s="1"/>
  <c r="P293" i="2"/>
  <c r="X291" i="2"/>
  <c r="X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M190" i="2"/>
  <c r="Y190" i="2"/>
  <c r="Z190" i="2" s="1"/>
  <c r="P190" i="2"/>
  <c r="BO189" i="2"/>
  <c r="BM189" i="2"/>
  <c r="Y189" i="2"/>
  <c r="P189" i="2"/>
  <c r="X187" i="2"/>
  <c r="X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P175" i="2" s="1"/>
  <c r="P175" i="2"/>
  <c r="X173" i="2"/>
  <c r="X172" i="2"/>
  <c r="BO171" i="2"/>
  <c r="BM171" i="2"/>
  <c r="Y171" i="2"/>
  <c r="Z171" i="2" s="1"/>
  <c r="P171" i="2"/>
  <c r="BO170" i="2"/>
  <c r="BM170" i="2"/>
  <c r="Y170" i="2"/>
  <c r="BP170" i="2" s="1"/>
  <c r="P170" i="2"/>
  <c r="X168" i="2"/>
  <c r="X167" i="2"/>
  <c r="BO166" i="2"/>
  <c r="BM166" i="2"/>
  <c r="Y166" i="2"/>
  <c r="BP166" i="2" s="1"/>
  <c r="P166" i="2"/>
  <c r="BO165" i="2"/>
  <c r="BM165" i="2"/>
  <c r="Y165" i="2"/>
  <c r="Z165" i="2" s="1"/>
  <c r="P165" i="2"/>
  <c r="BO164" i="2"/>
  <c r="BM164" i="2"/>
  <c r="Y164" i="2"/>
  <c r="BN164" i="2" s="1"/>
  <c r="P164" i="2"/>
  <c r="X161" i="2"/>
  <c r="X160" i="2"/>
  <c r="BO159" i="2"/>
  <c r="BM159" i="2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P135" i="2"/>
  <c r="X133" i="2"/>
  <c r="X132" i="2"/>
  <c r="BO131" i="2"/>
  <c r="BM131" i="2"/>
  <c r="Y131" i="2"/>
  <c r="Z131" i="2" s="1"/>
  <c r="P131" i="2"/>
  <c r="BO130" i="2"/>
  <c r="BM130" i="2"/>
  <c r="Y130" i="2"/>
  <c r="BP130" i="2" s="1"/>
  <c r="P130" i="2"/>
  <c r="BO129" i="2"/>
  <c r="BM129" i="2"/>
  <c r="Y129" i="2"/>
  <c r="BP129" i="2" s="1"/>
  <c r="P129" i="2"/>
  <c r="X126" i="2"/>
  <c r="X125" i="2"/>
  <c r="BO124" i="2"/>
  <c r="BM124" i="2"/>
  <c r="Y124" i="2"/>
  <c r="Y126" i="2" s="1"/>
  <c r="P124" i="2"/>
  <c r="X122" i="2"/>
  <c r="X121" i="2"/>
  <c r="BO120" i="2"/>
  <c r="BM120" i="2"/>
  <c r="Y120" i="2"/>
  <c r="P120" i="2"/>
  <c r="BO119" i="2"/>
  <c r="BM119" i="2"/>
  <c r="Y119" i="2"/>
  <c r="P119" i="2"/>
  <c r="BO118" i="2"/>
  <c r="BM118" i="2"/>
  <c r="Y118" i="2"/>
  <c r="BP118" i="2" s="1"/>
  <c r="P118" i="2"/>
  <c r="BO117" i="2"/>
  <c r="BM117" i="2"/>
  <c r="Y117" i="2"/>
  <c r="P117" i="2"/>
  <c r="X115" i="2"/>
  <c r="X114" i="2"/>
  <c r="BO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P101" i="2"/>
  <c r="BO100" i="2"/>
  <c r="BM100" i="2"/>
  <c r="Y100" i="2"/>
  <c r="P100" i="2"/>
  <c r="BO99" i="2"/>
  <c r="BM99" i="2"/>
  <c r="Y99" i="2"/>
  <c r="BN99" i="2" s="1"/>
  <c r="P99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BP92" i="2" s="1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BP23" i="2" s="1"/>
  <c r="P23" i="2"/>
  <c r="BO22" i="2"/>
  <c r="BM22" i="2"/>
  <c r="Y22" i="2"/>
  <c r="BP22" i="2" s="1"/>
  <c r="P22" i="2"/>
  <c r="H10" i="2"/>
  <c r="A9" i="2"/>
  <c r="D7" i="2"/>
  <c r="Q6" i="2"/>
  <c r="P2" i="2"/>
  <c r="Z159" i="2" l="1"/>
  <c r="Z160" i="2" s="1"/>
  <c r="Y160" i="2"/>
  <c r="Z374" i="2"/>
  <c r="Z293" i="2"/>
  <c r="BN293" i="2"/>
  <c r="Z428" i="2"/>
  <c r="Z118" i="2"/>
  <c r="BN118" i="2"/>
  <c r="Z230" i="2"/>
  <c r="BN230" i="2"/>
  <c r="Z356" i="2"/>
  <c r="BP395" i="2"/>
  <c r="Z149" i="2"/>
  <c r="BP222" i="2"/>
  <c r="Z318" i="2"/>
  <c r="Z363" i="2"/>
  <c r="BN363" i="2"/>
  <c r="Z383" i="2"/>
  <c r="BN383" i="2"/>
  <c r="Y397" i="2"/>
  <c r="Z407" i="2"/>
  <c r="Z431" i="2"/>
  <c r="Z466" i="2"/>
  <c r="BN66" i="2"/>
  <c r="BP66" i="2"/>
  <c r="BN74" i="2"/>
  <c r="BN93" i="2"/>
  <c r="BN113" i="2"/>
  <c r="Z119" i="2"/>
  <c r="Y122" i="2"/>
  <c r="BN120" i="2"/>
  <c r="BP120" i="2"/>
  <c r="BN41" i="2"/>
  <c r="BN100" i="2"/>
  <c r="BP100" i="2"/>
  <c r="BP124" i="2"/>
  <c r="BN136" i="2"/>
  <c r="BP152" i="2"/>
  <c r="BN153" i="2"/>
  <c r="BN190" i="2"/>
  <c r="BN225" i="2"/>
  <c r="BN240" i="2"/>
  <c r="Y253" i="2"/>
  <c r="BP283" i="2"/>
  <c r="BN289" i="2"/>
  <c r="BN299" i="2"/>
  <c r="BN396" i="2"/>
  <c r="BP433" i="2"/>
  <c r="BP439" i="2"/>
  <c r="BN450" i="2"/>
  <c r="Y463" i="2"/>
  <c r="BN482" i="2"/>
  <c r="BN492" i="2"/>
  <c r="BN504" i="2"/>
  <c r="BP519" i="2"/>
  <c r="BN520" i="2"/>
  <c r="BN23" i="2"/>
  <c r="BN48" i="2"/>
  <c r="BN59" i="2"/>
  <c r="Y121" i="2"/>
  <c r="Z124" i="2"/>
  <c r="Z125" i="2" s="1"/>
  <c r="BN131" i="2"/>
  <c r="Z152" i="2"/>
  <c r="BN165" i="2"/>
  <c r="BN175" i="2"/>
  <c r="Z183" i="2"/>
  <c r="BN185" i="2"/>
  <c r="BN195" i="2"/>
  <c r="Z210" i="2"/>
  <c r="BN273" i="2"/>
  <c r="Z283" i="2"/>
  <c r="Z284" i="2"/>
  <c r="BN287" i="2"/>
  <c r="Y296" i="2"/>
  <c r="BN304" i="2"/>
  <c r="Z328" i="2"/>
  <c r="BN333" i="2"/>
  <c r="BP341" i="2"/>
  <c r="BN344" i="2"/>
  <c r="Z355" i="2"/>
  <c r="BP356" i="2"/>
  <c r="Y368" i="2"/>
  <c r="Z372" i="2"/>
  <c r="Z375" i="2"/>
  <c r="Z393" i="2"/>
  <c r="BN393" i="2"/>
  <c r="BP393" i="2"/>
  <c r="Y398" i="2"/>
  <c r="Z406" i="2"/>
  <c r="Z430" i="2"/>
  <c r="Z433" i="2"/>
  <c r="Z434" i="2"/>
  <c r="BN434" i="2"/>
  <c r="Z439" i="2"/>
  <c r="Z440" i="2"/>
  <c r="BN444" i="2"/>
  <c r="Y452" i="2"/>
  <c r="Z461" i="2"/>
  <c r="Z462" i="2" s="1"/>
  <c r="Y489" i="2"/>
  <c r="BN514" i="2"/>
  <c r="Z519" i="2"/>
  <c r="BN524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Y484" i="2"/>
  <c r="Z39" i="2"/>
  <c r="Y75" i="2"/>
  <c r="E565" i="2"/>
  <c r="Z55" i="2"/>
  <c r="BP84" i="2"/>
  <c r="Z84" i="2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Y479" i="2"/>
  <c r="BP473" i="2"/>
  <c r="Y565" i="2"/>
  <c r="BN473" i="2"/>
  <c r="Z473" i="2"/>
  <c r="Z62" i="2"/>
  <c r="Z85" i="2"/>
  <c r="BP94" i="2"/>
  <c r="BN94" i="2"/>
  <c r="Z94" i="2"/>
  <c r="Y32" i="2"/>
  <c r="BN47" i="2"/>
  <c r="X559" i="2"/>
  <c r="BP37" i="2"/>
  <c r="Y70" i="2"/>
  <c r="Y25" i="2"/>
  <c r="Y24" i="2"/>
  <c r="B565" i="2"/>
  <c r="BN22" i="2"/>
  <c r="Z22" i="2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BP507" i="2"/>
  <c r="BN507" i="2"/>
  <c r="Z507" i="2"/>
  <c r="Z396" i="2"/>
  <c r="Z465" i="2"/>
  <c r="Z468" i="2" s="1"/>
  <c r="Z477" i="2"/>
  <c r="Z502" i="2"/>
  <c r="Z512" i="2"/>
  <c r="Z522" i="2"/>
  <c r="Y549" i="2"/>
  <c r="O565" i="2"/>
  <c r="Y532" i="2"/>
  <c r="Y544" i="2"/>
  <c r="Y219" i="2"/>
  <c r="Y384" i="2"/>
  <c r="Z401" i="2"/>
  <c r="Z482" i="2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35" i="2"/>
  <c r="Z336" i="2" s="1"/>
  <c r="Z370" i="2"/>
  <c r="Z380" i="2"/>
  <c r="BP438" i="2"/>
  <c r="Z446" i="2"/>
  <c r="BP461" i="2"/>
  <c r="Z494" i="2"/>
  <c r="Z506" i="2"/>
  <c r="BN530" i="2"/>
  <c r="BN542" i="2"/>
  <c r="Z100" i="2"/>
  <c r="Z110" i="2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Z447" i="2" l="1"/>
  <c r="Z548" i="2"/>
  <c r="Z415" i="2"/>
  <c r="Z259" i="2"/>
  <c r="Z484" i="2"/>
  <c r="Z290" i="2"/>
  <c r="Z384" i="2"/>
  <c r="Z515" i="2"/>
  <c r="Z367" i="2"/>
  <c r="Z264" i="2"/>
  <c r="Z422" i="2"/>
  <c r="Z357" i="2"/>
  <c r="Z441" i="2"/>
  <c r="Z409" i="2"/>
  <c r="Z88" i="2"/>
  <c r="Z114" i="2"/>
  <c r="Z377" i="2"/>
  <c r="Z329" i="2"/>
  <c r="Z24" i="2"/>
  <c r="Z95" i="2"/>
  <c r="Z435" i="2"/>
  <c r="X558" i="2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Z186" i="2"/>
  <c r="Y559" i="2"/>
  <c r="Z42" i="2"/>
  <c r="Y555" i="2"/>
  <c r="Z70" i="2"/>
  <c r="Z213" i="2"/>
  <c r="Z403" i="2"/>
  <c r="Z525" i="2"/>
  <c r="Y558" i="2" l="1"/>
  <c r="Z560" i="2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<sst xmlns="http://schemas.openxmlformats.org/spreadsheetml/2006/main" count="4244" uniqueCount="900">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</sst>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5"/>
  <sheetViews>
    <sheetView showGridLines="0" tabSelected="1" zoomScaleNormal="100" zoomScaleSheetLayoutView="100" workbookViewId="0">
      <selection activeCell="AA60" sqref="AA6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9" t="s">
        <v>26</v>
      </c>
      <c r="E1" s="999"/>
      <c r="F1" s="999"/>
      <c r="G1" s="14" t="s">
        <v>67</v>
      </c>
      <c r="H1" s="999" t="s">
        <v>47</v>
      </c>
      <c r="I1" s="999"/>
      <c r="J1" s="999"/>
      <c r="K1" s="999"/>
      <c r="L1" s="999"/>
      <c r="M1" s="999"/>
      <c r="N1" s="999"/>
      <c r="O1" s="999"/>
      <c r="P1" s="999"/>
      <c r="Q1" s="999"/>
      <c r="R1" s="1000" t="s">
        <v>68</v>
      </c>
      <c r="S1" s="1001"/>
      <c r="T1" s="1001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2"/>
      <c r="R2" s="1002"/>
      <c r="S2" s="1002"/>
      <c r="T2" s="1002"/>
      <c r="U2" s="1002"/>
      <c r="V2" s="1002"/>
      <c r="W2" s="1002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2"/>
      <c r="Q3" s="1002"/>
      <c r="R3" s="1002"/>
      <c r="S3" s="1002"/>
      <c r="T3" s="1002"/>
      <c r="U3" s="1002"/>
      <c r="V3" s="1002"/>
      <c r="W3" s="1002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1" t="s">
        <v>8</v>
      </c>
      <c r="B5" s="981"/>
      <c r="C5" s="981"/>
      <c r="D5" s="1003"/>
      <c r="E5" s="1003"/>
      <c r="F5" s="1004" t="s">
        <v>14</v>
      </c>
      <c r="G5" s="1004"/>
      <c r="H5" s="1003"/>
      <c r="I5" s="1003"/>
      <c r="J5" s="1003"/>
      <c r="K5" s="1003"/>
      <c r="L5" s="1003"/>
      <c r="M5" s="1003"/>
      <c r="N5" s="72"/>
      <c r="P5" s="27" t="s">
        <v>4</v>
      </c>
      <c r="Q5" s="1005">
        <v>46247</v>
      </c>
      <c r="R5" s="1005"/>
      <c r="T5" s="1006" t="s">
        <v>3</v>
      </c>
      <c r="U5" s="1007"/>
      <c r="V5" s="1008" t="s">
        <v>876</v>
      </c>
      <c r="W5" s="1009"/>
      <c r="AB5" s="59"/>
      <c r="AC5" s="59"/>
      <c r="AD5" s="59"/>
      <c r="AE5" s="59"/>
    </row>
    <row r="6" spans="1:32" s="17" customFormat="1" ht="24" customHeight="1" x14ac:dyDescent="0.2">
      <c r="A6" s="981" t="s">
        <v>1</v>
      </c>
      <c r="B6" s="981"/>
      <c r="C6" s="981"/>
      <c r="D6" s="982" t="s">
        <v>883</v>
      </c>
      <c r="E6" s="982"/>
      <c r="F6" s="982"/>
      <c r="G6" s="982"/>
      <c r="H6" s="982"/>
      <c r="I6" s="982"/>
      <c r="J6" s="982"/>
      <c r="K6" s="982"/>
      <c r="L6" s="982"/>
      <c r="M6" s="982"/>
      <c r="N6" s="73"/>
      <c r="P6" s="27" t="s">
        <v>27</v>
      </c>
      <c r="Q6" s="983" t="str">
        <f>IF(Q5=0," ",CHOOSE(WEEKDAY(Q5,2),"Понедельник","Вторник","Среда","Четверг","Пятница","Суббота","Воскресенье"))</f>
        <v>Четверг</v>
      </c>
      <c r="R6" s="983"/>
      <c r="T6" s="984" t="s">
        <v>5</v>
      </c>
      <c r="U6" s="985"/>
      <c r="V6" s="986" t="s">
        <v>70</v>
      </c>
      <c r="W6" s="98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92" t="str">
        <f>IFERROR(VLOOKUP(DeliveryAddress,Table,3,0),1)</f>
        <v>3</v>
      </c>
      <c r="E7" s="993"/>
      <c r="F7" s="993"/>
      <c r="G7" s="993"/>
      <c r="H7" s="993"/>
      <c r="I7" s="993"/>
      <c r="J7" s="993"/>
      <c r="K7" s="993"/>
      <c r="L7" s="993"/>
      <c r="M7" s="994"/>
      <c r="N7" s="74"/>
      <c r="P7" s="29"/>
      <c r="Q7" s="48"/>
      <c r="R7" s="48"/>
      <c r="T7" s="984"/>
      <c r="U7" s="985"/>
      <c r="V7" s="988"/>
      <c r="W7" s="989"/>
      <c r="AB7" s="59"/>
      <c r="AC7" s="59"/>
      <c r="AD7" s="59"/>
      <c r="AE7" s="59"/>
    </row>
    <row r="8" spans="1:32" s="17" customFormat="1" ht="25.5" customHeight="1" x14ac:dyDescent="0.2">
      <c r="A8" s="995" t="s">
        <v>58</v>
      </c>
      <c r="B8" s="995"/>
      <c r="C8" s="995"/>
      <c r="D8" s="996"/>
      <c r="E8" s="996"/>
      <c r="F8" s="996"/>
      <c r="G8" s="996"/>
      <c r="H8" s="996"/>
      <c r="I8" s="996"/>
      <c r="J8" s="996"/>
      <c r="K8" s="996"/>
      <c r="L8" s="996"/>
      <c r="M8" s="996"/>
      <c r="N8" s="75"/>
      <c r="P8" s="27" t="s">
        <v>11</v>
      </c>
      <c r="Q8" s="979">
        <v>0.41666666666666669</v>
      </c>
      <c r="R8" s="979"/>
      <c r="T8" s="984"/>
      <c r="U8" s="985"/>
      <c r="V8" s="988"/>
      <c r="W8" s="989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997" t="str">
        <f>IF(AND($A$9="Тип доверенности/получателя при получении в адресе перегруза:",$D$9="Разовая доверенность"),"Введите ФИО","")</f>
        <v/>
      </c>
      <c r="I9" s="997"/>
      <c r="J9" s="99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7"/>
      <c r="L9" s="997"/>
      <c r="M9" s="997"/>
      <c r="N9" s="70"/>
      <c r="P9" s="31" t="s">
        <v>15</v>
      </c>
      <c r="Q9" s="998"/>
      <c r="R9" s="998"/>
      <c r="T9" s="984"/>
      <c r="U9" s="985"/>
      <c r="V9" s="990"/>
      <c r="W9" s="99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71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57" t="s">
        <v>55</v>
      </c>
      <c r="W11" s="95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6" t="s">
        <v>72</v>
      </c>
      <c r="B12" s="956"/>
      <c r="C12" s="956"/>
      <c r="D12" s="956"/>
      <c r="E12" s="956"/>
      <c r="F12" s="956"/>
      <c r="G12" s="956"/>
      <c r="H12" s="956"/>
      <c r="I12" s="956"/>
      <c r="J12" s="956"/>
      <c r="K12" s="956"/>
      <c r="L12" s="956"/>
      <c r="M12" s="956"/>
      <c r="N12" s="76"/>
      <c r="P12" s="27" t="s">
        <v>30</v>
      </c>
      <c r="Q12" s="979"/>
      <c r="R12" s="979"/>
      <c r="S12" s="28"/>
      <c r="T12"/>
      <c r="U12" s="29" t="s">
        <v>46</v>
      </c>
      <c r="V12" s="980"/>
      <c r="W12" s="980"/>
      <c r="X12"/>
      <c r="AB12" s="59"/>
      <c r="AC12" s="59"/>
      <c r="AD12" s="59"/>
      <c r="AE12" s="59"/>
    </row>
    <row r="13" spans="1:32" s="17" customFormat="1" ht="23.25" customHeight="1" x14ac:dyDescent="0.2">
      <c r="A13" s="956" t="s">
        <v>73</v>
      </c>
      <c r="B13" s="956"/>
      <c r="C13" s="956"/>
      <c r="D13" s="956"/>
      <c r="E13" s="956"/>
      <c r="F13" s="956"/>
      <c r="G13" s="956"/>
      <c r="H13" s="956"/>
      <c r="I13" s="956"/>
      <c r="J13" s="956"/>
      <c r="K13" s="956"/>
      <c r="L13" s="956"/>
      <c r="M13" s="956"/>
      <c r="N13" s="76"/>
      <c r="O13" s="31"/>
      <c r="P13" s="31" t="s">
        <v>31</v>
      </c>
      <c r="Q13" s="957"/>
      <c r="R13" s="95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6" t="s">
        <v>74</v>
      </c>
      <c r="B14" s="956"/>
      <c r="C14" s="956"/>
      <c r="D14" s="956"/>
      <c r="E14" s="956"/>
      <c r="F14" s="956"/>
      <c r="G14" s="956"/>
      <c r="H14" s="956"/>
      <c r="I14" s="956"/>
      <c r="J14" s="956"/>
      <c r="K14" s="956"/>
      <c r="L14" s="956"/>
      <c r="M14" s="956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8" t="s">
        <v>75</v>
      </c>
      <c r="B15" s="958"/>
      <c r="C15" s="958"/>
      <c r="D15" s="958"/>
      <c r="E15" s="958"/>
      <c r="F15" s="958"/>
      <c r="G15" s="958"/>
      <c r="H15" s="958"/>
      <c r="I15" s="958"/>
      <c r="J15" s="958"/>
      <c r="K15" s="958"/>
      <c r="L15" s="958"/>
      <c r="M15" s="958"/>
      <c r="N15" s="77"/>
      <c r="O15"/>
      <c r="P15" s="959" t="s">
        <v>61</v>
      </c>
      <c r="Q15" s="959"/>
      <c r="R15" s="959"/>
      <c r="S15" s="959"/>
      <c r="T15" s="95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0"/>
      <c r="Q16" s="960"/>
      <c r="R16" s="960"/>
      <c r="S16" s="960"/>
      <c r="T16" s="96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2" t="s">
        <v>59</v>
      </c>
      <c r="B17" s="942" t="s">
        <v>49</v>
      </c>
      <c r="C17" s="963" t="s">
        <v>48</v>
      </c>
      <c r="D17" s="965" t="s">
        <v>50</v>
      </c>
      <c r="E17" s="966"/>
      <c r="F17" s="942" t="s">
        <v>21</v>
      </c>
      <c r="G17" s="942" t="s">
        <v>24</v>
      </c>
      <c r="H17" s="942" t="s">
        <v>22</v>
      </c>
      <c r="I17" s="942" t="s">
        <v>23</v>
      </c>
      <c r="J17" s="942" t="s">
        <v>16</v>
      </c>
      <c r="K17" s="942" t="s">
        <v>66</v>
      </c>
      <c r="L17" s="942" t="s">
        <v>64</v>
      </c>
      <c r="M17" s="942" t="s">
        <v>2</v>
      </c>
      <c r="N17" s="942" t="s">
        <v>63</v>
      </c>
      <c r="O17" s="942" t="s">
        <v>25</v>
      </c>
      <c r="P17" s="965" t="s">
        <v>17</v>
      </c>
      <c r="Q17" s="969"/>
      <c r="R17" s="969"/>
      <c r="S17" s="969"/>
      <c r="T17" s="966"/>
      <c r="U17" s="961" t="s">
        <v>56</v>
      </c>
      <c r="V17" s="962"/>
      <c r="W17" s="942" t="s">
        <v>6</v>
      </c>
      <c r="X17" s="942" t="s">
        <v>41</v>
      </c>
      <c r="Y17" s="944" t="s">
        <v>54</v>
      </c>
      <c r="Z17" s="946" t="s">
        <v>18</v>
      </c>
      <c r="AA17" s="948" t="s">
        <v>60</v>
      </c>
      <c r="AB17" s="948" t="s">
        <v>19</v>
      </c>
      <c r="AC17" s="948" t="s">
        <v>65</v>
      </c>
      <c r="AD17" s="950" t="s">
        <v>57</v>
      </c>
      <c r="AE17" s="951"/>
      <c r="AF17" s="952"/>
      <c r="AG17" s="82"/>
      <c r="BD17" s="81" t="s">
        <v>62</v>
      </c>
    </row>
    <row r="18" spans="1:68" ht="14.25" customHeight="1" x14ac:dyDescent="0.2">
      <c r="A18" s="943"/>
      <c r="B18" s="943"/>
      <c r="C18" s="964"/>
      <c r="D18" s="967"/>
      <c r="E18" s="968"/>
      <c r="F18" s="943"/>
      <c r="G18" s="943"/>
      <c r="H18" s="943"/>
      <c r="I18" s="943"/>
      <c r="J18" s="943"/>
      <c r="K18" s="943"/>
      <c r="L18" s="943"/>
      <c r="M18" s="943"/>
      <c r="N18" s="943"/>
      <c r="O18" s="943"/>
      <c r="P18" s="967"/>
      <c r="Q18" s="970"/>
      <c r="R18" s="970"/>
      <c r="S18" s="970"/>
      <c r="T18" s="968"/>
      <c r="U18" s="83" t="s">
        <v>44</v>
      </c>
      <c r="V18" s="83" t="s">
        <v>43</v>
      </c>
      <c r="W18" s="943"/>
      <c r="X18" s="943"/>
      <c r="Y18" s="945"/>
      <c r="Z18" s="947"/>
      <c r="AA18" s="949"/>
      <c r="AB18" s="949"/>
      <c r="AC18" s="949"/>
      <c r="AD18" s="953"/>
      <c r="AE18" s="954"/>
      <c r="AF18" s="955"/>
      <c r="AG18" s="82"/>
      <c r="BD18" s="81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4"/>
      <c r="AB19" s="54"/>
      <c r="AC19" s="54"/>
    </row>
    <row r="20" spans="1:68" ht="16.5" hidden="1" customHeight="1" x14ac:dyDescent="0.25">
      <c r="A20" s="661" t="s">
        <v>76</v>
      </c>
      <c r="B20" s="661"/>
      <c r="C20" s="661"/>
      <c r="D20" s="661"/>
      <c r="E20" s="661"/>
      <c r="F20" s="661"/>
      <c r="G20" s="661"/>
      <c r="H20" s="661"/>
      <c r="I20" s="661"/>
      <c r="J20" s="661"/>
      <c r="K20" s="661"/>
      <c r="L20" s="661"/>
      <c r="M20" s="661"/>
      <c r="N20" s="661"/>
      <c r="O20" s="661"/>
      <c r="P20" s="661"/>
      <c r="Q20" s="661"/>
      <c r="R20" s="661"/>
      <c r="S20" s="661"/>
      <c r="T20" s="661"/>
      <c r="U20" s="661"/>
      <c r="V20" s="661"/>
      <c r="W20" s="661"/>
      <c r="X20" s="661"/>
      <c r="Y20" s="661"/>
      <c r="Z20" s="661"/>
      <c r="AA20" s="65"/>
      <c r="AB20" s="65"/>
      <c r="AC20" s="79"/>
    </row>
    <row r="21" spans="1:68" ht="14.25" hidden="1" customHeight="1" x14ac:dyDescent="0.25">
      <c r="A21" s="662" t="s">
        <v>77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7">
        <v>4680115886643</v>
      </c>
      <c r="E22" s="65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4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9"/>
      <c r="R22" s="659"/>
      <c r="S22" s="659"/>
      <c r="T22" s="66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7">
        <v>4680115889071</v>
      </c>
      <c r="E23" s="65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4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9"/>
      <c r="R23" s="659"/>
      <c r="S23" s="659"/>
      <c r="T23" s="66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51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52"/>
      <c r="P24" s="648" t="s">
        <v>40</v>
      </c>
      <c r="Q24" s="649"/>
      <c r="R24" s="649"/>
      <c r="S24" s="649"/>
      <c r="T24" s="649"/>
      <c r="U24" s="649"/>
      <c r="V24" s="65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52"/>
      <c r="P25" s="648" t="s">
        <v>40</v>
      </c>
      <c r="Q25" s="649"/>
      <c r="R25" s="649"/>
      <c r="S25" s="649"/>
      <c r="T25" s="649"/>
      <c r="U25" s="649"/>
      <c r="V25" s="65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2" t="s">
        <v>86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7">
        <v>4680115885912</v>
      </c>
      <c r="E27" s="65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9"/>
      <c r="R27" s="659"/>
      <c r="S27" s="659"/>
      <c r="T27" s="66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7">
        <v>4607091388237</v>
      </c>
      <c r="E28" s="65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9"/>
      <c r="R28" s="659"/>
      <c r="S28" s="659"/>
      <c r="T28" s="66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7">
        <v>4680115887350</v>
      </c>
      <c r="E29" s="65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3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9"/>
      <c r="R29" s="659"/>
      <c r="S29" s="659"/>
      <c r="T29" s="66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7">
        <v>4680115885905</v>
      </c>
      <c r="E30" s="65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9"/>
      <c r="R30" s="659"/>
      <c r="S30" s="659"/>
      <c r="T30" s="66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7">
        <v>4680115887619</v>
      </c>
      <c r="E31" s="65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9"/>
      <c r="R31" s="659"/>
      <c r="S31" s="659"/>
      <c r="T31" s="66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1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52"/>
      <c r="P32" s="648" t="s">
        <v>40</v>
      </c>
      <c r="Q32" s="649"/>
      <c r="R32" s="649"/>
      <c r="S32" s="649"/>
      <c r="T32" s="649"/>
      <c r="U32" s="649"/>
      <c r="V32" s="65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52"/>
      <c r="P33" s="648" t="s">
        <v>40</v>
      </c>
      <c r="Q33" s="649"/>
      <c r="R33" s="649"/>
      <c r="S33" s="649"/>
      <c r="T33" s="649"/>
      <c r="U33" s="649"/>
      <c r="V33" s="65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4"/>
      <c r="AB34" s="54"/>
      <c r="AC34" s="54"/>
    </row>
    <row r="35" spans="1:68" ht="16.5" hidden="1" customHeight="1" x14ac:dyDescent="0.25">
      <c r="A35" s="661" t="s">
        <v>104</v>
      </c>
      <c r="B35" s="661"/>
      <c r="C35" s="661"/>
      <c r="D35" s="661"/>
      <c r="E35" s="661"/>
      <c r="F35" s="661"/>
      <c r="G35" s="661"/>
      <c r="H35" s="661"/>
      <c r="I35" s="661"/>
      <c r="J35" s="661"/>
      <c r="K35" s="661"/>
      <c r="L35" s="661"/>
      <c r="M35" s="661"/>
      <c r="N35" s="661"/>
      <c r="O35" s="661"/>
      <c r="P35" s="661"/>
      <c r="Q35" s="661"/>
      <c r="R35" s="661"/>
      <c r="S35" s="661"/>
      <c r="T35" s="661"/>
      <c r="U35" s="661"/>
      <c r="V35" s="661"/>
      <c r="W35" s="661"/>
      <c r="X35" s="661"/>
      <c r="Y35" s="661"/>
      <c r="Z35" s="661"/>
      <c r="AA35" s="65"/>
      <c r="AB35" s="65"/>
      <c r="AC35" s="79"/>
    </row>
    <row r="36" spans="1:68" ht="14.25" hidden="1" customHeight="1" x14ac:dyDescent="0.25">
      <c r="A36" s="662" t="s">
        <v>86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57">
        <v>4680115889354</v>
      </c>
      <c r="E37" s="65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9"/>
      <c r="R37" s="659"/>
      <c r="S37" s="659"/>
      <c r="T37" s="66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57">
        <v>4680115888463</v>
      </c>
      <c r="E38" s="65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9"/>
      <c r="R38" s="659"/>
      <c r="S38" s="659"/>
      <c r="T38" s="66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4301052202</v>
      </c>
      <c r="D39" s="657">
        <v>4680115888494</v>
      </c>
      <c r="E39" s="657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3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59"/>
      <c r="R39" s="659"/>
      <c r="S39" s="659"/>
      <c r="T39" s="66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57">
        <v>4680115888272</v>
      </c>
      <c r="E40" s="65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9"/>
      <c r="R40" s="659"/>
      <c r="S40" s="659"/>
      <c r="T40" s="66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57">
        <v>4680115888364</v>
      </c>
      <c r="E41" s="65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9"/>
      <c r="R41" s="659"/>
      <c r="S41" s="659"/>
      <c r="T41" s="66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1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52"/>
      <c r="P42" s="648" t="s">
        <v>40</v>
      </c>
      <c r="Q42" s="649"/>
      <c r="R42" s="649"/>
      <c r="S42" s="649"/>
      <c r="T42" s="649"/>
      <c r="U42" s="649"/>
      <c r="V42" s="65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52"/>
      <c r="P43" s="648" t="s">
        <v>40</v>
      </c>
      <c r="Q43" s="649"/>
      <c r="R43" s="649"/>
      <c r="S43" s="649"/>
      <c r="T43" s="649"/>
      <c r="U43" s="649"/>
      <c r="V43" s="65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4"/>
      <c r="AB44" s="54"/>
      <c r="AC44" s="54"/>
    </row>
    <row r="45" spans="1:68" ht="16.5" hidden="1" customHeight="1" x14ac:dyDescent="0.25">
      <c r="A45" s="661" t="s">
        <v>121</v>
      </c>
      <c r="B45" s="661"/>
      <c r="C45" s="661"/>
      <c r="D45" s="661"/>
      <c r="E45" s="661"/>
      <c r="F45" s="661"/>
      <c r="G45" s="661"/>
      <c r="H45" s="661"/>
      <c r="I45" s="661"/>
      <c r="J45" s="661"/>
      <c r="K45" s="661"/>
      <c r="L45" s="661"/>
      <c r="M45" s="661"/>
      <c r="N45" s="661"/>
      <c r="O45" s="661"/>
      <c r="P45" s="661"/>
      <c r="Q45" s="661"/>
      <c r="R45" s="661"/>
      <c r="S45" s="661"/>
      <c r="T45" s="661"/>
      <c r="U45" s="661"/>
      <c r="V45" s="661"/>
      <c r="W45" s="661"/>
      <c r="X45" s="661"/>
      <c r="Y45" s="661"/>
      <c r="Z45" s="661"/>
      <c r="AA45" s="65"/>
      <c r="AB45" s="65"/>
      <c r="AC45" s="79"/>
    </row>
    <row r="46" spans="1:68" ht="14.25" hidden="1" customHeight="1" x14ac:dyDescent="0.25">
      <c r="A46" s="662" t="s">
        <v>122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57">
        <v>4607091385670</v>
      </c>
      <c r="E47" s="65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2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9"/>
      <c r="R47" s="659"/>
      <c r="S47" s="659"/>
      <c r="T47" s="660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57">
        <v>4680115887725</v>
      </c>
      <c r="E48" s="65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9"/>
      <c r="R48" s="659"/>
      <c r="S48" s="659"/>
      <c r="T48" s="66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57">
        <v>4607091385687</v>
      </c>
      <c r="E49" s="65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2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9"/>
      <c r="R49" s="659"/>
      <c r="S49" s="659"/>
      <c r="T49" s="660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57">
        <v>4680115882539</v>
      </c>
      <c r="E50" s="65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9"/>
      <c r="R50" s="659"/>
      <c r="S50" s="659"/>
      <c r="T50" s="66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51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52"/>
      <c r="P51" s="648" t="s">
        <v>40</v>
      </c>
      <c r="Q51" s="649"/>
      <c r="R51" s="649"/>
      <c r="S51" s="649"/>
      <c r="T51" s="649"/>
      <c r="U51" s="649"/>
      <c r="V51" s="65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52"/>
      <c r="P52" s="648" t="s">
        <v>40</v>
      </c>
      <c r="Q52" s="649"/>
      <c r="R52" s="649"/>
      <c r="S52" s="649"/>
      <c r="T52" s="649"/>
      <c r="U52" s="649"/>
      <c r="V52" s="65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1" t="s">
        <v>137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65"/>
      <c r="AB53" s="65"/>
      <c r="AC53" s="79"/>
    </row>
    <row r="54" spans="1:68" ht="14.25" hidden="1" customHeight="1" x14ac:dyDescent="0.25">
      <c r="A54" s="662" t="s">
        <v>122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4301012030</v>
      </c>
      <c r="D55" s="657">
        <v>4680115885882</v>
      </c>
      <c r="E55" s="65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92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59"/>
      <c r="R55" s="659"/>
      <c r="S55" s="659"/>
      <c r="T55" s="660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4301012161</v>
      </c>
      <c r="D56" s="657">
        <v>4680115885882</v>
      </c>
      <c r="E56" s="657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2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9"/>
      <c r="R56" s="659"/>
      <c r="S56" s="659"/>
      <c r="T56" s="660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4301011816</v>
      </c>
      <c r="D57" s="657">
        <v>4680115881426</v>
      </c>
      <c r="E57" s="65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9"/>
      <c r="R57" s="659"/>
      <c r="S57" s="659"/>
      <c r="T57" s="66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4301011386</v>
      </c>
      <c r="D58" s="657">
        <v>4680115880283</v>
      </c>
      <c r="E58" s="65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92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59"/>
      <c r="R58" s="659"/>
      <c r="S58" s="659"/>
      <c r="T58" s="66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4301012259</v>
      </c>
      <c r="D59" s="657">
        <v>4680115880283</v>
      </c>
      <c r="E59" s="657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92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59"/>
      <c r="R59" s="659"/>
      <c r="S59" s="659"/>
      <c r="T59" s="66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657">
        <v>4680115881525</v>
      </c>
      <c r="E60" s="65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2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59"/>
      <c r="R60" s="659"/>
      <c r="S60" s="659"/>
      <c r="T60" s="660"/>
      <c r="U60" s="39" t="s">
        <v>46</v>
      </c>
      <c r="V60" s="39" t="s">
        <v>46</v>
      </c>
      <c r="W60" s="40" t="s">
        <v>0</v>
      </c>
      <c r="X60" s="58">
        <v>40</v>
      </c>
      <c r="Y60" s="55">
        <f t="shared" si="0"/>
        <v>40</v>
      </c>
      <c r="Z60" s="41">
        <f>IFERROR(IF(Y60=0,"",ROUNDUP(Y60/H60,0)*0.00902),"")</f>
        <v>9.0200000000000002E-2</v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41.900000000000006</v>
      </c>
      <c r="BN60" s="78">
        <f t="shared" si="2"/>
        <v>41.900000000000006</v>
      </c>
      <c r="BO60" s="78">
        <f t="shared" si="3"/>
        <v>7.575757575757576E-2</v>
      </c>
      <c r="BP60" s="78">
        <f t="shared" si="4"/>
        <v>7.575757575757576E-2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657">
        <v>4680115885899</v>
      </c>
      <c r="E61" s="65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91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9"/>
      <c r="R61" s="659"/>
      <c r="S61" s="659"/>
      <c r="T61" s="66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657">
        <v>4680115881419</v>
      </c>
      <c r="E62" s="65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9"/>
      <c r="R62" s="659"/>
      <c r="S62" s="659"/>
      <c r="T62" s="66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651"/>
      <c r="B63" s="651"/>
      <c r="C63" s="651"/>
      <c r="D63" s="651"/>
      <c r="E63" s="651"/>
      <c r="F63" s="651"/>
      <c r="G63" s="651"/>
      <c r="H63" s="651"/>
      <c r="I63" s="651"/>
      <c r="J63" s="651"/>
      <c r="K63" s="651"/>
      <c r="L63" s="651"/>
      <c r="M63" s="651"/>
      <c r="N63" s="651"/>
      <c r="O63" s="652"/>
      <c r="P63" s="648" t="s">
        <v>40</v>
      </c>
      <c r="Q63" s="649"/>
      <c r="R63" s="649"/>
      <c r="S63" s="649"/>
      <c r="T63" s="649"/>
      <c r="U63" s="649"/>
      <c r="V63" s="650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10</v>
      </c>
      <c r="Y63" s="43">
        <f>IFERROR(Y55/H55,"0")+IFERROR(Y56/H56,"0")+IFERROR(Y57/H57,"0")+IFERROR(Y58/H58,"0")+IFERROR(Y59/H59,"0")+IFERROR(Y60/H60,"0")+IFERROR(Y61/H61,"0")+IFERROR(Y62/H62,"0")</f>
        <v>10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9.0200000000000002E-2</v>
      </c>
      <c r="AA63" s="67"/>
      <c r="AB63" s="67"/>
      <c r="AC63" s="67"/>
    </row>
    <row r="64" spans="1:68" x14ac:dyDescent="0.2">
      <c r="A64" s="651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52"/>
      <c r="P64" s="648" t="s">
        <v>40</v>
      </c>
      <c r="Q64" s="649"/>
      <c r="R64" s="649"/>
      <c r="S64" s="649"/>
      <c r="T64" s="649"/>
      <c r="U64" s="649"/>
      <c r="V64" s="650"/>
      <c r="W64" s="42" t="s">
        <v>0</v>
      </c>
      <c r="X64" s="43">
        <f>IFERROR(SUM(X55:X62),"0")</f>
        <v>40</v>
      </c>
      <c r="Y64" s="43">
        <f>IFERROR(SUM(Y55:Y62),"0")</f>
        <v>40</v>
      </c>
      <c r="Z64" s="42"/>
      <c r="AA64" s="67"/>
      <c r="AB64" s="67"/>
      <c r="AC64" s="67"/>
    </row>
    <row r="65" spans="1:68" ht="14.25" hidden="1" customHeight="1" x14ac:dyDescent="0.25">
      <c r="A65" s="662" t="s">
        <v>158</v>
      </c>
      <c r="B65" s="662"/>
      <c r="C65" s="662"/>
      <c r="D65" s="662"/>
      <c r="E65" s="662"/>
      <c r="F65" s="662"/>
      <c r="G65" s="662"/>
      <c r="H65" s="662"/>
      <c r="I65" s="662"/>
      <c r="J65" s="662"/>
      <c r="K65" s="662"/>
      <c r="L65" s="662"/>
      <c r="M65" s="662"/>
      <c r="N65" s="662"/>
      <c r="O65" s="662"/>
      <c r="P65" s="662"/>
      <c r="Q65" s="662"/>
      <c r="R65" s="662"/>
      <c r="S65" s="662"/>
      <c r="T65" s="662"/>
      <c r="U65" s="662"/>
      <c r="V65" s="662"/>
      <c r="W65" s="662"/>
      <c r="X65" s="662"/>
      <c r="Y65" s="662"/>
      <c r="Z65" s="662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657">
        <v>4680115881440</v>
      </c>
      <c r="E66" s="657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59"/>
      <c r="R66" s="659"/>
      <c r="S66" s="659"/>
      <c r="T66" s="660"/>
      <c r="U66" s="39" t="s">
        <v>46</v>
      </c>
      <c r="V66" s="39" t="s">
        <v>46</v>
      </c>
      <c r="W66" s="40" t="s">
        <v>0</v>
      </c>
      <c r="X66" s="58">
        <v>108</v>
      </c>
      <c r="Y66" s="55">
        <f>IFERROR(IF(X66="",0,CEILING((X66/$H66),1)*$H66),"")</f>
        <v>108</v>
      </c>
      <c r="Z66" s="41">
        <f>IFERROR(IF(Y66=0,"",ROUNDUP(Y66/H66,0)*0.01898),"")</f>
        <v>0.1898</v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112.1</v>
      </c>
      <c r="BN66" s="78">
        <f>IFERROR(Y66*I66/H66,"0")</f>
        <v>112.1</v>
      </c>
      <c r="BO66" s="78">
        <f>IFERROR(1/J66*(X66/H66),"0")</f>
        <v>0.15625</v>
      </c>
      <c r="BP66" s="78">
        <f>IFERROR(1/J66*(Y66/H66),"0")</f>
        <v>0.15625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4301020358</v>
      </c>
      <c r="D67" s="657">
        <v>4680115885950</v>
      </c>
      <c r="E67" s="657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91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59"/>
      <c r="R67" s="659"/>
      <c r="S67" s="659"/>
      <c r="T67" s="660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164</v>
      </c>
      <c r="B68" s="63" t="s">
        <v>165</v>
      </c>
      <c r="C68" s="36">
        <v>4301020371</v>
      </c>
      <c r="D68" s="657">
        <v>4680115887688</v>
      </c>
      <c r="E68" s="657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9"/>
      <c r="R68" s="659"/>
      <c r="S68" s="659"/>
      <c r="T68" s="66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657">
        <v>4680115881433</v>
      </c>
      <c r="E69" s="657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59"/>
      <c r="R69" s="659"/>
      <c r="S69" s="659"/>
      <c r="T69" s="660"/>
      <c r="U69" s="39" t="s">
        <v>46</v>
      </c>
      <c r="V69" s="39" t="s">
        <v>46</v>
      </c>
      <c r="W69" s="40" t="s">
        <v>0</v>
      </c>
      <c r="X69" s="58">
        <v>27</v>
      </c>
      <c r="Y69" s="55">
        <f>IFERROR(IF(X69="",0,CEILING((X69/$H69),1)*$H69),"")</f>
        <v>27</v>
      </c>
      <c r="Z69" s="41">
        <f>IFERROR(IF(Y69=0,"",ROUNDUP(Y69/H69,0)*0.00651),"")</f>
        <v>6.5100000000000005E-2</v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28.799999999999994</v>
      </c>
      <c r="BN69" s="78">
        <f>IFERROR(Y69*I69/H69,"0")</f>
        <v>28.799999999999994</v>
      </c>
      <c r="BO69" s="78">
        <f>IFERROR(1/J69*(X69/H69),"0")</f>
        <v>5.4945054945054951E-2</v>
      </c>
      <c r="BP69" s="78">
        <f>IFERROR(1/J69*(Y69/H69),"0")</f>
        <v>5.4945054945054951E-2</v>
      </c>
    </row>
    <row r="70" spans="1:68" x14ac:dyDescent="0.2">
      <c r="A70" s="651"/>
      <c r="B70" s="651"/>
      <c r="C70" s="651"/>
      <c r="D70" s="651"/>
      <c r="E70" s="651"/>
      <c r="F70" s="651"/>
      <c r="G70" s="651"/>
      <c r="H70" s="651"/>
      <c r="I70" s="651"/>
      <c r="J70" s="651"/>
      <c r="K70" s="651"/>
      <c r="L70" s="651"/>
      <c r="M70" s="651"/>
      <c r="N70" s="651"/>
      <c r="O70" s="652"/>
      <c r="P70" s="648" t="s">
        <v>40</v>
      </c>
      <c r="Q70" s="649"/>
      <c r="R70" s="649"/>
      <c r="S70" s="649"/>
      <c r="T70" s="649"/>
      <c r="U70" s="649"/>
      <c r="V70" s="650"/>
      <c r="W70" s="42" t="s">
        <v>39</v>
      </c>
      <c r="X70" s="43">
        <f>IFERROR(X66/H66,"0")+IFERROR(X67/H67,"0")+IFERROR(X68/H68,"0")+IFERROR(X69/H69,"0")</f>
        <v>20</v>
      </c>
      <c r="Y70" s="43">
        <f>IFERROR(Y66/H66,"0")+IFERROR(Y67/H67,"0")+IFERROR(Y68/H68,"0")+IFERROR(Y69/H69,"0")</f>
        <v>20</v>
      </c>
      <c r="Z70" s="43">
        <f>IFERROR(IF(Z66="",0,Z66),"0")+IFERROR(IF(Z67="",0,Z67),"0")+IFERROR(IF(Z68="",0,Z68),"0")+IFERROR(IF(Z69="",0,Z69),"0")</f>
        <v>0.25490000000000002</v>
      </c>
      <c r="AA70" s="67"/>
      <c r="AB70" s="67"/>
      <c r="AC70" s="67"/>
    </row>
    <row r="71" spans="1:68" x14ac:dyDescent="0.2">
      <c r="A71" s="651"/>
      <c r="B71" s="651"/>
      <c r="C71" s="651"/>
      <c r="D71" s="651"/>
      <c r="E71" s="651"/>
      <c r="F71" s="651"/>
      <c r="G71" s="651"/>
      <c r="H71" s="651"/>
      <c r="I71" s="651"/>
      <c r="J71" s="651"/>
      <c r="K71" s="651"/>
      <c r="L71" s="651"/>
      <c r="M71" s="651"/>
      <c r="N71" s="651"/>
      <c r="O71" s="652"/>
      <c r="P71" s="648" t="s">
        <v>40</v>
      </c>
      <c r="Q71" s="649"/>
      <c r="R71" s="649"/>
      <c r="S71" s="649"/>
      <c r="T71" s="649"/>
      <c r="U71" s="649"/>
      <c r="V71" s="650"/>
      <c r="W71" s="42" t="s">
        <v>0</v>
      </c>
      <c r="X71" s="43">
        <f>IFERROR(SUM(X66:X69),"0")</f>
        <v>135</v>
      </c>
      <c r="Y71" s="43">
        <f>IFERROR(SUM(Y66:Y69),"0")</f>
        <v>135</v>
      </c>
      <c r="Z71" s="42"/>
      <c r="AA71" s="67"/>
      <c r="AB71" s="67"/>
      <c r="AC71" s="67"/>
    </row>
    <row r="72" spans="1:68" ht="14.25" hidden="1" customHeight="1" x14ac:dyDescent="0.25">
      <c r="A72" s="662" t="s">
        <v>86</v>
      </c>
      <c r="B72" s="662"/>
      <c r="C72" s="662"/>
      <c r="D72" s="662"/>
      <c r="E72" s="662"/>
      <c r="F72" s="662"/>
      <c r="G72" s="662"/>
      <c r="H72" s="662"/>
      <c r="I72" s="662"/>
      <c r="J72" s="662"/>
      <c r="K72" s="662"/>
      <c r="L72" s="662"/>
      <c r="M72" s="662"/>
      <c r="N72" s="662"/>
      <c r="O72" s="662"/>
      <c r="P72" s="662"/>
      <c r="Q72" s="662"/>
      <c r="R72" s="662"/>
      <c r="S72" s="662"/>
      <c r="T72" s="662"/>
      <c r="U72" s="662"/>
      <c r="V72" s="662"/>
      <c r="W72" s="662"/>
      <c r="X72" s="662"/>
      <c r="Y72" s="662"/>
      <c r="Z72" s="662"/>
      <c r="AA72" s="66"/>
      <c r="AB72" s="66"/>
      <c r="AC72" s="80"/>
    </row>
    <row r="73" spans="1:68" ht="16.5" hidden="1" customHeight="1" x14ac:dyDescent="0.25">
      <c r="A73" s="63" t="s">
        <v>169</v>
      </c>
      <c r="B73" s="63" t="s">
        <v>170</v>
      </c>
      <c r="C73" s="36">
        <v>4301051837</v>
      </c>
      <c r="D73" s="657">
        <v>4680115884311</v>
      </c>
      <c r="E73" s="65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9"/>
      <c r="R73" s="659"/>
      <c r="S73" s="659"/>
      <c r="T73" s="66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172</v>
      </c>
      <c r="B74" s="63" t="s">
        <v>173</v>
      </c>
      <c r="C74" s="36">
        <v>4301051929</v>
      </c>
      <c r="D74" s="657">
        <v>4680115884403</v>
      </c>
      <c r="E74" s="657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91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59"/>
      <c r="R74" s="659"/>
      <c r="S74" s="659"/>
      <c r="T74" s="660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1"/>
      <c r="B75" s="651"/>
      <c r="C75" s="651"/>
      <c r="D75" s="651"/>
      <c r="E75" s="651"/>
      <c r="F75" s="651"/>
      <c r="G75" s="651"/>
      <c r="H75" s="651"/>
      <c r="I75" s="651"/>
      <c r="J75" s="651"/>
      <c r="K75" s="651"/>
      <c r="L75" s="651"/>
      <c r="M75" s="651"/>
      <c r="N75" s="651"/>
      <c r="O75" s="652"/>
      <c r="P75" s="648" t="s">
        <v>40</v>
      </c>
      <c r="Q75" s="649"/>
      <c r="R75" s="649"/>
      <c r="S75" s="649"/>
      <c r="T75" s="649"/>
      <c r="U75" s="649"/>
      <c r="V75" s="650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1"/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2"/>
      <c r="P76" s="648" t="s">
        <v>40</v>
      </c>
      <c r="Q76" s="649"/>
      <c r="R76" s="649"/>
      <c r="S76" s="649"/>
      <c r="T76" s="649"/>
      <c r="U76" s="649"/>
      <c r="V76" s="650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62" t="s">
        <v>175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657">
        <v>4680115881532</v>
      </c>
      <c r="E78" s="657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1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9"/>
      <c r="R78" s="659"/>
      <c r="S78" s="659"/>
      <c r="T78" s="66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179</v>
      </c>
      <c r="B79" s="63" t="s">
        <v>180</v>
      </c>
      <c r="C79" s="36">
        <v>4301060351</v>
      </c>
      <c r="D79" s="657">
        <v>4680115881464</v>
      </c>
      <c r="E79" s="657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1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59"/>
      <c r="R79" s="659"/>
      <c r="S79" s="659"/>
      <c r="T79" s="660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51"/>
      <c r="B80" s="651"/>
      <c r="C80" s="651"/>
      <c r="D80" s="651"/>
      <c r="E80" s="651"/>
      <c r="F80" s="651"/>
      <c r="G80" s="651"/>
      <c r="H80" s="651"/>
      <c r="I80" s="651"/>
      <c r="J80" s="651"/>
      <c r="K80" s="651"/>
      <c r="L80" s="651"/>
      <c r="M80" s="651"/>
      <c r="N80" s="651"/>
      <c r="O80" s="652"/>
      <c r="P80" s="648" t="s">
        <v>40</v>
      </c>
      <c r="Q80" s="649"/>
      <c r="R80" s="649"/>
      <c r="S80" s="649"/>
      <c r="T80" s="649"/>
      <c r="U80" s="649"/>
      <c r="V80" s="650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hidden="1" x14ac:dyDescent="0.2">
      <c r="A81" s="651"/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2"/>
      <c r="P81" s="648" t="s">
        <v>40</v>
      </c>
      <c r="Q81" s="649"/>
      <c r="R81" s="649"/>
      <c r="S81" s="649"/>
      <c r="T81" s="649"/>
      <c r="U81" s="649"/>
      <c r="V81" s="650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hidden="1" customHeight="1" x14ac:dyDescent="0.25">
      <c r="A82" s="661" t="s">
        <v>182</v>
      </c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1"/>
      <c r="P82" s="661"/>
      <c r="Q82" s="661"/>
      <c r="R82" s="661"/>
      <c r="S82" s="661"/>
      <c r="T82" s="661"/>
      <c r="U82" s="661"/>
      <c r="V82" s="661"/>
      <c r="W82" s="661"/>
      <c r="X82" s="661"/>
      <c r="Y82" s="661"/>
      <c r="Z82" s="661"/>
      <c r="AA82" s="65"/>
      <c r="AB82" s="65"/>
      <c r="AC82" s="79"/>
    </row>
    <row r="83" spans="1:68" ht="14.25" hidden="1" customHeight="1" x14ac:dyDescent="0.25">
      <c r="A83" s="662" t="s">
        <v>122</v>
      </c>
      <c r="B83" s="662"/>
      <c r="C83" s="662"/>
      <c r="D83" s="662"/>
      <c r="E83" s="662"/>
      <c r="F83" s="662"/>
      <c r="G83" s="662"/>
      <c r="H83" s="662"/>
      <c r="I83" s="662"/>
      <c r="J83" s="662"/>
      <c r="K83" s="662"/>
      <c r="L83" s="662"/>
      <c r="M83" s="662"/>
      <c r="N83" s="662"/>
      <c r="O83" s="662"/>
      <c r="P83" s="662"/>
      <c r="Q83" s="662"/>
      <c r="R83" s="662"/>
      <c r="S83" s="662"/>
      <c r="T83" s="662"/>
      <c r="U83" s="662"/>
      <c r="V83" s="662"/>
      <c r="W83" s="662"/>
      <c r="X83" s="662"/>
      <c r="Y83" s="662"/>
      <c r="Z83" s="662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657">
        <v>4680115881327</v>
      </c>
      <c r="E84" s="657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90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59"/>
      <c r="R84" s="659"/>
      <c r="S84" s="659"/>
      <c r="T84" s="660"/>
      <c r="U84" s="39" t="s">
        <v>46</v>
      </c>
      <c r="V84" s="39" t="s">
        <v>46</v>
      </c>
      <c r="W84" s="40" t="s">
        <v>0</v>
      </c>
      <c r="X84" s="58">
        <v>108</v>
      </c>
      <c r="Y84" s="55">
        <f>IFERROR(IF(X84="",0,CEILING((X84/$H84),1)*$H84),"")</f>
        <v>108</v>
      </c>
      <c r="Z84" s="41">
        <f>IFERROR(IF(Y84=0,"",ROUNDUP(Y84/H84,0)*0.01898),"")</f>
        <v>0.1898</v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112.1</v>
      </c>
      <c r="BN84" s="78">
        <f>IFERROR(Y84*I84/H84,"0")</f>
        <v>112.1</v>
      </c>
      <c r="BO84" s="78">
        <f>IFERROR(1/J84*(X84/H84),"0")</f>
        <v>0.15625</v>
      </c>
      <c r="BP84" s="78">
        <f>IFERROR(1/J84*(Y84/H84),"0")</f>
        <v>0.15625</v>
      </c>
    </row>
    <row r="85" spans="1:68" ht="27" hidden="1" customHeight="1" x14ac:dyDescent="0.25">
      <c r="A85" s="63" t="s">
        <v>186</v>
      </c>
      <c r="B85" s="63" t="s">
        <v>187</v>
      </c>
      <c r="C85" s="36">
        <v>4301011261</v>
      </c>
      <c r="D85" s="657">
        <v>4680115887732</v>
      </c>
      <c r="E85" s="657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90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59"/>
      <c r="R85" s="659"/>
      <c r="S85" s="659"/>
      <c r="T85" s="660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189</v>
      </c>
      <c r="B86" s="63" t="s">
        <v>190</v>
      </c>
      <c r="C86" s="36">
        <v>4301011476</v>
      </c>
      <c r="D86" s="657">
        <v>4680115881518</v>
      </c>
      <c r="E86" s="657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59"/>
      <c r="R86" s="659"/>
      <c r="S86" s="659"/>
      <c r="T86" s="660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191</v>
      </c>
      <c r="B87" s="63" t="s">
        <v>192</v>
      </c>
      <c r="C87" s="36">
        <v>4301011443</v>
      </c>
      <c r="D87" s="657">
        <v>4680115881303</v>
      </c>
      <c r="E87" s="657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9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59"/>
      <c r="R87" s="659"/>
      <c r="S87" s="659"/>
      <c r="T87" s="660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51"/>
      <c r="B88" s="651"/>
      <c r="C88" s="651"/>
      <c r="D88" s="651"/>
      <c r="E88" s="651"/>
      <c r="F88" s="651"/>
      <c r="G88" s="651"/>
      <c r="H88" s="651"/>
      <c r="I88" s="651"/>
      <c r="J88" s="651"/>
      <c r="K88" s="651"/>
      <c r="L88" s="651"/>
      <c r="M88" s="651"/>
      <c r="N88" s="651"/>
      <c r="O88" s="652"/>
      <c r="P88" s="648" t="s">
        <v>40</v>
      </c>
      <c r="Q88" s="649"/>
      <c r="R88" s="649"/>
      <c r="S88" s="649"/>
      <c r="T88" s="649"/>
      <c r="U88" s="649"/>
      <c r="V88" s="650"/>
      <c r="W88" s="42" t="s">
        <v>39</v>
      </c>
      <c r="X88" s="43">
        <f>IFERROR(X84/H84,"0")+IFERROR(X85/H85,"0")+IFERROR(X86/H86,"0")+IFERROR(X87/H87,"0")</f>
        <v>10</v>
      </c>
      <c r="Y88" s="43">
        <f>IFERROR(Y84/H84,"0")+IFERROR(Y85/H85,"0")+IFERROR(Y86/H86,"0")+IFERROR(Y87/H87,"0")</f>
        <v>10</v>
      </c>
      <c r="Z88" s="43">
        <f>IFERROR(IF(Z84="",0,Z84),"0")+IFERROR(IF(Z85="",0,Z85),"0")+IFERROR(IF(Z86="",0,Z86),"0")+IFERROR(IF(Z87="",0,Z87),"0")</f>
        <v>0.1898</v>
      </c>
      <c r="AA88" s="67"/>
      <c r="AB88" s="67"/>
      <c r="AC88" s="67"/>
    </row>
    <row r="89" spans="1:68" x14ac:dyDescent="0.2">
      <c r="A89" s="651"/>
      <c r="B89" s="651"/>
      <c r="C89" s="651"/>
      <c r="D89" s="651"/>
      <c r="E89" s="651"/>
      <c r="F89" s="651"/>
      <c r="G89" s="651"/>
      <c r="H89" s="651"/>
      <c r="I89" s="651"/>
      <c r="J89" s="651"/>
      <c r="K89" s="651"/>
      <c r="L89" s="651"/>
      <c r="M89" s="651"/>
      <c r="N89" s="651"/>
      <c r="O89" s="652"/>
      <c r="P89" s="648" t="s">
        <v>40</v>
      </c>
      <c r="Q89" s="649"/>
      <c r="R89" s="649"/>
      <c r="S89" s="649"/>
      <c r="T89" s="649"/>
      <c r="U89" s="649"/>
      <c r="V89" s="650"/>
      <c r="W89" s="42" t="s">
        <v>0</v>
      </c>
      <c r="X89" s="43">
        <f>IFERROR(SUM(X84:X87),"0")</f>
        <v>108</v>
      </c>
      <c r="Y89" s="43">
        <f>IFERROR(SUM(Y84:Y87),"0")</f>
        <v>108</v>
      </c>
      <c r="Z89" s="42"/>
      <c r="AA89" s="67"/>
      <c r="AB89" s="67"/>
      <c r="AC89" s="67"/>
    </row>
    <row r="90" spans="1:68" ht="14.25" hidden="1" customHeight="1" x14ac:dyDescent="0.25">
      <c r="A90" s="662" t="s">
        <v>86</v>
      </c>
      <c r="B90" s="662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62"/>
      <c r="R90" s="662"/>
      <c r="S90" s="662"/>
      <c r="T90" s="662"/>
      <c r="U90" s="662"/>
      <c r="V90" s="662"/>
      <c r="W90" s="662"/>
      <c r="X90" s="662"/>
      <c r="Y90" s="662"/>
      <c r="Z90" s="662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657">
        <v>4607091386967</v>
      </c>
      <c r="E91" s="657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59"/>
      <c r="R91" s="659"/>
      <c r="S91" s="659"/>
      <c r="T91" s="660"/>
      <c r="U91" s="39" t="s">
        <v>46</v>
      </c>
      <c r="V91" s="39" t="s">
        <v>46</v>
      </c>
      <c r="W91" s="40" t="s">
        <v>0</v>
      </c>
      <c r="X91" s="58">
        <v>40.5</v>
      </c>
      <c r="Y91" s="55">
        <f>IFERROR(IF(X91="",0,CEILING((X91/$H91),1)*$H91),"")</f>
        <v>40.5</v>
      </c>
      <c r="Z91" s="41">
        <f>IFERROR(IF(Y91=0,"",ROUNDUP(Y91/H91,0)*0.01898),"")</f>
        <v>9.4899999999999998E-2</v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42.97</v>
      </c>
      <c r="BN91" s="78">
        <f>IFERROR(Y91*I91/H91,"0")</f>
        <v>42.97</v>
      </c>
      <c r="BO91" s="78">
        <f>IFERROR(1/J91*(X91/H91),"0")</f>
        <v>7.8125E-2</v>
      </c>
      <c r="BP91" s="78">
        <f>IFERROR(1/J91*(Y91/H91),"0")</f>
        <v>7.8125E-2</v>
      </c>
    </row>
    <row r="92" spans="1:68" ht="27" hidden="1" customHeight="1" x14ac:dyDescent="0.25">
      <c r="A92" s="63" t="s">
        <v>196</v>
      </c>
      <c r="B92" s="63" t="s">
        <v>197</v>
      </c>
      <c r="C92" s="36">
        <v>4301051788</v>
      </c>
      <c r="D92" s="657">
        <v>4680115884953</v>
      </c>
      <c r="E92" s="657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90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59"/>
      <c r="R92" s="659"/>
      <c r="S92" s="659"/>
      <c r="T92" s="660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hidden="1" customHeight="1" x14ac:dyDescent="0.25">
      <c r="A93" s="63" t="s">
        <v>198</v>
      </c>
      <c r="B93" s="63" t="s">
        <v>199</v>
      </c>
      <c r="C93" s="36">
        <v>4301051718</v>
      </c>
      <c r="D93" s="657">
        <v>4607091385731</v>
      </c>
      <c r="E93" s="657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9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59"/>
      <c r="R93" s="659"/>
      <c r="S93" s="659"/>
      <c r="T93" s="660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hidden="1" customHeight="1" x14ac:dyDescent="0.25">
      <c r="A94" s="63" t="s">
        <v>200</v>
      </c>
      <c r="B94" s="63" t="s">
        <v>201</v>
      </c>
      <c r="C94" s="36">
        <v>4301052092</v>
      </c>
      <c r="D94" s="657">
        <v>4680115880894</v>
      </c>
      <c r="E94" s="657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59"/>
      <c r="R94" s="659"/>
      <c r="S94" s="659"/>
      <c r="T94" s="66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51"/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2"/>
      <c r="P95" s="648" t="s">
        <v>40</v>
      </c>
      <c r="Q95" s="649"/>
      <c r="R95" s="649"/>
      <c r="S95" s="649"/>
      <c r="T95" s="649"/>
      <c r="U95" s="649"/>
      <c r="V95" s="650"/>
      <c r="W95" s="42" t="s">
        <v>39</v>
      </c>
      <c r="X95" s="43">
        <f>IFERROR(X91/H91,"0")+IFERROR(X92/H92,"0")+IFERROR(X93/H93,"0")+IFERROR(X94/H94,"0")</f>
        <v>5</v>
      </c>
      <c r="Y95" s="43">
        <f>IFERROR(Y91/H91,"0")+IFERROR(Y92/H92,"0")+IFERROR(Y93/H93,"0")+IFERROR(Y94/H94,"0")</f>
        <v>5</v>
      </c>
      <c r="Z95" s="43">
        <f>IFERROR(IF(Z91="",0,Z91),"0")+IFERROR(IF(Z92="",0,Z92),"0")+IFERROR(IF(Z93="",0,Z93),"0")+IFERROR(IF(Z94="",0,Z94),"0")</f>
        <v>9.4899999999999998E-2</v>
      </c>
      <c r="AA95" s="67"/>
      <c r="AB95" s="67"/>
      <c r="AC95" s="67"/>
    </row>
    <row r="96" spans="1:68" x14ac:dyDescent="0.2">
      <c r="A96" s="651"/>
      <c r="B96" s="651"/>
      <c r="C96" s="651"/>
      <c r="D96" s="651"/>
      <c r="E96" s="651"/>
      <c r="F96" s="651"/>
      <c r="G96" s="651"/>
      <c r="H96" s="651"/>
      <c r="I96" s="651"/>
      <c r="J96" s="651"/>
      <c r="K96" s="651"/>
      <c r="L96" s="651"/>
      <c r="M96" s="651"/>
      <c r="N96" s="651"/>
      <c r="O96" s="652"/>
      <c r="P96" s="648" t="s">
        <v>40</v>
      </c>
      <c r="Q96" s="649"/>
      <c r="R96" s="649"/>
      <c r="S96" s="649"/>
      <c r="T96" s="649"/>
      <c r="U96" s="649"/>
      <c r="V96" s="650"/>
      <c r="W96" s="42" t="s">
        <v>0</v>
      </c>
      <c r="X96" s="43">
        <f>IFERROR(SUM(X91:X94),"0")</f>
        <v>40.5</v>
      </c>
      <c r="Y96" s="43">
        <f>IFERROR(SUM(Y91:Y94),"0")</f>
        <v>40.5</v>
      </c>
      <c r="Z96" s="42"/>
      <c r="AA96" s="67"/>
      <c r="AB96" s="67"/>
      <c r="AC96" s="67"/>
    </row>
    <row r="97" spans="1:68" ht="16.5" hidden="1" customHeight="1" x14ac:dyDescent="0.25">
      <c r="A97" s="661" t="s">
        <v>203</v>
      </c>
      <c r="B97" s="661"/>
      <c r="C97" s="661"/>
      <c r="D97" s="661"/>
      <c r="E97" s="661"/>
      <c r="F97" s="661"/>
      <c r="G97" s="661"/>
      <c r="H97" s="661"/>
      <c r="I97" s="661"/>
      <c r="J97" s="661"/>
      <c r="K97" s="661"/>
      <c r="L97" s="661"/>
      <c r="M97" s="661"/>
      <c r="N97" s="661"/>
      <c r="O97" s="661"/>
      <c r="P97" s="661"/>
      <c r="Q97" s="661"/>
      <c r="R97" s="661"/>
      <c r="S97" s="661"/>
      <c r="T97" s="661"/>
      <c r="U97" s="661"/>
      <c r="V97" s="661"/>
      <c r="W97" s="661"/>
      <c r="X97" s="661"/>
      <c r="Y97" s="661"/>
      <c r="Z97" s="661"/>
      <c r="AA97" s="65"/>
      <c r="AB97" s="65"/>
      <c r="AC97" s="79"/>
    </row>
    <row r="98" spans="1:68" ht="14.25" hidden="1" customHeight="1" x14ac:dyDescent="0.25">
      <c r="A98" s="662" t="s">
        <v>122</v>
      </c>
      <c r="B98" s="662"/>
      <c r="C98" s="662"/>
      <c r="D98" s="662"/>
      <c r="E98" s="662"/>
      <c r="F98" s="662"/>
      <c r="G98" s="662"/>
      <c r="H98" s="662"/>
      <c r="I98" s="662"/>
      <c r="J98" s="662"/>
      <c r="K98" s="662"/>
      <c r="L98" s="662"/>
      <c r="M98" s="662"/>
      <c r="N98" s="662"/>
      <c r="O98" s="662"/>
      <c r="P98" s="662"/>
      <c r="Q98" s="662"/>
      <c r="R98" s="662"/>
      <c r="S98" s="662"/>
      <c r="T98" s="662"/>
      <c r="U98" s="662"/>
      <c r="V98" s="662"/>
      <c r="W98" s="662"/>
      <c r="X98" s="662"/>
      <c r="Y98" s="662"/>
      <c r="Z98" s="662"/>
      <c r="AA98" s="66"/>
      <c r="AB98" s="66"/>
      <c r="AC98" s="80"/>
    </row>
    <row r="99" spans="1:68" ht="37.5" hidden="1" customHeight="1" x14ac:dyDescent="0.25">
      <c r="A99" s="63" t="s">
        <v>204</v>
      </c>
      <c r="B99" s="63" t="s">
        <v>205</v>
      </c>
      <c r="C99" s="36">
        <v>4301011514</v>
      </c>
      <c r="D99" s="657">
        <v>4680115882133</v>
      </c>
      <c r="E99" s="657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90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59"/>
      <c r="R99" s="659"/>
      <c r="S99" s="659"/>
      <c r="T99" s="660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hidden="1" customHeight="1" x14ac:dyDescent="0.25">
      <c r="A100" s="63" t="s">
        <v>207</v>
      </c>
      <c r="B100" s="63" t="s">
        <v>208</v>
      </c>
      <c r="C100" s="36">
        <v>4301012051</v>
      </c>
      <c r="D100" s="657">
        <v>4680115887718</v>
      </c>
      <c r="E100" s="657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90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9"/>
      <c r="R100" s="659"/>
      <c r="S100" s="659"/>
      <c r="T100" s="660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hidden="1" customHeight="1" x14ac:dyDescent="0.25">
      <c r="A101" s="63" t="s">
        <v>207</v>
      </c>
      <c r="B101" s="63" t="s">
        <v>210</v>
      </c>
      <c r="C101" s="36">
        <v>4301012334</v>
      </c>
      <c r="D101" s="657">
        <v>4680115887718</v>
      </c>
      <c r="E101" s="657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9"/>
      <c r="R101" s="659"/>
      <c r="S101" s="659"/>
      <c r="T101" s="660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hidden="1" customHeight="1" x14ac:dyDescent="0.25">
      <c r="A102" s="63" t="s">
        <v>207</v>
      </c>
      <c r="B102" s="63" t="s">
        <v>211</v>
      </c>
      <c r="C102" s="36">
        <v>4301012379</v>
      </c>
      <c r="D102" s="657">
        <v>4680115887718</v>
      </c>
      <c r="E102" s="657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59"/>
      <c r="R102" s="659"/>
      <c r="S102" s="659"/>
      <c r="T102" s="660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hidden="1" customHeight="1" x14ac:dyDescent="0.25">
      <c r="A103" s="63" t="s">
        <v>212</v>
      </c>
      <c r="B103" s="63" t="s">
        <v>213</v>
      </c>
      <c r="C103" s="36">
        <v>4301011417</v>
      </c>
      <c r="D103" s="657">
        <v>4680115880269</v>
      </c>
      <c r="E103" s="657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59"/>
      <c r="R103" s="659"/>
      <c r="S103" s="659"/>
      <c r="T103" s="66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4301011415</v>
      </c>
      <c r="D104" s="657">
        <v>4680115880429</v>
      </c>
      <c r="E104" s="657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89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59"/>
      <c r="R104" s="659"/>
      <c r="S104" s="659"/>
      <c r="T104" s="66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hidden="1" customHeight="1" x14ac:dyDescent="0.25">
      <c r="A105" s="63" t="s">
        <v>216</v>
      </c>
      <c r="B105" s="63" t="s">
        <v>217</v>
      </c>
      <c r="C105" s="36">
        <v>4301011462</v>
      </c>
      <c r="D105" s="657">
        <v>4680115881457</v>
      </c>
      <c r="E105" s="657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59"/>
      <c r="R105" s="659"/>
      <c r="S105" s="659"/>
      <c r="T105" s="66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idden="1" x14ac:dyDescent="0.2">
      <c r="A106" s="651"/>
      <c r="B106" s="651"/>
      <c r="C106" s="651"/>
      <c r="D106" s="651"/>
      <c r="E106" s="651"/>
      <c r="F106" s="651"/>
      <c r="G106" s="651"/>
      <c r="H106" s="651"/>
      <c r="I106" s="651"/>
      <c r="J106" s="651"/>
      <c r="K106" s="651"/>
      <c r="L106" s="651"/>
      <c r="M106" s="651"/>
      <c r="N106" s="651"/>
      <c r="O106" s="652"/>
      <c r="P106" s="648" t="s">
        <v>40</v>
      </c>
      <c r="Q106" s="649"/>
      <c r="R106" s="649"/>
      <c r="S106" s="649"/>
      <c r="T106" s="649"/>
      <c r="U106" s="649"/>
      <c r="V106" s="650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hidden="1" x14ac:dyDescent="0.2">
      <c r="A107" s="651"/>
      <c r="B107" s="651"/>
      <c r="C107" s="651"/>
      <c r="D107" s="651"/>
      <c r="E107" s="651"/>
      <c r="F107" s="651"/>
      <c r="G107" s="651"/>
      <c r="H107" s="651"/>
      <c r="I107" s="651"/>
      <c r="J107" s="651"/>
      <c r="K107" s="651"/>
      <c r="L107" s="651"/>
      <c r="M107" s="651"/>
      <c r="N107" s="651"/>
      <c r="O107" s="652"/>
      <c r="P107" s="648" t="s">
        <v>40</v>
      </c>
      <c r="Q107" s="649"/>
      <c r="R107" s="649"/>
      <c r="S107" s="649"/>
      <c r="T107" s="649"/>
      <c r="U107" s="649"/>
      <c r="V107" s="650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hidden="1" customHeight="1" x14ac:dyDescent="0.25">
      <c r="A108" s="662" t="s">
        <v>158</v>
      </c>
      <c r="B108" s="662"/>
      <c r="C108" s="662"/>
      <c r="D108" s="662"/>
      <c r="E108" s="662"/>
      <c r="F108" s="662"/>
      <c r="G108" s="662"/>
      <c r="H108" s="662"/>
      <c r="I108" s="662"/>
      <c r="J108" s="662"/>
      <c r="K108" s="662"/>
      <c r="L108" s="662"/>
      <c r="M108" s="662"/>
      <c r="N108" s="662"/>
      <c r="O108" s="662"/>
      <c r="P108" s="662"/>
      <c r="Q108" s="662"/>
      <c r="R108" s="662"/>
      <c r="S108" s="662"/>
      <c r="T108" s="662"/>
      <c r="U108" s="662"/>
      <c r="V108" s="662"/>
      <c r="W108" s="662"/>
      <c r="X108" s="662"/>
      <c r="Y108" s="662"/>
      <c r="Z108" s="662"/>
      <c r="AA108" s="66"/>
      <c r="AB108" s="66"/>
      <c r="AC108" s="80"/>
    </row>
    <row r="109" spans="1:68" ht="27" hidden="1" customHeight="1" x14ac:dyDescent="0.25">
      <c r="A109" s="63" t="s">
        <v>218</v>
      </c>
      <c r="B109" s="63" t="s">
        <v>219</v>
      </c>
      <c r="C109" s="36">
        <v>4301020391</v>
      </c>
      <c r="D109" s="657">
        <v>4680115881488</v>
      </c>
      <c r="E109" s="657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89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59"/>
      <c r="R109" s="659"/>
      <c r="S109" s="659"/>
      <c r="T109" s="660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221</v>
      </c>
      <c r="B110" s="63" t="s">
        <v>222</v>
      </c>
      <c r="C110" s="36">
        <v>4301020186</v>
      </c>
      <c r="D110" s="657">
        <v>4680115887664</v>
      </c>
      <c r="E110" s="657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89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9"/>
      <c r="R110" s="659"/>
      <c r="S110" s="659"/>
      <c r="T110" s="660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221</v>
      </c>
      <c r="B111" s="63" t="s">
        <v>225</v>
      </c>
      <c r="C111" s="36">
        <v>4301020430</v>
      </c>
      <c r="D111" s="657">
        <v>4680115887664</v>
      </c>
      <c r="E111" s="657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89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59"/>
      <c r="R111" s="659"/>
      <c r="S111" s="659"/>
      <c r="T111" s="660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4301020393</v>
      </c>
      <c r="D112" s="657">
        <v>4680115882775</v>
      </c>
      <c r="E112" s="657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59"/>
      <c r="R112" s="659"/>
      <c r="S112" s="659"/>
      <c r="T112" s="66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4301020392</v>
      </c>
      <c r="D113" s="657">
        <v>4680115880658</v>
      </c>
      <c r="E113" s="657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89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59"/>
      <c r="R113" s="659"/>
      <c r="S113" s="659"/>
      <c r="T113" s="66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idden="1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52"/>
      <c r="P114" s="648" t="s">
        <v>40</v>
      </c>
      <c r="Q114" s="649"/>
      <c r="R114" s="649"/>
      <c r="S114" s="649"/>
      <c r="T114" s="649"/>
      <c r="U114" s="649"/>
      <c r="V114" s="650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hidden="1" x14ac:dyDescent="0.2">
      <c r="A115" s="651"/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2"/>
      <c r="P115" s="648" t="s">
        <v>40</v>
      </c>
      <c r="Q115" s="649"/>
      <c r="R115" s="649"/>
      <c r="S115" s="649"/>
      <c r="T115" s="649"/>
      <c r="U115" s="649"/>
      <c r="V115" s="650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hidden="1" customHeight="1" x14ac:dyDescent="0.25">
      <c r="A116" s="662" t="s">
        <v>86</v>
      </c>
      <c r="B116" s="662"/>
      <c r="C116" s="662"/>
      <c r="D116" s="662"/>
      <c r="E116" s="662"/>
      <c r="F116" s="662"/>
      <c r="G116" s="662"/>
      <c r="H116" s="662"/>
      <c r="I116" s="662"/>
      <c r="J116" s="662"/>
      <c r="K116" s="662"/>
      <c r="L116" s="662"/>
      <c r="M116" s="662"/>
      <c r="N116" s="662"/>
      <c r="O116" s="662"/>
      <c r="P116" s="662"/>
      <c r="Q116" s="662"/>
      <c r="R116" s="662"/>
      <c r="S116" s="662"/>
      <c r="T116" s="662"/>
      <c r="U116" s="662"/>
      <c r="V116" s="662"/>
      <c r="W116" s="662"/>
      <c r="X116" s="662"/>
      <c r="Y116" s="662"/>
      <c r="Z116" s="662"/>
      <c r="AA116" s="66"/>
      <c r="AB116" s="66"/>
      <c r="AC116" s="80"/>
    </row>
    <row r="117" spans="1:68" ht="27" hidden="1" customHeight="1" x14ac:dyDescent="0.25">
      <c r="A117" s="63" t="s">
        <v>230</v>
      </c>
      <c r="B117" s="63" t="s">
        <v>231</v>
      </c>
      <c r="C117" s="36">
        <v>4301051724</v>
      </c>
      <c r="D117" s="657">
        <v>4607091385168</v>
      </c>
      <c r="E117" s="657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8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59"/>
      <c r="R117" s="659"/>
      <c r="S117" s="659"/>
      <c r="T117" s="66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233</v>
      </c>
      <c r="B118" s="63" t="s">
        <v>234</v>
      </c>
      <c r="C118" s="36">
        <v>4301051730</v>
      </c>
      <c r="D118" s="657">
        <v>4607091383256</v>
      </c>
      <c r="E118" s="657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88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59"/>
      <c r="R118" s="659"/>
      <c r="S118" s="659"/>
      <c r="T118" s="66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235</v>
      </c>
      <c r="B119" s="63" t="s">
        <v>236</v>
      </c>
      <c r="C119" s="36">
        <v>4301051721</v>
      </c>
      <c r="D119" s="657">
        <v>4607091385748</v>
      </c>
      <c r="E119" s="657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8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59"/>
      <c r="R119" s="659"/>
      <c r="S119" s="659"/>
      <c r="T119" s="660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hidden="1" customHeight="1" x14ac:dyDescent="0.25">
      <c r="A120" s="63" t="s">
        <v>237</v>
      </c>
      <c r="B120" s="63" t="s">
        <v>238</v>
      </c>
      <c r="C120" s="36">
        <v>4301051740</v>
      </c>
      <c r="D120" s="657">
        <v>4680115884533</v>
      </c>
      <c r="E120" s="657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88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59"/>
      <c r="R120" s="659"/>
      <c r="S120" s="659"/>
      <c r="T120" s="660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51"/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2"/>
      <c r="P121" s="648" t="s">
        <v>40</v>
      </c>
      <c r="Q121" s="649"/>
      <c r="R121" s="649"/>
      <c r="S121" s="649"/>
      <c r="T121" s="649"/>
      <c r="U121" s="649"/>
      <c r="V121" s="650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51"/>
      <c r="B122" s="651"/>
      <c r="C122" s="651"/>
      <c r="D122" s="651"/>
      <c r="E122" s="651"/>
      <c r="F122" s="651"/>
      <c r="G122" s="651"/>
      <c r="H122" s="651"/>
      <c r="I122" s="651"/>
      <c r="J122" s="651"/>
      <c r="K122" s="651"/>
      <c r="L122" s="651"/>
      <c r="M122" s="651"/>
      <c r="N122" s="651"/>
      <c r="O122" s="652"/>
      <c r="P122" s="648" t="s">
        <v>40</v>
      </c>
      <c r="Q122" s="649"/>
      <c r="R122" s="649"/>
      <c r="S122" s="649"/>
      <c r="T122" s="649"/>
      <c r="U122" s="649"/>
      <c r="V122" s="650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62" t="s">
        <v>175</v>
      </c>
      <c r="B123" s="662"/>
      <c r="C123" s="662"/>
      <c r="D123" s="662"/>
      <c r="E123" s="662"/>
      <c r="F123" s="662"/>
      <c r="G123" s="662"/>
      <c r="H123" s="662"/>
      <c r="I123" s="662"/>
      <c r="J123" s="662"/>
      <c r="K123" s="662"/>
      <c r="L123" s="662"/>
      <c r="M123" s="662"/>
      <c r="N123" s="662"/>
      <c r="O123" s="662"/>
      <c r="P123" s="662"/>
      <c r="Q123" s="662"/>
      <c r="R123" s="662"/>
      <c r="S123" s="662"/>
      <c r="T123" s="662"/>
      <c r="U123" s="662"/>
      <c r="V123" s="662"/>
      <c r="W123" s="662"/>
      <c r="X123" s="662"/>
      <c r="Y123" s="662"/>
      <c r="Z123" s="662"/>
      <c r="AA123" s="66"/>
      <c r="AB123" s="66"/>
      <c r="AC123" s="80"/>
    </row>
    <row r="124" spans="1:68" ht="16.5" hidden="1" customHeight="1" x14ac:dyDescent="0.25">
      <c r="A124" s="63" t="s">
        <v>240</v>
      </c>
      <c r="B124" s="63" t="s">
        <v>241</v>
      </c>
      <c r="C124" s="36">
        <v>4301060317</v>
      </c>
      <c r="D124" s="657">
        <v>4680115880238</v>
      </c>
      <c r="E124" s="657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88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59"/>
      <c r="R124" s="659"/>
      <c r="S124" s="659"/>
      <c r="T124" s="66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idden="1" x14ac:dyDescent="0.2">
      <c r="A125" s="651"/>
      <c r="B125" s="651"/>
      <c r="C125" s="651"/>
      <c r="D125" s="651"/>
      <c r="E125" s="651"/>
      <c r="F125" s="651"/>
      <c r="G125" s="651"/>
      <c r="H125" s="651"/>
      <c r="I125" s="651"/>
      <c r="J125" s="651"/>
      <c r="K125" s="651"/>
      <c r="L125" s="651"/>
      <c r="M125" s="651"/>
      <c r="N125" s="651"/>
      <c r="O125" s="652"/>
      <c r="P125" s="648" t="s">
        <v>40</v>
      </c>
      <c r="Q125" s="649"/>
      <c r="R125" s="649"/>
      <c r="S125" s="649"/>
      <c r="T125" s="649"/>
      <c r="U125" s="649"/>
      <c r="V125" s="650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hidden="1" x14ac:dyDescent="0.2">
      <c r="A126" s="651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2"/>
      <c r="P126" s="648" t="s">
        <v>40</v>
      </c>
      <c r="Q126" s="649"/>
      <c r="R126" s="649"/>
      <c r="S126" s="649"/>
      <c r="T126" s="649"/>
      <c r="U126" s="649"/>
      <c r="V126" s="650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hidden="1" customHeight="1" x14ac:dyDescent="0.25">
      <c r="A127" s="661" t="s">
        <v>243</v>
      </c>
      <c r="B127" s="661"/>
      <c r="C127" s="661"/>
      <c r="D127" s="661"/>
      <c r="E127" s="661"/>
      <c r="F127" s="661"/>
      <c r="G127" s="661"/>
      <c r="H127" s="661"/>
      <c r="I127" s="661"/>
      <c r="J127" s="661"/>
      <c r="K127" s="661"/>
      <c r="L127" s="661"/>
      <c r="M127" s="661"/>
      <c r="N127" s="661"/>
      <c r="O127" s="661"/>
      <c r="P127" s="661"/>
      <c r="Q127" s="661"/>
      <c r="R127" s="661"/>
      <c r="S127" s="661"/>
      <c r="T127" s="661"/>
      <c r="U127" s="661"/>
      <c r="V127" s="661"/>
      <c r="W127" s="661"/>
      <c r="X127" s="661"/>
      <c r="Y127" s="661"/>
      <c r="Z127" s="661"/>
      <c r="AA127" s="65"/>
      <c r="AB127" s="65"/>
      <c r="AC127" s="79"/>
    </row>
    <row r="128" spans="1:68" ht="14.25" hidden="1" customHeight="1" x14ac:dyDescent="0.25">
      <c r="A128" s="662" t="s">
        <v>122</v>
      </c>
      <c r="B128" s="662"/>
      <c r="C128" s="662"/>
      <c r="D128" s="662"/>
      <c r="E128" s="662"/>
      <c r="F128" s="662"/>
      <c r="G128" s="662"/>
      <c r="H128" s="662"/>
      <c r="I128" s="662"/>
      <c r="J128" s="662"/>
      <c r="K128" s="662"/>
      <c r="L128" s="662"/>
      <c r="M128" s="662"/>
      <c r="N128" s="662"/>
      <c r="O128" s="662"/>
      <c r="P128" s="662"/>
      <c r="Q128" s="662"/>
      <c r="R128" s="662"/>
      <c r="S128" s="662"/>
      <c r="T128" s="662"/>
      <c r="U128" s="662"/>
      <c r="V128" s="662"/>
      <c r="W128" s="662"/>
      <c r="X128" s="662"/>
      <c r="Y128" s="662"/>
      <c r="Z128" s="662"/>
      <c r="AA128" s="66"/>
      <c r="AB128" s="66"/>
      <c r="AC128" s="80"/>
    </row>
    <row r="129" spans="1:68" ht="27" hidden="1" customHeight="1" x14ac:dyDescent="0.25">
      <c r="A129" s="63" t="s">
        <v>244</v>
      </c>
      <c r="B129" s="63" t="s">
        <v>245</v>
      </c>
      <c r="C129" s="36">
        <v>4301012347</v>
      </c>
      <c r="D129" s="657">
        <v>4680115888784</v>
      </c>
      <c r="E129" s="657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88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59"/>
      <c r="R129" s="659"/>
      <c r="S129" s="659"/>
      <c r="T129" s="66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248</v>
      </c>
      <c r="B130" s="63" t="s">
        <v>249</v>
      </c>
      <c r="C130" s="36">
        <v>4301011562</v>
      </c>
      <c r="D130" s="657">
        <v>4680115882577</v>
      </c>
      <c r="E130" s="657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9"/>
      <c r="R130" s="659"/>
      <c r="S130" s="659"/>
      <c r="T130" s="660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248</v>
      </c>
      <c r="B131" s="63" t="s">
        <v>252</v>
      </c>
      <c r="C131" s="36">
        <v>4301011564</v>
      </c>
      <c r="D131" s="657">
        <v>4680115882577</v>
      </c>
      <c r="E131" s="657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9"/>
      <c r="R131" s="659"/>
      <c r="S131" s="659"/>
      <c r="T131" s="660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1"/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2"/>
      <c r="P132" s="648" t="s">
        <v>40</v>
      </c>
      <c r="Q132" s="649"/>
      <c r="R132" s="649"/>
      <c r="S132" s="649"/>
      <c r="T132" s="649"/>
      <c r="U132" s="649"/>
      <c r="V132" s="650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hidden="1" x14ac:dyDescent="0.2">
      <c r="A133" s="651"/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2"/>
      <c r="P133" s="648" t="s">
        <v>40</v>
      </c>
      <c r="Q133" s="649"/>
      <c r="R133" s="649"/>
      <c r="S133" s="649"/>
      <c r="T133" s="649"/>
      <c r="U133" s="649"/>
      <c r="V133" s="650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62" t="s">
        <v>77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6"/>
      <c r="AB134" s="66"/>
      <c r="AC134" s="80"/>
    </row>
    <row r="135" spans="1:68" ht="16.5" hidden="1" customHeight="1" x14ac:dyDescent="0.25">
      <c r="A135" s="63" t="s">
        <v>253</v>
      </c>
      <c r="B135" s="63" t="s">
        <v>254</v>
      </c>
      <c r="C135" s="36">
        <v>4301031506</v>
      </c>
      <c r="D135" s="657">
        <v>4680115888913</v>
      </c>
      <c r="E135" s="657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8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59"/>
      <c r="R135" s="659"/>
      <c r="S135" s="659"/>
      <c r="T135" s="66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256</v>
      </c>
      <c r="B136" s="63" t="s">
        <v>257</v>
      </c>
      <c r="C136" s="36">
        <v>4301031234</v>
      </c>
      <c r="D136" s="657">
        <v>4680115883444</v>
      </c>
      <c r="E136" s="657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9"/>
      <c r="R136" s="659"/>
      <c r="S136" s="659"/>
      <c r="T136" s="660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256</v>
      </c>
      <c r="B137" s="63" t="s">
        <v>259</v>
      </c>
      <c r="C137" s="36">
        <v>4301031235</v>
      </c>
      <c r="D137" s="657">
        <v>4680115883444</v>
      </c>
      <c r="E137" s="65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8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9"/>
      <c r="R137" s="659"/>
      <c r="S137" s="659"/>
      <c r="T137" s="660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hidden="1" customHeight="1" x14ac:dyDescent="0.25">
      <c r="A138" s="63" t="s">
        <v>260</v>
      </c>
      <c r="B138" s="63" t="s">
        <v>261</v>
      </c>
      <c r="C138" s="36">
        <v>4301031504</v>
      </c>
      <c r="D138" s="657">
        <v>4680115888920</v>
      </c>
      <c r="E138" s="657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88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59"/>
      <c r="R138" s="659"/>
      <c r="S138" s="659"/>
      <c r="T138" s="66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51"/>
      <c r="B139" s="651"/>
      <c r="C139" s="651"/>
      <c r="D139" s="651"/>
      <c r="E139" s="651"/>
      <c r="F139" s="651"/>
      <c r="G139" s="651"/>
      <c r="H139" s="651"/>
      <c r="I139" s="651"/>
      <c r="J139" s="651"/>
      <c r="K139" s="651"/>
      <c r="L139" s="651"/>
      <c r="M139" s="651"/>
      <c r="N139" s="651"/>
      <c r="O139" s="652"/>
      <c r="P139" s="648" t="s">
        <v>40</v>
      </c>
      <c r="Q139" s="649"/>
      <c r="R139" s="649"/>
      <c r="S139" s="649"/>
      <c r="T139" s="649"/>
      <c r="U139" s="649"/>
      <c r="V139" s="650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hidden="1" x14ac:dyDescent="0.2">
      <c r="A140" s="651"/>
      <c r="B140" s="651"/>
      <c r="C140" s="651"/>
      <c r="D140" s="651"/>
      <c r="E140" s="651"/>
      <c r="F140" s="651"/>
      <c r="G140" s="651"/>
      <c r="H140" s="651"/>
      <c r="I140" s="651"/>
      <c r="J140" s="651"/>
      <c r="K140" s="651"/>
      <c r="L140" s="651"/>
      <c r="M140" s="651"/>
      <c r="N140" s="651"/>
      <c r="O140" s="652"/>
      <c r="P140" s="648" t="s">
        <v>40</v>
      </c>
      <c r="Q140" s="649"/>
      <c r="R140" s="649"/>
      <c r="S140" s="649"/>
      <c r="T140" s="649"/>
      <c r="U140" s="649"/>
      <c r="V140" s="650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62" t="s">
        <v>86</v>
      </c>
      <c r="B141" s="662"/>
      <c r="C141" s="662"/>
      <c r="D141" s="662"/>
      <c r="E141" s="662"/>
      <c r="F141" s="662"/>
      <c r="G141" s="662"/>
      <c r="H141" s="662"/>
      <c r="I141" s="662"/>
      <c r="J141" s="662"/>
      <c r="K141" s="662"/>
      <c r="L141" s="662"/>
      <c r="M141" s="662"/>
      <c r="N141" s="662"/>
      <c r="O141" s="662"/>
      <c r="P141" s="662"/>
      <c r="Q141" s="662"/>
      <c r="R141" s="662"/>
      <c r="S141" s="662"/>
      <c r="T141" s="662"/>
      <c r="U141" s="662"/>
      <c r="V141" s="662"/>
      <c r="W141" s="662"/>
      <c r="X141" s="662"/>
      <c r="Y141" s="662"/>
      <c r="Z141" s="662"/>
      <c r="AA141" s="66"/>
      <c r="AB141" s="66"/>
      <c r="AC141" s="80"/>
    </row>
    <row r="142" spans="1:68" ht="16.5" hidden="1" customHeight="1" x14ac:dyDescent="0.25">
      <c r="A142" s="63" t="s">
        <v>262</v>
      </c>
      <c r="B142" s="63" t="s">
        <v>263</v>
      </c>
      <c r="C142" s="36">
        <v>4301052219</v>
      </c>
      <c r="D142" s="657">
        <v>4680115888944</v>
      </c>
      <c r="E142" s="657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87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59"/>
      <c r="R142" s="659"/>
      <c r="S142" s="659"/>
      <c r="T142" s="660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264</v>
      </c>
      <c r="B143" s="63" t="s">
        <v>265</v>
      </c>
      <c r="C143" s="36">
        <v>4301051476</v>
      </c>
      <c r="D143" s="657">
        <v>4680115882584</v>
      </c>
      <c r="E143" s="65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8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59"/>
      <c r="R143" s="659"/>
      <c r="S143" s="659"/>
      <c r="T143" s="66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264</v>
      </c>
      <c r="B144" s="63" t="s">
        <v>266</v>
      </c>
      <c r="C144" s="36">
        <v>4301051477</v>
      </c>
      <c r="D144" s="657">
        <v>4680115882584</v>
      </c>
      <c r="E144" s="65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87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59"/>
      <c r="R144" s="659"/>
      <c r="S144" s="659"/>
      <c r="T144" s="66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51"/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2"/>
      <c r="P145" s="648" t="s">
        <v>40</v>
      </c>
      <c r="Q145" s="649"/>
      <c r="R145" s="649"/>
      <c r="S145" s="649"/>
      <c r="T145" s="649"/>
      <c r="U145" s="649"/>
      <c r="V145" s="650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hidden="1" x14ac:dyDescent="0.2">
      <c r="A146" s="651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52"/>
      <c r="P146" s="648" t="s">
        <v>40</v>
      </c>
      <c r="Q146" s="649"/>
      <c r="R146" s="649"/>
      <c r="S146" s="649"/>
      <c r="T146" s="649"/>
      <c r="U146" s="649"/>
      <c r="V146" s="650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hidden="1" customHeight="1" x14ac:dyDescent="0.25">
      <c r="A147" s="661" t="s">
        <v>267</v>
      </c>
      <c r="B147" s="661"/>
      <c r="C147" s="661"/>
      <c r="D147" s="661"/>
      <c r="E147" s="661"/>
      <c r="F147" s="661"/>
      <c r="G147" s="661"/>
      <c r="H147" s="661"/>
      <c r="I147" s="661"/>
      <c r="J147" s="661"/>
      <c r="K147" s="661"/>
      <c r="L147" s="661"/>
      <c r="M147" s="661"/>
      <c r="N147" s="661"/>
      <c r="O147" s="661"/>
      <c r="P147" s="661"/>
      <c r="Q147" s="661"/>
      <c r="R147" s="661"/>
      <c r="S147" s="661"/>
      <c r="T147" s="661"/>
      <c r="U147" s="661"/>
      <c r="V147" s="661"/>
      <c r="W147" s="661"/>
      <c r="X147" s="661"/>
      <c r="Y147" s="661"/>
      <c r="Z147" s="661"/>
      <c r="AA147" s="65"/>
      <c r="AB147" s="65"/>
      <c r="AC147" s="79"/>
    </row>
    <row r="148" spans="1:68" ht="14.25" hidden="1" customHeight="1" x14ac:dyDescent="0.25">
      <c r="A148" s="662" t="s">
        <v>86</v>
      </c>
      <c r="B148" s="662"/>
      <c r="C148" s="662"/>
      <c r="D148" s="662"/>
      <c r="E148" s="662"/>
      <c r="F148" s="662"/>
      <c r="G148" s="662"/>
      <c r="H148" s="662"/>
      <c r="I148" s="662"/>
      <c r="J148" s="662"/>
      <c r="K148" s="662"/>
      <c r="L148" s="662"/>
      <c r="M148" s="662"/>
      <c r="N148" s="662"/>
      <c r="O148" s="662"/>
      <c r="P148" s="662"/>
      <c r="Q148" s="662"/>
      <c r="R148" s="662"/>
      <c r="S148" s="662"/>
      <c r="T148" s="662"/>
      <c r="U148" s="662"/>
      <c r="V148" s="662"/>
      <c r="W148" s="662"/>
      <c r="X148" s="662"/>
      <c r="Y148" s="662"/>
      <c r="Z148" s="662"/>
      <c r="AA148" s="66"/>
      <c r="AB148" s="66"/>
      <c r="AC148" s="80"/>
    </row>
    <row r="149" spans="1:68" ht="27" hidden="1" customHeight="1" x14ac:dyDescent="0.25">
      <c r="A149" s="63" t="s">
        <v>268</v>
      </c>
      <c r="B149" s="63" t="s">
        <v>269</v>
      </c>
      <c r="C149" s="36">
        <v>4301052254</v>
      </c>
      <c r="D149" s="657">
        <v>4680115888203</v>
      </c>
      <c r="E149" s="657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7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59"/>
      <c r="R149" s="659"/>
      <c r="S149" s="659"/>
      <c r="T149" s="660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4301052172</v>
      </c>
      <c r="D150" s="657">
        <v>4680115888180</v>
      </c>
      <c r="E150" s="65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7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9"/>
      <c r="R150" s="659"/>
      <c r="S150" s="659"/>
      <c r="T150" s="660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274</v>
      </c>
      <c r="C151" s="36">
        <v>4301052252</v>
      </c>
      <c r="D151" s="657">
        <v>4680115888180</v>
      </c>
      <c r="E151" s="657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7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9"/>
      <c r="R151" s="659"/>
      <c r="S151" s="659"/>
      <c r="T151" s="660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275</v>
      </c>
      <c r="B152" s="63" t="s">
        <v>276</v>
      </c>
      <c r="C152" s="36">
        <v>4301052173</v>
      </c>
      <c r="D152" s="657">
        <v>4680115888197</v>
      </c>
      <c r="E152" s="65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7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9"/>
      <c r="R152" s="659"/>
      <c r="S152" s="659"/>
      <c r="T152" s="66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275</v>
      </c>
      <c r="B153" s="63" t="s">
        <v>278</v>
      </c>
      <c r="C153" s="36">
        <v>4301052253</v>
      </c>
      <c r="D153" s="657">
        <v>4680115888197</v>
      </c>
      <c r="E153" s="65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6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9"/>
      <c r="R153" s="659"/>
      <c r="S153" s="659"/>
      <c r="T153" s="660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4301052175</v>
      </c>
      <c r="D154" s="657">
        <v>4680115888210</v>
      </c>
      <c r="E154" s="65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9"/>
      <c r="R154" s="659"/>
      <c r="S154" s="659"/>
      <c r="T154" s="660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hidden="1" customHeight="1" x14ac:dyDescent="0.25">
      <c r="A155" s="63" t="s">
        <v>279</v>
      </c>
      <c r="B155" s="63" t="s">
        <v>282</v>
      </c>
      <c r="C155" s="36">
        <v>4301052255</v>
      </c>
      <c r="D155" s="657">
        <v>4680115888210</v>
      </c>
      <c r="E155" s="65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9"/>
      <c r="R155" s="659"/>
      <c r="S155" s="659"/>
      <c r="T155" s="66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hidden="1" x14ac:dyDescent="0.2">
      <c r="A156" s="651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52"/>
      <c r="P156" s="648" t="s">
        <v>40</v>
      </c>
      <c r="Q156" s="649"/>
      <c r="R156" s="649"/>
      <c r="S156" s="649"/>
      <c r="T156" s="649"/>
      <c r="U156" s="649"/>
      <c r="V156" s="650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52"/>
      <c r="P157" s="648" t="s">
        <v>40</v>
      </c>
      <c r="Q157" s="649"/>
      <c r="R157" s="649"/>
      <c r="S157" s="649"/>
      <c r="T157" s="649"/>
      <c r="U157" s="649"/>
      <c r="V157" s="650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62" t="s">
        <v>283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6"/>
      <c r="AB158" s="66"/>
      <c r="AC158" s="80"/>
    </row>
    <row r="159" spans="1:68" ht="27" hidden="1" customHeight="1" x14ac:dyDescent="0.25">
      <c r="A159" s="63" t="s">
        <v>284</v>
      </c>
      <c r="B159" s="63" t="s">
        <v>285</v>
      </c>
      <c r="C159" s="36">
        <v>4301032067</v>
      </c>
      <c r="D159" s="657">
        <v>4680115889132</v>
      </c>
      <c r="E159" s="65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866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9"/>
      <c r="R159" s="659"/>
      <c r="S159" s="659"/>
      <c r="T159" s="66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51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2"/>
      <c r="P160" s="648" t="s">
        <v>40</v>
      </c>
      <c r="Q160" s="649"/>
      <c r="R160" s="649"/>
      <c r="S160" s="649"/>
      <c r="T160" s="649"/>
      <c r="U160" s="649"/>
      <c r="V160" s="65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52"/>
      <c r="P161" s="648" t="s">
        <v>40</v>
      </c>
      <c r="Q161" s="649"/>
      <c r="R161" s="649"/>
      <c r="S161" s="649"/>
      <c r="T161" s="649"/>
      <c r="U161" s="649"/>
      <c r="V161" s="65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1" t="s">
        <v>120</v>
      </c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1"/>
      <c r="P162" s="661"/>
      <c r="Q162" s="661"/>
      <c r="R162" s="661"/>
      <c r="S162" s="661"/>
      <c r="T162" s="661"/>
      <c r="U162" s="661"/>
      <c r="V162" s="661"/>
      <c r="W162" s="661"/>
      <c r="X162" s="661"/>
      <c r="Y162" s="661"/>
      <c r="Z162" s="661"/>
      <c r="AA162" s="65"/>
      <c r="AB162" s="65"/>
      <c r="AC162" s="79"/>
    </row>
    <row r="163" spans="1:68" ht="14.25" hidden="1" customHeight="1" x14ac:dyDescent="0.25">
      <c r="A163" s="662" t="s">
        <v>122</v>
      </c>
      <c r="B163" s="662"/>
      <c r="C163" s="662"/>
      <c r="D163" s="662"/>
      <c r="E163" s="662"/>
      <c r="F163" s="662"/>
      <c r="G163" s="662"/>
      <c r="H163" s="662"/>
      <c r="I163" s="662"/>
      <c r="J163" s="662"/>
      <c r="K163" s="662"/>
      <c r="L163" s="662"/>
      <c r="M163" s="662"/>
      <c r="N163" s="662"/>
      <c r="O163" s="662"/>
      <c r="P163" s="662"/>
      <c r="Q163" s="662"/>
      <c r="R163" s="662"/>
      <c r="S163" s="662"/>
      <c r="T163" s="662"/>
      <c r="U163" s="662"/>
      <c r="V163" s="662"/>
      <c r="W163" s="662"/>
      <c r="X163" s="662"/>
      <c r="Y163" s="662"/>
      <c r="Z163" s="662"/>
      <c r="AA163" s="66"/>
      <c r="AB163" s="66"/>
      <c r="AC163" s="80"/>
    </row>
    <row r="164" spans="1:68" ht="27" hidden="1" customHeight="1" x14ac:dyDescent="0.25">
      <c r="A164" s="63" t="s">
        <v>290</v>
      </c>
      <c r="B164" s="63" t="s">
        <v>291</v>
      </c>
      <c r="C164" s="36">
        <v>4301012338</v>
      </c>
      <c r="D164" s="657">
        <v>4680115887374</v>
      </c>
      <c r="E164" s="65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9"/>
      <c r="R164" s="659"/>
      <c r="S164" s="659"/>
      <c r="T164" s="66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293</v>
      </c>
      <c r="B165" s="63" t="s">
        <v>294</v>
      </c>
      <c r="C165" s="36">
        <v>4301011705</v>
      </c>
      <c r="D165" s="657">
        <v>4607091384604</v>
      </c>
      <c r="E165" s="65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6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9"/>
      <c r="R165" s="659"/>
      <c r="S165" s="659"/>
      <c r="T165" s="66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296</v>
      </c>
      <c r="B166" s="63" t="s">
        <v>297</v>
      </c>
      <c r="C166" s="36">
        <v>4301012344</v>
      </c>
      <c r="D166" s="657">
        <v>4680115888876</v>
      </c>
      <c r="E166" s="657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6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9"/>
      <c r="R166" s="659"/>
      <c r="S166" s="659"/>
      <c r="T166" s="66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1"/>
      <c r="B167" s="651"/>
      <c r="C167" s="651"/>
      <c r="D167" s="651"/>
      <c r="E167" s="651"/>
      <c r="F167" s="651"/>
      <c r="G167" s="651"/>
      <c r="H167" s="651"/>
      <c r="I167" s="651"/>
      <c r="J167" s="651"/>
      <c r="K167" s="651"/>
      <c r="L167" s="651"/>
      <c r="M167" s="651"/>
      <c r="N167" s="651"/>
      <c r="O167" s="652"/>
      <c r="P167" s="648" t="s">
        <v>40</v>
      </c>
      <c r="Q167" s="649"/>
      <c r="R167" s="649"/>
      <c r="S167" s="649"/>
      <c r="T167" s="649"/>
      <c r="U167" s="649"/>
      <c r="V167" s="650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651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52"/>
      <c r="P168" s="648" t="s">
        <v>40</v>
      </c>
      <c r="Q168" s="649"/>
      <c r="R168" s="649"/>
      <c r="S168" s="649"/>
      <c r="T168" s="649"/>
      <c r="U168" s="649"/>
      <c r="V168" s="650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62" t="s">
        <v>158</v>
      </c>
      <c r="B169" s="662"/>
      <c r="C169" s="662"/>
      <c r="D169" s="662"/>
      <c r="E169" s="662"/>
      <c r="F169" s="662"/>
      <c r="G169" s="662"/>
      <c r="H169" s="662"/>
      <c r="I169" s="662"/>
      <c r="J169" s="662"/>
      <c r="K169" s="662"/>
      <c r="L169" s="662"/>
      <c r="M169" s="662"/>
      <c r="N169" s="662"/>
      <c r="O169" s="662"/>
      <c r="P169" s="662"/>
      <c r="Q169" s="662"/>
      <c r="R169" s="662"/>
      <c r="S169" s="662"/>
      <c r="T169" s="662"/>
      <c r="U169" s="662"/>
      <c r="V169" s="662"/>
      <c r="W169" s="662"/>
      <c r="X169" s="662"/>
      <c r="Y169" s="662"/>
      <c r="Z169" s="662"/>
      <c r="AA169" s="66"/>
      <c r="AB169" s="66"/>
      <c r="AC169" s="80"/>
    </row>
    <row r="170" spans="1:68" ht="16.5" hidden="1" customHeight="1" x14ac:dyDescent="0.25">
      <c r="A170" s="63" t="s">
        <v>299</v>
      </c>
      <c r="B170" s="63" t="s">
        <v>300</v>
      </c>
      <c r="C170" s="36">
        <v>4301020410</v>
      </c>
      <c r="D170" s="657">
        <v>4680115887695</v>
      </c>
      <c r="E170" s="657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59"/>
      <c r="R170" s="659"/>
      <c r="S170" s="659"/>
      <c r="T170" s="660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302</v>
      </c>
      <c r="B171" s="63" t="s">
        <v>303</v>
      </c>
      <c r="C171" s="36">
        <v>4301020439</v>
      </c>
      <c r="D171" s="657">
        <v>4680115889491</v>
      </c>
      <c r="E171" s="657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6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59"/>
      <c r="R171" s="659"/>
      <c r="S171" s="659"/>
      <c r="T171" s="66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51"/>
      <c r="B172" s="651"/>
      <c r="C172" s="651"/>
      <c r="D172" s="651"/>
      <c r="E172" s="651"/>
      <c r="F172" s="651"/>
      <c r="G172" s="651"/>
      <c r="H172" s="651"/>
      <c r="I172" s="651"/>
      <c r="J172" s="651"/>
      <c r="K172" s="651"/>
      <c r="L172" s="651"/>
      <c r="M172" s="651"/>
      <c r="N172" s="651"/>
      <c r="O172" s="652"/>
      <c r="P172" s="648" t="s">
        <v>40</v>
      </c>
      <c r="Q172" s="649"/>
      <c r="R172" s="649"/>
      <c r="S172" s="649"/>
      <c r="T172" s="649"/>
      <c r="U172" s="649"/>
      <c r="V172" s="65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651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52"/>
      <c r="P173" s="648" t="s">
        <v>40</v>
      </c>
      <c r="Q173" s="649"/>
      <c r="R173" s="649"/>
      <c r="S173" s="649"/>
      <c r="T173" s="649"/>
      <c r="U173" s="649"/>
      <c r="V173" s="65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2" t="s">
        <v>77</v>
      </c>
      <c r="B174" s="662"/>
      <c r="C174" s="662"/>
      <c r="D174" s="662"/>
      <c r="E174" s="662"/>
      <c r="F174" s="662"/>
      <c r="G174" s="662"/>
      <c r="H174" s="662"/>
      <c r="I174" s="662"/>
      <c r="J174" s="662"/>
      <c r="K174" s="662"/>
      <c r="L174" s="662"/>
      <c r="M174" s="662"/>
      <c r="N174" s="662"/>
      <c r="O174" s="662"/>
      <c r="P174" s="662"/>
      <c r="Q174" s="662"/>
      <c r="R174" s="662"/>
      <c r="S174" s="662"/>
      <c r="T174" s="662"/>
      <c r="U174" s="662"/>
      <c r="V174" s="662"/>
      <c r="W174" s="662"/>
      <c r="X174" s="662"/>
      <c r="Y174" s="662"/>
      <c r="Z174" s="662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657">
        <v>4680115887428</v>
      </c>
      <c r="E175" s="657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6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59"/>
      <c r="R175" s="659"/>
      <c r="S175" s="659"/>
      <c r="T175" s="660"/>
      <c r="U175" s="39" t="s">
        <v>46</v>
      </c>
      <c r="V175" s="39" t="s">
        <v>46</v>
      </c>
      <c r="W175" s="40" t="s">
        <v>0</v>
      </c>
      <c r="X175" s="58">
        <v>17.5</v>
      </c>
      <c r="Y175" s="55">
        <f t="shared" ref="Y175:Y185" si="16">IFERROR(IF(X175="",0,CEILING((X175/$H175),1)*$H175),"")</f>
        <v>17.5</v>
      </c>
      <c r="Z175" s="41">
        <f>IFERROR(IF(Y175=0,"",ROUNDUP(Y175/H175,0)*0.00902),"")</f>
        <v>4.5100000000000001E-2</v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18.45</v>
      </c>
      <c r="BN175" s="78">
        <f t="shared" ref="BN175:BN185" si="18">IFERROR(Y175*I175/H175,"0")</f>
        <v>18.45</v>
      </c>
      <c r="BO175" s="78">
        <f t="shared" ref="BO175:BO185" si="19">IFERROR(1/J175*(X175/H175),"0")</f>
        <v>3.787878787878788E-2</v>
      </c>
      <c r="BP175" s="78">
        <f t="shared" ref="BP175:BP185" si="20">IFERROR(1/J175*(Y175/H175),"0")</f>
        <v>3.787878787878788E-2</v>
      </c>
    </row>
    <row r="176" spans="1:68" ht="27" hidden="1" customHeight="1" x14ac:dyDescent="0.25">
      <c r="A176" s="63" t="s">
        <v>308</v>
      </c>
      <c r="B176" s="63" t="s">
        <v>309</v>
      </c>
      <c r="C176" s="36">
        <v>4301031509</v>
      </c>
      <c r="D176" s="657">
        <v>4680115889170</v>
      </c>
      <c r="E176" s="657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6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59"/>
      <c r="R176" s="659"/>
      <c r="S176" s="659"/>
      <c r="T176" s="66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4301031498</v>
      </c>
      <c r="D177" s="657">
        <v>4680115887398</v>
      </c>
      <c r="E177" s="657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5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59"/>
      <c r="R177" s="659"/>
      <c r="S177" s="659"/>
      <c r="T177" s="66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314</v>
      </c>
      <c r="B178" s="63" t="s">
        <v>315</v>
      </c>
      <c r="C178" s="36">
        <v>4301031497</v>
      </c>
      <c r="D178" s="657">
        <v>4680115887336</v>
      </c>
      <c r="E178" s="65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5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59"/>
      <c r="R178" s="659"/>
      <c r="S178" s="659"/>
      <c r="T178" s="66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317</v>
      </c>
      <c r="B179" s="63" t="s">
        <v>318</v>
      </c>
      <c r="C179" s="36">
        <v>4301032049</v>
      </c>
      <c r="D179" s="657">
        <v>4680115887787</v>
      </c>
      <c r="E179" s="657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5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9"/>
      <c r="R179" s="659"/>
      <c r="S179" s="659"/>
      <c r="T179" s="66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4301031448</v>
      </c>
      <c r="D180" s="657">
        <v>4680115887503</v>
      </c>
      <c r="E180" s="657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9"/>
      <c r="R180" s="659"/>
      <c r="S180" s="659"/>
      <c r="T180" s="66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322</v>
      </c>
      <c r="B181" s="63" t="s">
        <v>323</v>
      </c>
      <c r="C181" s="36">
        <v>4301031389</v>
      </c>
      <c r="D181" s="657">
        <v>4680115887763</v>
      </c>
      <c r="E181" s="65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9"/>
      <c r="R181" s="659"/>
      <c r="S181" s="659"/>
      <c r="T181" s="66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322</v>
      </c>
      <c r="B182" s="63" t="s">
        <v>325</v>
      </c>
      <c r="C182" s="36">
        <v>4301031510</v>
      </c>
      <c r="D182" s="657">
        <v>4680115887763</v>
      </c>
      <c r="E182" s="657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5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59"/>
      <c r="R182" s="659"/>
      <c r="S182" s="659"/>
      <c r="T182" s="66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4301031454</v>
      </c>
      <c r="D183" s="657">
        <v>4680115887480</v>
      </c>
      <c r="E183" s="657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5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59"/>
      <c r="R183" s="659"/>
      <c r="S183" s="659"/>
      <c r="T183" s="66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4301031434</v>
      </c>
      <c r="D184" s="657">
        <v>4680115888067</v>
      </c>
      <c r="E184" s="657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5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59"/>
      <c r="R184" s="659"/>
      <c r="S184" s="659"/>
      <c r="T184" s="66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4301031451</v>
      </c>
      <c r="D185" s="657">
        <v>4680115887435</v>
      </c>
      <c r="E185" s="657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5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59"/>
      <c r="R185" s="659"/>
      <c r="S185" s="659"/>
      <c r="T185" s="66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651"/>
      <c r="B186" s="651"/>
      <c r="C186" s="651"/>
      <c r="D186" s="651"/>
      <c r="E186" s="651"/>
      <c r="F186" s="651"/>
      <c r="G186" s="651"/>
      <c r="H186" s="651"/>
      <c r="I186" s="651"/>
      <c r="J186" s="651"/>
      <c r="K186" s="651"/>
      <c r="L186" s="651"/>
      <c r="M186" s="651"/>
      <c r="N186" s="651"/>
      <c r="O186" s="652"/>
      <c r="P186" s="648" t="s">
        <v>40</v>
      </c>
      <c r="Q186" s="649"/>
      <c r="R186" s="649"/>
      <c r="S186" s="649"/>
      <c r="T186" s="649"/>
      <c r="U186" s="649"/>
      <c r="V186" s="65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5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5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4.5100000000000001E-2</v>
      </c>
      <c r="AA186" s="67"/>
      <c r="AB186" s="67"/>
      <c r="AC186" s="67"/>
    </row>
    <row r="187" spans="1:68" x14ac:dyDescent="0.2">
      <c r="A187" s="651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52"/>
      <c r="P187" s="648" t="s">
        <v>40</v>
      </c>
      <c r="Q187" s="649"/>
      <c r="R187" s="649"/>
      <c r="S187" s="649"/>
      <c r="T187" s="649"/>
      <c r="U187" s="649"/>
      <c r="V187" s="650"/>
      <c r="W187" s="42" t="s">
        <v>0</v>
      </c>
      <c r="X187" s="43">
        <f>IFERROR(SUM(X175:X185),"0")</f>
        <v>17.5</v>
      </c>
      <c r="Y187" s="43">
        <f>IFERROR(SUM(Y175:Y185),"0")</f>
        <v>17.5</v>
      </c>
      <c r="Z187" s="42"/>
      <c r="AA187" s="67"/>
      <c r="AB187" s="67"/>
      <c r="AC187" s="67"/>
    </row>
    <row r="188" spans="1:68" ht="14.25" hidden="1" customHeight="1" x14ac:dyDescent="0.25">
      <c r="A188" s="662" t="s">
        <v>86</v>
      </c>
      <c r="B188" s="662"/>
      <c r="C188" s="662"/>
      <c r="D188" s="662"/>
      <c r="E188" s="662"/>
      <c r="F188" s="662"/>
      <c r="G188" s="662"/>
      <c r="H188" s="662"/>
      <c r="I188" s="662"/>
      <c r="J188" s="662"/>
      <c r="K188" s="662"/>
      <c r="L188" s="662"/>
      <c r="M188" s="662"/>
      <c r="N188" s="662"/>
      <c r="O188" s="662"/>
      <c r="P188" s="662"/>
      <c r="Q188" s="662"/>
      <c r="R188" s="662"/>
      <c r="S188" s="662"/>
      <c r="T188" s="662"/>
      <c r="U188" s="662"/>
      <c r="V188" s="662"/>
      <c r="W188" s="662"/>
      <c r="X188" s="662"/>
      <c r="Y188" s="662"/>
      <c r="Z188" s="662"/>
      <c r="AA188" s="66"/>
      <c r="AB188" s="66"/>
      <c r="AC188" s="80"/>
    </row>
    <row r="189" spans="1:68" ht="16.5" hidden="1" customHeight="1" x14ac:dyDescent="0.25">
      <c r="A189" s="63" t="s">
        <v>333</v>
      </c>
      <c r="B189" s="63" t="s">
        <v>334</v>
      </c>
      <c r="C189" s="36">
        <v>4301052193</v>
      </c>
      <c r="D189" s="657">
        <v>4680115888395</v>
      </c>
      <c r="E189" s="657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4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59"/>
      <c r="R189" s="659"/>
      <c r="S189" s="659"/>
      <c r="T189" s="660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336</v>
      </c>
      <c r="B190" s="63" t="s">
        <v>337</v>
      </c>
      <c r="C190" s="36">
        <v>4301052191</v>
      </c>
      <c r="D190" s="657">
        <v>4680115888371</v>
      </c>
      <c r="E190" s="65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59"/>
      <c r="R190" s="659"/>
      <c r="S190" s="659"/>
      <c r="T190" s="66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339</v>
      </c>
      <c r="B191" s="63" t="s">
        <v>340</v>
      </c>
      <c r="C191" s="36">
        <v>4301052064</v>
      </c>
      <c r="D191" s="657">
        <v>4680115887459</v>
      </c>
      <c r="E191" s="657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59"/>
      <c r="R191" s="659"/>
      <c r="S191" s="659"/>
      <c r="T191" s="66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51"/>
      <c r="B192" s="651"/>
      <c r="C192" s="651"/>
      <c r="D192" s="651"/>
      <c r="E192" s="651"/>
      <c r="F192" s="651"/>
      <c r="G192" s="651"/>
      <c r="H192" s="651"/>
      <c r="I192" s="651"/>
      <c r="J192" s="651"/>
      <c r="K192" s="651"/>
      <c r="L192" s="651"/>
      <c r="M192" s="651"/>
      <c r="N192" s="651"/>
      <c r="O192" s="652"/>
      <c r="P192" s="648" t="s">
        <v>40</v>
      </c>
      <c r="Q192" s="649"/>
      <c r="R192" s="649"/>
      <c r="S192" s="649"/>
      <c r="T192" s="649"/>
      <c r="U192" s="649"/>
      <c r="V192" s="65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51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52"/>
      <c r="P193" s="648" t="s">
        <v>40</v>
      </c>
      <c r="Q193" s="649"/>
      <c r="R193" s="649"/>
      <c r="S193" s="649"/>
      <c r="T193" s="649"/>
      <c r="U193" s="649"/>
      <c r="V193" s="65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2" t="s">
        <v>283</v>
      </c>
      <c r="B194" s="662"/>
      <c r="C194" s="662"/>
      <c r="D194" s="662"/>
      <c r="E194" s="662"/>
      <c r="F194" s="662"/>
      <c r="G194" s="662"/>
      <c r="H194" s="662"/>
      <c r="I194" s="662"/>
      <c r="J194" s="662"/>
      <c r="K194" s="662"/>
      <c r="L194" s="662"/>
      <c r="M194" s="662"/>
      <c r="N194" s="662"/>
      <c r="O194" s="662"/>
      <c r="P194" s="662"/>
      <c r="Q194" s="662"/>
      <c r="R194" s="662"/>
      <c r="S194" s="662"/>
      <c r="T194" s="662"/>
      <c r="U194" s="662"/>
      <c r="V194" s="662"/>
      <c r="W194" s="662"/>
      <c r="X194" s="662"/>
      <c r="Y194" s="662"/>
      <c r="Z194" s="662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4301032058</v>
      </c>
      <c r="D195" s="657">
        <v>4680115889026</v>
      </c>
      <c r="E195" s="657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59"/>
      <c r="R195" s="659"/>
      <c r="S195" s="659"/>
      <c r="T195" s="660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hidden="1" customHeight="1" x14ac:dyDescent="0.25">
      <c r="A196" s="63" t="s">
        <v>346</v>
      </c>
      <c r="B196" s="63" t="s">
        <v>347</v>
      </c>
      <c r="C196" s="36">
        <v>4301032057</v>
      </c>
      <c r="D196" s="657">
        <v>4680115889088</v>
      </c>
      <c r="E196" s="65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4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59"/>
      <c r="R196" s="659"/>
      <c r="S196" s="659"/>
      <c r="T196" s="66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651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52"/>
      <c r="P197" s="648" t="s">
        <v>40</v>
      </c>
      <c r="Q197" s="649"/>
      <c r="R197" s="649"/>
      <c r="S197" s="649"/>
      <c r="T197" s="649"/>
      <c r="U197" s="649"/>
      <c r="V197" s="650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52"/>
      <c r="P198" s="648" t="s">
        <v>40</v>
      </c>
      <c r="Q198" s="649"/>
      <c r="R198" s="649"/>
      <c r="S198" s="649"/>
      <c r="T198" s="649"/>
      <c r="U198" s="649"/>
      <c r="V198" s="650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662" t="s">
        <v>349</v>
      </c>
      <c r="B199" s="662"/>
      <c r="C199" s="662"/>
      <c r="D199" s="662"/>
      <c r="E199" s="662"/>
      <c r="F199" s="662"/>
      <c r="G199" s="662"/>
      <c r="H199" s="662"/>
      <c r="I199" s="662"/>
      <c r="J199" s="662"/>
      <c r="K199" s="662"/>
      <c r="L199" s="662"/>
      <c r="M199" s="662"/>
      <c r="N199" s="662"/>
      <c r="O199" s="662"/>
      <c r="P199" s="662"/>
      <c r="Q199" s="662"/>
      <c r="R199" s="662"/>
      <c r="S199" s="662"/>
      <c r="T199" s="662"/>
      <c r="U199" s="662"/>
      <c r="V199" s="662"/>
      <c r="W199" s="662"/>
      <c r="X199" s="662"/>
      <c r="Y199" s="662"/>
      <c r="Z199" s="662"/>
      <c r="AA199" s="66"/>
      <c r="AB199" s="66"/>
      <c r="AC199" s="80"/>
    </row>
    <row r="200" spans="1:68" ht="27" hidden="1" customHeight="1" x14ac:dyDescent="0.25">
      <c r="A200" s="63" t="s">
        <v>350</v>
      </c>
      <c r="B200" s="63" t="s">
        <v>351</v>
      </c>
      <c r="C200" s="36">
        <v>4301041009</v>
      </c>
      <c r="D200" s="657">
        <v>4680115889033</v>
      </c>
      <c r="E200" s="65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4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9"/>
      <c r="R200" s="659"/>
      <c r="S200" s="659"/>
      <c r="T200" s="66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651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2"/>
      <c r="P201" s="648" t="s">
        <v>40</v>
      </c>
      <c r="Q201" s="649"/>
      <c r="R201" s="649"/>
      <c r="S201" s="649"/>
      <c r="T201" s="649"/>
      <c r="U201" s="649"/>
      <c r="V201" s="65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52"/>
      <c r="P202" s="648" t="s">
        <v>40</v>
      </c>
      <c r="Q202" s="649"/>
      <c r="R202" s="649"/>
      <c r="S202" s="649"/>
      <c r="T202" s="649"/>
      <c r="U202" s="649"/>
      <c r="V202" s="65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668" t="s">
        <v>353</v>
      </c>
      <c r="B203" s="668"/>
      <c r="C203" s="668"/>
      <c r="D203" s="668"/>
      <c r="E203" s="668"/>
      <c r="F203" s="668"/>
      <c r="G203" s="668"/>
      <c r="H203" s="668"/>
      <c r="I203" s="668"/>
      <c r="J203" s="668"/>
      <c r="K203" s="668"/>
      <c r="L203" s="668"/>
      <c r="M203" s="668"/>
      <c r="N203" s="668"/>
      <c r="O203" s="668"/>
      <c r="P203" s="668"/>
      <c r="Q203" s="668"/>
      <c r="R203" s="668"/>
      <c r="S203" s="668"/>
      <c r="T203" s="668"/>
      <c r="U203" s="668"/>
      <c r="V203" s="668"/>
      <c r="W203" s="668"/>
      <c r="X203" s="668"/>
      <c r="Y203" s="668"/>
      <c r="Z203" s="668"/>
      <c r="AA203" s="54"/>
      <c r="AB203" s="54"/>
      <c r="AC203" s="54"/>
    </row>
    <row r="204" spans="1:68" ht="16.5" hidden="1" customHeight="1" x14ac:dyDescent="0.25">
      <c r="A204" s="661" t="s">
        <v>354</v>
      </c>
      <c r="B204" s="661"/>
      <c r="C204" s="661"/>
      <c r="D204" s="661"/>
      <c r="E204" s="661"/>
      <c r="F204" s="661"/>
      <c r="G204" s="661"/>
      <c r="H204" s="661"/>
      <c r="I204" s="661"/>
      <c r="J204" s="661"/>
      <c r="K204" s="661"/>
      <c r="L204" s="661"/>
      <c r="M204" s="661"/>
      <c r="N204" s="661"/>
      <c r="O204" s="661"/>
      <c r="P204" s="661"/>
      <c r="Q204" s="661"/>
      <c r="R204" s="661"/>
      <c r="S204" s="661"/>
      <c r="T204" s="661"/>
      <c r="U204" s="661"/>
      <c r="V204" s="661"/>
      <c r="W204" s="661"/>
      <c r="X204" s="661"/>
      <c r="Y204" s="661"/>
      <c r="Z204" s="661"/>
      <c r="AA204" s="65"/>
      <c r="AB204" s="65"/>
      <c r="AC204" s="79"/>
    </row>
    <row r="205" spans="1:68" ht="14.25" hidden="1" customHeight="1" x14ac:dyDescent="0.25">
      <c r="A205" s="662" t="s">
        <v>122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66"/>
      <c r="AB205" s="66"/>
      <c r="AC205" s="80"/>
    </row>
    <row r="206" spans="1:68" ht="27" hidden="1" customHeight="1" x14ac:dyDescent="0.25">
      <c r="A206" s="63" t="s">
        <v>355</v>
      </c>
      <c r="B206" s="63" t="s">
        <v>356</v>
      </c>
      <c r="C206" s="36">
        <v>4301011223</v>
      </c>
      <c r="D206" s="657">
        <v>4607091383423</v>
      </c>
      <c r="E206" s="65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9"/>
      <c r="R206" s="659"/>
      <c r="S206" s="659"/>
      <c r="T206" s="66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hidden="1" customHeight="1" x14ac:dyDescent="0.25">
      <c r="A207" s="63" t="s">
        <v>357</v>
      </c>
      <c r="B207" s="63" t="s">
        <v>358</v>
      </c>
      <c r="C207" s="36">
        <v>4301012340</v>
      </c>
      <c r="D207" s="657">
        <v>4680115888760</v>
      </c>
      <c r="E207" s="65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9"/>
      <c r="R207" s="659"/>
      <c r="S207" s="659"/>
      <c r="T207" s="66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360</v>
      </c>
      <c r="B208" s="63" t="s">
        <v>361</v>
      </c>
      <c r="C208" s="36">
        <v>4301012341</v>
      </c>
      <c r="D208" s="657">
        <v>4680115888807</v>
      </c>
      <c r="E208" s="65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4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9"/>
      <c r="R208" s="659"/>
      <c r="S208" s="659"/>
      <c r="T208" s="66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hidden="1" customHeight="1" x14ac:dyDescent="0.25">
      <c r="A209" s="63" t="s">
        <v>363</v>
      </c>
      <c r="B209" s="63" t="s">
        <v>364</v>
      </c>
      <c r="C209" s="36">
        <v>4301012342</v>
      </c>
      <c r="D209" s="657">
        <v>4680115888852</v>
      </c>
      <c r="E209" s="65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4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9"/>
      <c r="R209" s="659"/>
      <c r="S209" s="659"/>
      <c r="T209" s="66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hidden="1" customHeight="1" x14ac:dyDescent="0.25">
      <c r="A210" s="63" t="s">
        <v>366</v>
      </c>
      <c r="B210" s="63" t="s">
        <v>367</v>
      </c>
      <c r="C210" s="36">
        <v>4301012370</v>
      </c>
      <c r="D210" s="657">
        <v>4680115886957</v>
      </c>
      <c r="E210" s="65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4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9"/>
      <c r="R210" s="659"/>
      <c r="S210" s="659"/>
      <c r="T210" s="66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369</v>
      </c>
      <c r="B211" s="63" t="s">
        <v>370</v>
      </c>
      <c r="C211" s="36">
        <v>4301012098</v>
      </c>
      <c r="D211" s="657">
        <v>4680115885660</v>
      </c>
      <c r="E211" s="65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4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9"/>
      <c r="R211" s="659"/>
      <c r="S211" s="659"/>
      <c r="T211" s="66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hidden="1" customHeight="1" x14ac:dyDescent="0.25">
      <c r="A212" s="63" t="s">
        <v>372</v>
      </c>
      <c r="B212" s="63" t="s">
        <v>373</v>
      </c>
      <c r="C212" s="36">
        <v>4301012369</v>
      </c>
      <c r="D212" s="657">
        <v>4680115886773</v>
      </c>
      <c r="E212" s="65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9"/>
      <c r="R212" s="659"/>
      <c r="S212" s="659"/>
      <c r="T212" s="66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hidden="1" x14ac:dyDescent="0.2">
      <c r="A213" s="651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52"/>
      <c r="P213" s="648" t="s">
        <v>40</v>
      </c>
      <c r="Q213" s="649"/>
      <c r="R213" s="649"/>
      <c r="S213" s="649"/>
      <c r="T213" s="649"/>
      <c r="U213" s="649"/>
      <c r="V213" s="65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52"/>
      <c r="P214" s="648" t="s">
        <v>40</v>
      </c>
      <c r="Q214" s="649"/>
      <c r="R214" s="649"/>
      <c r="S214" s="649"/>
      <c r="T214" s="649"/>
      <c r="U214" s="649"/>
      <c r="V214" s="65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661" t="s">
        <v>375</v>
      </c>
      <c r="B215" s="661"/>
      <c r="C215" s="661"/>
      <c r="D215" s="661"/>
      <c r="E215" s="661"/>
      <c r="F215" s="661"/>
      <c r="G215" s="661"/>
      <c r="H215" s="661"/>
      <c r="I215" s="661"/>
      <c r="J215" s="661"/>
      <c r="K215" s="661"/>
      <c r="L215" s="661"/>
      <c r="M215" s="661"/>
      <c r="N215" s="661"/>
      <c r="O215" s="661"/>
      <c r="P215" s="661"/>
      <c r="Q215" s="661"/>
      <c r="R215" s="661"/>
      <c r="S215" s="661"/>
      <c r="T215" s="661"/>
      <c r="U215" s="661"/>
      <c r="V215" s="661"/>
      <c r="W215" s="661"/>
      <c r="X215" s="661"/>
      <c r="Y215" s="661"/>
      <c r="Z215" s="661"/>
      <c r="AA215" s="65"/>
      <c r="AB215" s="65"/>
      <c r="AC215" s="79"/>
    </row>
    <row r="216" spans="1:68" ht="14.25" hidden="1" customHeight="1" x14ac:dyDescent="0.25">
      <c r="A216" s="662" t="s">
        <v>158</v>
      </c>
      <c r="B216" s="662"/>
      <c r="C216" s="662"/>
      <c r="D216" s="662"/>
      <c r="E216" s="662"/>
      <c r="F216" s="662"/>
      <c r="G216" s="662"/>
      <c r="H216" s="662"/>
      <c r="I216" s="662"/>
      <c r="J216" s="662"/>
      <c r="K216" s="662"/>
      <c r="L216" s="662"/>
      <c r="M216" s="662"/>
      <c r="N216" s="662"/>
      <c r="O216" s="662"/>
      <c r="P216" s="662"/>
      <c r="Q216" s="662"/>
      <c r="R216" s="662"/>
      <c r="S216" s="662"/>
      <c r="T216" s="662"/>
      <c r="U216" s="662"/>
      <c r="V216" s="662"/>
      <c r="W216" s="662"/>
      <c r="X216" s="662"/>
      <c r="Y216" s="662"/>
      <c r="Z216" s="662"/>
      <c r="AA216" s="66"/>
      <c r="AB216" s="66"/>
      <c r="AC216" s="80"/>
    </row>
    <row r="217" spans="1:68" ht="27" hidden="1" customHeight="1" x14ac:dyDescent="0.25">
      <c r="A217" s="63" t="s">
        <v>376</v>
      </c>
      <c r="B217" s="63" t="s">
        <v>377</v>
      </c>
      <c r="C217" s="36">
        <v>4301020323</v>
      </c>
      <c r="D217" s="657">
        <v>4680115886223</v>
      </c>
      <c r="E217" s="65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9"/>
      <c r="R217" s="659"/>
      <c r="S217" s="659"/>
      <c r="T217" s="66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651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2"/>
      <c r="P218" s="648" t="s">
        <v>40</v>
      </c>
      <c r="Q218" s="649"/>
      <c r="R218" s="649"/>
      <c r="S218" s="649"/>
      <c r="T218" s="649"/>
      <c r="U218" s="649"/>
      <c r="V218" s="65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52"/>
      <c r="P219" s="648" t="s">
        <v>40</v>
      </c>
      <c r="Q219" s="649"/>
      <c r="R219" s="649"/>
      <c r="S219" s="649"/>
      <c r="T219" s="649"/>
      <c r="U219" s="649"/>
      <c r="V219" s="65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662" t="s">
        <v>77</v>
      </c>
      <c r="B220" s="662"/>
      <c r="C220" s="662"/>
      <c r="D220" s="662"/>
      <c r="E220" s="662"/>
      <c r="F220" s="662"/>
      <c r="G220" s="662"/>
      <c r="H220" s="662"/>
      <c r="I220" s="662"/>
      <c r="J220" s="662"/>
      <c r="K220" s="662"/>
      <c r="L220" s="662"/>
      <c r="M220" s="662"/>
      <c r="N220" s="662"/>
      <c r="O220" s="662"/>
      <c r="P220" s="662"/>
      <c r="Q220" s="662"/>
      <c r="R220" s="662"/>
      <c r="S220" s="662"/>
      <c r="T220" s="662"/>
      <c r="U220" s="662"/>
      <c r="V220" s="662"/>
      <c r="W220" s="662"/>
      <c r="X220" s="662"/>
      <c r="Y220" s="662"/>
      <c r="Z220" s="662"/>
      <c r="AA220" s="66"/>
      <c r="AB220" s="66"/>
      <c r="AC220" s="80"/>
    </row>
    <row r="221" spans="1:68" ht="27" hidden="1" customHeight="1" x14ac:dyDescent="0.25">
      <c r="A221" s="63" t="s">
        <v>379</v>
      </c>
      <c r="B221" s="63" t="s">
        <v>380</v>
      </c>
      <c r="C221" s="36">
        <v>4301031191</v>
      </c>
      <c r="D221" s="657">
        <v>4680115880993</v>
      </c>
      <c r="E221" s="65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9"/>
      <c r="R221" s="659"/>
      <c r="S221" s="659"/>
      <c r="T221" s="66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hidden="1" customHeight="1" x14ac:dyDescent="0.25">
      <c r="A222" s="63" t="s">
        <v>382</v>
      </c>
      <c r="B222" s="63" t="s">
        <v>383</v>
      </c>
      <c r="C222" s="36">
        <v>4301031204</v>
      </c>
      <c r="D222" s="657">
        <v>4680115881761</v>
      </c>
      <c r="E222" s="65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9"/>
      <c r="R222" s="659"/>
      <c r="S222" s="659"/>
      <c r="T222" s="66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385</v>
      </c>
      <c r="B223" s="63" t="s">
        <v>386</v>
      </c>
      <c r="C223" s="36">
        <v>4301031201</v>
      </c>
      <c r="D223" s="657">
        <v>4680115881563</v>
      </c>
      <c r="E223" s="65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9"/>
      <c r="R223" s="659"/>
      <c r="S223" s="659"/>
      <c r="T223" s="66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hidden="1" customHeight="1" x14ac:dyDescent="0.25">
      <c r="A224" s="63" t="s">
        <v>388</v>
      </c>
      <c r="B224" s="63" t="s">
        <v>389</v>
      </c>
      <c r="C224" s="36">
        <v>4301031447</v>
      </c>
      <c r="D224" s="657">
        <v>4680115887565</v>
      </c>
      <c r="E224" s="65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9"/>
      <c r="R224" s="659"/>
      <c r="S224" s="659"/>
      <c r="T224" s="66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391</v>
      </c>
      <c r="B225" s="63" t="s">
        <v>392</v>
      </c>
      <c r="C225" s="36">
        <v>4301031199</v>
      </c>
      <c r="D225" s="657">
        <v>4680115880986</v>
      </c>
      <c r="E225" s="65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9"/>
      <c r="R225" s="659"/>
      <c r="S225" s="659"/>
      <c r="T225" s="66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393</v>
      </c>
      <c r="B226" s="63" t="s">
        <v>394</v>
      </c>
      <c r="C226" s="36">
        <v>4301031443</v>
      </c>
      <c r="D226" s="657">
        <v>4680115887213</v>
      </c>
      <c r="E226" s="65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9"/>
      <c r="R226" s="659"/>
      <c r="S226" s="659"/>
      <c r="T226" s="66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4301031205</v>
      </c>
      <c r="D227" s="657">
        <v>4680115881785</v>
      </c>
      <c r="E227" s="65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9"/>
      <c r="R227" s="659"/>
      <c r="S227" s="659"/>
      <c r="T227" s="66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4301031499</v>
      </c>
      <c r="D228" s="657">
        <v>4680115888432</v>
      </c>
      <c r="E228" s="65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9"/>
      <c r="R228" s="659"/>
      <c r="S228" s="659"/>
      <c r="T228" s="66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4301031427</v>
      </c>
      <c r="D229" s="657">
        <v>4680115888104</v>
      </c>
      <c r="E229" s="65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2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9"/>
      <c r="R229" s="659"/>
      <c r="S229" s="659"/>
      <c r="T229" s="66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404</v>
      </c>
      <c r="B230" s="63" t="s">
        <v>405</v>
      </c>
      <c r="C230" s="36">
        <v>4301031399</v>
      </c>
      <c r="D230" s="657">
        <v>4680115886537</v>
      </c>
      <c r="E230" s="65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2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9"/>
      <c r="R230" s="659"/>
      <c r="S230" s="659"/>
      <c r="T230" s="66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hidden="1" customHeight="1" x14ac:dyDescent="0.25">
      <c r="A231" s="63" t="s">
        <v>407</v>
      </c>
      <c r="B231" s="63" t="s">
        <v>408</v>
      </c>
      <c r="C231" s="36">
        <v>4301031279</v>
      </c>
      <c r="D231" s="657">
        <v>4680115887596</v>
      </c>
      <c r="E231" s="65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2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9"/>
      <c r="R231" s="659"/>
      <c r="S231" s="659"/>
      <c r="T231" s="66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hidden="1" customHeight="1" x14ac:dyDescent="0.25">
      <c r="A232" s="63" t="s">
        <v>410</v>
      </c>
      <c r="B232" s="63" t="s">
        <v>411</v>
      </c>
      <c r="C232" s="36">
        <v>4301031202</v>
      </c>
      <c r="D232" s="657">
        <v>4680115881679</v>
      </c>
      <c r="E232" s="65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2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59"/>
      <c r="R232" s="659"/>
      <c r="S232" s="659"/>
      <c r="T232" s="66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4301031158</v>
      </c>
      <c r="D233" s="657">
        <v>4680115880191</v>
      </c>
      <c r="E233" s="65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2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9"/>
      <c r="R233" s="659"/>
      <c r="S233" s="659"/>
      <c r="T233" s="66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4301031245</v>
      </c>
      <c r="D234" s="657">
        <v>4680115883963</v>
      </c>
      <c r="E234" s="657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2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9"/>
      <c r="R234" s="659"/>
      <c r="S234" s="659"/>
      <c r="T234" s="66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hidden="1" x14ac:dyDescent="0.2">
      <c r="A235" s="651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52"/>
      <c r="P235" s="648" t="s">
        <v>40</v>
      </c>
      <c r="Q235" s="649"/>
      <c r="R235" s="649"/>
      <c r="S235" s="649"/>
      <c r="T235" s="649"/>
      <c r="U235" s="649"/>
      <c r="V235" s="650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52"/>
      <c r="P236" s="648" t="s">
        <v>40</v>
      </c>
      <c r="Q236" s="649"/>
      <c r="R236" s="649"/>
      <c r="S236" s="649"/>
      <c r="T236" s="649"/>
      <c r="U236" s="649"/>
      <c r="V236" s="650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62" t="s">
        <v>86</v>
      </c>
      <c r="B237" s="662"/>
      <c r="C237" s="662"/>
      <c r="D237" s="662"/>
      <c r="E237" s="662"/>
      <c r="F237" s="662"/>
      <c r="G237" s="662"/>
      <c r="H237" s="662"/>
      <c r="I237" s="662"/>
      <c r="J237" s="662"/>
      <c r="K237" s="662"/>
      <c r="L237" s="662"/>
      <c r="M237" s="662"/>
      <c r="N237" s="662"/>
      <c r="O237" s="662"/>
      <c r="P237" s="662"/>
      <c r="Q237" s="662"/>
      <c r="R237" s="662"/>
      <c r="S237" s="662"/>
      <c r="T237" s="662"/>
      <c r="U237" s="662"/>
      <c r="V237" s="662"/>
      <c r="W237" s="662"/>
      <c r="X237" s="662"/>
      <c r="Y237" s="662"/>
      <c r="Z237" s="662"/>
      <c r="AA237" s="66"/>
      <c r="AB237" s="66"/>
      <c r="AC237" s="80"/>
    </row>
    <row r="238" spans="1:68" ht="16.5" hidden="1" customHeight="1" x14ac:dyDescent="0.25">
      <c r="A238" s="63" t="s">
        <v>417</v>
      </c>
      <c r="B238" s="63" t="s">
        <v>418</v>
      </c>
      <c r="C238" s="36">
        <v>4301052209</v>
      </c>
      <c r="D238" s="657">
        <v>4680115888692</v>
      </c>
      <c r="E238" s="657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2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9"/>
      <c r="R238" s="659"/>
      <c r="S238" s="659"/>
      <c r="T238" s="66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4301052213</v>
      </c>
      <c r="D239" s="657">
        <v>4680115888722</v>
      </c>
      <c r="E239" s="65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59"/>
      <c r="R239" s="659"/>
      <c r="S239" s="659"/>
      <c r="T239" s="66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423</v>
      </c>
      <c r="B240" s="63" t="s">
        <v>424</v>
      </c>
      <c r="C240" s="36">
        <v>4301052177</v>
      </c>
      <c r="D240" s="657">
        <v>4680115888951</v>
      </c>
      <c r="E240" s="657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9"/>
      <c r="R240" s="659"/>
      <c r="S240" s="659"/>
      <c r="T240" s="66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426</v>
      </c>
      <c r="B241" s="63" t="s">
        <v>427</v>
      </c>
      <c r="C241" s="36">
        <v>4301052178</v>
      </c>
      <c r="D241" s="657">
        <v>4680115888975</v>
      </c>
      <c r="E241" s="657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1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59"/>
      <c r="R241" s="659"/>
      <c r="S241" s="659"/>
      <c r="T241" s="660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4301052176</v>
      </c>
      <c r="D242" s="657">
        <v>4680115888982</v>
      </c>
      <c r="E242" s="657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59"/>
      <c r="R242" s="659"/>
      <c r="S242" s="659"/>
      <c r="T242" s="660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idden="1" x14ac:dyDescent="0.2">
      <c r="A243" s="651"/>
      <c r="B243" s="651"/>
      <c r="C243" s="651"/>
      <c r="D243" s="651"/>
      <c r="E243" s="651"/>
      <c r="F243" s="651"/>
      <c r="G243" s="651"/>
      <c r="H243" s="651"/>
      <c r="I243" s="651"/>
      <c r="J243" s="651"/>
      <c r="K243" s="651"/>
      <c r="L243" s="651"/>
      <c r="M243" s="651"/>
      <c r="N243" s="651"/>
      <c r="O243" s="652"/>
      <c r="P243" s="648" t="s">
        <v>40</v>
      </c>
      <c r="Q243" s="649"/>
      <c r="R243" s="649"/>
      <c r="S243" s="649"/>
      <c r="T243" s="649"/>
      <c r="U243" s="649"/>
      <c r="V243" s="650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hidden="1" x14ac:dyDescent="0.2">
      <c r="A244" s="651"/>
      <c r="B244" s="651"/>
      <c r="C244" s="651"/>
      <c r="D244" s="651"/>
      <c r="E244" s="651"/>
      <c r="F244" s="651"/>
      <c r="G244" s="651"/>
      <c r="H244" s="651"/>
      <c r="I244" s="651"/>
      <c r="J244" s="651"/>
      <c r="K244" s="651"/>
      <c r="L244" s="651"/>
      <c r="M244" s="651"/>
      <c r="N244" s="651"/>
      <c r="O244" s="652"/>
      <c r="P244" s="648" t="s">
        <v>40</v>
      </c>
      <c r="Q244" s="649"/>
      <c r="R244" s="649"/>
      <c r="S244" s="649"/>
      <c r="T244" s="649"/>
      <c r="U244" s="649"/>
      <c r="V244" s="650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hidden="1" customHeight="1" x14ac:dyDescent="0.25">
      <c r="A245" s="662" t="s">
        <v>283</v>
      </c>
      <c r="B245" s="662"/>
      <c r="C245" s="662"/>
      <c r="D245" s="662"/>
      <c r="E245" s="662"/>
      <c r="F245" s="662"/>
      <c r="G245" s="662"/>
      <c r="H245" s="662"/>
      <c r="I245" s="662"/>
      <c r="J245" s="662"/>
      <c r="K245" s="662"/>
      <c r="L245" s="662"/>
      <c r="M245" s="662"/>
      <c r="N245" s="662"/>
      <c r="O245" s="662"/>
      <c r="P245" s="662"/>
      <c r="Q245" s="662"/>
      <c r="R245" s="662"/>
      <c r="S245" s="662"/>
      <c r="T245" s="662"/>
      <c r="U245" s="662"/>
      <c r="V245" s="662"/>
      <c r="W245" s="662"/>
      <c r="X245" s="662"/>
      <c r="Y245" s="662"/>
      <c r="Z245" s="662"/>
      <c r="AA245" s="66"/>
      <c r="AB245" s="66"/>
      <c r="AC245" s="80"/>
    </row>
    <row r="246" spans="1:68" ht="27" hidden="1" customHeight="1" x14ac:dyDescent="0.25">
      <c r="A246" s="63" t="s">
        <v>431</v>
      </c>
      <c r="B246" s="63" t="s">
        <v>432</v>
      </c>
      <c r="C246" s="36">
        <v>4301032053</v>
      </c>
      <c r="D246" s="657">
        <v>4680115886780</v>
      </c>
      <c r="E246" s="657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59"/>
      <c r="R246" s="659"/>
      <c r="S246" s="659"/>
      <c r="T246" s="66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434</v>
      </c>
      <c r="B247" s="63" t="s">
        <v>435</v>
      </c>
      <c r="C247" s="36">
        <v>4301032051</v>
      </c>
      <c r="D247" s="657">
        <v>4680115886742</v>
      </c>
      <c r="E247" s="657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59"/>
      <c r="R247" s="659"/>
      <c r="S247" s="659"/>
      <c r="T247" s="660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4301032052</v>
      </c>
      <c r="D248" s="657">
        <v>4680115886766</v>
      </c>
      <c r="E248" s="657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1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59"/>
      <c r="R248" s="659"/>
      <c r="S248" s="659"/>
      <c r="T248" s="660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idden="1" x14ac:dyDescent="0.2">
      <c r="A249" s="651"/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2"/>
      <c r="P249" s="648" t="s">
        <v>40</v>
      </c>
      <c r="Q249" s="649"/>
      <c r="R249" s="649"/>
      <c r="S249" s="649"/>
      <c r="T249" s="649"/>
      <c r="U249" s="649"/>
      <c r="V249" s="650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hidden="1" x14ac:dyDescent="0.2">
      <c r="A250" s="651"/>
      <c r="B250" s="651"/>
      <c r="C250" s="651"/>
      <c r="D250" s="651"/>
      <c r="E250" s="651"/>
      <c r="F250" s="651"/>
      <c r="G250" s="651"/>
      <c r="H250" s="651"/>
      <c r="I250" s="651"/>
      <c r="J250" s="651"/>
      <c r="K250" s="651"/>
      <c r="L250" s="651"/>
      <c r="M250" s="651"/>
      <c r="N250" s="651"/>
      <c r="O250" s="652"/>
      <c r="P250" s="648" t="s">
        <v>40</v>
      </c>
      <c r="Q250" s="649"/>
      <c r="R250" s="649"/>
      <c r="S250" s="649"/>
      <c r="T250" s="649"/>
      <c r="U250" s="649"/>
      <c r="V250" s="650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hidden="1" customHeight="1" x14ac:dyDescent="0.25">
      <c r="A251" s="662" t="s">
        <v>439</v>
      </c>
      <c r="B251" s="662"/>
      <c r="C251" s="662"/>
      <c r="D251" s="662"/>
      <c r="E251" s="662"/>
      <c r="F251" s="662"/>
      <c r="G251" s="662"/>
      <c r="H251" s="662"/>
      <c r="I251" s="662"/>
      <c r="J251" s="662"/>
      <c r="K251" s="662"/>
      <c r="L251" s="662"/>
      <c r="M251" s="662"/>
      <c r="N251" s="662"/>
      <c r="O251" s="662"/>
      <c r="P251" s="662"/>
      <c r="Q251" s="662"/>
      <c r="R251" s="662"/>
      <c r="S251" s="662"/>
      <c r="T251" s="662"/>
      <c r="U251" s="662"/>
      <c r="V251" s="662"/>
      <c r="W251" s="662"/>
      <c r="X251" s="662"/>
      <c r="Y251" s="662"/>
      <c r="Z251" s="662"/>
      <c r="AA251" s="66"/>
      <c r="AB251" s="66"/>
      <c r="AC251" s="80"/>
    </row>
    <row r="252" spans="1:68" ht="27" hidden="1" customHeight="1" x14ac:dyDescent="0.25">
      <c r="A252" s="63" t="s">
        <v>440</v>
      </c>
      <c r="B252" s="63" t="s">
        <v>441</v>
      </c>
      <c r="C252" s="36">
        <v>4301170013</v>
      </c>
      <c r="D252" s="657">
        <v>4680115886797</v>
      </c>
      <c r="E252" s="65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59"/>
      <c r="R252" s="659"/>
      <c r="S252" s="659"/>
      <c r="T252" s="66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651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2"/>
      <c r="P253" s="648" t="s">
        <v>40</v>
      </c>
      <c r="Q253" s="649"/>
      <c r="R253" s="649"/>
      <c r="S253" s="649"/>
      <c r="T253" s="649"/>
      <c r="U253" s="649"/>
      <c r="V253" s="650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52"/>
      <c r="P254" s="648" t="s">
        <v>40</v>
      </c>
      <c r="Q254" s="649"/>
      <c r="R254" s="649"/>
      <c r="S254" s="649"/>
      <c r="T254" s="649"/>
      <c r="U254" s="649"/>
      <c r="V254" s="650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hidden="1" customHeight="1" x14ac:dyDescent="0.25">
      <c r="A255" s="661" t="s">
        <v>442</v>
      </c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1"/>
      <c r="P255" s="661"/>
      <c r="Q255" s="661"/>
      <c r="R255" s="661"/>
      <c r="S255" s="661"/>
      <c r="T255" s="661"/>
      <c r="U255" s="661"/>
      <c r="V255" s="661"/>
      <c r="W255" s="661"/>
      <c r="X255" s="661"/>
      <c r="Y255" s="661"/>
      <c r="Z255" s="661"/>
      <c r="AA255" s="65"/>
      <c r="AB255" s="65"/>
      <c r="AC255" s="79"/>
    </row>
    <row r="256" spans="1:68" ht="14.25" hidden="1" customHeight="1" x14ac:dyDescent="0.25">
      <c r="A256" s="662" t="s">
        <v>122</v>
      </c>
      <c r="B256" s="662"/>
      <c r="C256" s="662"/>
      <c r="D256" s="662"/>
      <c r="E256" s="662"/>
      <c r="F256" s="662"/>
      <c r="G256" s="662"/>
      <c r="H256" s="662"/>
      <c r="I256" s="662"/>
      <c r="J256" s="662"/>
      <c r="K256" s="662"/>
      <c r="L256" s="662"/>
      <c r="M256" s="662"/>
      <c r="N256" s="662"/>
      <c r="O256" s="662"/>
      <c r="P256" s="662"/>
      <c r="Q256" s="662"/>
      <c r="R256" s="662"/>
      <c r="S256" s="662"/>
      <c r="T256" s="662"/>
      <c r="U256" s="662"/>
      <c r="V256" s="662"/>
      <c r="W256" s="662"/>
      <c r="X256" s="662"/>
      <c r="Y256" s="662"/>
      <c r="Z256" s="662"/>
      <c r="AA256" s="66"/>
      <c r="AB256" s="66"/>
      <c r="AC256" s="80"/>
    </row>
    <row r="257" spans="1:68" ht="27" hidden="1" customHeight="1" x14ac:dyDescent="0.25">
      <c r="A257" s="63" t="s">
        <v>443</v>
      </c>
      <c r="B257" s="63" t="s">
        <v>444</v>
      </c>
      <c r="C257" s="36">
        <v>4301011450</v>
      </c>
      <c r="D257" s="657">
        <v>4680115881402</v>
      </c>
      <c r="E257" s="657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59"/>
      <c r="R257" s="659"/>
      <c r="S257" s="659"/>
      <c r="T257" s="66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hidden="1" customHeight="1" x14ac:dyDescent="0.25">
      <c r="A258" s="63" t="s">
        <v>446</v>
      </c>
      <c r="B258" s="63" t="s">
        <v>447</v>
      </c>
      <c r="C258" s="36">
        <v>4301011768</v>
      </c>
      <c r="D258" s="657">
        <v>4680115881396</v>
      </c>
      <c r="E258" s="657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1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59"/>
      <c r="R258" s="659"/>
      <c r="S258" s="659"/>
      <c r="T258" s="660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idden="1" x14ac:dyDescent="0.2">
      <c r="A259" s="651"/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2"/>
      <c r="P259" s="648" t="s">
        <v>40</v>
      </c>
      <c r="Q259" s="649"/>
      <c r="R259" s="649"/>
      <c r="S259" s="649"/>
      <c r="T259" s="649"/>
      <c r="U259" s="649"/>
      <c r="V259" s="650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hidden="1" x14ac:dyDescent="0.2">
      <c r="A260" s="651"/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2"/>
      <c r="P260" s="648" t="s">
        <v>40</v>
      </c>
      <c r="Q260" s="649"/>
      <c r="R260" s="649"/>
      <c r="S260" s="649"/>
      <c r="T260" s="649"/>
      <c r="U260" s="649"/>
      <c r="V260" s="650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hidden="1" customHeight="1" x14ac:dyDescent="0.25">
      <c r="A261" s="662" t="s">
        <v>158</v>
      </c>
      <c r="B261" s="662"/>
      <c r="C261" s="662"/>
      <c r="D261" s="662"/>
      <c r="E261" s="662"/>
      <c r="F261" s="662"/>
      <c r="G261" s="662"/>
      <c r="H261" s="662"/>
      <c r="I261" s="662"/>
      <c r="J261" s="662"/>
      <c r="K261" s="662"/>
      <c r="L261" s="662"/>
      <c r="M261" s="662"/>
      <c r="N261" s="662"/>
      <c r="O261" s="662"/>
      <c r="P261" s="662"/>
      <c r="Q261" s="662"/>
      <c r="R261" s="662"/>
      <c r="S261" s="662"/>
      <c r="T261" s="662"/>
      <c r="U261" s="662"/>
      <c r="V261" s="662"/>
      <c r="W261" s="662"/>
      <c r="X261" s="662"/>
      <c r="Y261" s="662"/>
      <c r="Z261" s="662"/>
      <c r="AA261" s="66"/>
      <c r="AB261" s="66"/>
      <c r="AC261" s="80"/>
    </row>
    <row r="262" spans="1:68" ht="16.5" hidden="1" customHeight="1" x14ac:dyDescent="0.25">
      <c r="A262" s="63" t="s">
        <v>448</v>
      </c>
      <c r="B262" s="63" t="s">
        <v>449</v>
      </c>
      <c r="C262" s="36">
        <v>4301020261</v>
      </c>
      <c r="D262" s="657">
        <v>4680115882935</v>
      </c>
      <c r="E262" s="65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1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59"/>
      <c r="R262" s="659"/>
      <c r="S262" s="659"/>
      <c r="T262" s="66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hidden="1" customHeight="1" x14ac:dyDescent="0.25">
      <c r="A263" s="63" t="s">
        <v>451</v>
      </c>
      <c r="B263" s="63" t="s">
        <v>452</v>
      </c>
      <c r="C263" s="36">
        <v>4301020220</v>
      </c>
      <c r="D263" s="657">
        <v>4680115880764</v>
      </c>
      <c r="E263" s="657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1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59"/>
      <c r="R263" s="659"/>
      <c r="S263" s="659"/>
      <c r="T263" s="66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52"/>
      <c r="P264" s="648" t="s">
        <v>40</v>
      </c>
      <c r="Q264" s="649"/>
      <c r="R264" s="649"/>
      <c r="S264" s="649"/>
      <c r="T264" s="649"/>
      <c r="U264" s="649"/>
      <c r="V264" s="65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51"/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2"/>
      <c r="P265" s="648" t="s">
        <v>40</v>
      </c>
      <c r="Q265" s="649"/>
      <c r="R265" s="649"/>
      <c r="S265" s="649"/>
      <c r="T265" s="649"/>
      <c r="U265" s="649"/>
      <c r="V265" s="65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2" t="s">
        <v>77</v>
      </c>
      <c r="B266" s="662"/>
      <c r="C266" s="662"/>
      <c r="D266" s="662"/>
      <c r="E266" s="662"/>
      <c r="F266" s="662"/>
      <c r="G266" s="662"/>
      <c r="H266" s="662"/>
      <c r="I266" s="662"/>
      <c r="J266" s="662"/>
      <c r="K266" s="662"/>
      <c r="L266" s="662"/>
      <c r="M266" s="662"/>
      <c r="N266" s="662"/>
      <c r="O266" s="662"/>
      <c r="P266" s="662"/>
      <c r="Q266" s="662"/>
      <c r="R266" s="662"/>
      <c r="S266" s="662"/>
      <c r="T266" s="662"/>
      <c r="U266" s="662"/>
      <c r="V266" s="662"/>
      <c r="W266" s="662"/>
      <c r="X266" s="662"/>
      <c r="Y266" s="662"/>
      <c r="Z266" s="662"/>
      <c r="AA266" s="66"/>
      <c r="AB266" s="66"/>
      <c r="AC266" s="80"/>
    </row>
    <row r="267" spans="1:68" ht="27" hidden="1" customHeight="1" x14ac:dyDescent="0.25">
      <c r="A267" s="63" t="s">
        <v>453</v>
      </c>
      <c r="B267" s="63" t="s">
        <v>454</v>
      </c>
      <c r="C267" s="36">
        <v>4301031224</v>
      </c>
      <c r="D267" s="657">
        <v>4680115882683</v>
      </c>
      <c r="E267" s="657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59"/>
      <c r="R267" s="659"/>
      <c r="S267" s="659"/>
      <c r="T267" s="66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hidden="1" customHeight="1" x14ac:dyDescent="0.25">
      <c r="A268" s="63" t="s">
        <v>456</v>
      </c>
      <c r="B268" s="63" t="s">
        <v>457</v>
      </c>
      <c r="C268" s="36">
        <v>4301031230</v>
      </c>
      <c r="D268" s="657">
        <v>4680115882690</v>
      </c>
      <c r="E268" s="657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59"/>
      <c r="R268" s="659"/>
      <c r="S268" s="659"/>
      <c r="T268" s="66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hidden="1" customHeight="1" x14ac:dyDescent="0.25">
      <c r="A269" s="63" t="s">
        <v>459</v>
      </c>
      <c r="B269" s="63" t="s">
        <v>460</v>
      </c>
      <c r="C269" s="36">
        <v>4301031220</v>
      </c>
      <c r="D269" s="657">
        <v>4680115882669</v>
      </c>
      <c r="E269" s="657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0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59"/>
      <c r="R269" s="659"/>
      <c r="S269" s="659"/>
      <c r="T269" s="66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hidden="1" customHeight="1" x14ac:dyDescent="0.25">
      <c r="A270" s="63" t="s">
        <v>462</v>
      </c>
      <c r="B270" s="63" t="s">
        <v>463</v>
      </c>
      <c r="C270" s="36">
        <v>4301031221</v>
      </c>
      <c r="D270" s="657">
        <v>4680115882676</v>
      </c>
      <c r="E270" s="657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0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59"/>
      <c r="R270" s="659"/>
      <c r="S270" s="659"/>
      <c r="T270" s="66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4301031223</v>
      </c>
      <c r="D271" s="657">
        <v>4680115884014</v>
      </c>
      <c r="E271" s="657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0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59"/>
      <c r="R271" s="659"/>
      <c r="S271" s="659"/>
      <c r="T271" s="66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4301031222</v>
      </c>
      <c r="D272" s="657">
        <v>4680115884007</v>
      </c>
      <c r="E272" s="657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0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59"/>
      <c r="R272" s="659"/>
      <c r="S272" s="659"/>
      <c r="T272" s="66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4301031229</v>
      </c>
      <c r="D273" s="657">
        <v>4680115884038</v>
      </c>
      <c r="E273" s="657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59"/>
      <c r="R273" s="659"/>
      <c r="S273" s="659"/>
      <c r="T273" s="66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4301031225</v>
      </c>
      <c r="D274" s="657">
        <v>4680115884021</v>
      </c>
      <c r="E274" s="657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0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59"/>
      <c r="R274" s="659"/>
      <c r="S274" s="659"/>
      <c r="T274" s="66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hidden="1" x14ac:dyDescent="0.2">
      <c r="A275" s="651"/>
      <c r="B275" s="651"/>
      <c r="C275" s="651"/>
      <c r="D275" s="651"/>
      <c r="E275" s="651"/>
      <c r="F275" s="651"/>
      <c r="G275" s="651"/>
      <c r="H275" s="651"/>
      <c r="I275" s="651"/>
      <c r="J275" s="651"/>
      <c r="K275" s="651"/>
      <c r="L275" s="651"/>
      <c r="M275" s="651"/>
      <c r="N275" s="651"/>
      <c r="O275" s="652"/>
      <c r="P275" s="648" t="s">
        <v>40</v>
      </c>
      <c r="Q275" s="649"/>
      <c r="R275" s="649"/>
      <c r="S275" s="649"/>
      <c r="T275" s="649"/>
      <c r="U275" s="649"/>
      <c r="V275" s="650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hidden="1" x14ac:dyDescent="0.2">
      <c r="A276" s="651"/>
      <c r="B276" s="651"/>
      <c r="C276" s="651"/>
      <c r="D276" s="651"/>
      <c r="E276" s="651"/>
      <c r="F276" s="651"/>
      <c r="G276" s="651"/>
      <c r="H276" s="651"/>
      <c r="I276" s="651"/>
      <c r="J276" s="651"/>
      <c r="K276" s="651"/>
      <c r="L276" s="651"/>
      <c r="M276" s="651"/>
      <c r="N276" s="651"/>
      <c r="O276" s="652"/>
      <c r="P276" s="648" t="s">
        <v>40</v>
      </c>
      <c r="Q276" s="649"/>
      <c r="R276" s="649"/>
      <c r="S276" s="649"/>
      <c r="T276" s="649"/>
      <c r="U276" s="649"/>
      <c r="V276" s="650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hidden="1" customHeight="1" x14ac:dyDescent="0.25">
      <c r="A277" s="662" t="s">
        <v>86</v>
      </c>
      <c r="B277" s="662"/>
      <c r="C277" s="662"/>
      <c r="D277" s="662"/>
      <c r="E277" s="662"/>
      <c r="F277" s="662"/>
      <c r="G277" s="662"/>
      <c r="H277" s="662"/>
      <c r="I277" s="662"/>
      <c r="J277" s="662"/>
      <c r="K277" s="662"/>
      <c r="L277" s="662"/>
      <c r="M277" s="662"/>
      <c r="N277" s="662"/>
      <c r="O277" s="662"/>
      <c r="P277" s="662"/>
      <c r="Q277" s="662"/>
      <c r="R277" s="662"/>
      <c r="S277" s="662"/>
      <c r="T277" s="662"/>
      <c r="U277" s="662"/>
      <c r="V277" s="662"/>
      <c r="W277" s="662"/>
      <c r="X277" s="662"/>
      <c r="Y277" s="662"/>
      <c r="Z277" s="662"/>
      <c r="AA277" s="66"/>
      <c r="AB277" s="66"/>
      <c r="AC277" s="80"/>
    </row>
    <row r="278" spans="1:68" ht="27" hidden="1" customHeight="1" x14ac:dyDescent="0.25">
      <c r="A278" s="63" t="s">
        <v>473</v>
      </c>
      <c r="B278" s="63" t="s">
        <v>474</v>
      </c>
      <c r="C278" s="36">
        <v>4301051408</v>
      </c>
      <c r="D278" s="657">
        <v>4680115881594</v>
      </c>
      <c r="E278" s="657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59"/>
      <c r="R278" s="659"/>
      <c r="S278" s="659"/>
      <c r="T278" s="66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4301051411</v>
      </c>
      <c r="D279" s="657">
        <v>4680115881617</v>
      </c>
      <c r="E279" s="657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59"/>
      <c r="R279" s="659"/>
      <c r="S279" s="659"/>
      <c r="T279" s="66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4301051656</v>
      </c>
      <c r="D280" s="657">
        <v>4680115880573</v>
      </c>
      <c r="E280" s="657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59"/>
      <c r="R280" s="659"/>
      <c r="S280" s="659"/>
      <c r="T280" s="66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4301051407</v>
      </c>
      <c r="D281" s="657">
        <v>4680115882195</v>
      </c>
      <c r="E281" s="657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7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59"/>
      <c r="R281" s="659"/>
      <c r="S281" s="659"/>
      <c r="T281" s="66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4301051752</v>
      </c>
      <c r="D282" s="657">
        <v>4680115882607</v>
      </c>
      <c r="E282" s="657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7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59"/>
      <c r="R282" s="659"/>
      <c r="S282" s="659"/>
      <c r="T282" s="660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4301052143</v>
      </c>
      <c r="D283" s="657">
        <v>4680115882607</v>
      </c>
      <c r="E283" s="657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7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59"/>
      <c r="R283" s="659"/>
      <c r="S283" s="659"/>
      <c r="T283" s="66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4301051666</v>
      </c>
      <c r="D284" s="657">
        <v>4680115880092</v>
      </c>
      <c r="E284" s="657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7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59"/>
      <c r="R284" s="659"/>
      <c r="S284" s="659"/>
      <c r="T284" s="66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4301052214</v>
      </c>
      <c r="D285" s="657">
        <v>4680115889064</v>
      </c>
      <c r="E285" s="657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59"/>
      <c r="R285" s="659"/>
      <c r="S285" s="659"/>
      <c r="T285" s="66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4301051668</v>
      </c>
      <c r="D286" s="657">
        <v>4680115880221</v>
      </c>
      <c r="E286" s="65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9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59"/>
      <c r="R286" s="659"/>
      <c r="S286" s="659"/>
      <c r="T286" s="660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4301051945</v>
      </c>
      <c r="D287" s="657">
        <v>4680115880504</v>
      </c>
      <c r="E287" s="657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79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59"/>
      <c r="R287" s="659"/>
      <c r="S287" s="659"/>
      <c r="T287" s="66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4301051410</v>
      </c>
      <c r="D288" s="657">
        <v>4680115882164</v>
      </c>
      <c r="E288" s="657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79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59"/>
      <c r="R288" s="659"/>
      <c r="S288" s="659"/>
      <c r="T288" s="66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hidden="1" customHeight="1" x14ac:dyDescent="0.25">
      <c r="A289" s="63" t="s">
        <v>501</v>
      </c>
      <c r="B289" s="63" t="s">
        <v>502</v>
      </c>
      <c r="C289" s="36">
        <v>4301052180</v>
      </c>
      <c r="D289" s="657">
        <v>4680115888340</v>
      </c>
      <c r="E289" s="65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79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59"/>
      <c r="R289" s="659"/>
      <c r="S289" s="659"/>
      <c r="T289" s="66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hidden="1" x14ac:dyDescent="0.2">
      <c r="A290" s="651"/>
      <c r="B290" s="651"/>
      <c r="C290" s="651"/>
      <c r="D290" s="651"/>
      <c r="E290" s="651"/>
      <c r="F290" s="651"/>
      <c r="G290" s="651"/>
      <c r="H290" s="651"/>
      <c r="I290" s="651"/>
      <c r="J290" s="651"/>
      <c r="K290" s="651"/>
      <c r="L290" s="651"/>
      <c r="M290" s="651"/>
      <c r="N290" s="651"/>
      <c r="O290" s="652"/>
      <c r="P290" s="648" t="s">
        <v>40</v>
      </c>
      <c r="Q290" s="649"/>
      <c r="R290" s="649"/>
      <c r="S290" s="649"/>
      <c r="T290" s="649"/>
      <c r="U290" s="649"/>
      <c r="V290" s="650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hidden="1" x14ac:dyDescent="0.2">
      <c r="A291" s="651"/>
      <c r="B291" s="651"/>
      <c r="C291" s="651"/>
      <c r="D291" s="651"/>
      <c r="E291" s="651"/>
      <c r="F291" s="651"/>
      <c r="G291" s="651"/>
      <c r="H291" s="651"/>
      <c r="I291" s="651"/>
      <c r="J291" s="651"/>
      <c r="K291" s="651"/>
      <c r="L291" s="651"/>
      <c r="M291" s="651"/>
      <c r="N291" s="651"/>
      <c r="O291" s="652"/>
      <c r="P291" s="648" t="s">
        <v>40</v>
      </c>
      <c r="Q291" s="649"/>
      <c r="R291" s="649"/>
      <c r="S291" s="649"/>
      <c r="T291" s="649"/>
      <c r="U291" s="649"/>
      <c r="V291" s="650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hidden="1" customHeight="1" x14ac:dyDescent="0.25">
      <c r="A292" s="662" t="s">
        <v>175</v>
      </c>
      <c r="B292" s="662"/>
      <c r="C292" s="662"/>
      <c r="D292" s="662"/>
      <c r="E292" s="662"/>
      <c r="F292" s="662"/>
      <c r="G292" s="662"/>
      <c r="H292" s="662"/>
      <c r="I292" s="662"/>
      <c r="J292" s="662"/>
      <c r="K292" s="662"/>
      <c r="L292" s="662"/>
      <c r="M292" s="662"/>
      <c r="N292" s="662"/>
      <c r="O292" s="662"/>
      <c r="P292" s="662"/>
      <c r="Q292" s="662"/>
      <c r="R292" s="662"/>
      <c r="S292" s="662"/>
      <c r="T292" s="662"/>
      <c r="U292" s="662"/>
      <c r="V292" s="662"/>
      <c r="W292" s="662"/>
      <c r="X292" s="662"/>
      <c r="Y292" s="662"/>
      <c r="Z292" s="662"/>
      <c r="AA292" s="66"/>
      <c r="AB292" s="66"/>
      <c r="AC292" s="80"/>
    </row>
    <row r="293" spans="1:68" ht="27" hidden="1" customHeight="1" x14ac:dyDescent="0.25">
      <c r="A293" s="63" t="s">
        <v>504</v>
      </c>
      <c r="B293" s="63" t="s">
        <v>505</v>
      </c>
      <c r="C293" s="36">
        <v>4301060463</v>
      </c>
      <c r="D293" s="657">
        <v>4680115880818</v>
      </c>
      <c r="E293" s="657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7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59"/>
      <c r="R293" s="659"/>
      <c r="S293" s="659"/>
      <c r="T293" s="660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4301060389</v>
      </c>
      <c r="D294" s="657">
        <v>4680115880801</v>
      </c>
      <c r="E294" s="65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7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59"/>
      <c r="R294" s="659"/>
      <c r="S294" s="659"/>
      <c r="T294" s="660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idden="1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52"/>
      <c r="P295" s="648" t="s">
        <v>40</v>
      </c>
      <c r="Q295" s="649"/>
      <c r="R295" s="649"/>
      <c r="S295" s="649"/>
      <c r="T295" s="649"/>
      <c r="U295" s="649"/>
      <c r="V295" s="650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hidden="1" x14ac:dyDescent="0.2">
      <c r="A296" s="651"/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2"/>
      <c r="P296" s="648" t="s">
        <v>40</v>
      </c>
      <c r="Q296" s="649"/>
      <c r="R296" s="649"/>
      <c r="S296" s="649"/>
      <c r="T296" s="649"/>
      <c r="U296" s="649"/>
      <c r="V296" s="650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hidden="1" customHeight="1" x14ac:dyDescent="0.25">
      <c r="A297" s="661" t="s">
        <v>510</v>
      </c>
      <c r="B297" s="661"/>
      <c r="C297" s="661"/>
      <c r="D297" s="661"/>
      <c r="E297" s="661"/>
      <c r="F297" s="661"/>
      <c r="G297" s="661"/>
      <c r="H297" s="661"/>
      <c r="I297" s="661"/>
      <c r="J297" s="661"/>
      <c r="K297" s="661"/>
      <c r="L297" s="661"/>
      <c r="M297" s="661"/>
      <c r="N297" s="661"/>
      <c r="O297" s="661"/>
      <c r="P297" s="661"/>
      <c r="Q297" s="661"/>
      <c r="R297" s="661"/>
      <c r="S297" s="661"/>
      <c r="T297" s="661"/>
      <c r="U297" s="661"/>
      <c r="V297" s="661"/>
      <c r="W297" s="661"/>
      <c r="X297" s="661"/>
      <c r="Y297" s="661"/>
      <c r="Z297" s="661"/>
      <c r="AA297" s="65"/>
      <c r="AB297" s="65"/>
      <c r="AC297" s="79"/>
    </row>
    <row r="298" spans="1:68" ht="14.25" hidden="1" customHeight="1" x14ac:dyDescent="0.25">
      <c r="A298" s="662" t="s">
        <v>122</v>
      </c>
      <c r="B298" s="662"/>
      <c r="C298" s="662"/>
      <c r="D298" s="662"/>
      <c r="E298" s="662"/>
      <c r="F298" s="662"/>
      <c r="G298" s="662"/>
      <c r="H298" s="662"/>
      <c r="I298" s="662"/>
      <c r="J298" s="662"/>
      <c r="K298" s="662"/>
      <c r="L298" s="662"/>
      <c r="M298" s="662"/>
      <c r="N298" s="662"/>
      <c r="O298" s="662"/>
      <c r="P298" s="662"/>
      <c r="Q298" s="662"/>
      <c r="R298" s="662"/>
      <c r="S298" s="662"/>
      <c r="T298" s="662"/>
      <c r="U298" s="662"/>
      <c r="V298" s="662"/>
      <c r="W298" s="662"/>
      <c r="X298" s="662"/>
      <c r="Y298" s="662"/>
      <c r="Z298" s="662"/>
      <c r="AA298" s="66"/>
      <c r="AB298" s="66"/>
      <c r="AC298" s="80"/>
    </row>
    <row r="299" spans="1:68" ht="27" hidden="1" customHeight="1" x14ac:dyDescent="0.25">
      <c r="A299" s="63" t="s">
        <v>511</v>
      </c>
      <c r="B299" s="63" t="s">
        <v>512</v>
      </c>
      <c r="C299" s="36">
        <v>4301011826</v>
      </c>
      <c r="D299" s="657">
        <v>4680115884137</v>
      </c>
      <c r="E299" s="657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7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59"/>
      <c r="R299" s="659"/>
      <c r="S299" s="659"/>
      <c r="T299" s="660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hidden="1" customHeight="1" x14ac:dyDescent="0.25">
      <c r="A300" s="63" t="s">
        <v>514</v>
      </c>
      <c r="B300" s="63" t="s">
        <v>515</v>
      </c>
      <c r="C300" s="36">
        <v>4301011724</v>
      </c>
      <c r="D300" s="657">
        <v>4680115884236</v>
      </c>
      <c r="E300" s="657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7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59"/>
      <c r="R300" s="659"/>
      <c r="S300" s="659"/>
      <c r="T300" s="660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4301011721</v>
      </c>
      <c r="D301" s="657">
        <v>4680115884175</v>
      </c>
      <c r="E301" s="657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59"/>
      <c r="R301" s="659"/>
      <c r="S301" s="659"/>
      <c r="T301" s="660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4301011824</v>
      </c>
      <c r="D302" s="657">
        <v>4680115884144</v>
      </c>
      <c r="E302" s="657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7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59"/>
      <c r="R302" s="659"/>
      <c r="S302" s="659"/>
      <c r="T302" s="660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4301012149</v>
      </c>
      <c r="D303" s="657">
        <v>4680115886551</v>
      </c>
      <c r="E303" s="657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7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59"/>
      <c r="R303" s="659"/>
      <c r="S303" s="659"/>
      <c r="T303" s="660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4301012228</v>
      </c>
      <c r="D304" s="657">
        <v>4680115887282</v>
      </c>
      <c r="E304" s="657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7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59"/>
      <c r="R304" s="659"/>
      <c r="S304" s="659"/>
      <c r="T304" s="66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hidden="1" customHeight="1" x14ac:dyDescent="0.25">
      <c r="A305" s="63" t="s">
        <v>527</v>
      </c>
      <c r="B305" s="63" t="s">
        <v>528</v>
      </c>
      <c r="C305" s="36">
        <v>4301011722</v>
      </c>
      <c r="D305" s="657">
        <v>4680115884205</v>
      </c>
      <c r="E305" s="657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7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59"/>
      <c r="R305" s="659"/>
      <c r="S305" s="659"/>
      <c r="T305" s="66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hidden="1" x14ac:dyDescent="0.2">
      <c r="A306" s="651"/>
      <c r="B306" s="651"/>
      <c r="C306" s="651"/>
      <c r="D306" s="651"/>
      <c r="E306" s="651"/>
      <c r="F306" s="651"/>
      <c r="G306" s="651"/>
      <c r="H306" s="651"/>
      <c r="I306" s="651"/>
      <c r="J306" s="651"/>
      <c r="K306" s="651"/>
      <c r="L306" s="651"/>
      <c r="M306" s="651"/>
      <c r="N306" s="651"/>
      <c r="O306" s="652"/>
      <c r="P306" s="648" t="s">
        <v>40</v>
      </c>
      <c r="Q306" s="649"/>
      <c r="R306" s="649"/>
      <c r="S306" s="649"/>
      <c r="T306" s="649"/>
      <c r="U306" s="649"/>
      <c r="V306" s="650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hidden="1" x14ac:dyDescent="0.2">
      <c r="A307" s="651"/>
      <c r="B307" s="651"/>
      <c r="C307" s="651"/>
      <c r="D307" s="651"/>
      <c r="E307" s="651"/>
      <c r="F307" s="651"/>
      <c r="G307" s="651"/>
      <c r="H307" s="651"/>
      <c r="I307" s="651"/>
      <c r="J307" s="651"/>
      <c r="K307" s="651"/>
      <c r="L307" s="651"/>
      <c r="M307" s="651"/>
      <c r="N307" s="651"/>
      <c r="O307" s="652"/>
      <c r="P307" s="648" t="s">
        <v>40</v>
      </c>
      <c r="Q307" s="649"/>
      <c r="R307" s="649"/>
      <c r="S307" s="649"/>
      <c r="T307" s="649"/>
      <c r="U307" s="649"/>
      <c r="V307" s="650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62" t="s">
        <v>158</v>
      </c>
      <c r="B308" s="662"/>
      <c r="C308" s="662"/>
      <c r="D308" s="662"/>
      <c r="E308" s="662"/>
      <c r="F308" s="662"/>
      <c r="G308" s="662"/>
      <c r="H308" s="662"/>
      <c r="I308" s="662"/>
      <c r="J308" s="662"/>
      <c r="K308" s="662"/>
      <c r="L308" s="662"/>
      <c r="M308" s="662"/>
      <c r="N308" s="662"/>
      <c r="O308" s="662"/>
      <c r="P308" s="662"/>
      <c r="Q308" s="662"/>
      <c r="R308" s="662"/>
      <c r="S308" s="662"/>
      <c r="T308" s="662"/>
      <c r="U308" s="662"/>
      <c r="V308" s="662"/>
      <c r="W308" s="662"/>
      <c r="X308" s="662"/>
      <c r="Y308" s="662"/>
      <c r="Z308" s="662"/>
      <c r="AA308" s="66"/>
      <c r="AB308" s="66"/>
      <c r="AC308" s="80"/>
    </row>
    <row r="309" spans="1:68" ht="27" hidden="1" customHeight="1" x14ac:dyDescent="0.25">
      <c r="A309" s="63" t="s">
        <v>529</v>
      </c>
      <c r="B309" s="63" t="s">
        <v>530</v>
      </c>
      <c r="C309" s="36">
        <v>4301020377</v>
      </c>
      <c r="D309" s="657">
        <v>4680115885981</v>
      </c>
      <c r="E309" s="657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77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59"/>
      <c r="R309" s="659"/>
      <c r="S309" s="659"/>
      <c r="T309" s="66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idden="1" x14ac:dyDescent="0.2">
      <c r="A310" s="651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2"/>
      <c r="P310" s="648" t="s">
        <v>40</v>
      </c>
      <c r="Q310" s="649"/>
      <c r="R310" s="649"/>
      <c r="S310" s="649"/>
      <c r="T310" s="649"/>
      <c r="U310" s="649"/>
      <c r="V310" s="650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52"/>
      <c r="P311" s="648" t="s">
        <v>40</v>
      </c>
      <c r="Q311" s="649"/>
      <c r="R311" s="649"/>
      <c r="S311" s="649"/>
      <c r="T311" s="649"/>
      <c r="U311" s="649"/>
      <c r="V311" s="650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662" t="s">
        <v>532</v>
      </c>
      <c r="B312" s="662"/>
      <c r="C312" s="662"/>
      <c r="D312" s="662"/>
      <c r="E312" s="662"/>
      <c r="F312" s="662"/>
      <c r="G312" s="662"/>
      <c r="H312" s="662"/>
      <c r="I312" s="662"/>
      <c r="J312" s="662"/>
      <c r="K312" s="662"/>
      <c r="L312" s="662"/>
      <c r="M312" s="662"/>
      <c r="N312" s="662"/>
      <c r="O312" s="662"/>
      <c r="P312" s="662"/>
      <c r="Q312" s="662"/>
      <c r="R312" s="662"/>
      <c r="S312" s="662"/>
      <c r="T312" s="662"/>
      <c r="U312" s="662"/>
      <c r="V312" s="662"/>
      <c r="W312" s="662"/>
      <c r="X312" s="662"/>
      <c r="Y312" s="662"/>
      <c r="Z312" s="662"/>
      <c r="AA312" s="66"/>
      <c r="AB312" s="66"/>
      <c r="AC312" s="80"/>
    </row>
    <row r="313" spans="1:68" ht="27" hidden="1" customHeight="1" x14ac:dyDescent="0.25">
      <c r="A313" s="63" t="s">
        <v>533</v>
      </c>
      <c r="B313" s="63" t="s">
        <v>534</v>
      </c>
      <c r="C313" s="36">
        <v>4301040362</v>
      </c>
      <c r="D313" s="657">
        <v>4680115886803</v>
      </c>
      <c r="E313" s="657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78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59"/>
      <c r="R313" s="659"/>
      <c r="S313" s="659"/>
      <c r="T313" s="66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1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2"/>
      <c r="P314" s="648" t="s">
        <v>40</v>
      </c>
      <c r="Q314" s="649"/>
      <c r="R314" s="649"/>
      <c r="S314" s="649"/>
      <c r="T314" s="649"/>
      <c r="U314" s="649"/>
      <c r="V314" s="65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52"/>
      <c r="P315" s="648" t="s">
        <v>40</v>
      </c>
      <c r="Q315" s="649"/>
      <c r="R315" s="649"/>
      <c r="S315" s="649"/>
      <c r="T315" s="649"/>
      <c r="U315" s="649"/>
      <c r="V315" s="65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662" t="s">
        <v>349</v>
      </c>
      <c r="B316" s="662"/>
      <c r="C316" s="662"/>
      <c r="D316" s="662"/>
      <c r="E316" s="662"/>
      <c r="F316" s="662"/>
      <c r="G316" s="662"/>
      <c r="H316" s="662"/>
      <c r="I316" s="662"/>
      <c r="J316" s="662"/>
      <c r="K316" s="662"/>
      <c r="L316" s="662"/>
      <c r="M316" s="662"/>
      <c r="N316" s="662"/>
      <c r="O316" s="662"/>
      <c r="P316" s="662"/>
      <c r="Q316" s="662"/>
      <c r="R316" s="662"/>
      <c r="S316" s="662"/>
      <c r="T316" s="662"/>
      <c r="U316" s="662"/>
      <c r="V316" s="662"/>
      <c r="W316" s="662"/>
      <c r="X316" s="662"/>
      <c r="Y316" s="662"/>
      <c r="Z316" s="662"/>
      <c r="AA316" s="66"/>
      <c r="AB316" s="66"/>
      <c r="AC316" s="80"/>
    </row>
    <row r="317" spans="1:68" ht="27" hidden="1" customHeight="1" x14ac:dyDescent="0.25">
      <c r="A317" s="63" t="s">
        <v>536</v>
      </c>
      <c r="B317" s="63" t="s">
        <v>537</v>
      </c>
      <c r="C317" s="36">
        <v>4301041004</v>
      </c>
      <c r="D317" s="657">
        <v>4680115886704</v>
      </c>
      <c r="E317" s="657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59"/>
      <c r="R317" s="659"/>
      <c r="S317" s="659"/>
      <c r="T317" s="66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539</v>
      </c>
      <c r="B318" s="63" t="s">
        <v>540</v>
      </c>
      <c r="C318" s="36">
        <v>4301041008</v>
      </c>
      <c r="D318" s="657">
        <v>4680115886681</v>
      </c>
      <c r="E318" s="65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59"/>
      <c r="R318" s="659"/>
      <c r="S318" s="659"/>
      <c r="T318" s="66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541</v>
      </c>
      <c r="B319" s="63" t="s">
        <v>542</v>
      </c>
      <c r="C319" s="36">
        <v>4301041007</v>
      </c>
      <c r="D319" s="657">
        <v>4680115886735</v>
      </c>
      <c r="E319" s="657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77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59"/>
      <c r="R319" s="659"/>
      <c r="S319" s="659"/>
      <c r="T319" s="66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idden="1" x14ac:dyDescent="0.2">
      <c r="A320" s="651"/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2"/>
      <c r="P320" s="648" t="s">
        <v>40</v>
      </c>
      <c r="Q320" s="649"/>
      <c r="R320" s="649"/>
      <c r="S320" s="649"/>
      <c r="T320" s="649"/>
      <c r="U320" s="649"/>
      <c r="V320" s="650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hidden="1" x14ac:dyDescent="0.2">
      <c r="A321" s="651"/>
      <c r="B321" s="651"/>
      <c r="C321" s="651"/>
      <c r="D321" s="651"/>
      <c r="E321" s="651"/>
      <c r="F321" s="651"/>
      <c r="G321" s="651"/>
      <c r="H321" s="651"/>
      <c r="I321" s="651"/>
      <c r="J321" s="651"/>
      <c r="K321" s="651"/>
      <c r="L321" s="651"/>
      <c r="M321" s="651"/>
      <c r="N321" s="651"/>
      <c r="O321" s="652"/>
      <c r="P321" s="648" t="s">
        <v>40</v>
      </c>
      <c r="Q321" s="649"/>
      <c r="R321" s="649"/>
      <c r="S321" s="649"/>
      <c r="T321" s="649"/>
      <c r="U321" s="649"/>
      <c r="V321" s="650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hidden="1" customHeight="1" x14ac:dyDescent="0.25">
      <c r="A322" s="661" t="s">
        <v>543</v>
      </c>
      <c r="B322" s="661"/>
      <c r="C322" s="661"/>
      <c r="D322" s="661"/>
      <c r="E322" s="661"/>
      <c r="F322" s="661"/>
      <c r="G322" s="661"/>
      <c r="H322" s="661"/>
      <c r="I322" s="661"/>
      <c r="J322" s="661"/>
      <c r="K322" s="661"/>
      <c r="L322" s="661"/>
      <c r="M322" s="661"/>
      <c r="N322" s="661"/>
      <c r="O322" s="661"/>
      <c r="P322" s="661"/>
      <c r="Q322" s="661"/>
      <c r="R322" s="661"/>
      <c r="S322" s="661"/>
      <c r="T322" s="661"/>
      <c r="U322" s="661"/>
      <c r="V322" s="661"/>
      <c r="W322" s="661"/>
      <c r="X322" s="661"/>
      <c r="Y322" s="661"/>
      <c r="Z322" s="661"/>
      <c r="AA322" s="65"/>
      <c r="AB322" s="65"/>
      <c r="AC322" s="79"/>
    </row>
    <row r="323" spans="1:68" ht="14.25" hidden="1" customHeight="1" x14ac:dyDescent="0.25">
      <c r="A323" s="662" t="s">
        <v>122</v>
      </c>
      <c r="B323" s="662"/>
      <c r="C323" s="662"/>
      <c r="D323" s="662"/>
      <c r="E323" s="662"/>
      <c r="F323" s="662"/>
      <c r="G323" s="662"/>
      <c r="H323" s="662"/>
      <c r="I323" s="662"/>
      <c r="J323" s="662"/>
      <c r="K323" s="662"/>
      <c r="L323" s="662"/>
      <c r="M323" s="662"/>
      <c r="N323" s="662"/>
      <c r="O323" s="662"/>
      <c r="P323" s="662"/>
      <c r="Q323" s="662"/>
      <c r="R323" s="662"/>
      <c r="S323" s="662"/>
      <c r="T323" s="662"/>
      <c r="U323" s="662"/>
      <c r="V323" s="662"/>
      <c r="W323" s="662"/>
      <c r="X323" s="662"/>
      <c r="Y323" s="662"/>
      <c r="Z323" s="662"/>
      <c r="AA323" s="66"/>
      <c r="AB323" s="66"/>
      <c r="AC323" s="80"/>
    </row>
    <row r="324" spans="1:68" ht="27" hidden="1" customHeight="1" x14ac:dyDescent="0.25">
      <c r="A324" s="63" t="s">
        <v>544</v>
      </c>
      <c r="B324" s="63" t="s">
        <v>545</v>
      </c>
      <c r="C324" s="36">
        <v>4301011855</v>
      </c>
      <c r="D324" s="657">
        <v>4680115885837</v>
      </c>
      <c r="E324" s="657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59"/>
      <c r="R324" s="659"/>
      <c r="S324" s="659"/>
      <c r="T324" s="660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657">
        <v>4680115887237</v>
      </c>
      <c r="E325" s="657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59"/>
      <c r="R325" s="659"/>
      <c r="S325" s="659"/>
      <c r="T325" s="660"/>
      <c r="U325" s="39" t="s">
        <v>46</v>
      </c>
      <c r="V325" s="39" t="s">
        <v>46</v>
      </c>
      <c r="W325" s="40" t="s">
        <v>0</v>
      </c>
      <c r="X325" s="58">
        <v>54</v>
      </c>
      <c r="Y325" s="55">
        <f>IFERROR(IF(X325="",0,CEILING((X325/$H325),1)*$H325),"")</f>
        <v>54</v>
      </c>
      <c r="Z325" s="41">
        <f>IFERROR(IF(Y325=0,"",ROUNDUP(Y325/H325,0)*0.01898),"")</f>
        <v>9.4899999999999998E-2</v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56.05</v>
      </c>
      <c r="BN325" s="78">
        <f>IFERROR(Y325*I325/H325,"0")</f>
        <v>56.05</v>
      </c>
      <c r="BO325" s="78">
        <f>IFERROR(1/J325*(X325/H325),"0")</f>
        <v>7.8125E-2</v>
      </c>
      <c r="BP325" s="78">
        <f>IFERROR(1/J325*(Y325/H325),"0")</f>
        <v>7.8125E-2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657">
        <v>4680115885806</v>
      </c>
      <c r="E326" s="657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7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59"/>
      <c r="R326" s="659"/>
      <c r="S326" s="659"/>
      <c r="T326" s="660"/>
      <c r="U326" s="39" t="s">
        <v>46</v>
      </c>
      <c r="V326" s="39" t="s">
        <v>46</v>
      </c>
      <c r="W326" s="40" t="s">
        <v>0</v>
      </c>
      <c r="X326" s="58">
        <v>108</v>
      </c>
      <c r="Y326" s="55">
        <f>IFERROR(IF(X326="",0,CEILING((X326/$H326),1)*$H326),"")</f>
        <v>108</v>
      </c>
      <c r="Z326" s="41">
        <f>IFERROR(IF(Y326=0,"",ROUNDUP(Y326/H326,0)*0.01898),"")</f>
        <v>0.1898</v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112.1</v>
      </c>
      <c r="BN326" s="78">
        <f>IFERROR(Y326*I326/H326,"0")</f>
        <v>112.1</v>
      </c>
      <c r="BO326" s="78">
        <f>IFERROR(1/J326*(X326/H326),"0")</f>
        <v>0.15625</v>
      </c>
      <c r="BP326" s="78">
        <f>IFERROR(1/J326*(Y326/H326),"0")</f>
        <v>0.15625</v>
      </c>
    </row>
    <row r="327" spans="1:68" ht="27" hidden="1" customHeight="1" x14ac:dyDescent="0.25">
      <c r="A327" s="63" t="s">
        <v>553</v>
      </c>
      <c r="B327" s="63" t="s">
        <v>554</v>
      </c>
      <c r="C327" s="36">
        <v>4301011852</v>
      </c>
      <c r="D327" s="657">
        <v>4680115885844</v>
      </c>
      <c r="E327" s="657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7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59"/>
      <c r="R327" s="659"/>
      <c r="S327" s="659"/>
      <c r="T327" s="66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hidden="1" customHeight="1" x14ac:dyDescent="0.25">
      <c r="A328" s="63" t="s">
        <v>556</v>
      </c>
      <c r="B328" s="63" t="s">
        <v>557</v>
      </c>
      <c r="C328" s="36">
        <v>4301011851</v>
      </c>
      <c r="D328" s="657">
        <v>4680115885820</v>
      </c>
      <c r="E328" s="657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7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59"/>
      <c r="R328" s="659"/>
      <c r="S328" s="659"/>
      <c r="T328" s="66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651"/>
      <c r="B329" s="651"/>
      <c r="C329" s="651"/>
      <c r="D329" s="651"/>
      <c r="E329" s="651"/>
      <c r="F329" s="651"/>
      <c r="G329" s="651"/>
      <c r="H329" s="651"/>
      <c r="I329" s="651"/>
      <c r="J329" s="651"/>
      <c r="K329" s="651"/>
      <c r="L329" s="651"/>
      <c r="M329" s="651"/>
      <c r="N329" s="651"/>
      <c r="O329" s="652"/>
      <c r="P329" s="648" t="s">
        <v>40</v>
      </c>
      <c r="Q329" s="649"/>
      <c r="R329" s="649"/>
      <c r="S329" s="649"/>
      <c r="T329" s="649"/>
      <c r="U329" s="649"/>
      <c r="V329" s="650"/>
      <c r="W329" s="42" t="s">
        <v>39</v>
      </c>
      <c r="X329" s="43">
        <f>IFERROR(X324/H324,"0")+IFERROR(X325/H325,"0")+IFERROR(X326/H326,"0")+IFERROR(X327/H327,"0")+IFERROR(X328/H328,"0")</f>
        <v>15</v>
      </c>
      <c r="Y329" s="43">
        <f>IFERROR(Y324/H324,"0")+IFERROR(Y325/H325,"0")+IFERROR(Y326/H326,"0")+IFERROR(Y327/H327,"0")+IFERROR(Y328/H328,"0")</f>
        <v>15</v>
      </c>
      <c r="Z329" s="43">
        <f>IFERROR(IF(Z324="",0,Z324),"0")+IFERROR(IF(Z325="",0,Z325),"0")+IFERROR(IF(Z326="",0,Z326),"0")+IFERROR(IF(Z327="",0,Z327),"0")+IFERROR(IF(Z328="",0,Z328),"0")</f>
        <v>0.28470000000000001</v>
      </c>
      <c r="AA329" s="67"/>
      <c r="AB329" s="67"/>
      <c r="AC329" s="67"/>
    </row>
    <row r="330" spans="1:68" x14ac:dyDescent="0.2">
      <c r="A330" s="651"/>
      <c r="B330" s="651"/>
      <c r="C330" s="651"/>
      <c r="D330" s="651"/>
      <c r="E330" s="651"/>
      <c r="F330" s="651"/>
      <c r="G330" s="651"/>
      <c r="H330" s="651"/>
      <c r="I330" s="651"/>
      <c r="J330" s="651"/>
      <c r="K330" s="651"/>
      <c r="L330" s="651"/>
      <c r="M330" s="651"/>
      <c r="N330" s="651"/>
      <c r="O330" s="652"/>
      <c r="P330" s="648" t="s">
        <v>40</v>
      </c>
      <c r="Q330" s="649"/>
      <c r="R330" s="649"/>
      <c r="S330" s="649"/>
      <c r="T330" s="649"/>
      <c r="U330" s="649"/>
      <c r="V330" s="650"/>
      <c r="W330" s="42" t="s">
        <v>0</v>
      </c>
      <c r="X330" s="43">
        <f>IFERROR(SUM(X324:X328),"0")</f>
        <v>162</v>
      </c>
      <c r="Y330" s="43">
        <f>IFERROR(SUM(Y324:Y328),"0")</f>
        <v>162</v>
      </c>
      <c r="Z330" s="42"/>
      <c r="AA330" s="67"/>
      <c r="AB330" s="67"/>
      <c r="AC330" s="67"/>
    </row>
    <row r="331" spans="1:68" ht="16.5" hidden="1" customHeight="1" x14ac:dyDescent="0.25">
      <c r="A331" s="661" t="s">
        <v>559</v>
      </c>
      <c r="B331" s="661"/>
      <c r="C331" s="661"/>
      <c r="D331" s="661"/>
      <c r="E331" s="661"/>
      <c r="F331" s="661"/>
      <c r="G331" s="661"/>
      <c r="H331" s="661"/>
      <c r="I331" s="661"/>
      <c r="J331" s="661"/>
      <c r="K331" s="661"/>
      <c r="L331" s="661"/>
      <c r="M331" s="661"/>
      <c r="N331" s="661"/>
      <c r="O331" s="661"/>
      <c r="P331" s="661"/>
      <c r="Q331" s="661"/>
      <c r="R331" s="661"/>
      <c r="S331" s="661"/>
      <c r="T331" s="661"/>
      <c r="U331" s="661"/>
      <c r="V331" s="661"/>
      <c r="W331" s="661"/>
      <c r="X331" s="661"/>
      <c r="Y331" s="661"/>
      <c r="Z331" s="661"/>
      <c r="AA331" s="65"/>
      <c r="AB331" s="65"/>
      <c r="AC331" s="79"/>
    </row>
    <row r="332" spans="1:68" ht="14.25" hidden="1" customHeight="1" x14ac:dyDescent="0.25">
      <c r="A332" s="662" t="s">
        <v>86</v>
      </c>
      <c r="B332" s="662"/>
      <c r="C332" s="662"/>
      <c r="D332" s="662"/>
      <c r="E332" s="662"/>
      <c r="F332" s="662"/>
      <c r="G332" s="662"/>
      <c r="H332" s="662"/>
      <c r="I332" s="662"/>
      <c r="J332" s="662"/>
      <c r="K332" s="662"/>
      <c r="L332" s="662"/>
      <c r="M332" s="662"/>
      <c r="N332" s="662"/>
      <c r="O332" s="662"/>
      <c r="P332" s="662"/>
      <c r="Q332" s="662"/>
      <c r="R332" s="662"/>
      <c r="S332" s="662"/>
      <c r="T332" s="662"/>
      <c r="U332" s="662"/>
      <c r="V332" s="662"/>
      <c r="W332" s="662"/>
      <c r="X332" s="662"/>
      <c r="Y332" s="662"/>
      <c r="Z332" s="662"/>
      <c r="AA332" s="66"/>
      <c r="AB332" s="66"/>
      <c r="AC332" s="80"/>
    </row>
    <row r="333" spans="1:68" ht="27" hidden="1" customHeight="1" x14ac:dyDescent="0.25">
      <c r="A333" s="63" t="s">
        <v>560</v>
      </c>
      <c r="B333" s="63" t="s">
        <v>561</v>
      </c>
      <c r="C333" s="36">
        <v>4301051893</v>
      </c>
      <c r="D333" s="657">
        <v>4680115886186</v>
      </c>
      <c r="E333" s="657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59"/>
      <c r="R333" s="659"/>
      <c r="S333" s="659"/>
      <c r="T333" s="66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563</v>
      </c>
      <c r="B334" s="63" t="s">
        <v>564</v>
      </c>
      <c r="C334" s="36">
        <v>4301051795</v>
      </c>
      <c r="D334" s="657">
        <v>4680115881228</v>
      </c>
      <c r="E334" s="657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59"/>
      <c r="R334" s="659"/>
      <c r="S334" s="659"/>
      <c r="T334" s="66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566</v>
      </c>
      <c r="B335" s="63" t="s">
        <v>567</v>
      </c>
      <c r="C335" s="36">
        <v>4301051388</v>
      </c>
      <c r="D335" s="657">
        <v>4680115881211</v>
      </c>
      <c r="E335" s="65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59"/>
      <c r="R335" s="659"/>
      <c r="S335" s="659"/>
      <c r="T335" s="66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51"/>
      <c r="B336" s="651"/>
      <c r="C336" s="651"/>
      <c r="D336" s="651"/>
      <c r="E336" s="651"/>
      <c r="F336" s="651"/>
      <c r="G336" s="651"/>
      <c r="H336" s="651"/>
      <c r="I336" s="651"/>
      <c r="J336" s="651"/>
      <c r="K336" s="651"/>
      <c r="L336" s="651"/>
      <c r="M336" s="651"/>
      <c r="N336" s="651"/>
      <c r="O336" s="652"/>
      <c r="P336" s="648" t="s">
        <v>40</v>
      </c>
      <c r="Q336" s="649"/>
      <c r="R336" s="649"/>
      <c r="S336" s="649"/>
      <c r="T336" s="649"/>
      <c r="U336" s="649"/>
      <c r="V336" s="650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51"/>
      <c r="B337" s="651"/>
      <c r="C337" s="651"/>
      <c r="D337" s="651"/>
      <c r="E337" s="651"/>
      <c r="F337" s="651"/>
      <c r="G337" s="651"/>
      <c r="H337" s="651"/>
      <c r="I337" s="651"/>
      <c r="J337" s="651"/>
      <c r="K337" s="651"/>
      <c r="L337" s="651"/>
      <c r="M337" s="651"/>
      <c r="N337" s="651"/>
      <c r="O337" s="652"/>
      <c r="P337" s="648" t="s">
        <v>40</v>
      </c>
      <c r="Q337" s="649"/>
      <c r="R337" s="649"/>
      <c r="S337" s="649"/>
      <c r="T337" s="649"/>
      <c r="U337" s="649"/>
      <c r="V337" s="650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hidden="1" customHeight="1" x14ac:dyDescent="0.25">
      <c r="A338" s="661" t="s">
        <v>568</v>
      </c>
      <c r="B338" s="661"/>
      <c r="C338" s="661"/>
      <c r="D338" s="661"/>
      <c r="E338" s="661"/>
      <c r="F338" s="661"/>
      <c r="G338" s="661"/>
      <c r="H338" s="661"/>
      <c r="I338" s="661"/>
      <c r="J338" s="661"/>
      <c r="K338" s="661"/>
      <c r="L338" s="661"/>
      <c r="M338" s="661"/>
      <c r="N338" s="661"/>
      <c r="O338" s="661"/>
      <c r="P338" s="661"/>
      <c r="Q338" s="661"/>
      <c r="R338" s="661"/>
      <c r="S338" s="661"/>
      <c r="T338" s="661"/>
      <c r="U338" s="661"/>
      <c r="V338" s="661"/>
      <c r="W338" s="661"/>
      <c r="X338" s="661"/>
      <c r="Y338" s="661"/>
      <c r="Z338" s="661"/>
      <c r="AA338" s="65"/>
      <c r="AB338" s="65"/>
      <c r="AC338" s="79"/>
    </row>
    <row r="339" spans="1:68" ht="14.25" hidden="1" customHeight="1" x14ac:dyDescent="0.25">
      <c r="A339" s="662" t="s">
        <v>77</v>
      </c>
      <c r="B339" s="662"/>
      <c r="C339" s="662"/>
      <c r="D339" s="662"/>
      <c r="E339" s="662"/>
      <c r="F339" s="662"/>
      <c r="G339" s="662"/>
      <c r="H339" s="662"/>
      <c r="I339" s="662"/>
      <c r="J339" s="662"/>
      <c r="K339" s="662"/>
      <c r="L339" s="662"/>
      <c r="M339" s="662"/>
      <c r="N339" s="662"/>
      <c r="O339" s="662"/>
      <c r="P339" s="662"/>
      <c r="Q339" s="662"/>
      <c r="R339" s="662"/>
      <c r="S339" s="662"/>
      <c r="T339" s="662"/>
      <c r="U339" s="662"/>
      <c r="V339" s="662"/>
      <c r="W339" s="662"/>
      <c r="X339" s="662"/>
      <c r="Y339" s="662"/>
      <c r="Z339" s="662"/>
      <c r="AA339" s="66"/>
      <c r="AB339" s="66"/>
      <c r="AC339" s="80"/>
    </row>
    <row r="340" spans="1:68" ht="27" hidden="1" customHeight="1" x14ac:dyDescent="0.25">
      <c r="A340" s="63" t="s">
        <v>569</v>
      </c>
      <c r="B340" s="63" t="s">
        <v>570</v>
      </c>
      <c r="C340" s="36">
        <v>4301031445</v>
      </c>
      <c r="D340" s="657">
        <v>4680115888319</v>
      </c>
      <c r="E340" s="657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59"/>
      <c r="R340" s="659"/>
      <c r="S340" s="659"/>
      <c r="T340" s="66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4301031502</v>
      </c>
      <c r="D341" s="657">
        <v>4680115884700</v>
      </c>
      <c r="E341" s="657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59"/>
      <c r="R341" s="659"/>
      <c r="S341" s="659"/>
      <c r="T341" s="66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574</v>
      </c>
      <c r="B342" s="63" t="s">
        <v>575</v>
      </c>
      <c r="C342" s="36">
        <v>4301031307</v>
      </c>
      <c r="D342" s="657">
        <v>4680115880344</v>
      </c>
      <c r="E342" s="657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59"/>
      <c r="R342" s="659"/>
      <c r="S342" s="659"/>
      <c r="T342" s="66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577</v>
      </c>
      <c r="B343" s="63" t="s">
        <v>578</v>
      </c>
      <c r="C343" s="36">
        <v>4301031501</v>
      </c>
      <c r="D343" s="657">
        <v>4680115886919</v>
      </c>
      <c r="E343" s="657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59"/>
      <c r="R343" s="659"/>
      <c r="S343" s="659"/>
      <c r="T343" s="66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580</v>
      </c>
      <c r="B344" s="63" t="s">
        <v>581</v>
      </c>
      <c r="C344" s="36">
        <v>4301031246</v>
      </c>
      <c r="D344" s="657">
        <v>4680115883970</v>
      </c>
      <c r="E344" s="657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59"/>
      <c r="R344" s="659"/>
      <c r="S344" s="659"/>
      <c r="T344" s="66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51"/>
      <c r="B345" s="651"/>
      <c r="C345" s="651"/>
      <c r="D345" s="651"/>
      <c r="E345" s="651"/>
      <c r="F345" s="651"/>
      <c r="G345" s="651"/>
      <c r="H345" s="651"/>
      <c r="I345" s="651"/>
      <c r="J345" s="651"/>
      <c r="K345" s="651"/>
      <c r="L345" s="651"/>
      <c r="M345" s="651"/>
      <c r="N345" s="651"/>
      <c r="O345" s="652"/>
      <c r="P345" s="648" t="s">
        <v>40</v>
      </c>
      <c r="Q345" s="649"/>
      <c r="R345" s="649"/>
      <c r="S345" s="649"/>
      <c r="T345" s="649"/>
      <c r="U345" s="649"/>
      <c r="V345" s="650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51"/>
      <c r="B346" s="651"/>
      <c r="C346" s="651"/>
      <c r="D346" s="651"/>
      <c r="E346" s="651"/>
      <c r="F346" s="651"/>
      <c r="G346" s="651"/>
      <c r="H346" s="651"/>
      <c r="I346" s="651"/>
      <c r="J346" s="651"/>
      <c r="K346" s="651"/>
      <c r="L346" s="651"/>
      <c r="M346" s="651"/>
      <c r="N346" s="651"/>
      <c r="O346" s="652"/>
      <c r="P346" s="648" t="s">
        <v>40</v>
      </c>
      <c r="Q346" s="649"/>
      <c r="R346" s="649"/>
      <c r="S346" s="649"/>
      <c r="T346" s="649"/>
      <c r="U346" s="649"/>
      <c r="V346" s="650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62" t="s">
        <v>86</v>
      </c>
      <c r="B347" s="662"/>
      <c r="C347" s="662"/>
      <c r="D347" s="662"/>
      <c r="E347" s="662"/>
      <c r="F347" s="662"/>
      <c r="G347" s="662"/>
      <c r="H347" s="662"/>
      <c r="I347" s="662"/>
      <c r="J347" s="662"/>
      <c r="K347" s="662"/>
      <c r="L347" s="662"/>
      <c r="M347" s="662"/>
      <c r="N347" s="662"/>
      <c r="O347" s="662"/>
      <c r="P347" s="662"/>
      <c r="Q347" s="662"/>
      <c r="R347" s="662"/>
      <c r="S347" s="662"/>
      <c r="T347" s="662"/>
      <c r="U347" s="662"/>
      <c r="V347" s="662"/>
      <c r="W347" s="662"/>
      <c r="X347" s="662"/>
      <c r="Y347" s="662"/>
      <c r="Z347" s="662"/>
      <c r="AA347" s="66"/>
      <c r="AB347" s="66"/>
      <c r="AC347" s="80"/>
    </row>
    <row r="348" spans="1:68" ht="27" hidden="1" customHeight="1" x14ac:dyDescent="0.25">
      <c r="A348" s="63" t="s">
        <v>583</v>
      </c>
      <c r="B348" s="63" t="s">
        <v>584</v>
      </c>
      <c r="C348" s="36">
        <v>4301051782</v>
      </c>
      <c r="D348" s="657">
        <v>4680115884618</v>
      </c>
      <c r="E348" s="657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59"/>
      <c r="R348" s="659"/>
      <c r="S348" s="659"/>
      <c r="T348" s="66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4301052057</v>
      </c>
      <c r="D349" s="657">
        <v>4680115887114</v>
      </c>
      <c r="E349" s="657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59"/>
      <c r="R349" s="659"/>
      <c r="S349" s="659"/>
      <c r="T349" s="66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51"/>
      <c r="B350" s="651"/>
      <c r="C350" s="651"/>
      <c r="D350" s="651"/>
      <c r="E350" s="651"/>
      <c r="F350" s="651"/>
      <c r="G350" s="651"/>
      <c r="H350" s="651"/>
      <c r="I350" s="651"/>
      <c r="J350" s="651"/>
      <c r="K350" s="651"/>
      <c r="L350" s="651"/>
      <c r="M350" s="651"/>
      <c r="N350" s="651"/>
      <c r="O350" s="652"/>
      <c r="P350" s="648" t="s">
        <v>40</v>
      </c>
      <c r="Q350" s="649"/>
      <c r="R350" s="649"/>
      <c r="S350" s="649"/>
      <c r="T350" s="649"/>
      <c r="U350" s="649"/>
      <c r="V350" s="650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hidden="1" x14ac:dyDescent="0.2">
      <c r="A351" s="651"/>
      <c r="B351" s="651"/>
      <c r="C351" s="651"/>
      <c r="D351" s="651"/>
      <c r="E351" s="651"/>
      <c r="F351" s="651"/>
      <c r="G351" s="651"/>
      <c r="H351" s="651"/>
      <c r="I351" s="651"/>
      <c r="J351" s="651"/>
      <c r="K351" s="651"/>
      <c r="L351" s="651"/>
      <c r="M351" s="651"/>
      <c r="N351" s="651"/>
      <c r="O351" s="652"/>
      <c r="P351" s="648" t="s">
        <v>40</v>
      </c>
      <c r="Q351" s="649"/>
      <c r="R351" s="649"/>
      <c r="S351" s="649"/>
      <c r="T351" s="649"/>
      <c r="U351" s="649"/>
      <c r="V351" s="650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hidden="1" customHeight="1" x14ac:dyDescent="0.25">
      <c r="A352" s="661" t="s">
        <v>589</v>
      </c>
      <c r="B352" s="661"/>
      <c r="C352" s="661"/>
      <c r="D352" s="661"/>
      <c r="E352" s="661"/>
      <c r="F352" s="661"/>
      <c r="G352" s="661"/>
      <c r="H352" s="661"/>
      <c r="I352" s="661"/>
      <c r="J352" s="661"/>
      <c r="K352" s="661"/>
      <c r="L352" s="661"/>
      <c r="M352" s="661"/>
      <c r="N352" s="661"/>
      <c r="O352" s="661"/>
      <c r="P352" s="661"/>
      <c r="Q352" s="661"/>
      <c r="R352" s="661"/>
      <c r="S352" s="661"/>
      <c r="T352" s="661"/>
      <c r="U352" s="661"/>
      <c r="V352" s="661"/>
      <c r="W352" s="661"/>
      <c r="X352" s="661"/>
      <c r="Y352" s="661"/>
      <c r="Z352" s="661"/>
      <c r="AA352" s="65"/>
      <c r="AB352" s="65"/>
      <c r="AC352" s="79"/>
    </row>
    <row r="353" spans="1:68" ht="14.25" hidden="1" customHeight="1" x14ac:dyDescent="0.25">
      <c r="A353" s="662" t="s">
        <v>122</v>
      </c>
      <c r="B353" s="662"/>
      <c r="C353" s="662"/>
      <c r="D353" s="662"/>
      <c r="E353" s="662"/>
      <c r="F353" s="662"/>
      <c r="G353" s="662"/>
      <c r="H353" s="662"/>
      <c r="I353" s="662"/>
      <c r="J353" s="662"/>
      <c r="K353" s="662"/>
      <c r="L353" s="662"/>
      <c r="M353" s="662"/>
      <c r="N353" s="662"/>
      <c r="O353" s="662"/>
      <c r="P353" s="662"/>
      <c r="Q353" s="662"/>
      <c r="R353" s="662"/>
      <c r="S353" s="662"/>
      <c r="T353" s="662"/>
      <c r="U353" s="662"/>
      <c r="V353" s="662"/>
      <c r="W353" s="662"/>
      <c r="X353" s="662"/>
      <c r="Y353" s="662"/>
      <c r="Z353" s="662"/>
      <c r="AA353" s="66"/>
      <c r="AB353" s="66"/>
      <c r="AC353" s="80"/>
    </row>
    <row r="354" spans="1:68" ht="27" hidden="1" customHeight="1" x14ac:dyDescent="0.25">
      <c r="A354" s="63" t="s">
        <v>590</v>
      </c>
      <c r="B354" s="63" t="s">
        <v>591</v>
      </c>
      <c r="C354" s="36">
        <v>4301012324</v>
      </c>
      <c r="D354" s="657">
        <v>4680115887947</v>
      </c>
      <c r="E354" s="657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59"/>
      <c r="R354" s="659"/>
      <c r="S354" s="659"/>
      <c r="T354" s="66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hidden="1" customHeight="1" x14ac:dyDescent="0.25">
      <c r="A355" s="63" t="s">
        <v>592</v>
      </c>
      <c r="B355" s="63" t="s">
        <v>593</v>
      </c>
      <c r="C355" s="36">
        <v>4301012325</v>
      </c>
      <c r="D355" s="657">
        <v>4680115887978</v>
      </c>
      <c r="E355" s="657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59"/>
      <c r="R355" s="659"/>
      <c r="S355" s="659"/>
      <c r="T355" s="660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hidden="1" customHeight="1" x14ac:dyDescent="0.25">
      <c r="A356" s="63" t="s">
        <v>595</v>
      </c>
      <c r="B356" s="63" t="s">
        <v>596</v>
      </c>
      <c r="C356" s="36">
        <v>4301012327</v>
      </c>
      <c r="D356" s="657">
        <v>4680115887992</v>
      </c>
      <c r="E356" s="657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59"/>
      <c r="R356" s="659"/>
      <c r="S356" s="659"/>
      <c r="T356" s="660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idden="1" x14ac:dyDescent="0.2">
      <c r="A357" s="651"/>
      <c r="B357" s="651"/>
      <c r="C357" s="651"/>
      <c r="D357" s="651"/>
      <c r="E357" s="651"/>
      <c r="F357" s="651"/>
      <c r="G357" s="651"/>
      <c r="H357" s="651"/>
      <c r="I357" s="651"/>
      <c r="J357" s="651"/>
      <c r="K357" s="651"/>
      <c r="L357" s="651"/>
      <c r="M357" s="651"/>
      <c r="N357" s="651"/>
      <c r="O357" s="652"/>
      <c r="P357" s="648" t="s">
        <v>40</v>
      </c>
      <c r="Q357" s="649"/>
      <c r="R357" s="649"/>
      <c r="S357" s="649"/>
      <c r="T357" s="649"/>
      <c r="U357" s="649"/>
      <c r="V357" s="650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hidden="1" x14ac:dyDescent="0.2">
      <c r="A358" s="651"/>
      <c r="B358" s="651"/>
      <c r="C358" s="651"/>
      <c r="D358" s="651"/>
      <c r="E358" s="651"/>
      <c r="F358" s="651"/>
      <c r="G358" s="651"/>
      <c r="H358" s="651"/>
      <c r="I358" s="651"/>
      <c r="J358" s="651"/>
      <c r="K358" s="651"/>
      <c r="L358" s="651"/>
      <c r="M358" s="651"/>
      <c r="N358" s="651"/>
      <c r="O358" s="652"/>
      <c r="P358" s="648" t="s">
        <v>40</v>
      </c>
      <c r="Q358" s="649"/>
      <c r="R358" s="649"/>
      <c r="S358" s="649"/>
      <c r="T358" s="649"/>
      <c r="U358" s="649"/>
      <c r="V358" s="650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hidden="1" customHeight="1" x14ac:dyDescent="0.25">
      <c r="A359" s="661" t="s">
        <v>598</v>
      </c>
      <c r="B359" s="661"/>
      <c r="C359" s="661"/>
      <c r="D359" s="661"/>
      <c r="E359" s="661"/>
      <c r="F359" s="661"/>
      <c r="G359" s="661"/>
      <c r="H359" s="661"/>
      <c r="I359" s="661"/>
      <c r="J359" s="661"/>
      <c r="K359" s="661"/>
      <c r="L359" s="661"/>
      <c r="M359" s="661"/>
      <c r="N359" s="661"/>
      <c r="O359" s="661"/>
      <c r="P359" s="661"/>
      <c r="Q359" s="661"/>
      <c r="R359" s="661"/>
      <c r="S359" s="661"/>
      <c r="T359" s="661"/>
      <c r="U359" s="661"/>
      <c r="V359" s="661"/>
      <c r="W359" s="661"/>
      <c r="X359" s="661"/>
      <c r="Y359" s="661"/>
      <c r="Z359" s="661"/>
      <c r="AA359" s="65"/>
      <c r="AB359" s="65"/>
      <c r="AC359" s="79"/>
    </row>
    <row r="360" spans="1:68" ht="14.25" hidden="1" customHeight="1" x14ac:dyDescent="0.25">
      <c r="A360" s="662" t="s">
        <v>122</v>
      </c>
      <c r="B360" s="662"/>
      <c r="C360" s="662"/>
      <c r="D360" s="662"/>
      <c r="E360" s="662"/>
      <c r="F360" s="662"/>
      <c r="G360" s="662"/>
      <c r="H360" s="662"/>
      <c r="I360" s="662"/>
      <c r="J360" s="662"/>
      <c r="K360" s="662"/>
      <c r="L360" s="662"/>
      <c r="M360" s="662"/>
      <c r="N360" s="662"/>
      <c r="O360" s="662"/>
      <c r="P360" s="662"/>
      <c r="Q360" s="662"/>
      <c r="R360" s="662"/>
      <c r="S360" s="662"/>
      <c r="T360" s="662"/>
      <c r="U360" s="662"/>
      <c r="V360" s="662"/>
      <c r="W360" s="662"/>
      <c r="X360" s="662"/>
      <c r="Y360" s="662"/>
      <c r="Z360" s="662"/>
      <c r="AA360" s="66"/>
      <c r="AB360" s="66"/>
      <c r="AC360" s="80"/>
    </row>
    <row r="361" spans="1:68" ht="27" hidden="1" customHeight="1" x14ac:dyDescent="0.25">
      <c r="A361" s="63" t="s">
        <v>599</v>
      </c>
      <c r="B361" s="63" t="s">
        <v>600</v>
      </c>
      <c r="C361" s="36">
        <v>4301012126</v>
      </c>
      <c r="D361" s="657">
        <v>4607091386004</v>
      </c>
      <c r="E361" s="657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758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659"/>
      <c r="R361" s="659"/>
      <c r="S361" s="659"/>
      <c r="T361" s="66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hidden="1" customHeight="1" x14ac:dyDescent="0.25">
      <c r="A362" s="63" t="s">
        <v>602</v>
      </c>
      <c r="B362" s="63" t="s">
        <v>603</v>
      </c>
      <c r="C362" s="36">
        <v>4301012235</v>
      </c>
      <c r="D362" s="657">
        <v>4680115887190</v>
      </c>
      <c r="E362" s="657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659"/>
      <c r="R362" s="659"/>
      <c r="S362" s="659"/>
      <c r="T362" s="66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657">
        <v>4680115887138</v>
      </c>
      <c r="E363" s="657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75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659"/>
      <c r="R363" s="659"/>
      <c r="S363" s="659"/>
      <c r="T363" s="660"/>
      <c r="U363" s="39" t="s">
        <v>46</v>
      </c>
      <c r="V363" s="39" t="s">
        <v>46</v>
      </c>
      <c r="W363" s="40" t="s">
        <v>0</v>
      </c>
      <c r="X363" s="58">
        <v>108</v>
      </c>
      <c r="Y363" s="55">
        <f t="shared" si="48"/>
        <v>108</v>
      </c>
      <c r="Z363" s="41">
        <f>IFERROR(IF(Y363=0,"",ROUNDUP(Y363/H363,0)*0.01898),"")</f>
        <v>0.1898</v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112.1</v>
      </c>
      <c r="BN363" s="78">
        <f t="shared" si="50"/>
        <v>112.1</v>
      </c>
      <c r="BO363" s="78">
        <f t="shared" si="51"/>
        <v>0.15625</v>
      </c>
      <c r="BP363" s="78">
        <f t="shared" si="52"/>
        <v>0.15625</v>
      </c>
    </row>
    <row r="364" spans="1:68" ht="27" hidden="1" customHeight="1" x14ac:dyDescent="0.25">
      <c r="A364" s="63" t="s">
        <v>608</v>
      </c>
      <c r="B364" s="63" t="s">
        <v>609</v>
      </c>
      <c r="C364" s="36">
        <v>4301012016</v>
      </c>
      <c r="D364" s="657">
        <v>4680115885554</v>
      </c>
      <c r="E364" s="657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7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659"/>
      <c r="R364" s="659"/>
      <c r="S364" s="659"/>
      <c r="T364" s="66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hidden="1" customHeight="1" x14ac:dyDescent="0.25">
      <c r="A365" s="63" t="s">
        <v>611</v>
      </c>
      <c r="B365" s="63" t="s">
        <v>612</v>
      </c>
      <c r="C365" s="36">
        <v>4301012236</v>
      </c>
      <c r="D365" s="657">
        <v>4680115887220</v>
      </c>
      <c r="E365" s="657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75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659"/>
      <c r="R365" s="659"/>
      <c r="S365" s="659"/>
      <c r="T365" s="66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hidden="1" customHeight="1" x14ac:dyDescent="0.25">
      <c r="A366" s="63" t="s">
        <v>613</v>
      </c>
      <c r="B366" s="63" t="s">
        <v>614</v>
      </c>
      <c r="C366" s="36">
        <v>4301011859</v>
      </c>
      <c r="D366" s="657">
        <v>4680115885608</v>
      </c>
      <c r="E366" s="657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659"/>
      <c r="R366" s="659"/>
      <c r="S366" s="659"/>
      <c r="T366" s="66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651"/>
      <c r="B367" s="651"/>
      <c r="C367" s="651"/>
      <c r="D367" s="651"/>
      <c r="E367" s="651"/>
      <c r="F367" s="651"/>
      <c r="G367" s="651"/>
      <c r="H367" s="651"/>
      <c r="I367" s="651"/>
      <c r="J367" s="651"/>
      <c r="K367" s="651"/>
      <c r="L367" s="651"/>
      <c r="M367" s="651"/>
      <c r="N367" s="651"/>
      <c r="O367" s="652"/>
      <c r="P367" s="648" t="s">
        <v>40</v>
      </c>
      <c r="Q367" s="649"/>
      <c r="R367" s="649"/>
      <c r="S367" s="649"/>
      <c r="T367" s="649"/>
      <c r="U367" s="649"/>
      <c r="V367" s="650"/>
      <c r="W367" s="42" t="s">
        <v>39</v>
      </c>
      <c r="X367" s="43">
        <f>IFERROR(X361/H361,"0")+IFERROR(X362/H362,"0")+IFERROR(X363/H363,"0")+IFERROR(X364/H364,"0")+IFERROR(X365/H365,"0")+IFERROR(X366/H366,"0")</f>
        <v>10</v>
      </c>
      <c r="Y367" s="43">
        <f>IFERROR(Y361/H361,"0")+IFERROR(Y362/H362,"0")+IFERROR(Y363/H363,"0")+IFERROR(Y364/H364,"0")+IFERROR(Y365/H365,"0")+IFERROR(Y366/H366,"0")</f>
        <v>10</v>
      </c>
      <c r="Z367" s="43">
        <f>IFERROR(IF(Z361="",0,Z361),"0")+IFERROR(IF(Z362="",0,Z362),"0")+IFERROR(IF(Z363="",0,Z363),"0")+IFERROR(IF(Z364="",0,Z364),"0")+IFERROR(IF(Z365="",0,Z365),"0")+IFERROR(IF(Z366="",0,Z366),"0")</f>
        <v>0.1898</v>
      </c>
      <c r="AA367" s="67"/>
      <c r="AB367" s="67"/>
      <c r="AC367" s="67"/>
    </row>
    <row r="368" spans="1:68" x14ac:dyDescent="0.2">
      <c r="A368" s="651"/>
      <c r="B368" s="651"/>
      <c r="C368" s="651"/>
      <c r="D368" s="651"/>
      <c r="E368" s="651"/>
      <c r="F368" s="651"/>
      <c r="G368" s="651"/>
      <c r="H368" s="651"/>
      <c r="I368" s="651"/>
      <c r="J368" s="651"/>
      <c r="K368" s="651"/>
      <c r="L368" s="651"/>
      <c r="M368" s="651"/>
      <c r="N368" s="651"/>
      <c r="O368" s="652"/>
      <c r="P368" s="648" t="s">
        <v>40</v>
      </c>
      <c r="Q368" s="649"/>
      <c r="R368" s="649"/>
      <c r="S368" s="649"/>
      <c r="T368" s="649"/>
      <c r="U368" s="649"/>
      <c r="V368" s="650"/>
      <c r="W368" s="42" t="s">
        <v>0</v>
      </c>
      <c r="X368" s="43">
        <f>IFERROR(SUM(X361:X366),"0")</f>
        <v>108</v>
      </c>
      <c r="Y368" s="43">
        <f>IFERROR(SUM(Y361:Y366),"0")</f>
        <v>108</v>
      </c>
      <c r="Z368" s="42"/>
      <c r="AA368" s="67"/>
      <c r="AB368" s="67"/>
      <c r="AC368" s="67"/>
    </row>
    <row r="369" spans="1:68" ht="14.25" hidden="1" customHeight="1" x14ac:dyDescent="0.25">
      <c r="A369" s="662" t="s">
        <v>77</v>
      </c>
      <c r="B369" s="662"/>
      <c r="C369" s="662"/>
      <c r="D369" s="662"/>
      <c r="E369" s="662"/>
      <c r="F369" s="662"/>
      <c r="G369" s="662"/>
      <c r="H369" s="662"/>
      <c r="I369" s="662"/>
      <c r="J369" s="662"/>
      <c r="K369" s="662"/>
      <c r="L369" s="662"/>
      <c r="M369" s="662"/>
      <c r="N369" s="662"/>
      <c r="O369" s="662"/>
      <c r="P369" s="662"/>
      <c r="Q369" s="662"/>
      <c r="R369" s="662"/>
      <c r="S369" s="662"/>
      <c r="T369" s="662"/>
      <c r="U369" s="662"/>
      <c r="V369" s="662"/>
      <c r="W369" s="662"/>
      <c r="X369" s="662"/>
      <c r="Y369" s="662"/>
      <c r="Z369" s="662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657">
        <v>4607091387193</v>
      </c>
      <c r="E370" s="657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659"/>
      <c r="R370" s="659"/>
      <c r="S370" s="659"/>
      <c r="T370" s="660"/>
      <c r="U370" s="39" t="s">
        <v>46</v>
      </c>
      <c r="V370" s="39" t="s">
        <v>46</v>
      </c>
      <c r="W370" s="40" t="s">
        <v>0</v>
      </c>
      <c r="X370" s="58">
        <v>42</v>
      </c>
      <c r="Y370" s="55">
        <f t="shared" ref="Y370:Y376" si="53">IFERROR(IF(X370="",0,CEILING((X370/$H370),1)*$H370),"")</f>
        <v>42</v>
      </c>
      <c r="Z370" s="41">
        <f>IFERROR(IF(Y370=0,"",ROUNDUP(Y370/H370,0)*0.00902),"")</f>
        <v>9.0200000000000002E-2</v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44.5</v>
      </c>
      <c r="BN370" s="78">
        <f t="shared" ref="BN370:BN376" si="55">IFERROR(Y370*I370/H370,"0")</f>
        <v>44.5</v>
      </c>
      <c r="BO370" s="78">
        <f t="shared" ref="BO370:BO376" si="56">IFERROR(1/J370*(X370/H370),"0")</f>
        <v>7.575757575757576E-2</v>
      </c>
      <c r="BP370" s="78">
        <f t="shared" ref="BP370:BP376" si="57">IFERROR(1/J370*(Y370/H370),"0")</f>
        <v>7.575757575757576E-2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657">
        <v>4607091387230</v>
      </c>
      <c r="E371" s="657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659"/>
      <c r="R371" s="659"/>
      <c r="S371" s="659"/>
      <c r="T371" s="660"/>
      <c r="U371" s="39" t="s">
        <v>46</v>
      </c>
      <c r="V371" s="39" t="s">
        <v>46</v>
      </c>
      <c r="W371" s="40" t="s">
        <v>0</v>
      </c>
      <c r="X371" s="58">
        <v>42</v>
      </c>
      <c r="Y371" s="55">
        <f t="shared" si="53"/>
        <v>42</v>
      </c>
      <c r="Z371" s="41">
        <f>IFERROR(IF(Y371=0,"",ROUNDUP(Y371/H371,0)*0.00902),"")</f>
        <v>9.0200000000000002E-2</v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44.5</v>
      </c>
      <c r="BN371" s="78">
        <f t="shared" si="55"/>
        <v>44.5</v>
      </c>
      <c r="BO371" s="78">
        <f t="shared" si="56"/>
        <v>7.575757575757576E-2</v>
      </c>
      <c r="BP371" s="78">
        <f t="shared" si="57"/>
        <v>7.575757575757576E-2</v>
      </c>
    </row>
    <row r="372" spans="1:68" ht="27" hidden="1" customHeight="1" x14ac:dyDescent="0.25">
      <c r="A372" s="63" t="s">
        <v>622</v>
      </c>
      <c r="B372" s="63" t="s">
        <v>623</v>
      </c>
      <c r="C372" s="36">
        <v>4301031154</v>
      </c>
      <c r="D372" s="657">
        <v>4607091387292</v>
      </c>
      <c r="E372" s="657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659"/>
      <c r="R372" s="659"/>
      <c r="S372" s="659"/>
      <c r="T372" s="66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4301031152</v>
      </c>
      <c r="D373" s="657">
        <v>4607091387285</v>
      </c>
      <c r="E373" s="657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659"/>
      <c r="R373" s="659"/>
      <c r="S373" s="659"/>
      <c r="T373" s="660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4301031305</v>
      </c>
      <c r="D374" s="657">
        <v>4607091389845</v>
      </c>
      <c r="E374" s="657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659"/>
      <c r="R374" s="659"/>
      <c r="S374" s="659"/>
      <c r="T374" s="660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4301031460</v>
      </c>
      <c r="D375" s="657">
        <v>4680115887442</v>
      </c>
      <c r="E375" s="657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659"/>
      <c r="R375" s="659"/>
      <c r="S375" s="659"/>
      <c r="T375" s="660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4301031066</v>
      </c>
      <c r="D376" s="657">
        <v>4607091383836</v>
      </c>
      <c r="E376" s="657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659"/>
      <c r="R376" s="659"/>
      <c r="S376" s="659"/>
      <c r="T376" s="66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651"/>
      <c r="B377" s="651"/>
      <c r="C377" s="651"/>
      <c r="D377" s="651"/>
      <c r="E377" s="651"/>
      <c r="F377" s="651"/>
      <c r="G377" s="651"/>
      <c r="H377" s="651"/>
      <c r="I377" s="651"/>
      <c r="J377" s="651"/>
      <c r="K377" s="651"/>
      <c r="L377" s="651"/>
      <c r="M377" s="651"/>
      <c r="N377" s="651"/>
      <c r="O377" s="652"/>
      <c r="P377" s="648" t="s">
        <v>40</v>
      </c>
      <c r="Q377" s="649"/>
      <c r="R377" s="649"/>
      <c r="S377" s="649"/>
      <c r="T377" s="649"/>
      <c r="U377" s="649"/>
      <c r="V377" s="650"/>
      <c r="W377" s="42" t="s">
        <v>39</v>
      </c>
      <c r="X377" s="43">
        <f>IFERROR(X370/H370,"0")+IFERROR(X371/H371,"0")+IFERROR(X372/H372,"0")+IFERROR(X373/H373,"0")+IFERROR(X374/H374,"0")+IFERROR(X375/H375,"0")+IFERROR(X376/H376,"0")</f>
        <v>20</v>
      </c>
      <c r="Y377" s="43">
        <f>IFERROR(Y370/H370,"0")+IFERROR(Y371/H371,"0")+IFERROR(Y372/H372,"0")+IFERROR(Y373/H373,"0")+IFERROR(Y374/H374,"0")+IFERROR(Y375/H375,"0")+IFERROR(Y376/H376,"0")</f>
        <v>20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0.1804</v>
      </c>
      <c r="AA377" s="67"/>
      <c r="AB377" s="67"/>
      <c r="AC377" s="67"/>
    </row>
    <row r="378" spans="1:68" x14ac:dyDescent="0.2">
      <c r="A378" s="651"/>
      <c r="B378" s="651"/>
      <c r="C378" s="651"/>
      <c r="D378" s="651"/>
      <c r="E378" s="651"/>
      <c r="F378" s="651"/>
      <c r="G378" s="651"/>
      <c r="H378" s="651"/>
      <c r="I378" s="651"/>
      <c r="J378" s="651"/>
      <c r="K378" s="651"/>
      <c r="L378" s="651"/>
      <c r="M378" s="651"/>
      <c r="N378" s="651"/>
      <c r="O378" s="652"/>
      <c r="P378" s="648" t="s">
        <v>40</v>
      </c>
      <c r="Q378" s="649"/>
      <c r="R378" s="649"/>
      <c r="S378" s="649"/>
      <c r="T378" s="649"/>
      <c r="U378" s="649"/>
      <c r="V378" s="650"/>
      <c r="W378" s="42" t="s">
        <v>0</v>
      </c>
      <c r="X378" s="43">
        <f>IFERROR(SUM(X370:X376),"0")</f>
        <v>84</v>
      </c>
      <c r="Y378" s="43">
        <f>IFERROR(SUM(Y370:Y376),"0")</f>
        <v>84</v>
      </c>
      <c r="Z378" s="42"/>
      <c r="AA378" s="67"/>
      <c r="AB378" s="67"/>
      <c r="AC378" s="67"/>
    </row>
    <row r="379" spans="1:68" ht="14.25" hidden="1" customHeight="1" x14ac:dyDescent="0.25">
      <c r="A379" s="662" t="s">
        <v>86</v>
      </c>
      <c r="B379" s="662"/>
      <c r="C379" s="662"/>
      <c r="D379" s="662"/>
      <c r="E379" s="662"/>
      <c r="F379" s="662"/>
      <c r="G379" s="662"/>
      <c r="H379" s="662"/>
      <c r="I379" s="662"/>
      <c r="J379" s="662"/>
      <c r="K379" s="662"/>
      <c r="L379" s="662"/>
      <c r="M379" s="662"/>
      <c r="N379" s="662"/>
      <c r="O379" s="662"/>
      <c r="P379" s="662"/>
      <c r="Q379" s="662"/>
      <c r="R379" s="662"/>
      <c r="S379" s="662"/>
      <c r="T379" s="662"/>
      <c r="U379" s="662"/>
      <c r="V379" s="662"/>
      <c r="W379" s="662"/>
      <c r="X379" s="662"/>
      <c r="Y379" s="662"/>
      <c r="Z379" s="662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657">
        <v>4607091387766</v>
      </c>
      <c r="E380" s="657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659"/>
      <c r="R380" s="659"/>
      <c r="S380" s="659"/>
      <c r="T380" s="660"/>
      <c r="U380" s="39" t="s">
        <v>46</v>
      </c>
      <c r="V380" s="39" t="s">
        <v>46</v>
      </c>
      <c r="W380" s="40" t="s">
        <v>0</v>
      </c>
      <c r="X380" s="58">
        <v>1497.6</v>
      </c>
      <c r="Y380" s="55">
        <f>IFERROR(IF(X380="",0,CEILING((X380/$H380),1)*$H380),"")</f>
        <v>1497.6</v>
      </c>
      <c r="Z380" s="41">
        <f>IFERROR(IF(Y380=0,"",ROUNDUP(Y380/H380,0)*0.01898),"")</f>
        <v>3.6441600000000003</v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1591.296</v>
      </c>
      <c r="BN380" s="78">
        <f>IFERROR(Y380*I380/H380,"0")</f>
        <v>1591.296</v>
      </c>
      <c r="BO380" s="78">
        <f>IFERROR(1/J380*(X380/H380),"0")</f>
        <v>3</v>
      </c>
      <c r="BP380" s="78">
        <f>IFERROR(1/J380*(Y380/H380),"0")</f>
        <v>3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4301051818</v>
      </c>
      <c r="D381" s="657">
        <v>4607091387957</v>
      </c>
      <c r="E381" s="657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659"/>
      <c r="R381" s="659"/>
      <c r="S381" s="659"/>
      <c r="T381" s="66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641</v>
      </c>
      <c r="B382" s="63" t="s">
        <v>642</v>
      </c>
      <c r="C382" s="36">
        <v>4301051819</v>
      </c>
      <c r="D382" s="657">
        <v>4607091387964</v>
      </c>
      <c r="E382" s="657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659"/>
      <c r="R382" s="659"/>
      <c r="S382" s="659"/>
      <c r="T382" s="66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657">
        <v>4680115884588</v>
      </c>
      <c r="E383" s="657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659"/>
      <c r="R383" s="659"/>
      <c r="S383" s="659"/>
      <c r="T383" s="660"/>
      <c r="U383" s="39" t="s">
        <v>46</v>
      </c>
      <c r="V383" s="39" t="s">
        <v>46</v>
      </c>
      <c r="W383" s="40" t="s">
        <v>0</v>
      </c>
      <c r="X383" s="58">
        <v>30</v>
      </c>
      <c r="Y383" s="55">
        <f>IFERROR(IF(X383="",0,CEILING((X383/$H383),1)*$H383),"")</f>
        <v>30</v>
      </c>
      <c r="Z383" s="41">
        <f>IFERROR(IF(Y383=0,"",ROUNDUP(Y383/H383,0)*0.00651),"")</f>
        <v>6.5100000000000005E-2</v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32.46</v>
      </c>
      <c r="BN383" s="78">
        <f>IFERROR(Y383*I383/H383,"0")</f>
        <v>32.46</v>
      </c>
      <c r="BO383" s="78">
        <f>IFERROR(1/J383*(X383/H383),"0")</f>
        <v>5.4945054945054951E-2</v>
      </c>
      <c r="BP383" s="78">
        <f>IFERROR(1/J383*(Y383/H383),"0")</f>
        <v>5.4945054945054951E-2</v>
      </c>
    </row>
    <row r="384" spans="1:68" x14ac:dyDescent="0.2">
      <c r="A384" s="651"/>
      <c r="B384" s="651"/>
      <c r="C384" s="651"/>
      <c r="D384" s="651"/>
      <c r="E384" s="651"/>
      <c r="F384" s="651"/>
      <c r="G384" s="651"/>
      <c r="H384" s="651"/>
      <c r="I384" s="651"/>
      <c r="J384" s="651"/>
      <c r="K384" s="651"/>
      <c r="L384" s="651"/>
      <c r="M384" s="651"/>
      <c r="N384" s="651"/>
      <c r="O384" s="652"/>
      <c r="P384" s="648" t="s">
        <v>40</v>
      </c>
      <c r="Q384" s="649"/>
      <c r="R384" s="649"/>
      <c r="S384" s="649"/>
      <c r="T384" s="649"/>
      <c r="U384" s="649"/>
      <c r="V384" s="650"/>
      <c r="W384" s="42" t="s">
        <v>39</v>
      </c>
      <c r="X384" s="43">
        <f>IFERROR(X380/H380,"0")+IFERROR(X381/H381,"0")+IFERROR(X382/H382,"0")+IFERROR(X383/H383,"0")</f>
        <v>202</v>
      </c>
      <c r="Y384" s="43">
        <f>IFERROR(Y380/H380,"0")+IFERROR(Y381/H381,"0")+IFERROR(Y382/H382,"0")+IFERROR(Y383/H383,"0")</f>
        <v>202</v>
      </c>
      <c r="Z384" s="43">
        <f>IFERROR(IF(Z380="",0,Z380),"0")+IFERROR(IF(Z381="",0,Z381),"0")+IFERROR(IF(Z382="",0,Z382),"0")+IFERROR(IF(Z383="",0,Z383),"0")</f>
        <v>3.7092600000000004</v>
      </c>
      <c r="AA384" s="67"/>
      <c r="AB384" s="67"/>
      <c r="AC384" s="67"/>
    </row>
    <row r="385" spans="1:68" x14ac:dyDescent="0.2">
      <c r="A385" s="651"/>
      <c r="B385" s="651"/>
      <c r="C385" s="651"/>
      <c r="D385" s="651"/>
      <c r="E385" s="651"/>
      <c r="F385" s="651"/>
      <c r="G385" s="651"/>
      <c r="H385" s="651"/>
      <c r="I385" s="651"/>
      <c r="J385" s="651"/>
      <c r="K385" s="651"/>
      <c r="L385" s="651"/>
      <c r="M385" s="651"/>
      <c r="N385" s="651"/>
      <c r="O385" s="652"/>
      <c r="P385" s="648" t="s">
        <v>40</v>
      </c>
      <c r="Q385" s="649"/>
      <c r="R385" s="649"/>
      <c r="S385" s="649"/>
      <c r="T385" s="649"/>
      <c r="U385" s="649"/>
      <c r="V385" s="650"/>
      <c r="W385" s="42" t="s">
        <v>0</v>
      </c>
      <c r="X385" s="43">
        <f>IFERROR(SUM(X380:X383),"0")</f>
        <v>1527.6</v>
      </c>
      <c r="Y385" s="43">
        <f>IFERROR(SUM(Y380:Y383),"0")</f>
        <v>1527.6</v>
      </c>
      <c r="Z385" s="42"/>
      <c r="AA385" s="67"/>
      <c r="AB385" s="67"/>
      <c r="AC385" s="67"/>
    </row>
    <row r="386" spans="1:68" ht="14.25" hidden="1" customHeight="1" x14ac:dyDescent="0.25">
      <c r="A386" s="662" t="s">
        <v>175</v>
      </c>
      <c r="B386" s="662"/>
      <c r="C386" s="662"/>
      <c r="D386" s="662"/>
      <c r="E386" s="662"/>
      <c r="F386" s="662"/>
      <c r="G386" s="662"/>
      <c r="H386" s="662"/>
      <c r="I386" s="662"/>
      <c r="J386" s="662"/>
      <c r="K386" s="662"/>
      <c r="L386" s="662"/>
      <c r="M386" s="662"/>
      <c r="N386" s="662"/>
      <c r="O386" s="662"/>
      <c r="P386" s="662"/>
      <c r="Q386" s="662"/>
      <c r="R386" s="662"/>
      <c r="S386" s="662"/>
      <c r="T386" s="662"/>
      <c r="U386" s="662"/>
      <c r="V386" s="662"/>
      <c r="W386" s="662"/>
      <c r="X386" s="662"/>
      <c r="Y386" s="662"/>
      <c r="Z386" s="662"/>
      <c r="AA386" s="66"/>
      <c r="AB386" s="66"/>
      <c r="AC386" s="80"/>
    </row>
    <row r="387" spans="1:68" ht="27" hidden="1" customHeight="1" x14ac:dyDescent="0.25">
      <c r="A387" s="63" t="s">
        <v>646</v>
      </c>
      <c r="B387" s="63" t="s">
        <v>647</v>
      </c>
      <c r="C387" s="36">
        <v>4301060387</v>
      </c>
      <c r="D387" s="657">
        <v>4607091380880</v>
      </c>
      <c r="E387" s="657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73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659"/>
      <c r="R387" s="659"/>
      <c r="S387" s="659"/>
      <c r="T387" s="66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657">
        <v>4607091384482</v>
      </c>
      <c r="E388" s="657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73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659"/>
      <c r="R388" s="659"/>
      <c r="S388" s="659"/>
      <c r="T388" s="660"/>
      <c r="U388" s="39" t="s">
        <v>46</v>
      </c>
      <c r="V388" s="39" t="s">
        <v>46</v>
      </c>
      <c r="W388" s="40" t="s">
        <v>0</v>
      </c>
      <c r="X388" s="58">
        <v>78</v>
      </c>
      <c r="Y388" s="55">
        <f>IFERROR(IF(X388="",0,CEILING((X388/$H388),1)*$H388),"")</f>
        <v>78</v>
      </c>
      <c r="Z388" s="41">
        <f>IFERROR(IF(Y388=0,"",ROUNDUP(Y388/H388,0)*0.01898),"")</f>
        <v>0.1898</v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82.94</v>
      </c>
      <c r="BN388" s="78">
        <f>IFERROR(Y388*I388/H388,"0")</f>
        <v>82.94</v>
      </c>
      <c r="BO388" s="78">
        <f>IFERROR(1/J388*(X388/H388),"0")</f>
        <v>0.15625</v>
      </c>
      <c r="BP388" s="78">
        <f>IFERROR(1/J388*(Y388/H388),"0")</f>
        <v>0.15625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657">
        <v>4607091380897</v>
      </c>
      <c r="E389" s="657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74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659"/>
      <c r="R389" s="659"/>
      <c r="S389" s="659"/>
      <c r="T389" s="660"/>
      <c r="U389" s="39" t="s">
        <v>46</v>
      </c>
      <c r="V389" s="39" t="s">
        <v>46</v>
      </c>
      <c r="W389" s="40" t="s">
        <v>0</v>
      </c>
      <c r="X389" s="58">
        <v>42</v>
      </c>
      <c r="Y389" s="55">
        <f>IFERROR(IF(X389="",0,CEILING((X389/$H389),1)*$H389),"")</f>
        <v>42</v>
      </c>
      <c r="Z389" s="41">
        <f>IFERROR(IF(Y389=0,"",ROUNDUP(Y389/H389,0)*0.01898),"")</f>
        <v>9.4899999999999998E-2</v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44.47</v>
      </c>
      <c r="BN389" s="78">
        <f>IFERROR(Y389*I389/H389,"0")</f>
        <v>44.47</v>
      </c>
      <c r="BO389" s="78">
        <f>IFERROR(1/J389*(X389/H389),"0")</f>
        <v>7.8125E-2</v>
      </c>
      <c r="BP389" s="78">
        <f>IFERROR(1/J389*(Y389/H389),"0")</f>
        <v>7.8125E-2</v>
      </c>
    </row>
    <row r="390" spans="1:68" x14ac:dyDescent="0.2">
      <c r="A390" s="651"/>
      <c r="B390" s="651"/>
      <c r="C390" s="651"/>
      <c r="D390" s="651"/>
      <c r="E390" s="651"/>
      <c r="F390" s="651"/>
      <c r="G390" s="651"/>
      <c r="H390" s="651"/>
      <c r="I390" s="651"/>
      <c r="J390" s="651"/>
      <c r="K390" s="651"/>
      <c r="L390" s="651"/>
      <c r="M390" s="651"/>
      <c r="N390" s="651"/>
      <c r="O390" s="652"/>
      <c r="P390" s="648" t="s">
        <v>40</v>
      </c>
      <c r="Q390" s="649"/>
      <c r="R390" s="649"/>
      <c r="S390" s="649"/>
      <c r="T390" s="649"/>
      <c r="U390" s="649"/>
      <c r="V390" s="650"/>
      <c r="W390" s="42" t="s">
        <v>39</v>
      </c>
      <c r="X390" s="43">
        <f>IFERROR(X387/H387,"0")+IFERROR(X388/H388,"0")+IFERROR(X389/H389,"0")</f>
        <v>15</v>
      </c>
      <c r="Y390" s="43">
        <f>IFERROR(Y387/H387,"0")+IFERROR(Y388/H388,"0")+IFERROR(Y389/H389,"0")</f>
        <v>15</v>
      </c>
      <c r="Z390" s="43">
        <f>IFERROR(IF(Z387="",0,Z387),"0")+IFERROR(IF(Z388="",0,Z388),"0")+IFERROR(IF(Z389="",0,Z389),"0")</f>
        <v>0.28470000000000001</v>
      </c>
      <c r="AA390" s="67"/>
      <c r="AB390" s="67"/>
      <c r="AC390" s="67"/>
    </row>
    <row r="391" spans="1:68" x14ac:dyDescent="0.2">
      <c r="A391" s="651"/>
      <c r="B391" s="651"/>
      <c r="C391" s="651"/>
      <c r="D391" s="651"/>
      <c r="E391" s="651"/>
      <c r="F391" s="651"/>
      <c r="G391" s="651"/>
      <c r="H391" s="651"/>
      <c r="I391" s="651"/>
      <c r="J391" s="651"/>
      <c r="K391" s="651"/>
      <c r="L391" s="651"/>
      <c r="M391" s="651"/>
      <c r="N391" s="651"/>
      <c r="O391" s="652"/>
      <c r="P391" s="648" t="s">
        <v>40</v>
      </c>
      <c r="Q391" s="649"/>
      <c r="R391" s="649"/>
      <c r="S391" s="649"/>
      <c r="T391" s="649"/>
      <c r="U391" s="649"/>
      <c r="V391" s="650"/>
      <c r="W391" s="42" t="s">
        <v>0</v>
      </c>
      <c r="X391" s="43">
        <f>IFERROR(SUM(X387:X389),"0")</f>
        <v>120</v>
      </c>
      <c r="Y391" s="43">
        <f>IFERROR(SUM(Y387:Y389),"0")</f>
        <v>120</v>
      </c>
      <c r="Z391" s="42"/>
      <c r="AA391" s="67"/>
      <c r="AB391" s="67"/>
      <c r="AC391" s="67"/>
    </row>
    <row r="392" spans="1:68" ht="14.25" hidden="1" customHeight="1" x14ac:dyDescent="0.25">
      <c r="A392" s="662" t="s">
        <v>283</v>
      </c>
      <c r="B392" s="662"/>
      <c r="C392" s="662"/>
      <c r="D392" s="662"/>
      <c r="E392" s="662"/>
      <c r="F392" s="662"/>
      <c r="G392" s="662"/>
      <c r="H392" s="662"/>
      <c r="I392" s="662"/>
      <c r="J392" s="662"/>
      <c r="K392" s="662"/>
      <c r="L392" s="662"/>
      <c r="M392" s="662"/>
      <c r="N392" s="662"/>
      <c r="O392" s="662"/>
      <c r="P392" s="662"/>
      <c r="Q392" s="662"/>
      <c r="R392" s="662"/>
      <c r="S392" s="662"/>
      <c r="T392" s="662"/>
      <c r="U392" s="662"/>
      <c r="V392" s="662"/>
      <c r="W392" s="662"/>
      <c r="X392" s="662"/>
      <c r="Y392" s="662"/>
      <c r="Z392" s="662"/>
      <c r="AA392" s="66"/>
      <c r="AB392" s="66"/>
      <c r="AC392" s="80"/>
    </row>
    <row r="393" spans="1:68" ht="27" hidden="1" customHeight="1" x14ac:dyDescent="0.25">
      <c r="A393" s="63" t="s">
        <v>655</v>
      </c>
      <c r="B393" s="63" t="s">
        <v>656</v>
      </c>
      <c r="C393" s="36">
        <v>4301030235</v>
      </c>
      <c r="D393" s="657">
        <v>4607091388381</v>
      </c>
      <c r="E393" s="657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73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659"/>
      <c r="R393" s="659"/>
      <c r="S393" s="659"/>
      <c r="T393" s="66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4301030232</v>
      </c>
      <c r="D394" s="657">
        <v>4607091388374</v>
      </c>
      <c r="E394" s="657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73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659"/>
      <c r="R394" s="659"/>
      <c r="S394" s="659"/>
      <c r="T394" s="66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660</v>
      </c>
      <c r="B395" s="63" t="s">
        <v>661</v>
      </c>
      <c r="C395" s="36">
        <v>4301032015</v>
      </c>
      <c r="D395" s="657">
        <v>4607091383102</v>
      </c>
      <c r="E395" s="657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73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659"/>
      <c r="R395" s="659"/>
      <c r="S395" s="659"/>
      <c r="T395" s="66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4301030233</v>
      </c>
      <c r="D396" s="657">
        <v>4607091388404</v>
      </c>
      <c r="E396" s="657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7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659"/>
      <c r="R396" s="659"/>
      <c r="S396" s="659"/>
      <c r="T396" s="66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51"/>
      <c r="B397" s="651"/>
      <c r="C397" s="651"/>
      <c r="D397" s="651"/>
      <c r="E397" s="651"/>
      <c r="F397" s="651"/>
      <c r="G397" s="651"/>
      <c r="H397" s="651"/>
      <c r="I397" s="651"/>
      <c r="J397" s="651"/>
      <c r="K397" s="651"/>
      <c r="L397" s="651"/>
      <c r="M397" s="651"/>
      <c r="N397" s="651"/>
      <c r="O397" s="652"/>
      <c r="P397" s="648" t="s">
        <v>40</v>
      </c>
      <c r="Q397" s="649"/>
      <c r="R397" s="649"/>
      <c r="S397" s="649"/>
      <c r="T397" s="649"/>
      <c r="U397" s="649"/>
      <c r="V397" s="650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51"/>
      <c r="B398" s="651"/>
      <c r="C398" s="651"/>
      <c r="D398" s="651"/>
      <c r="E398" s="651"/>
      <c r="F398" s="651"/>
      <c r="G398" s="651"/>
      <c r="H398" s="651"/>
      <c r="I398" s="651"/>
      <c r="J398" s="651"/>
      <c r="K398" s="651"/>
      <c r="L398" s="651"/>
      <c r="M398" s="651"/>
      <c r="N398" s="651"/>
      <c r="O398" s="652"/>
      <c r="P398" s="648" t="s">
        <v>40</v>
      </c>
      <c r="Q398" s="649"/>
      <c r="R398" s="649"/>
      <c r="S398" s="649"/>
      <c r="T398" s="649"/>
      <c r="U398" s="649"/>
      <c r="V398" s="650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hidden="1" customHeight="1" x14ac:dyDescent="0.25">
      <c r="A399" s="662" t="s">
        <v>664</v>
      </c>
      <c r="B399" s="662"/>
      <c r="C399" s="662"/>
      <c r="D399" s="662"/>
      <c r="E399" s="662"/>
      <c r="F399" s="662"/>
      <c r="G399" s="662"/>
      <c r="H399" s="662"/>
      <c r="I399" s="662"/>
      <c r="J399" s="662"/>
      <c r="K399" s="662"/>
      <c r="L399" s="662"/>
      <c r="M399" s="662"/>
      <c r="N399" s="662"/>
      <c r="O399" s="662"/>
      <c r="P399" s="662"/>
      <c r="Q399" s="662"/>
      <c r="R399" s="662"/>
      <c r="S399" s="662"/>
      <c r="T399" s="662"/>
      <c r="U399" s="662"/>
      <c r="V399" s="662"/>
      <c r="W399" s="662"/>
      <c r="X399" s="662"/>
      <c r="Y399" s="662"/>
      <c r="Z399" s="662"/>
      <c r="AA399" s="66"/>
      <c r="AB399" s="66"/>
      <c r="AC399" s="80"/>
    </row>
    <row r="400" spans="1:68" ht="16.5" hidden="1" customHeight="1" x14ac:dyDescent="0.25">
      <c r="A400" s="63" t="s">
        <v>665</v>
      </c>
      <c r="B400" s="63" t="s">
        <v>666</v>
      </c>
      <c r="C400" s="36">
        <v>4301180007</v>
      </c>
      <c r="D400" s="657">
        <v>4680115881808</v>
      </c>
      <c r="E400" s="657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7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659"/>
      <c r="R400" s="659"/>
      <c r="S400" s="659"/>
      <c r="T400" s="66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669</v>
      </c>
      <c r="B401" s="63" t="s">
        <v>670</v>
      </c>
      <c r="C401" s="36">
        <v>4301180006</v>
      </c>
      <c r="D401" s="657">
        <v>4680115881822</v>
      </c>
      <c r="E401" s="657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7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659"/>
      <c r="R401" s="659"/>
      <c r="S401" s="659"/>
      <c r="T401" s="66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671</v>
      </c>
      <c r="B402" s="63" t="s">
        <v>672</v>
      </c>
      <c r="C402" s="36">
        <v>4301180001</v>
      </c>
      <c r="D402" s="657">
        <v>4680115880016</v>
      </c>
      <c r="E402" s="657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659"/>
      <c r="R402" s="659"/>
      <c r="S402" s="659"/>
      <c r="T402" s="660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idden="1" x14ac:dyDescent="0.2">
      <c r="A403" s="651"/>
      <c r="B403" s="651"/>
      <c r="C403" s="651"/>
      <c r="D403" s="651"/>
      <c r="E403" s="651"/>
      <c r="F403" s="651"/>
      <c r="G403" s="651"/>
      <c r="H403" s="651"/>
      <c r="I403" s="651"/>
      <c r="J403" s="651"/>
      <c r="K403" s="651"/>
      <c r="L403" s="651"/>
      <c r="M403" s="651"/>
      <c r="N403" s="651"/>
      <c r="O403" s="652"/>
      <c r="P403" s="648" t="s">
        <v>40</v>
      </c>
      <c r="Q403" s="649"/>
      <c r="R403" s="649"/>
      <c r="S403" s="649"/>
      <c r="T403" s="649"/>
      <c r="U403" s="649"/>
      <c r="V403" s="650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hidden="1" x14ac:dyDescent="0.2">
      <c r="A404" s="651"/>
      <c r="B404" s="651"/>
      <c r="C404" s="651"/>
      <c r="D404" s="651"/>
      <c r="E404" s="651"/>
      <c r="F404" s="651"/>
      <c r="G404" s="651"/>
      <c r="H404" s="651"/>
      <c r="I404" s="651"/>
      <c r="J404" s="651"/>
      <c r="K404" s="651"/>
      <c r="L404" s="651"/>
      <c r="M404" s="651"/>
      <c r="N404" s="651"/>
      <c r="O404" s="652"/>
      <c r="P404" s="648" t="s">
        <v>40</v>
      </c>
      <c r="Q404" s="649"/>
      <c r="R404" s="649"/>
      <c r="S404" s="649"/>
      <c r="T404" s="649"/>
      <c r="U404" s="649"/>
      <c r="V404" s="650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hidden="1" customHeight="1" x14ac:dyDescent="0.25">
      <c r="A405" s="662" t="s">
        <v>673</v>
      </c>
      <c r="B405" s="662"/>
      <c r="C405" s="662"/>
      <c r="D405" s="662"/>
      <c r="E405" s="662"/>
      <c r="F405" s="662"/>
      <c r="G405" s="662"/>
      <c r="H405" s="662"/>
      <c r="I405" s="662"/>
      <c r="J405" s="662"/>
      <c r="K405" s="662"/>
      <c r="L405" s="662"/>
      <c r="M405" s="662"/>
      <c r="N405" s="662"/>
      <c r="O405" s="662"/>
      <c r="P405" s="662"/>
      <c r="Q405" s="662"/>
      <c r="R405" s="662"/>
      <c r="S405" s="662"/>
      <c r="T405" s="662"/>
      <c r="U405" s="662"/>
      <c r="V405" s="662"/>
      <c r="W405" s="662"/>
      <c r="X405" s="662"/>
      <c r="Y405" s="662"/>
      <c r="Z405" s="662"/>
      <c r="AA405" s="66"/>
      <c r="AB405" s="66"/>
      <c r="AC405" s="80"/>
    </row>
    <row r="406" spans="1:68" ht="27" hidden="1" customHeight="1" x14ac:dyDescent="0.25">
      <c r="A406" s="63" t="s">
        <v>674</v>
      </c>
      <c r="B406" s="63" t="s">
        <v>675</v>
      </c>
      <c r="C406" s="36">
        <v>4301220003</v>
      </c>
      <c r="D406" s="657">
        <v>4680115888678</v>
      </c>
      <c r="E406" s="657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659"/>
      <c r="R406" s="659"/>
      <c r="S406" s="659"/>
      <c r="T406" s="66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4301220001</v>
      </c>
      <c r="D407" s="657">
        <v>4680115888654</v>
      </c>
      <c r="E407" s="657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659"/>
      <c r="R407" s="659"/>
      <c r="S407" s="659"/>
      <c r="T407" s="66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680</v>
      </c>
      <c r="B408" s="63" t="s">
        <v>681</v>
      </c>
      <c r="C408" s="36">
        <v>4301220002</v>
      </c>
      <c r="D408" s="657">
        <v>4680115888753</v>
      </c>
      <c r="E408" s="657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72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659"/>
      <c r="R408" s="659"/>
      <c r="S408" s="659"/>
      <c r="T408" s="66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651"/>
      <c r="B409" s="651"/>
      <c r="C409" s="651"/>
      <c r="D409" s="651"/>
      <c r="E409" s="651"/>
      <c r="F409" s="651"/>
      <c r="G409" s="651"/>
      <c r="H409" s="651"/>
      <c r="I409" s="651"/>
      <c r="J409" s="651"/>
      <c r="K409" s="651"/>
      <c r="L409" s="651"/>
      <c r="M409" s="651"/>
      <c r="N409" s="651"/>
      <c r="O409" s="652"/>
      <c r="P409" s="648" t="s">
        <v>40</v>
      </c>
      <c r="Q409" s="649"/>
      <c r="R409" s="649"/>
      <c r="S409" s="649"/>
      <c r="T409" s="649"/>
      <c r="U409" s="649"/>
      <c r="V409" s="650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651"/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2"/>
      <c r="P410" s="648" t="s">
        <v>40</v>
      </c>
      <c r="Q410" s="649"/>
      <c r="R410" s="649"/>
      <c r="S410" s="649"/>
      <c r="T410" s="649"/>
      <c r="U410" s="649"/>
      <c r="V410" s="650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hidden="1" customHeight="1" x14ac:dyDescent="0.25">
      <c r="A411" s="661" t="s">
        <v>682</v>
      </c>
      <c r="B411" s="661"/>
      <c r="C411" s="661"/>
      <c r="D411" s="661"/>
      <c r="E411" s="661"/>
      <c r="F411" s="661"/>
      <c r="G411" s="661"/>
      <c r="H411" s="661"/>
      <c r="I411" s="661"/>
      <c r="J411" s="661"/>
      <c r="K411" s="661"/>
      <c r="L411" s="661"/>
      <c r="M411" s="661"/>
      <c r="N411" s="661"/>
      <c r="O411" s="661"/>
      <c r="P411" s="661"/>
      <c r="Q411" s="661"/>
      <c r="R411" s="661"/>
      <c r="S411" s="661"/>
      <c r="T411" s="661"/>
      <c r="U411" s="661"/>
      <c r="V411" s="661"/>
      <c r="W411" s="661"/>
      <c r="X411" s="661"/>
      <c r="Y411" s="661"/>
      <c r="Z411" s="661"/>
      <c r="AA411" s="65"/>
      <c r="AB411" s="65"/>
      <c r="AC411" s="79"/>
    </row>
    <row r="412" spans="1:68" ht="14.25" hidden="1" customHeight="1" x14ac:dyDescent="0.25">
      <c r="A412" s="662" t="s">
        <v>86</v>
      </c>
      <c r="B412" s="662"/>
      <c r="C412" s="662"/>
      <c r="D412" s="662"/>
      <c r="E412" s="662"/>
      <c r="F412" s="662"/>
      <c r="G412" s="662"/>
      <c r="H412" s="662"/>
      <c r="I412" s="662"/>
      <c r="J412" s="662"/>
      <c r="K412" s="662"/>
      <c r="L412" s="662"/>
      <c r="M412" s="662"/>
      <c r="N412" s="662"/>
      <c r="O412" s="662"/>
      <c r="P412" s="662"/>
      <c r="Q412" s="662"/>
      <c r="R412" s="662"/>
      <c r="S412" s="662"/>
      <c r="T412" s="662"/>
      <c r="U412" s="662"/>
      <c r="V412" s="662"/>
      <c r="W412" s="662"/>
      <c r="X412" s="662"/>
      <c r="Y412" s="662"/>
      <c r="Z412" s="662"/>
      <c r="AA412" s="66"/>
      <c r="AB412" s="66"/>
      <c r="AC412" s="80"/>
    </row>
    <row r="413" spans="1:68" ht="16.5" hidden="1" customHeight="1" x14ac:dyDescent="0.25">
      <c r="A413" s="63" t="s">
        <v>683</v>
      </c>
      <c r="B413" s="63" t="s">
        <v>684</v>
      </c>
      <c r="C413" s="36">
        <v>4301052235</v>
      </c>
      <c r="D413" s="657">
        <v>4680115889415</v>
      </c>
      <c r="E413" s="657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728" t="s">
        <v>685</v>
      </c>
      <c r="Q413" s="659"/>
      <c r="R413" s="659"/>
      <c r="S413" s="659"/>
      <c r="T413" s="660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hidden="1" customHeight="1" x14ac:dyDescent="0.25">
      <c r="A414" s="63" t="s">
        <v>688</v>
      </c>
      <c r="B414" s="63" t="s">
        <v>689</v>
      </c>
      <c r="C414" s="36">
        <v>4301052236</v>
      </c>
      <c r="D414" s="657">
        <v>4680115889422</v>
      </c>
      <c r="E414" s="657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725" t="s">
        <v>690</v>
      </c>
      <c r="Q414" s="659"/>
      <c r="R414" s="659"/>
      <c r="S414" s="659"/>
      <c r="T414" s="66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idden="1" x14ac:dyDescent="0.2">
      <c r="A415" s="651"/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2"/>
      <c r="P415" s="648" t="s">
        <v>40</v>
      </c>
      <c r="Q415" s="649"/>
      <c r="R415" s="649"/>
      <c r="S415" s="649"/>
      <c r="T415" s="649"/>
      <c r="U415" s="649"/>
      <c r="V415" s="650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hidden="1" x14ac:dyDescent="0.2">
      <c r="A416" s="651"/>
      <c r="B416" s="651"/>
      <c r="C416" s="651"/>
      <c r="D416" s="651"/>
      <c r="E416" s="651"/>
      <c r="F416" s="651"/>
      <c r="G416" s="651"/>
      <c r="H416" s="651"/>
      <c r="I416" s="651"/>
      <c r="J416" s="651"/>
      <c r="K416" s="651"/>
      <c r="L416" s="651"/>
      <c r="M416" s="651"/>
      <c r="N416" s="651"/>
      <c r="O416" s="652"/>
      <c r="P416" s="648" t="s">
        <v>40</v>
      </c>
      <c r="Q416" s="649"/>
      <c r="R416" s="649"/>
      <c r="S416" s="649"/>
      <c r="T416" s="649"/>
      <c r="U416" s="649"/>
      <c r="V416" s="650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hidden="1" customHeight="1" x14ac:dyDescent="0.25">
      <c r="A417" s="661" t="s">
        <v>692</v>
      </c>
      <c r="B417" s="661"/>
      <c r="C417" s="661"/>
      <c r="D417" s="661"/>
      <c r="E417" s="661"/>
      <c r="F417" s="661"/>
      <c r="G417" s="661"/>
      <c r="H417" s="661"/>
      <c r="I417" s="661"/>
      <c r="J417" s="661"/>
      <c r="K417" s="661"/>
      <c r="L417" s="661"/>
      <c r="M417" s="661"/>
      <c r="N417" s="661"/>
      <c r="O417" s="661"/>
      <c r="P417" s="661"/>
      <c r="Q417" s="661"/>
      <c r="R417" s="661"/>
      <c r="S417" s="661"/>
      <c r="T417" s="661"/>
      <c r="U417" s="661"/>
      <c r="V417" s="661"/>
      <c r="W417" s="661"/>
      <c r="X417" s="661"/>
      <c r="Y417" s="661"/>
      <c r="Z417" s="661"/>
      <c r="AA417" s="65"/>
      <c r="AB417" s="65"/>
      <c r="AC417" s="79"/>
    </row>
    <row r="418" spans="1:68" ht="14.25" hidden="1" customHeight="1" x14ac:dyDescent="0.25">
      <c r="A418" s="662" t="s">
        <v>86</v>
      </c>
      <c r="B418" s="662"/>
      <c r="C418" s="662"/>
      <c r="D418" s="662"/>
      <c r="E418" s="662"/>
      <c r="F418" s="662"/>
      <c r="G418" s="662"/>
      <c r="H418" s="662"/>
      <c r="I418" s="662"/>
      <c r="J418" s="662"/>
      <c r="K418" s="662"/>
      <c r="L418" s="662"/>
      <c r="M418" s="662"/>
      <c r="N418" s="662"/>
      <c r="O418" s="662"/>
      <c r="P418" s="662"/>
      <c r="Q418" s="662"/>
      <c r="R418" s="662"/>
      <c r="S418" s="662"/>
      <c r="T418" s="662"/>
      <c r="U418" s="662"/>
      <c r="V418" s="662"/>
      <c r="W418" s="662"/>
      <c r="X418" s="662"/>
      <c r="Y418" s="662"/>
      <c r="Z418" s="662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657">
        <v>4607091387919</v>
      </c>
      <c r="E419" s="657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659"/>
      <c r="R419" s="659"/>
      <c r="S419" s="659"/>
      <c r="T419" s="660"/>
      <c r="U419" s="39" t="s">
        <v>46</v>
      </c>
      <c r="V419" s="39" t="s">
        <v>46</v>
      </c>
      <c r="W419" s="40" t="s">
        <v>0</v>
      </c>
      <c r="X419" s="58">
        <v>40.5</v>
      </c>
      <c r="Y419" s="55">
        <f>IFERROR(IF(X419="",0,CEILING((X419/$H419),1)*$H419),"")</f>
        <v>40.5</v>
      </c>
      <c r="Z419" s="41">
        <f>IFERROR(IF(Y419=0,"",ROUNDUP(Y419/H419,0)*0.01898),"")</f>
        <v>9.4899999999999998E-2</v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42.97</v>
      </c>
      <c r="BN419" s="78">
        <f>IFERROR(Y419*I419/H419,"0")</f>
        <v>42.97</v>
      </c>
      <c r="BO419" s="78">
        <f>IFERROR(1/J419*(X419/H419),"0")</f>
        <v>7.8125E-2</v>
      </c>
      <c r="BP419" s="78">
        <f>IFERROR(1/J419*(Y419/H419),"0")</f>
        <v>7.8125E-2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657">
        <v>4680115883604</v>
      </c>
      <c r="E420" s="657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659"/>
      <c r="R420" s="659"/>
      <c r="S420" s="659"/>
      <c r="T420" s="660"/>
      <c r="U420" s="39" t="s">
        <v>46</v>
      </c>
      <c r="V420" s="39" t="s">
        <v>46</v>
      </c>
      <c r="W420" s="40" t="s">
        <v>0</v>
      </c>
      <c r="X420" s="58">
        <v>21</v>
      </c>
      <c r="Y420" s="55">
        <f>IFERROR(IF(X420="",0,CEILING((X420/$H420),1)*$H420),"")</f>
        <v>21</v>
      </c>
      <c r="Z420" s="41">
        <f>IFERROR(IF(Y420=0,"",ROUNDUP(Y420/H420,0)*0.00651),"")</f>
        <v>6.5100000000000005E-2</v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23.519999999999996</v>
      </c>
      <c r="BN420" s="78">
        <f>IFERROR(Y420*I420/H420,"0")</f>
        <v>23.519999999999996</v>
      </c>
      <c r="BO420" s="78">
        <f>IFERROR(1/J420*(X420/H420),"0")</f>
        <v>5.4945054945054951E-2</v>
      </c>
      <c r="BP420" s="78">
        <f>IFERROR(1/J420*(Y420/H420),"0")</f>
        <v>5.4945054945054951E-2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657">
        <v>4680115883567</v>
      </c>
      <c r="E421" s="657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659"/>
      <c r="R421" s="659"/>
      <c r="S421" s="659"/>
      <c r="T421" s="660"/>
      <c r="U421" s="39" t="s">
        <v>46</v>
      </c>
      <c r="V421" s="39" t="s">
        <v>46</v>
      </c>
      <c r="W421" s="40" t="s">
        <v>0</v>
      </c>
      <c r="X421" s="58">
        <v>21</v>
      </c>
      <c r="Y421" s="55">
        <f>IFERROR(IF(X421="",0,CEILING((X421/$H421),1)*$H421),"")</f>
        <v>21</v>
      </c>
      <c r="Z421" s="41">
        <f>IFERROR(IF(Y421=0,"",ROUNDUP(Y421/H421,0)*0.00651),"")</f>
        <v>6.5100000000000005E-2</v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23.4</v>
      </c>
      <c r="BN421" s="78">
        <f>IFERROR(Y421*I421/H421,"0")</f>
        <v>23.4</v>
      </c>
      <c r="BO421" s="78">
        <f>IFERROR(1/J421*(X421/H421),"0")</f>
        <v>5.4945054945054951E-2</v>
      </c>
      <c r="BP421" s="78">
        <f>IFERROR(1/J421*(Y421/H421),"0")</f>
        <v>5.4945054945054951E-2</v>
      </c>
    </row>
    <row r="422" spans="1:68" x14ac:dyDescent="0.2">
      <c r="A422" s="651"/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2"/>
      <c r="P422" s="648" t="s">
        <v>40</v>
      </c>
      <c r="Q422" s="649"/>
      <c r="R422" s="649"/>
      <c r="S422" s="649"/>
      <c r="T422" s="649"/>
      <c r="U422" s="649"/>
      <c r="V422" s="650"/>
      <c r="W422" s="42" t="s">
        <v>39</v>
      </c>
      <c r="X422" s="43">
        <f>IFERROR(X419/H419,"0")+IFERROR(X420/H420,"0")+IFERROR(X421/H421,"0")</f>
        <v>25</v>
      </c>
      <c r="Y422" s="43">
        <f>IFERROR(Y419/H419,"0")+IFERROR(Y420/H420,"0")+IFERROR(Y421/H421,"0")</f>
        <v>25</v>
      </c>
      <c r="Z422" s="43">
        <f>IFERROR(IF(Z419="",0,Z419),"0")+IFERROR(IF(Z420="",0,Z420),"0")+IFERROR(IF(Z421="",0,Z421),"0")</f>
        <v>0.22510000000000002</v>
      </c>
      <c r="AA422" s="67"/>
      <c r="AB422" s="67"/>
      <c r="AC422" s="67"/>
    </row>
    <row r="423" spans="1:68" x14ac:dyDescent="0.2">
      <c r="A423" s="651"/>
      <c r="B423" s="651"/>
      <c r="C423" s="651"/>
      <c r="D423" s="651"/>
      <c r="E423" s="651"/>
      <c r="F423" s="651"/>
      <c r="G423" s="651"/>
      <c r="H423" s="651"/>
      <c r="I423" s="651"/>
      <c r="J423" s="651"/>
      <c r="K423" s="651"/>
      <c r="L423" s="651"/>
      <c r="M423" s="651"/>
      <c r="N423" s="651"/>
      <c r="O423" s="652"/>
      <c r="P423" s="648" t="s">
        <v>40</v>
      </c>
      <c r="Q423" s="649"/>
      <c r="R423" s="649"/>
      <c r="S423" s="649"/>
      <c r="T423" s="649"/>
      <c r="U423" s="649"/>
      <c r="V423" s="650"/>
      <c r="W423" s="42" t="s">
        <v>0</v>
      </c>
      <c r="X423" s="43">
        <f>IFERROR(SUM(X419:X421),"0")</f>
        <v>82.5</v>
      </c>
      <c r="Y423" s="43">
        <f>IFERROR(SUM(Y419:Y421),"0")</f>
        <v>82.5</v>
      </c>
      <c r="Z423" s="42"/>
      <c r="AA423" s="67"/>
      <c r="AB423" s="67"/>
      <c r="AC423" s="67"/>
    </row>
    <row r="424" spans="1:68" ht="27.75" hidden="1" customHeight="1" x14ac:dyDescent="0.2">
      <c r="A424" s="668" t="s">
        <v>702</v>
      </c>
      <c r="B424" s="668"/>
      <c r="C424" s="668"/>
      <c r="D424" s="668"/>
      <c r="E424" s="668"/>
      <c r="F424" s="668"/>
      <c r="G424" s="668"/>
      <c r="H424" s="668"/>
      <c r="I424" s="668"/>
      <c r="J424" s="668"/>
      <c r="K424" s="668"/>
      <c r="L424" s="668"/>
      <c r="M424" s="668"/>
      <c r="N424" s="668"/>
      <c r="O424" s="668"/>
      <c r="P424" s="668"/>
      <c r="Q424" s="668"/>
      <c r="R424" s="668"/>
      <c r="S424" s="668"/>
      <c r="T424" s="668"/>
      <c r="U424" s="668"/>
      <c r="V424" s="668"/>
      <c r="W424" s="668"/>
      <c r="X424" s="668"/>
      <c r="Y424" s="668"/>
      <c r="Z424" s="668"/>
      <c r="AA424" s="54"/>
      <c r="AB424" s="54"/>
      <c r="AC424" s="54"/>
    </row>
    <row r="425" spans="1:68" ht="16.5" hidden="1" customHeight="1" x14ac:dyDescent="0.25">
      <c r="A425" s="661" t="s">
        <v>703</v>
      </c>
      <c r="B425" s="661"/>
      <c r="C425" s="661"/>
      <c r="D425" s="661"/>
      <c r="E425" s="661"/>
      <c r="F425" s="661"/>
      <c r="G425" s="661"/>
      <c r="H425" s="661"/>
      <c r="I425" s="661"/>
      <c r="J425" s="661"/>
      <c r="K425" s="661"/>
      <c r="L425" s="661"/>
      <c r="M425" s="661"/>
      <c r="N425" s="661"/>
      <c r="O425" s="661"/>
      <c r="P425" s="661"/>
      <c r="Q425" s="661"/>
      <c r="R425" s="661"/>
      <c r="S425" s="661"/>
      <c r="T425" s="661"/>
      <c r="U425" s="661"/>
      <c r="V425" s="661"/>
      <c r="W425" s="661"/>
      <c r="X425" s="661"/>
      <c r="Y425" s="661"/>
      <c r="Z425" s="661"/>
      <c r="AA425" s="65"/>
      <c r="AB425" s="65"/>
      <c r="AC425" s="79"/>
    </row>
    <row r="426" spans="1:68" ht="14.25" hidden="1" customHeight="1" x14ac:dyDescent="0.25">
      <c r="A426" s="662" t="s">
        <v>122</v>
      </c>
      <c r="B426" s="662"/>
      <c r="C426" s="662"/>
      <c r="D426" s="662"/>
      <c r="E426" s="662"/>
      <c r="F426" s="662"/>
      <c r="G426" s="662"/>
      <c r="H426" s="662"/>
      <c r="I426" s="662"/>
      <c r="J426" s="662"/>
      <c r="K426" s="662"/>
      <c r="L426" s="662"/>
      <c r="M426" s="662"/>
      <c r="N426" s="662"/>
      <c r="O426" s="662"/>
      <c r="P426" s="662"/>
      <c r="Q426" s="662"/>
      <c r="R426" s="662"/>
      <c r="S426" s="662"/>
      <c r="T426" s="662"/>
      <c r="U426" s="662"/>
      <c r="V426" s="662"/>
      <c r="W426" s="662"/>
      <c r="X426" s="662"/>
      <c r="Y426" s="662"/>
      <c r="Z426" s="662"/>
      <c r="AA426" s="66"/>
      <c r="AB426" s="66"/>
      <c r="AC426" s="80"/>
    </row>
    <row r="427" spans="1:68" ht="27" hidden="1" customHeight="1" x14ac:dyDescent="0.25">
      <c r="A427" s="63" t="s">
        <v>704</v>
      </c>
      <c r="B427" s="63" t="s">
        <v>705</v>
      </c>
      <c r="C427" s="36">
        <v>4301012332</v>
      </c>
      <c r="D427" s="657">
        <v>4680115888401</v>
      </c>
      <c r="E427" s="657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659"/>
      <c r="R427" s="659"/>
      <c r="S427" s="659"/>
      <c r="T427" s="660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hidden="1" customHeight="1" x14ac:dyDescent="0.25">
      <c r="A428" s="63" t="s">
        <v>707</v>
      </c>
      <c r="B428" s="63" t="s">
        <v>708</v>
      </c>
      <c r="C428" s="36">
        <v>4301011869</v>
      </c>
      <c r="D428" s="657">
        <v>4680115884847</v>
      </c>
      <c r="E428" s="657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659"/>
      <c r="R428" s="659"/>
      <c r="S428" s="659"/>
      <c r="T428" s="660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0</v>
      </c>
      <c r="BN428" s="78">
        <f t="shared" si="60"/>
        <v>0</v>
      </c>
      <c r="BO428" s="78">
        <f t="shared" si="61"/>
        <v>0</v>
      </c>
      <c r="BP428" s="78">
        <f t="shared" si="62"/>
        <v>0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657">
        <v>4680115884854</v>
      </c>
      <c r="E429" s="657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659"/>
      <c r="R429" s="659"/>
      <c r="S429" s="659"/>
      <c r="T429" s="660"/>
      <c r="U429" s="39" t="s">
        <v>46</v>
      </c>
      <c r="V429" s="39" t="s">
        <v>46</v>
      </c>
      <c r="W429" s="40" t="s">
        <v>0</v>
      </c>
      <c r="X429" s="58">
        <v>720</v>
      </c>
      <c r="Y429" s="55">
        <f t="shared" si="58"/>
        <v>720</v>
      </c>
      <c r="Z429" s="41">
        <f>IFERROR(IF(Y429=0,"",ROUNDUP(Y429/H429,0)*0.02175),"")</f>
        <v>1.044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742.56</v>
      </c>
      <c r="BN429" s="78">
        <f t="shared" si="60"/>
        <v>742.56</v>
      </c>
      <c r="BO429" s="78">
        <f t="shared" si="61"/>
        <v>1</v>
      </c>
      <c r="BP429" s="78">
        <f t="shared" si="62"/>
        <v>1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4301011867</v>
      </c>
      <c r="D430" s="657">
        <v>4680115884830</v>
      </c>
      <c r="E430" s="657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659"/>
      <c r="R430" s="659"/>
      <c r="S430" s="659"/>
      <c r="T430" s="660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657">
        <v>4680115889231</v>
      </c>
      <c r="E431" s="657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659"/>
      <c r="R431" s="659"/>
      <c r="S431" s="659"/>
      <c r="T431" s="660"/>
      <c r="U431" s="39" t="s">
        <v>46</v>
      </c>
      <c r="V431" s="39" t="s">
        <v>46</v>
      </c>
      <c r="W431" s="40" t="s">
        <v>0</v>
      </c>
      <c r="X431" s="58">
        <v>720</v>
      </c>
      <c r="Y431" s="55">
        <f t="shared" si="58"/>
        <v>720</v>
      </c>
      <c r="Z431" s="41">
        <f>IFERROR(IF(Y431=0,"",ROUNDUP(Y431/H431,0)*0.02175),"")</f>
        <v>1.044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742.56</v>
      </c>
      <c r="BN431" s="78">
        <f t="shared" si="60"/>
        <v>742.56</v>
      </c>
      <c r="BO431" s="78">
        <f t="shared" si="61"/>
        <v>1</v>
      </c>
      <c r="BP431" s="78">
        <f t="shared" si="62"/>
        <v>1</v>
      </c>
    </row>
    <row r="432" spans="1:68" ht="27" hidden="1" customHeight="1" x14ac:dyDescent="0.25">
      <c r="A432" s="63" t="s">
        <v>719</v>
      </c>
      <c r="B432" s="63" t="s">
        <v>720</v>
      </c>
      <c r="C432" s="36">
        <v>4301011433</v>
      </c>
      <c r="D432" s="657">
        <v>4680115882638</v>
      </c>
      <c r="E432" s="657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659"/>
      <c r="R432" s="659"/>
      <c r="S432" s="659"/>
      <c r="T432" s="660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hidden="1" customHeight="1" x14ac:dyDescent="0.25">
      <c r="A433" s="63" t="s">
        <v>722</v>
      </c>
      <c r="B433" s="63" t="s">
        <v>723</v>
      </c>
      <c r="C433" s="36">
        <v>4301011952</v>
      </c>
      <c r="D433" s="657">
        <v>4680115884922</v>
      </c>
      <c r="E433" s="657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659"/>
      <c r="R433" s="659"/>
      <c r="S433" s="659"/>
      <c r="T433" s="660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hidden="1" customHeight="1" x14ac:dyDescent="0.25">
      <c r="A434" s="63" t="s">
        <v>725</v>
      </c>
      <c r="B434" s="63" t="s">
        <v>726</v>
      </c>
      <c r="C434" s="36">
        <v>4301011868</v>
      </c>
      <c r="D434" s="657">
        <v>4680115884861</v>
      </c>
      <c r="E434" s="657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659"/>
      <c r="R434" s="659"/>
      <c r="S434" s="659"/>
      <c r="T434" s="660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651"/>
      <c r="B435" s="651"/>
      <c r="C435" s="651"/>
      <c r="D435" s="651"/>
      <c r="E435" s="651"/>
      <c r="F435" s="651"/>
      <c r="G435" s="651"/>
      <c r="H435" s="651"/>
      <c r="I435" s="651"/>
      <c r="J435" s="651"/>
      <c r="K435" s="651"/>
      <c r="L435" s="651"/>
      <c r="M435" s="651"/>
      <c r="N435" s="651"/>
      <c r="O435" s="652"/>
      <c r="P435" s="648" t="s">
        <v>40</v>
      </c>
      <c r="Q435" s="649"/>
      <c r="R435" s="649"/>
      <c r="S435" s="649"/>
      <c r="T435" s="649"/>
      <c r="U435" s="649"/>
      <c r="V435" s="650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96</v>
      </c>
      <c r="Y435" s="43">
        <f>IFERROR(Y427/H427,"0")+IFERROR(Y428/H428,"0")+IFERROR(Y429/H429,"0")+IFERROR(Y430/H430,"0")+IFERROR(Y431/H431,"0")+IFERROR(Y432/H432,"0")+IFERROR(Y433/H433,"0")+IFERROR(Y434/H434,"0")</f>
        <v>96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2.0880000000000001</v>
      </c>
      <c r="AA435" s="67"/>
      <c r="AB435" s="67"/>
      <c r="AC435" s="67"/>
    </row>
    <row r="436" spans="1:68" x14ac:dyDescent="0.2">
      <c r="A436" s="651"/>
      <c r="B436" s="651"/>
      <c r="C436" s="651"/>
      <c r="D436" s="651"/>
      <c r="E436" s="651"/>
      <c r="F436" s="651"/>
      <c r="G436" s="651"/>
      <c r="H436" s="651"/>
      <c r="I436" s="651"/>
      <c r="J436" s="651"/>
      <c r="K436" s="651"/>
      <c r="L436" s="651"/>
      <c r="M436" s="651"/>
      <c r="N436" s="651"/>
      <c r="O436" s="652"/>
      <c r="P436" s="648" t="s">
        <v>40</v>
      </c>
      <c r="Q436" s="649"/>
      <c r="R436" s="649"/>
      <c r="S436" s="649"/>
      <c r="T436" s="649"/>
      <c r="U436" s="649"/>
      <c r="V436" s="650"/>
      <c r="W436" s="42" t="s">
        <v>0</v>
      </c>
      <c r="X436" s="43">
        <f>IFERROR(SUM(X427:X434),"0")</f>
        <v>1440</v>
      </c>
      <c r="Y436" s="43">
        <f>IFERROR(SUM(Y427:Y434),"0")</f>
        <v>1440</v>
      </c>
      <c r="Z436" s="42"/>
      <c r="AA436" s="67"/>
      <c r="AB436" s="67"/>
      <c r="AC436" s="67"/>
    </row>
    <row r="437" spans="1:68" ht="14.25" hidden="1" customHeight="1" x14ac:dyDescent="0.25">
      <c r="A437" s="662" t="s">
        <v>158</v>
      </c>
      <c r="B437" s="662"/>
      <c r="C437" s="662"/>
      <c r="D437" s="662"/>
      <c r="E437" s="662"/>
      <c r="F437" s="662"/>
      <c r="G437" s="662"/>
      <c r="H437" s="662"/>
      <c r="I437" s="662"/>
      <c r="J437" s="662"/>
      <c r="K437" s="662"/>
      <c r="L437" s="662"/>
      <c r="M437" s="662"/>
      <c r="N437" s="662"/>
      <c r="O437" s="662"/>
      <c r="P437" s="662"/>
      <c r="Q437" s="662"/>
      <c r="R437" s="662"/>
      <c r="S437" s="662"/>
      <c r="T437" s="662"/>
      <c r="U437" s="662"/>
      <c r="V437" s="662"/>
      <c r="W437" s="662"/>
      <c r="X437" s="662"/>
      <c r="Y437" s="662"/>
      <c r="Z437" s="662"/>
      <c r="AA437" s="66"/>
      <c r="AB437" s="66"/>
      <c r="AC437" s="80"/>
    </row>
    <row r="438" spans="1:68" ht="27" hidden="1" customHeight="1" x14ac:dyDescent="0.25">
      <c r="A438" s="63" t="s">
        <v>728</v>
      </c>
      <c r="B438" s="63" t="s">
        <v>729</v>
      </c>
      <c r="C438" s="36">
        <v>4301020178</v>
      </c>
      <c r="D438" s="657">
        <v>4607091383980</v>
      </c>
      <c r="E438" s="657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71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659"/>
      <c r="R438" s="659"/>
      <c r="S438" s="659"/>
      <c r="T438" s="66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731</v>
      </c>
      <c r="B439" s="63" t="s">
        <v>732</v>
      </c>
      <c r="C439" s="36">
        <v>4301020355</v>
      </c>
      <c r="D439" s="657">
        <v>4680115888425</v>
      </c>
      <c r="E439" s="657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71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659"/>
      <c r="R439" s="659"/>
      <c r="S439" s="659"/>
      <c r="T439" s="66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734</v>
      </c>
      <c r="B440" s="63" t="s">
        <v>735</v>
      </c>
      <c r="C440" s="36">
        <v>4301020179</v>
      </c>
      <c r="D440" s="657">
        <v>4607091384178</v>
      </c>
      <c r="E440" s="657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71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659"/>
      <c r="R440" s="659"/>
      <c r="S440" s="659"/>
      <c r="T440" s="66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51"/>
      <c r="B441" s="651"/>
      <c r="C441" s="651"/>
      <c r="D441" s="651"/>
      <c r="E441" s="651"/>
      <c r="F441" s="651"/>
      <c r="G441" s="651"/>
      <c r="H441" s="651"/>
      <c r="I441" s="651"/>
      <c r="J441" s="651"/>
      <c r="K441" s="651"/>
      <c r="L441" s="651"/>
      <c r="M441" s="651"/>
      <c r="N441" s="651"/>
      <c r="O441" s="652"/>
      <c r="P441" s="648" t="s">
        <v>40</v>
      </c>
      <c r="Q441" s="649"/>
      <c r="R441" s="649"/>
      <c r="S441" s="649"/>
      <c r="T441" s="649"/>
      <c r="U441" s="649"/>
      <c r="V441" s="650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51"/>
      <c r="B442" s="651"/>
      <c r="C442" s="651"/>
      <c r="D442" s="651"/>
      <c r="E442" s="651"/>
      <c r="F442" s="651"/>
      <c r="G442" s="651"/>
      <c r="H442" s="651"/>
      <c r="I442" s="651"/>
      <c r="J442" s="651"/>
      <c r="K442" s="651"/>
      <c r="L442" s="651"/>
      <c r="M442" s="651"/>
      <c r="N442" s="651"/>
      <c r="O442" s="652"/>
      <c r="P442" s="648" t="s">
        <v>40</v>
      </c>
      <c r="Q442" s="649"/>
      <c r="R442" s="649"/>
      <c r="S442" s="649"/>
      <c r="T442" s="649"/>
      <c r="U442" s="649"/>
      <c r="V442" s="650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hidden="1" customHeight="1" x14ac:dyDescent="0.25">
      <c r="A443" s="662" t="s">
        <v>86</v>
      </c>
      <c r="B443" s="662"/>
      <c r="C443" s="662"/>
      <c r="D443" s="662"/>
      <c r="E443" s="662"/>
      <c r="F443" s="662"/>
      <c r="G443" s="662"/>
      <c r="H443" s="662"/>
      <c r="I443" s="662"/>
      <c r="J443" s="662"/>
      <c r="K443" s="662"/>
      <c r="L443" s="662"/>
      <c r="M443" s="662"/>
      <c r="N443" s="662"/>
      <c r="O443" s="662"/>
      <c r="P443" s="662"/>
      <c r="Q443" s="662"/>
      <c r="R443" s="662"/>
      <c r="S443" s="662"/>
      <c r="T443" s="662"/>
      <c r="U443" s="662"/>
      <c r="V443" s="662"/>
      <c r="W443" s="662"/>
      <c r="X443" s="662"/>
      <c r="Y443" s="662"/>
      <c r="Z443" s="662"/>
      <c r="AA443" s="66"/>
      <c r="AB443" s="66"/>
      <c r="AC443" s="80"/>
    </row>
    <row r="444" spans="1:68" ht="27" hidden="1" customHeight="1" x14ac:dyDescent="0.25">
      <c r="A444" s="63" t="s">
        <v>737</v>
      </c>
      <c r="B444" s="63" t="s">
        <v>738</v>
      </c>
      <c r="C444" s="36">
        <v>4301051903</v>
      </c>
      <c r="D444" s="657">
        <v>4607091383928</v>
      </c>
      <c r="E444" s="657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659"/>
      <c r="R444" s="659"/>
      <c r="S444" s="659"/>
      <c r="T444" s="66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740</v>
      </c>
      <c r="B445" s="63" t="s">
        <v>741</v>
      </c>
      <c r="C445" s="36">
        <v>4301051897</v>
      </c>
      <c r="D445" s="657">
        <v>4607091384260</v>
      </c>
      <c r="E445" s="657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659"/>
      <c r="R445" s="659"/>
      <c r="S445" s="659"/>
      <c r="T445" s="66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hidden="1" customHeight="1" x14ac:dyDescent="0.25">
      <c r="A446" s="63" t="s">
        <v>743</v>
      </c>
      <c r="B446" s="63" t="s">
        <v>744</v>
      </c>
      <c r="C446" s="36">
        <v>4301052220</v>
      </c>
      <c r="D446" s="657">
        <v>4680115889538</v>
      </c>
      <c r="E446" s="657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659"/>
      <c r="R446" s="659"/>
      <c r="S446" s="659"/>
      <c r="T446" s="66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idden="1" x14ac:dyDescent="0.2">
      <c r="A447" s="651"/>
      <c r="B447" s="651"/>
      <c r="C447" s="651"/>
      <c r="D447" s="651"/>
      <c r="E447" s="651"/>
      <c r="F447" s="651"/>
      <c r="G447" s="651"/>
      <c r="H447" s="651"/>
      <c r="I447" s="651"/>
      <c r="J447" s="651"/>
      <c r="K447" s="651"/>
      <c r="L447" s="651"/>
      <c r="M447" s="651"/>
      <c r="N447" s="651"/>
      <c r="O447" s="652"/>
      <c r="P447" s="648" t="s">
        <v>40</v>
      </c>
      <c r="Q447" s="649"/>
      <c r="R447" s="649"/>
      <c r="S447" s="649"/>
      <c r="T447" s="649"/>
      <c r="U447" s="649"/>
      <c r="V447" s="650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51"/>
      <c r="B448" s="651"/>
      <c r="C448" s="651"/>
      <c r="D448" s="651"/>
      <c r="E448" s="651"/>
      <c r="F448" s="651"/>
      <c r="G448" s="651"/>
      <c r="H448" s="651"/>
      <c r="I448" s="651"/>
      <c r="J448" s="651"/>
      <c r="K448" s="651"/>
      <c r="L448" s="651"/>
      <c r="M448" s="651"/>
      <c r="N448" s="651"/>
      <c r="O448" s="652"/>
      <c r="P448" s="648" t="s">
        <v>40</v>
      </c>
      <c r="Q448" s="649"/>
      <c r="R448" s="649"/>
      <c r="S448" s="649"/>
      <c r="T448" s="649"/>
      <c r="U448" s="649"/>
      <c r="V448" s="650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62" t="s">
        <v>175</v>
      </c>
      <c r="B449" s="662"/>
      <c r="C449" s="662"/>
      <c r="D449" s="662"/>
      <c r="E449" s="662"/>
      <c r="F449" s="662"/>
      <c r="G449" s="662"/>
      <c r="H449" s="662"/>
      <c r="I449" s="662"/>
      <c r="J449" s="662"/>
      <c r="K449" s="662"/>
      <c r="L449" s="662"/>
      <c r="M449" s="662"/>
      <c r="N449" s="662"/>
      <c r="O449" s="662"/>
      <c r="P449" s="662"/>
      <c r="Q449" s="662"/>
      <c r="R449" s="662"/>
      <c r="S449" s="662"/>
      <c r="T449" s="662"/>
      <c r="U449" s="662"/>
      <c r="V449" s="662"/>
      <c r="W449" s="662"/>
      <c r="X449" s="662"/>
      <c r="Y449" s="662"/>
      <c r="Z449" s="662"/>
      <c r="AA449" s="66"/>
      <c r="AB449" s="66"/>
      <c r="AC449" s="80"/>
    </row>
    <row r="450" spans="1:68" ht="27" hidden="1" customHeight="1" x14ac:dyDescent="0.25">
      <c r="A450" s="63" t="s">
        <v>746</v>
      </c>
      <c r="B450" s="63" t="s">
        <v>747</v>
      </c>
      <c r="C450" s="36">
        <v>4301060537</v>
      </c>
      <c r="D450" s="657">
        <v>4680115889545</v>
      </c>
      <c r="E450" s="657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70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659"/>
      <c r="R450" s="659"/>
      <c r="S450" s="659"/>
      <c r="T450" s="66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hidden="1" customHeight="1" x14ac:dyDescent="0.25">
      <c r="A451" s="63" t="s">
        <v>749</v>
      </c>
      <c r="B451" s="63" t="s">
        <v>750</v>
      </c>
      <c r="C451" s="36">
        <v>4301060524</v>
      </c>
      <c r="D451" s="657">
        <v>4607091384673</v>
      </c>
      <c r="E451" s="65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70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659"/>
      <c r="R451" s="659"/>
      <c r="S451" s="659"/>
      <c r="T451" s="66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51"/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2"/>
      <c r="P452" s="648" t="s">
        <v>40</v>
      </c>
      <c r="Q452" s="649"/>
      <c r="R452" s="649"/>
      <c r="S452" s="649"/>
      <c r="T452" s="649"/>
      <c r="U452" s="649"/>
      <c r="V452" s="650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hidden="1" x14ac:dyDescent="0.2">
      <c r="A453" s="651"/>
      <c r="B453" s="651"/>
      <c r="C453" s="651"/>
      <c r="D453" s="651"/>
      <c r="E453" s="651"/>
      <c r="F453" s="651"/>
      <c r="G453" s="651"/>
      <c r="H453" s="651"/>
      <c r="I453" s="651"/>
      <c r="J453" s="651"/>
      <c r="K453" s="651"/>
      <c r="L453" s="651"/>
      <c r="M453" s="651"/>
      <c r="N453" s="651"/>
      <c r="O453" s="652"/>
      <c r="P453" s="648" t="s">
        <v>40</v>
      </c>
      <c r="Q453" s="649"/>
      <c r="R453" s="649"/>
      <c r="S453" s="649"/>
      <c r="T453" s="649"/>
      <c r="U453" s="649"/>
      <c r="V453" s="650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hidden="1" customHeight="1" x14ac:dyDescent="0.25">
      <c r="A454" s="661" t="s">
        <v>752</v>
      </c>
      <c r="B454" s="661"/>
      <c r="C454" s="661"/>
      <c r="D454" s="661"/>
      <c r="E454" s="661"/>
      <c r="F454" s="661"/>
      <c r="G454" s="661"/>
      <c r="H454" s="661"/>
      <c r="I454" s="661"/>
      <c r="J454" s="661"/>
      <c r="K454" s="661"/>
      <c r="L454" s="661"/>
      <c r="M454" s="661"/>
      <c r="N454" s="661"/>
      <c r="O454" s="661"/>
      <c r="P454" s="661"/>
      <c r="Q454" s="661"/>
      <c r="R454" s="661"/>
      <c r="S454" s="661"/>
      <c r="T454" s="661"/>
      <c r="U454" s="661"/>
      <c r="V454" s="661"/>
      <c r="W454" s="661"/>
      <c r="X454" s="661"/>
      <c r="Y454" s="661"/>
      <c r="Z454" s="661"/>
      <c r="AA454" s="65"/>
      <c r="AB454" s="65"/>
      <c r="AC454" s="79"/>
    </row>
    <row r="455" spans="1:68" ht="14.25" hidden="1" customHeight="1" x14ac:dyDescent="0.25">
      <c r="A455" s="662" t="s">
        <v>122</v>
      </c>
      <c r="B455" s="662"/>
      <c r="C455" s="662"/>
      <c r="D455" s="662"/>
      <c r="E455" s="662"/>
      <c r="F455" s="662"/>
      <c r="G455" s="662"/>
      <c r="H455" s="662"/>
      <c r="I455" s="662"/>
      <c r="J455" s="662"/>
      <c r="K455" s="662"/>
      <c r="L455" s="662"/>
      <c r="M455" s="662"/>
      <c r="N455" s="662"/>
      <c r="O455" s="662"/>
      <c r="P455" s="662"/>
      <c r="Q455" s="662"/>
      <c r="R455" s="662"/>
      <c r="S455" s="662"/>
      <c r="T455" s="662"/>
      <c r="U455" s="662"/>
      <c r="V455" s="662"/>
      <c r="W455" s="662"/>
      <c r="X455" s="662"/>
      <c r="Y455" s="662"/>
      <c r="Z455" s="662"/>
      <c r="AA455" s="66"/>
      <c r="AB455" s="66"/>
      <c r="AC455" s="80"/>
    </row>
    <row r="456" spans="1:68" ht="27" hidden="1" customHeight="1" x14ac:dyDescent="0.25">
      <c r="A456" s="63" t="s">
        <v>753</v>
      </c>
      <c r="B456" s="63" t="s">
        <v>754</v>
      </c>
      <c r="C456" s="36">
        <v>4301011875</v>
      </c>
      <c r="D456" s="657">
        <v>4680115884885</v>
      </c>
      <c r="E456" s="657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659"/>
      <c r="R456" s="659"/>
      <c r="S456" s="659"/>
      <c r="T456" s="66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hidden="1" customHeight="1" x14ac:dyDescent="0.25">
      <c r="A457" s="63" t="s">
        <v>756</v>
      </c>
      <c r="B457" s="63" t="s">
        <v>757</v>
      </c>
      <c r="C457" s="36">
        <v>4301011871</v>
      </c>
      <c r="D457" s="657">
        <v>4680115884908</v>
      </c>
      <c r="E457" s="657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659"/>
      <c r="R457" s="659"/>
      <c r="S457" s="659"/>
      <c r="T457" s="66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51"/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2"/>
      <c r="P458" s="648" t="s">
        <v>40</v>
      </c>
      <c r="Q458" s="649"/>
      <c r="R458" s="649"/>
      <c r="S458" s="649"/>
      <c r="T458" s="649"/>
      <c r="U458" s="649"/>
      <c r="V458" s="650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hidden="1" x14ac:dyDescent="0.2">
      <c r="A459" s="651"/>
      <c r="B459" s="651"/>
      <c r="C459" s="651"/>
      <c r="D459" s="651"/>
      <c r="E459" s="651"/>
      <c r="F459" s="651"/>
      <c r="G459" s="651"/>
      <c r="H459" s="651"/>
      <c r="I459" s="651"/>
      <c r="J459" s="651"/>
      <c r="K459" s="651"/>
      <c r="L459" s="651"/>
      <c r="M459" s="651"/>
      <c r="N459" s="651"/>
      <c r="O459" s="652"/>
      <c r="P459" s="648" t="s">
        <v>40</v>
      </c>
      <c r="Q459" s="649"/>
      <c r="R459" s="649"/>
      <c r="S459" s="649"/>
      <c r="T459" s="649"/>
      <c r="U459" s="649"/>
      <c r="V459" s="650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62" t="s">
        <v>77</v>
      </c>
      <c r="B460" s="662"/>
      <c r="C460" s="662"/>
      <c r="D460" s="662"/>
      <c r="E460" s="662"/>
      <c r="F460" s="662"/>
      <c r="G460" s="662"/>
      <c r="H460" s="662"/>
      <c r="I460" s="662"/>
      <c r="J460" s="662"/>
      <c r="K460" s="662"/>
      <c r="L460" s="662"/>
      <c r="M460" s="662"/>
      <c r="N460" s="662"/>
      <c r="O460" s="662"/>
      <c r="P460" s="662"/>
      <c r="Q460" s="662"/>
      <c r="R460" s="662"/>
      <c r="S460" s="662"/>
      <c r="T460" s="662"/>
      <c r="U460" s="662"/>
      <c r="V460" s="662"/>
      <c r="W460" s="662"/>
      <c r="X460" s="662"/>
      <c r="Y460" s="662"/>
      <c r="Z460" s="662"/>
      <c r="AA460" s="66"/>
      <c r="AB460" s="66"/>
      <c r="AC460" s="80"/>
    </row>
    <row r="461" spans="1:68" ht="27" hidden="1" customHeight="1" x14ac:dyDescent="0.25">
      <c r="A461" s="63" t="s">
        <v>758</v>
      </c>
      <c r="B461" s="63" t="s">
        <v>759</v>
      </c>
      <c r="C461" s="36">
        <v>4301031457</v>
      </c>
      <c r="D461" s="657">
        <v>4607091384802</v>
      </c>
      <c r="E461" s="657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659"/>
      <c r="R461" s="659"/>
      <c r="S461" s="659"/>
      <c r="T461" s="66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52"/>
      <c r="P462" s="648" t="s">
        <v>40</v>
      </c>
      <c r="Q462" s="649"/>
      <c r="R462" s="649"/>
      <c r="S462" s="649"/>
      <c r="T462" s="649"/>
      <c r="U462" s="649"/>
      <c r="V462" s="650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51"/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2"/>
      <c r="P463" s="648" t="s">
        <v>40</v>
      </c>
      <c r="Q463" s="649"/>
      <c r="R463" s="649"/>
      <c r="S463" s="649"/>
      <c r="T463" s="649"/>
      <c r="U463" s="649"/>
      <c r="V463" s="650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62" t="s">
        <v>86</v>
      </c>
      <c r="B464" s="662"/>
      <c r="C464" s="662"/>
      <c r="D464" s="662"/>
      <c r="E464" s="662"/>
      <c r="F464" s="662"/>
      <c r="G464" s="662"/>
      <c r="H464" s="662"/>
      <c r="I464" s="662"/>
      <c r="J464" s="662"/>
      <c r="K464" s="662"/>
      <c r="L464" s="662"/>
      <c r="M464" s="662"/>
      <c r="N464" s="662"/>
      <c r="O464" s="662"/>
      <c r="P464" s="662"/>
      <c r="Q464" s="662"/>
      <c r="R464" s="662"/>
      <c r="S464" s="662"/>
      <c r="T464" s="662"/>
      <c r="U464" s="662"/>
      <c r="V464" s="662"/>
      <c r="W464" s="662"/>
      <c r="X464" s="662"/>
      <c r="Y464" s="662"/>
      <c r="Z464" s="662"/>
      <c r="AA464" s="66"/>
      <c r="AB464" s="66"/>
      <c r="AC464" s="80"/>
    </row>
    <row r="465" spans="1:68" ht="27" hidden="1" customHeight="1" x14ac:dyDescent="0.25">
      <c r="A465" s="63" t="s">
        <v>761</v>
      </c>
      <c r="B465" s="63" t="s">
        <v>762</v>
      </c>
      <c r="C465" s="36">
        <v>4301051899</v>
      </c>
      <c r="D465" s="657">
        <v>4607091384246</v>
      </c>
      <c r="E465" s="657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659"/>
      <c r="R465" s="659"/>
      <c r="S465" s="659"/>
      <c r="T465" s="66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764</v>
      </c>
      <c r="B466" s="63" t="s">
        <v>765</v>
      </c>
      <c r="C466" s="36">
        <v>4301051660</v>
      </c>
      <c r="D466" s="657">
        <v>4607091384253</v>
      </c>
      <c r="E466" s="657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659"/>
      <c r="R466" s="659"/>
      <c r="S466" s="659"/>
      <c r="T466" s="66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764</v>
      </c>
      <c r="B467" s="63" t="s">
        <v>766</v>
      </c>
      <c r="C467" s="36">
        <v>4301052069</v>
      </c>
      <c r="D467" s="657">
        <v>4607091384253</v>
      </c>
      <c r="E467" s="657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659"/>
      <c r="R467" s="659"/>
      <c r="S467" s="659"/>
      <c r="T467" s="66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51"/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2"/>
      <c r="P468" s="648" t="s">
        <v>40</v>
      </c>
      <c r="Q468" s="649"/>
      <c r="R468" s="649"/>
      <c r="S468" s="649"/>
      <c r="T468" s="649"/>
      <c r="U468" s="649"/>
      <c r="V468" s="650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51"/>
      <c r="B469" s="651"/>
      <c r="C469" s="651"/>
      <c r="D469" s="651"/>
      <c r="E469" s="651"/>
      <c r="F469" s="651"/>
      <c r="G469" s="651"/>
      <c r="H469" s="651"/>
      <c r="I469" s="651"/>
      <c r="J469" s="651"/>
      <c r="K469" s="651"/>
      <c r="L469" s="651"/>
      <c r="M469" s="651"/>
      <c r="N469" s="651"/>
      <c r="O469" s="652"/>
      <c r="P469" s="648" t="s">
        <v>40</v>
      </c>
      <c r="Q469" s="649"/>
      <c r="R469" s="649"/>
      <c r="S469" s="649"/>
      <c r="T469" s="649"/>
      <c r="U469" s="649"/>
      <c r="V469" s="650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68" t="s">
        <v>768</v>
      </c>
      <c r="B470" s="668"/>
      <c r="C470" s="668"/>
      <c r="D470" s="668"/>
      <c r="E470" s="668"/>
      <c r="F470" s="668"/>
      <c r="G470" s="668"/>
      <c r="H470" s="668"/>
      <c r="I470" s="668"/>
      <c r="J470" s="668"/>
      <c r="K470" s="668"/>
      <c r="L470" s="668"/>
      <c r="M470" s="668"/>
      <c r="N470" s="668"/>
      <c r="O470" s="668"/>
      <c r="P470" s="668"/>
      <c r="Q470" s="668"/>
      <c r="R470" s="668"/>
      <c r="S470" s="668"/>
      <c r="T470" s="668"/>
      <c r="U470" s="668"/>
      <c r="V470" s="668"/>
      <c r="W470" s="668"/>
      <c r="X470" s="668"/>
      <c r="Y470" s="668"/>
      <c r="Z470" s="668"/>
      <c r="AA470" s="54"/>
      <c r="AB470" s="54"/>
      <c r="AC470" s="54"/>
    </row>
    <row r="471" spans="1:68" ht="16.5" hidden="1" customHeight="1" x14ac:dyDescent="0.25">
      <c r="A471" s="661" t="s">
        <v>769</v>
      </c>
      <c r="B471" s="661"/>
      <c r="C471" s="661"/>
      <c r="D471" s="661"/>
      <c r="E471" s="661"/>
      <c r="F471" s="661"/>
      <c r="G471" s="661"/>
      <c r="H471" s="661"/>
      <c r="I471" s="661"/>
      <c r="J471" s="661"/>
      <c r="K471" s="661"/>
      <c r="L471" s="661"/>
      <c r="M471" s="661"/>
      <c r="N471" s="661"/>
      <c r="O471" s="661"/>
      <c r="P471" s="661"/>
      <c r="Q471" s="661"/>
      <c r="R471" s="661"/>
      <c r="S471" s="661"/>
      <c r="T471" s="661"/>
      <c r="U471" s="661"/>
      <c r="V471" s="661"/>
      <c r="W471" s="661"/>
      <c r="X471" s="661"/>
      <c r="Y471" s="661"/>
      <c r="Z471" s="661"/>
      <c r="AA471" s="65"/>
      <c r="AB471" s="65"/>
      <c r="AC471" s="79"/>
    </row>
    <row r="472" spans="1:68" ht="14.25" hidden="1" customHeight="1" x14ac:dyDescent="0.25">
      <c r="A472" s="662" t="s">
        <v>77</v>
      </c>
      <c r="B472" s="662"/>
      <c r="C472" s="662"/>
      <c r="D472" s="662"/>
      <c r="E472" s="662"/>
      <c r="F472" s="662"/>
      <c r="G472" s="662"/>
      <c r="H472" s="662"/>
      <c r="I472" s="662"/>
      <c r="J472" s="662"/>
      <c r="K472" s="662"/>
      <c r="L472" s="662"/>
      <c r="M472" s="662"/>
      <c r="N472" s="662"/>
      <c r="O472" s="662"/>
      <c r="P472" s="662"/>
      <c r="Q472" s="662"/>
      <c r="R472" s="662"/>
      <c r="S472" s="662"/>
      <c r="T472" s="662"/>
      <c r="U472" s="662"/>
      <c r="V472" s="662"/>
      <c r="W472" s="662"/>
      <c r="X472" s="662"/>
      <c r="Y472" s="662"/>
      <c r="Z472" s="662"/>
      <c r="AA472" s="66"/>
      <c r="AB472" s="66"/>
      <c r="AC472" s="80"/>
    </row>
    <row r="473" spans="1:68" ht="27" hidden="1" customHeight="1" x14ac:dyDescent="0.25">
      <c r="A473" s="63" t="s">
        <v>770</v>
      </c>
      <c r="B473" s="63" t="s">
        <v>771</v>
      </c>
      <c r="C473" s="36">
        <v>4301031405</v>
      </c>
      <c r="D473" s="657">
        <v>4680115886100</v>
      </c>
      <c r="E473" s="657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659"/>
      <c r="R473" s="659"/>
      <c r="S473" s="659"/>
      <c r="T473" s="66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hidden="1" customHeight="1" x14ac:dyDescent="0.25">
      <c r="A474" s="63" t="s">
        <v>773</v>
      </c>
      <c r="B474" s="63" t="s">
        <v>774</v>
      </c>
      <c r="C474" s="36">
        <v>4301031402</v>
      </c>
      <c r="D474" s="657">
        <v>4680115886124</v>
      </c>
      <c r="E474" s="657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69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659"/>
      <c r="R474" s="659"/>
      <c r="S474" s="659"/>
      <c r="T474" s="66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776</v>
      </c>
      <c r="B475" s="63" t="s">
        <v>777</v>
      </c>
      <c r="C475" s="36">
        <v>4301031362</v>
      </c>
      <c r="D475" s="657">
        <v>4607091384338</v>
      </c>
      <c r="E475" s="657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69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659"/>
      <c r="R475" s="659"/>
      <c r="S475" s="659"/>
      <c r="T475" s="66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hidden="1" customHeight="1" x14ac:dyDescent="0.25">
      <c r="A476" s="63" t="s">
        <v>778</v>
      </c>
      <c r="B476" s="63" t="s">
        <v>779</v>
      </c>
      <c r="C476" s="36">
        <v>4301031364</v>
      </c>
      <c r="D476" s="657">
        <v>4680115883161</v>
      </c>
      <c r="E476" s="657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6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659"/>
      <c r="R476" s="659"/>
      <c r="S476" s="659"/>
      <c r="T476" s="660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hidden="1" customHeight="1" x14ac:dyDescent="0.25">
      <c r="A477" s="63" t="s">
        <v>781</v>
      </c>
      <c r="B477" s="63" t="s">
        <v>782</v>
      </c>
      <c r="C477" s="36">
        <v>4301031358</v>
      </c>
      <c r="D477" s="657">
        <v>4607091389531</v>
      </c>
      <c r="E477" s="657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69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659"/>
      <c r="R477" s="659"/>
      <c r="S477" s="659"/>
      <c r="T477" s="66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hidden="1" customHeight="1" x14ac:dyDescent="0.25">
      <c r="A478" s="63" t="s">
        <v>784</v>
      </c>
      <c r="B478" s="63" t="s">
        <v>785</v>
      </c>
      <c r="C478" s="36">
        <v>4301031360</v>
      </c>
      <c r="D478" s="657">
        <v>4607091384345</v>
      </c>
      <c r="E478" s="657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69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659"/>
      <c r="R478" s="659"/>
      <c r="S478" s="659"/>
      <c r="T478" s="66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hidden="1" x14ac:dyDescent="0.2">
      <c r="A479" s="651"/>
      <c r="B479" s="651"/>
      <c r="C479" s="651"/>
      <c r="D479" s="651"/>
      <c r="E479" s="651"/>
      <c r="F479" s="651"/>
      <c r="G479" s="651"/>
      <c r="H479" s="651"/>
      <c r="I479" s="651"/>
      <c r="J479" s="651"/>
      <c r="K479" s="651"/>
      <c r="L479" s="651"/>
      <c r="M479" s="651"/>
      <c r="N479" s="651"/>
      <c r="O479" s="652"/>
      <c r="P479" s="648" t="s">
        <v>40</v>
      </c>
      <c r="Q479" s="649"/>
      <c r="R479" s="649"/>
      <c r="S479" s="649"/>
      <c r="T479" s="649"/>
      <c r="U479" s="649"/>
      <c r="V479" s="650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hidden="1" x14ac:dyDescent="0.2">
      <c r="A480" s="651"/>
      <c r="B480" s="651"/>
      <c r="C480" s="651"/>
      <c r="D480" s="651"/>
      <c r="E480" s="651"/>
      <c r="F480" s="651"/>
      <c r="G480" s="651"/>
      <c r="H480" s="651"/>
      <c r="I480" s="651"/>
      <c r="J480" s="651"/>
      <c r="K480" s="651"/>
      <c r="L480" s="651"/>
      <c r="M480" s="651"/>
      <c r="N480" s="651"/>
      <c r="O480" s="652"/>
      <c r="P480" s="648" t="s">
        <v>40</v>
      </c>
      <c r="Q480" s="649"/>
      <c r="R480" s="649"/>
      <c r="S480" s="649"/>
      <c r="T480" s="649"/>
      <c r="U480" s="649"/>
      <c r="V480" s="650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hidden="1" customHeight="1" x14ac:dyDescent="0.25">
      <c r="A481" s="662" t="s">
        <v>86</v>
      </c>
      <c r="B481" s="662"/>
      <c r="C481" s="662"/>
      <c r="D481" s="662"/>
      <c r="E481" s="662"/>
      <c r="F481" s="662"/>
      <c r="G481" s="662"/>
      <c r="H481" s="662"/>
      <c r="I481" s="662"/>
      <c r="J481" s="662"/>
      <c r="K481" s="662"/>
      <c r="L481" s="662"/>
      <c r="M481" s="662"/>
      <c r="N481" s="662"/>
      <c r="O481" s="662"/>
      <c r="P481" s="662"/>
      <c r="Q481" s="662"/>
      <c r="R481" s="662"/>
      <c r="S481" s="662"/>
      <c r="T481" s="662"/>
      <c r="U481" s="662"/>
      <c r="V481" s="662"/>
      <c r="W481" s="662"/>
      <c r="X481" s="662"/>
      <c r="Y481" s="662"/>
      <c r="Z481" s="662"/>
      <c r="AA481" s="66"/>
      <c r="AB481" s="66"/>
      <c r="AC481" s="80"/>
    </row>
    <row r="482" spans="1:68" ht="27" hidden="1" customHeight="1" x14ac:dyDescent="0.25">
      <c r="A482" s="63" t="s">
        <v>786</v>
      </c>
      <c r="B482" s="63" t="s">
        <v>787</v>
      </c>
      <c r="C482" s="36">
        <v>4301051284</v>
      </c>
      <c r="D482" s="657">
        <v>4607091384352</v>
      </c>
      <c r="E482" s="657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659"/>
      <c r="R482" s="659"/>
      <c r="S482" s="659"/>
      <c r="T482" s="660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hidden="1" customHeight="1" x14ac:dyDescent="0.25">
      <c r="A483" s="63" t="s">
        <v>789</v>
      </c>
      <c r="B483" s="63" t="s">
        <v>790</v>
      </c>
      <c r="C483" s="36">
        <v>4301051431</v>
      </c>
      <c r="D483" s="657">
        <v>4607091389654</v>
      </c>
      <c r="E483" s="657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69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659"/>
      <c r="R483" s="659"/>
      <c r="S483" s="659"/>
      <c r="T483" s="660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hidden="1" x14ac:dyDescent="0.2">
      <c r="A484" s="651"/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2"/>
      <c r="P484" s="648" t="s">
        <v>40</v>
      </c>
      <c r="Q484" s="649"/>
      <c r="R484" s="649"/>
      <c r="S484" s="649"/>
      <c r="T484" s="649"/>
      <c r="U484" s="649"/>
      <c r="V484" s="650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hidden="1" x14ac:dyDescent="0.2">
      <c r="A485" s="651"/>
      <c r="B485" s="651"/>
      <c r="C485" s="651"/>
      <c r="D485" s="651"/>
      <c r="E485" s="651"/>
      <c r="F485" s="651"/>
      <c r="G485" s="651"/>
      <c r="H485" s="651"/>
      <c r="I485" s="651"/>
      <c r="J485" s="651"/>
      <c r="K485" s="651"/>
      <c r="L485" s="651"/>
      <c r="M485" s="651"/>
      <c r="N485" s="651"/>
      <c r="O485" s="652"/>
      <c r="P485" s="648" t="s">
        <v>40</v>
      </c>
      <c r="Q485" s="649"/>
      <c r="R485" s="649"/>
      <c r="S485" s="649"/>
      <c r="T485" s="649"/>
      <c r="U485" s="649"/>
      <c r="V485" s="650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hidden="1" customHeight="1" x14ac:dyDescent="0.25">
      <c r="A486" s="661" t="s">
        <v>792</v>
      </c>
      <c r="B486" s="661"/>
      <c r="C486" s="661"/>
      <c r="D486" s="661"/>
      <c r="E486" s="661"/>
      <c r="F486" s="661"/>
      <c r="G486" s="661"/>
      <c r="H486" s="661"/>
      <c r="I486" s="661"/>
      <c r="J486" s="661"/>
      <c r="K486" s="661"/>
      <c r="L486" s="661"/>
      <c r="M486" s="661"/>
      <c r="N486" s="661"/>
      <c r="O486" s="661"/>
      <c r="P486" s="661"/>
      <c r="Q486" s="661"/>
      <c r="R486" s="661"/>
      <c r="S486" s="661"/>
      <c r="T486" s="661"/>
      <c r="U486" s="661"/>
      <c r="V486" s="661"/>
      <c r="W486" s="661"/>
      <c r="X486" s="661"/>
      <c r="Y486" s="661"/>
      <c r="Z486" s="661"/>
      <c r="AA486" s="65"/>
      <c r="AB486" s="65"/>
      <c r="AC486" s="79"/>
    </row>
    <row r="487" spans="1:68" ht="14.25" hidden="1" customHeight="1" x14ac:dyDescent="0.25">
      <c r="A487" s="662" t="s">
        <v>158</v>
      </c>
      <c r="B487" s="662"/>
      <c r="C487" s="662"/>
      <c r="D487" s="662"/>
      <c r="E487" s="662"/>
      <c r="F487" s="662"/>
      <c r="G487" s="662"/>
      <c r="H487" s="662"/>
      <c r="I487" s="662"/>
      <c r="J487" s="662"/>
      <c r="K487" s="662"/>
      <c r="L487" s="662"/>
      <c r="M487" s="662"/>
      <c r="N487" s="662"/>
      <c r="O487" s="662"/>
      <c r="P487" s="662"/>
      <c r="Q487" s="662"/>
      <c r="R487" s="662"/>
      <c r="S487" s="662"/>
      <c r="T487" s="662"/>
      <c r="U487" s="662"/>
      <c r="V487" s="662"/>
      <c r="W487" s="662"/>
      <c r="X487" s="662"/>
      <c r="Y487" s="662"/>
      <c r="Z487" s="662"/>
      <c r="AA487" s="66"/>
      <c r="AB487" s="66"/>
      <c r="AC487" s="80"/>
    </row>
    <row r="488" spans="1:68" ht="27" hidden="1" customHeight="1" x14ac:dyDescent="0.25">
      <c r="A488" s="63" t="s">
        <v>793</v>
      </c>
      <c r="B488" s="63" t="s">
        <v>794</v>
      </c>
      <c r="C488" s="36">
        <v>4301020416</v>
      </c>
      <c r="D488" s="657">
        <v>4680115885240</v>
      </c>
      <c r="E488" s="657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659"/>
      <c r="R488" s="659"/>
      <c r="S488" s="659"/>
      <c r="T488" s="66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51"/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2"/>
      <c r="P489" s="648" t="s">
        <v>40</v>
      </c>
      <c r="Q489" s="649"/>
      <c r="R489" s="649"/>
      <c r="S489" s="649"/>
      <c r="T489" s="649"/>
      <c r="U489" s="649"/>
      <c r="V489" s="650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hidden="1" x14ac:dyDescent="0.2">
      <c r="A490" s="651"/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2"/>
      <c r="P490" s="648" t="s">
        <v>40</v>
      </c>
      <c r="Q490" s="649"/>
      <c r="R490" s="649"/>
      <c r="S490" s="649"/>
      <c r="T490" s="649"/>
      <c r="U490" s="649"/>
      <c r="V490" s="650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hidden="1" customHeight="1" x14ac:dyDescent="0.25">
      <c r="A491" s="662" t="s">
        <v>77</v>
      </c>
      <c r="B491" s="662"/>
      <c r="C491" s="662"/>
      <c r="D491" s="662"/>
      <c r="E491" s="662"/>
      <c r="F491" s="662"/>
      <c r="G491" s="662"/>
      <c r="H491" s="662"/>
      <c r="I491" s="662"/>
      <c r="J491" s="662"/>
      <c r="K491" s="662"/>
      <c r="L491" s="662"/>
      <c r="M491" s="662"/>
      <c r="N491" s="662"/>
      <c r="O491" s="662"/>
      <c r="P491" s="662"/>
      <c r="Q491" s="662"/>
      <c r="R491" s="662"/>
      <c r="S491" s="662"/>
      <c r="T491" s="662"/>
      <c r="U491" s="662"/>
      <c r="V491" s="662"/>
      <c r="W491" s="662"/>
      <c r="X491" s="662"/>
      <c r="Y491" s="662"/>
      <c r="Z491" s="662"/>
      <c r="AA491" s="66"/>
      <c r="AB491" s="66"/>
      <c r="AC491" s="80"/>
    </row>
    <row r="492" spans="1:68" ht="27" hidden="1" customHeight="1" x14ac:dyDescent="0.25">
      <c r="A492" s="63" t="s">
        <v>796</v>
      </c>
      <c r="B492" s="63" t="s">
        <v>797</v>
      </c>
      <c r="C492" s="36">
        <v>4301031407</v>
      </c>
      <c r="D492" s="657">
        <v>4680115886094</v>
      </c>
      <c r="E492" s="657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659"/>
      <c r="R492" s="659"/>
      <c r="S492" s="659"/>
      <c r="T492" s="66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4301031373</v>
      </c>
      <c r="D493" s="657">
        <v>4680115880771</v>
      </c>
      <c r="E493" s="657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659"/>
      <c r="R493" s="659"/>
      <c r="S493" s="659"/>
      <c r="T493" s="660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hidden="1" customHeight="1" x14ac:dyDescent="0.25">
      <c r="A494" s="63" t="s">
        <v>802</v>
      </c>
      <c r="B494" s="63" t="s">
        <v>803</v>
      </c>
      <c r="C494" s="36">
        <v>4301031359</v>
      </c>
      <c r="D494" s="657">
        <v>4607091389500</v>
      </c>
      <c r="E494" s="657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659"/>
      <c r="R494" s="659"/>
      <c r="S494" s="659"/>
      <c r="T494" s="66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51"/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2"/>
      <c r="P495" s="648" t="s">
        <v>40</v>
      </c>
      <c r="Q495" s="649"/>
      <c r="R495" s="649"/>
      <c r="S495" s="649"/>
      <c r="T495" s="649"/>
      <c r="U495" s="649"/>
      <c r="V495" s="650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51"/>
      <c r="B496" s="651"/>
      <c r="C496" s="651"/>
      <c r="D496" s="651"/>
      <c r="E496" s="651"/>
      <c r="F496" s="651"/>
      <c r="G496" s="651"/>
      <c r="H496" s="651"/>
      <c r="I496" s="651"/>
      <c r="J496" s="651"/>
      <c r="K496" s="651"/>
      <c r="L496" s="651"/>
      <c r="M496" s="651"/>
      <c r="N496" s="651"/>
      <c r="O496" s="652"/>
      <c r="P496" s="648" t="s">
        <v>40</v>
      </c>
      <c r="Q496" s="649"/>
      <c r="R496" s="649"/>
      <c r="S496" s="649"/>
      <c r="T496" s="649"/>
      <c r="U496" s="649"/>
      <c r="V496" s="650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hidden="1" customHeight="1" x14ac:dyDescent="0.2">
      <c r="A497" s="668" t="s">
        <v>804</v>
      </c>
      <c r="B497" s="668"/>
      <c r="C497" s="668"/>
      <c r="D497" s="668"/>
      <c r="E497" s="668"/>
      <c r="F497" s="668"/>
      <c r="G497" s="668"/>
      <c r="H497" s="668"/>
      <c r="I497" s="668"/>
      <c r="J497" s="668"/>
      <c r="K497" s="668"/>
      <c r="L497" s="668"/>
      <c r="M497" s="668"/>
      <c r="N497" s="668"/>
      <c r="O497" s="668"/>
      <c r="P497" s="668"/>
      <c r="Q497" s="668"/>
      <c r="R497" s="668"/>
      <c r="S497" s="668"/>
      <c r="T497" s="668"/>
      <c r="U497" s="668"/>
      <c r="V497" s="668"/>
      <c r="W497" s="668"/>
      <c r="X497" s="668"/>
      <c r="Y497" s="668"/>
      <c r="Z497" s="668"/>
      <c r="AA497" s="54"/>
      <c r="AB497" s="54"/>
      <c r="AC497" s="54"/>
    </row>
    <row r="498" spans="1:68" ht="16.5" hidden="1" customHeight="1" x14ac:dyDescent="0.25">
      <c r="A498" s="661" t="s">
        <v>804</v>
      </c>
      <c r="B498" s="661"/>
      <c r="C498" s="661"/>
      <c r="D498" s="661"/>
      <c r="E498" s="661"/>
      <c r="F498" s="661"/>
      <c r="G498" s="661"/>
      <c r="H498" s="661"/>
      <c r="I498" s="661"/>
      <c r="J498" s="661"/>
      <c r="K498" s="661"/>
      <c r="L498" s="661"/>
      <c r="M498" s="661"/>
      <c r="N498" s="661"/>
      <c r="O498" s="661"/>
      <c r="P498" s="661"/>
      <c r="Q498" s="661"/>
      <c r="R498" s="661"/>
      <c r="S498" s="661"/>
      <c r="T498" s="661"/>
      <c r="U498" s="661"/>
      <c r="V498" s="661"/>
      <c r="W498" s="661"/>
      <c r="X498" s="661"/>
      <c r="Y498" s="661"/>
      <c r="Z498" s="661"/>
      <c r="AA498" s="65"/>
      <c r="AB498" s="65"/>
      <c r="AC498" s="79"/>
    </row>
    <row r="499" spans="1:68" ht="14.25" hidden="1" customHeight="1" x14ac:dyDescent="0.25">
      <c r="A499" s="662" t="s">
        <v>122</v>
      </c>
      <c r="B499" s="662"/>
      <c r="C499" s="662"/>
      <c r="D499" s="662"/>
      <c r="E499" s="662"/>
      <c r="F499" s="662"/>
      <c r="G499" s="662"/>
      <c r="H499" s="662"/>
      <c r="I499" s="662"/>
      <c r="J499" s="662"/>
      <c r="K499" s="662"/>
      <c r="L499" s="662"/>
      <c r="M499" s="662"/>
      <c r="N499" s="662"/>
      <c r="O499" s="662"/>
      <c r="P499" s="662"/>
      <c r="Q499" s="662"/>
      <c r="R499" s="662"/>
      <c r="S499" s="662"/>
      <c r="T499" s="662"/>
      <c r="U499" s="662"/>
      <c r="V499" s="662"/>
      <c r="W499" s="662"/>
      <c r="X499" s="662"/>
      <c r="Y499" s="662"/>
      <c r="Z499" s="662"/>
      <c r="AA499" s="66"/>
      <c r="AB499" s="66"/>
      <c r="AC499" s="80"/>
    </row>
    <row r="500" spans="1:68" ht="27" hidden="1" customHeight="1" x14ac:dyDescent="0.25">
      <c r="A500" s="63" t="s">
        <v>805</v>
      </c>
      <c r="B500" s="63" t="s">
        <v>806</v>
      </c>
      <c r="C500" s="36">
        <v>4301011769</v>
      </c>
      <c r="D500" s="657">
        <v>4607091389067</v>
      </c>
      <c r="E500" s="657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68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659"/>
      <c r="R500" s="659"/>
      <c r="S500" s="659"/>
      <c r="T500" s="66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hidden="1" customHeight="1" x14ac:dyDescent="0.25">
      <c r="A501" s="63" t="s">
        <v>807</v>
      </c>
      <c r="B501" s="63" t="s">
        <v>808</v>
      </c>
      <c r="C501" s="36">
        <v>4301012380</v>
      </c>
      <c r="D501" s="657">
        <v>4680115889576</v>
      </c>
      <c r="E501" s="657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68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659"/>
      <c r="R501" s="659"/>
      <c r="S501" s="659"/>
      <c r="T501" s="66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hidden="1" customHeight="1" x14ac:dyDescent="0.25">
      <c r="A502" s="63" t="s">
        <v>810</v>
      </c>
      <c r="B502" s="63" t="s">
        <v>811</v>
      </c>
      <c r="C502" s="36">
        <v>4301011961</v>
      </c>
      <c r="D502" s="657">
        <v>4680115885271</v>
      </c>
      <c r="E502" s="657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68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659"/>
      <c r="R502" s="659"/>
      <c r="S502" s="659"/>
      <c r="T502" s="66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hidden="1" customHeight="1" x14ac:dyDescent="0.25">
      <c r="A503" s="63" t="s">
        <v>813</v>
      </c>
      <c r="B503" s="63" t="s">
        <v>814</v>
      </c>
      <c r="C503" s="36">
        <v>4301011369</v>
      </c>
      <c r="D503" s="657">
        <v>4680115885226</v>
      </c>
      <c r="E503" s="657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68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659"/>
      <c r="R503" s="659"/>
      <c r="S503" s="659"/>
      <c r="T503" s="660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hidden="1" customHeight="1" x14ac:dyDescent="0.25">
      <c r="A504" s="63" t="s">
        <v>816</v>
      </c>
      <c r="B504" s="63" t="s">
        <v>817</v>
      </c>
      <c r="C504" s="36">
        <v>4301011797</v>
      </c>
      <c r="D504" s="657">
        <v>4680115884502</v>
      </c>
      <c r="E504" s="65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6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659"/>
      <c r="R504" s="659"/>
      <c r="S504" s="659"/>
      <c r="T504" s="660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657">
        <v>4607091389104</v>
      </c>
      <c r="E505" s="65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6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659"/>
      <c r="R505" s="659"/>
      <c r="S505" s="659"/>
      <c r="T505" s="660"/>
      <c r="U505" s="39" t="s">
        <v>46</v>
      </c>
      <c r="V505" s="39" t="s">
        <v>46</v>
      </c>
      <c r="W505" s="40" t="s">
        <v>0</v>
      </c>
      <c r="X505" s="58">
        <v>26.4</v>
      </c>
      <c r="Y505" s="55">
        <f t="shared" si="68"/>
        <v>26.400000000000002</v>
      </c>
      <c r="Z505" s="41">
        <f t="shared" si="69"/>
        <v>5.9799999999999999E-2</v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28.149999999999995</v>
      </c>
      <c r="BN505" s="78">
        <f t="shared" si="71"/>
        <v>28.15</v>
      </c>
      <c r="BO505" s="78">
        <f t="shared" si="72"/>
        <v>4.8076923076923073E-2</v>
      </c>
      <c r="BP505" s="78">
        <f t="shared" si="73"/>
        <v>4.807692307692308E-2</v>
      </c>
    </row>
    <row r="506" spans="1:68" ht="27" hidden="1" customHeight="1" x14ac:dyDescent="0.25">
      <c r="A506" s="63" t="s">
        <v>822</v>
      </c>
      <c r="B506" s="63" t="s">
        <v>823</v>
      </c>
      <c r="C506" s="36">
        <v>4301012125</v>
      </c>
      <c r="D506" s="657">
        <v>4680115886391</v>
      </c>
      <c r="E506" s="657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6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659"/>
      <c r="R506" s="659"/>
      <c r="S506" s="659"/>
      <c r="T506" s="66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hidden="1" customHeight="1" x14ac:dyDescent="0.25">
      <c r="A507" s="63" t="s">
        <v>824</v>
      </c>
      <c r="B507" s="63" t="s">
        <v>825</v>
      </c>
      <c r="C507" s="36">
        <v>4301012048</v>
      </c>
      <c r="D507" s="657">
        <v>4680115880603</v>
      </c>
      <c r="E507" s="65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6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659"/>
      <c r="R507" s="659"/>
      <c r="S507" s="659"/>
      <c r="T507" s="660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hidden="1" customHeight="1" x14ac:dyDescent="0.25">
      <c r="A508" s="63" t="s">
        <v>826</v>
      </c>
      <c r="B508" s="63" t="s">
        <v>827</v>
      </c>
      <c r="C508" s="36">
        <v>4301012034</v>
      </c>
      <c r="D508" s="657">
        <v>4607091389982</v>
      </c>
      <c r="E508" s="657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6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659"/>
      <c r="R508" s="659"/>
      <c r="S508" s="659"/>
      <c r="T508" s="66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651"/>
      <c r="B509" s="651"/>
      <c r="C509" s="651"/>
      <c r="D509" s="651"/>
      <c r="E509" s="651"/>
      <c r="F509" s="651"/>
      <c r="G509" s="651"/>
      <c r="H509" s="651"/>
      <c r="I509" s="651"/>
      <c r="J509" s="651"/>
      <c r="K509" s="651"/>
      <c r="L509" s="651"/>
      <c r="M509" s="651"/>
      <c r="N509" s="651"/>
      <c r="O509" s="652"/>
      <c r="P509" s="648" t="s">
        <v>40</v>
      </c>
      <c r="Q509" s="649"/>
      <c r="R509" s="649"/>
      <c r="S509" s="649"/>
      <c r="T509" s="649"/>
      <c r="U509" s="649"/>
      <c r="V509" s="650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4.9999999999999991</v>
      </c>
      <c r="Y509" s="43">
        <f>IFERROR(Y500/H500,"0")+IFERROR(Y501/H501,"0")+IFERROR(Y502/H502,"0")+IFERROR(Y503/H503,"0")+IFERROR(Y504/H504,"0")+IFERROR(Y505/H505,"0")+IFERROR(Y506/H506,"0")+IFERROR(Y507/H507,"0")+IFERROR(Y508/H508,"0")</f>
        <v>5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5.9799999999999999E-2</v>
      </c>
      <c r="AA509" s="67"/>
      <c r="AB509" s="67"/>
      <c r="AC509" s="67"/>
    </row>
    <row r="510" spans="1:68" x14ac:dyDescent="0.2">
      <c r="A510" s="651"/>
      <c r="B510" s="651"/>
      <c r="C510" s="651"/>
      <c r="D510" s="651"/>
      <c r="E510" s="651"/>
      <c r="F510" s="651"/>
      <c r="G510" s="651"/>
      <c r="H510" s="651"/>
      <c r="I510" s="651"/>
      <c r="J510" s="651"/>
      <c r="K510" s="651"/>
      <c r="L510" s="651"/>
      <c r="M510" s="651"/>
      <c r="N510" s="651"/>
      <c r="O510" s="652"/>
      <c r="P510" s="648" t="s">
        <v>40</v>
      </c>
      <c r="Q510" s="649"/>
      <c r="R510" s="649"/>
      <c r="S510" s="649"/>
      <c r="T510" s="649"/>
      <c r="U510" s="649"/>
      <c r="V510" s="650"/>
      <c r="W510" s="42" t="s">
        <v>0</v>
      </c>
      <c r="X510" s="43">
        <f>IFERROR(SUM(X500:X508),"0")</f>
        <v>26.4</v>
      </c>
      <c r="Y510" s="43">
        <f>IFERROR(SUM(Y500:Y508),"0")</f>
        <v>26.400000000000002</v>
      </c>
      <c r="Z510" s="42"/>
      <c r="AA510" s="67"/>
      <c r="AB510" s="67"/>
      <c r="AC510" s="67"/>
    </row>
    <row r="511" spans="1:68" ht="14.25" hidden="1" customHeight="1" x14ac:dyDescent="0.25">
      <c r="A511" s="662" t="s">
        <v>158</v>
      </c>
      <c r="B511" s="662"/>
      <c r="C511" s="662"/>
      <c r="D511" s="662"/>
      <c r="E511" s="662"/>
      <c r="F511" s="662"/>
      <c r="G511" s="662"/>
      <c r="H511" s="662"/>
      <c r="I511" s="662"/>
      <c r="J511" s="662"/>
      <c r="K511" s="662"/>
      <c r="L511" s="662"/>
      <c r="M511" s="662"/>
      <c r="N511" s="662"/>
      <c r="O511" s="662"/>
      <c r="P511" s="662"/>
      <c r="Q511" s="662"/>
      <c r="R511" s="662"/>
      <c r="S511" s="662"/>
      <c r="T511" s="662"/>
      <c r="U511" s="662"/>
      <c r="V511" s="662"/>
      <c r="W511" s="662"/>
      <c r="X511" s="662"/>
      <c r="Y511" s="662"/>
      <c r="Z511" s="662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657">
        <v>4607091388930</v>
      </c>
      <c r="E512" s="657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659"/>
      <c r="R512" s="659"/>
      <c r="S512" s="659"/>
      <c r="T512" s="660"/>
      <c r="U512" s="39" t="s">
        <v>46</v>
      </c>
      <c r="V512" s="39" t="s">
        <v>46</v>
      </c>
      <c r="W512" s="40" t="s">
        <v>0</v>
      </c>
      <c r="X512" s="58">
        <v>26.4</v>
      </c>
      <c r="Y512" s="55">
        <f>IFERROR(IF(X512="",0,CEILING((X512/$H512),1)*$H512),"")</f>
        <v>26.400000000000002</v>
      </c>
      <c r="Z512" s="41">
        <f>IFERROR(IF(Y512=0,"",ROUNDUP(Y512/H512,0)*0.01196),"")</f>
        <v>5.9799999999999999E-2</v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28.149999999999995</v>
      </c>
      <c r="BN512" s="78">
        <f>IFERROR(Y512*I512/H512,"0")</f>
        <v>28.15</v>
      </c>
      <c r="BO512" s="78">
        <f>IFERROR(1/J512*(X512/H512),"0")</f>
        <v>4.8076923076923073E-2</v>
      </c>
      <c r="BP512" s="78">
        <f>IFERROR(1/J512*(Y512/H512),"0")</f>
        <v>4.807692307692308E-2</v>
      </c>
    </row>
    <row r="513" spans="1:68" ht="16.5" hidden="1" customHeight="1" x14ac:dyDescent="0.25">
      <c r="A513" s="63" t="s">
        <v>831</v>
      </c>
      <c r="B513" s="63" t="s">
        <v>832</v>
      </c>
      <c r="C513" s="36">
        <v>4301020374</v>
      </c>
      <c r="D513" s="657">
        <v>4680115886407</v>
      </c>
      <c r="E513" s="657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659"/>
      <c r="R513" s="659"/>
      <c r="S513" s="659"/>
      <c r="T513" s="660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hidden="1" customHeight="1" x14ac:dyDescent="0.25">
      <c r="A514" s="63" t="s">
        <v>833</v>
      </c>
      <c r="B514" s="63" t="s">
        <v>834</v>
      </c>
      <c r="C514" s="36">
        <v>4301020385</v>
      </c>
      <c r="D514" s="657">
        <v>4680115880054</v>
      </c>
      <c r="E514" s="65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659"/>
      <c r="R514" s="659"/>
      <c r="S514" s="659"/>
      <c r="T514" s="660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651"/>
      <c r="B515" s="651"/>
      <c r="C515" s="651"/>
      <c r="D515" s="651"/>
      <c r="E515" s="651"/>
      <c r="F515" s="651"/>
      <c r="G515" s="651"/>
      <c r="H515" s="651"/>
      <c r="I515" s="651"/>
      <c r="J515" s="651"/>
      <c r="K515" s="651"/>
      <c r="L515" s="651"/>
      <c r="M515" s="651"/>
      <c r="N515" s="651"/>
      <c r="O515" s="652"/>
      <c r="P515" s="648" t="s">
        <v>40</v>
      </c>
      <c r="Q515" s="649"/>
      <c r="R515" s="649"/>
      <c r="S515" s="649"/>
      <c r="T515" s="649"/>
      <c r="U515" s="649"/>
      <c r="V515" s="650"/>
      <c r="W515" s="42" t="s">
        <v>39</v>
      </c>
      <c r="X515" s="43">
        <f>IFERROR(X512/H512,"0")+IFERROR(X513/H513,"0")+IFERROR(X514/H514,"0")</f>
        <v>4.9999999999999991</v>
      </c>
      <c r="Y515" s="43">
        <f>IFERROR(Y512/H512,"0")+IFERROR(Y513/H513,"0")+IFERROR(Y514/H514,"0")</f>
        <v>5</v>
      </c>
      <c r="Z515" s="43">
        <f>IFERROR(IF(Z512="",0,Z512),"0")+IFERROR(IF(Z513="",0,Z513),"0")+IFERROR(IF(Z514="",0,Z514),"0")</f>
        <v>5.9799999999999999E-2</v>
      </c>
      <c r="AA515" s="67"/>
      <c r="AB515" s="67"/>
      <c r="AC515" s="67"/>
    </row>
    <row r="516" spans="1:68" x14ac:dyDescent="0.2">
      <c r="A516" s="651"/>
      <c r="B516" s="651"/>
      <c r="C516" s="651"/>
      <c r="D516" s="651"/>
      <c r="E516" s="651"/>
      <c r="F516" s="651"/>
      <c r="G516" s="651"/>
      <c r="H516" s="651"/>
      <c r="I516" s="651"/>
      <c r="J516" s="651"/>
      <c r="K516" s="651"/>
      <c r="L516" s="651"/>
      <c r="M516" s="651"/>
      <c r="N516" s="651"/>
      <c r="O516" s="652"/>
      <c r="P516" s="648" t="s">
        <v>40</v>
      </c>
      <c r="Q516" s="649"/>
      <c r="R516" s="649"/>
      <c r="S516" s="649"/>
      <c r="T516" s="649"/>
      <c r="U516" s="649"/>
      <c r="V516" s="650"/>
      <c r="W516" s="42" t="s">
        <v>0</v>
      </c>
      <c r="X516" s="43">
        <f>IFERROR(SUM(X512:X514),"0")</f>
        <v>26.4</v>
      </c>
      <c r="Y516" s="43">
        <f>IFERROR(SUM(Y512:Y514),"0")</f>
        <v>26.400000000000002</v>
      </c>
      <c r="Z516" s="42"/>
      <c r="AA516" s="67"/>
      <c r="AB516" s="67"/>
      <c r="AC516" s="67"/>
    </row>
    <row r="517" spans="1:68" ht="14.25" hidden="1" customHeight="1" x14ac:dyDescent="0.25">
      <c r="A517" s="662" t="s">
        <v>77</v>
      </c>
      <c r="B517" s="662"/>
      <c r="C517" s="662"/>
      <c r="D517" s="662"/>
      <c r="E517" s="662"/>
      <c r="F517" s="662"/>
      <c r="G517" s="662"/>
      <c r="H517" s="662"/>
      <c r="I517" s="662"/>
      <c r="J517" s="662"/>
      <c r="K517" s="662"/>
      <c r="L517" s="662"/>
      <c r="M517" s="662"/>
      <c r="N517" s="662"/>
      <c r="O517" s="662"/>
      <c r="P517" s="662"/>
      <c r="Q517" s="662"/>
      <c r="R517" s="662"/>
      <c r="S517" s="662"/>
      <c r="T517" s="662"/>
      <c r="U517" s="662"/>
      <c r="V517" s="662"/>
      <c r="W517" s="662"/>
      <c r="X517" s="662"/>
      <c r="Y517" s="662"/>
      <c r="Z517" s="662"/>
      <c r="AA517" s="66"/>
      <c r="AB517" s="66"/>
      <c r="AC517" s="80"/>
    </row>
    <row r="518" spans="1:68" ht="27" hidden="1" customHeight="1" x14ac:dyDescent="0.25">
      <c r="A518" s="63" t="s">
        <v>835</v>
      </c>
      <c r="B518" s="63" t="s">
        <v>836</v>
      </c>
      <c r="C518" s="36">
        <v>4301031349</v>
      </c>
      <c r="D518" s="657">
        <v>4680115883116</v>
      </c>
      <c r="E518" s="65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67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659"/>
      <c r="R518" s="659"/>
      <c r="S518" s="659"/>
      <c r="T518" s="660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hidden="1" customHeight="1" x14ac:dyDescent="0.25">
      <c r="A519" s="63" t="s">
        <v>838</v>
      </c>
      <c r="B519" s="63" t="s">
        <v>839</v>
      </c>
      <c r="C519" s="36">
        <v>4301031350</v>
      </c>
      <c r="D519" s="657">
        <v>4680115883093</v>
      </c>
      <c r="E519" s="657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67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659"/>
      <c r="R519" s="659"/>
      <c r="S519" s="659"/>
      <c r="T519" s="660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hidden="1" customHeight="1" x14ac:dyDescent="0.25">
      <c r="A520" s="63" t="s">
        <v>841</v>
      </c>
      <c r="B520" s="63" t="s">
        <v>842</v>
      </c>
      <c r="C520" s="36">
        <v>4301031353</v>
      </c>
      <c r="D520" s="657">
        <v>4680115883109</v>
      </c>
      <c r="E520" s="657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67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659"/>
      <c r="R520" s="659"/>
      <c r="S520" s="659"/>
      <c r="T520" s="660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hidden="1" customHeight="1" x14ac:dyDescent="0.25">
      <c r="A521" s="63" t="s">
        <v>844</v>
      </c>
      <c r="B521" s="63" t="s">
        <v>845</v>
      </c>
      <c r="C521" s="36">
        <v>4301031419</v>
      </c>
      <c r="D521" s="657">
        <v>4680115882072</v>
      </c>
      <c r="E521" s="657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67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659"/>
      <c r="R521" s="659"/>
      <c r="S521" s="659"/>
      <c r="T521" s="660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hidden="1" customHeight="1" x14ac:dyDescent="0.25">
      <c r="A522" s="63" t="s">
        <v>846</v>
      </c>
      <c r="B522" s="63" t="s">
        <v>847</v>
      </c>
      <c r="C522" s="36">
        <v>4301031352</v>
      </c>
      <c r="D522" s="657">
        <v>4680115882102</v>
      </c>
      <c r="E522" s="657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671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659"/>
      <c r="R522" s="659"/>
      <c r="S522" s="659"/>
      <c r="T522" s="660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hidden="1" customHeight="1" x14ac:dyDescent="0.25">
      <c r="A523" s="63" t="s">
        <v>846</v>
      </c>
      <c r="B523" s="63" t="s">
        <v>848</v>
      </c>
      <c r="C523" s="36">
        <v>4301031418</v>
      </c>
      <c r="D523" s="657">
        <v>4680115882102</v>
      </c>
      <c r="E523" s="657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67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659"/>
      <c r="R523" s="659"/>
      <c r="S523" s="659"/>
      <c r="T523" s="660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hidden="1" customHeight="1" x14ac:dyDescent="0.25">
      <c r="A524" s="63" t="s">
        <v>849</v>
      </c>
      <c r="B524" s="63" t="s">
        <v>850</v>
      </c>
      <c r="C524" s="36">
        <v>4301031417</v>
      </c>
      <c r="D524" s="657">
        <v>4680115882096</v>
      </c>
      <c r="E524" s="657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67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659"/>
      <c r="R524" s="659"/>
      <c r="S524" s="659"/>
      <c r="T524" s="660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hidden="1" x14ac:dyDescent="0.2">
      <c r="A525" s="651"/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2"/>
      <c r="P525" s="648" t="s">
        <v>40</v>
      </c>
      <c r="Q525" s="649"/>
      <c r="R525" s="649"/>
      <c r="S525" s="649"/>
      <c r="T525" s="649"/>
      <c r="U525" s="649"/>
      <c r="V525" s="650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51"/>
      <c r="B526" s="651"/>
      <c r="C526" s="651"/>
      <c r="D526" s="651"/>
      <c r="E526" s="651"/>
      <c r="F526" s="651"/>
      <c r="G526" s="651"/>
      <c r="H526" s="651"/>
      <c r="I526" s="651"/>
      <c r="J526" s="651"/>
      <c r="K526" s="651"/>
      <c r="L526" s="651"/>
      <c r="M526" s="651"/>
      <c r="N526" s="651"/>
      <c r="O526" s="652"/>
      <c r="P526" s="648" t="s">
        <v>40</v>
      </c>
      <c r="Q526" s="649"/>
      <c r="R526" s="649"/>
      <c r="S526" s="649"/>
      <c r="T526" s="649"/>
      <c r="U526" s="649"/>
      <c r="V526" s="650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hidden="1" customHeight="1" x14ac:dyDescent="0.2">
      <c r="A527" s="668" t="s">
        <v>851</v>
      </c>
      <c r="B527" s="668"/>
      <c r="C527" s="668"/>
      <c r="D527" s="668"/>
      <c r="E527" s="668"/>
      <c r="F527" s="668"/>
      <c r="G527" s="668"/>
      <c r="H527" s="668"/>
      <c r="I527" s="668"/>
      <c r="J527" s="668"/>
      <c r="K527" s="668"/>
      <c r="L527" s="668"/>
      <c r="M527" s="668"/>
      <c r="N527" s="668"/>
      <c r="O527" s="668"/>
      <c r="P527" s="668"/>
      <c r="Q527" s="668"/>
      <c r="R527" s="668"/>
      <c r="S527" s="668"/>
      <c r="T527" s="668"/>
      <c r="U527" s="668"/>
      <c r="V527" s="668"/>
      <c r="W527" s="668"/>
      <c r="X527" s="668"/>
      <c r="Y527" s="668"/>
      <c r="Z527" s="668"/>
      <c r="AA527" s="54"/>
      <c r="AB527" s="54"/>
      <c r="AC527" s="54"/>
    </row>
    <row r="528" spans="1:68" ht="16.5" hidden="1" customHeight="1" x14ac:dyDescent="0.25">
      <c r="A528" s="661" t="s">
        <v>851</v>
      </c>
      <c r="B528" s="661"/>
      <c r="C528" s="661"/>
      <c r="D528" s="661"/>
      <c r="E528" s="661"/>
      <c r="F528" s="661"/>
      <c r="G528" s="661"/>
      <c r="H528" s="661"/>
      <c r="I528" s="661"/>
      <c r="J528" s="661"/>
      <c r="K528" s="661"/>
      <c r="L528" s="661"/>
      <c r="M528" s="661"/>
      <c r="N528" s="661"/>
      <c r="O528" s="661"/>
      <c r="P528" s="661"/>
      <c r="Q528" s="661"/>
      <c r="R528" s="661"/>
      <c r="S528" s="661"/>
      <c r="T528" s="661"/>
      <c r="U528" s="661"/>
      <c r="V528" s="661"/>
      <c r="W528" s="661"/>
      <c r="X528" s="661"/>
      <c r="Y528" s="661"/>
      <c r="Z528" s="661"/>
      <c r="AA528" s="65"/>
      <c r="AB528" s="65"/>
      <c r="AC528" s="79"/>
    </row>
    <row r="529" spans="1:68" ht="14.25" hidden="1" customHeight="1" x14ac:dyDescent="0.25">
      <c r="A529" s="662" t="s">
        <v>122</v>
      </c>
      <c r="B529" s="662"/>
      <c r="C529" s="662"/>
      <c r="D529" s="662"/>
      <c r="E529" s="662"/>
      <c r="F529" s="662"/>
      <c r="G529" s="662"/>
      <c r="H529" s="662"/>
      <c r="I529" s="662"/>
      <c r="J529" s="662"/>
      <c r="K529" s="662"/>
      <c r="L529" s="662"/>
      <c r="M529" s="662"/>
      <c r="N529" s="662"/>
      <c r="O529" s="662"/>
      <c r="P529" s="662"/>
      <c r="Q529" s="662"/>
      <c r="R529" s="662"/>
      <c r="S529" s="662"/>
      <c r="T529" s="662"/>
      <c r="U529" s="662"/>
      <c r="V529" s="662"/>
      <c r="W529" s="662"/>
      <c r="X529" s="662"/>
      <c r="Y529" s="662"/>
      <c r="Z529" s="662"/>
      <c r="AA529" s="66"/>
      <c r="AB529" s="66"/>
      <c r="AC529" s="80"/>
    </row>
    <row r="530" spans="1:68" ht="27" hidden="1" customHeight="1" x14ac:dyDescent="0.25">
      <c r="A530" s="63" t="s">
        <v>852</v>
      </c>
      <c r="B530" s="63" t="s">
        <v>853</v>
      </c>
      <c r="C530" s="36">
        <v>4301011584</v>
      </c>
      <c r="D530" s="657">
        <v>4640242180564</v>
      </c>
      <c r="E530" s="657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659"/>
      <c r="R530" s="659"/>
      <c r="S530" s="659"/>
      <c r="T530" s="660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51"/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2"/>
      <c r="P531" s="648" t="s">
        <v>40</v>
      </c>
      <c r="Q531" s="649"/>
      <c r="R531" s="649"/>
      <c r="S531" s="649"/>
      <c r="T531" s="649"/>
      <c r="U531" s="649"/>
      <c r="V531" s="650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51"/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2"/>
      <c r="P532" s="648" t="s">
        <v>40</v>
      </c>
      <c r="Q532" s="649"/>
      <c r="R532" s="649"/>
      <c r="S532" s="649"/>
      <c r="T532" s="649"/>
      <c r="U532" s="649"/>
      <c r="V532" s="650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62" t="s">
        <v>158</v>
      </c>
      <c r="B533" s="662"/>
      <c r="C533" s="662"/>
      <c r="D533" s="662"/>
      <c r="E533" s="662"/>
      <c r="F533" s="662"/>
      <c r="G533" s="662"/>
      <c r="H533" s="662"/>
      <c r="I533" s="662"/>
      <c r="J533" s="662"/>
      <c r="K533" s="662"/>
      <c r="L533" s="662"/>
      <c r="M533" s="662"/>
      <c r="N533" s="662"/>
      <c r="O533" s="662"/>
      <c r="P533" s="662"/>
      <c r="Q533" s="662"/>
      <c r="R533" s="662"/>
      <c r="S533" s="662"/>
      <c r="T533" s="662"/>
      <c r="U533" s="662"/>
      <c r="V533" s="662"/>
      <c r="W533" s="662"/>
      <c r="X533" s="662"/>
      <c r="Y533" s="662"/>
      <c r="Z533" s="662"/>
      <c r="AA533" s="66"/>
      <c r="AB533" s="66"/>
      <c r="AC533" s="80"/>
    </row>
    <row r="534" spans="1:68" ht="27" hidden="1" customHeight="1" x14ac:dyDescent="0.25">
      <c r="A534" s="63" t="s">
        <v>855</v>
      </c>
      <c r="B534" s="63" t="s">
        <v>856</v>
      </c>
      <c r="C534" s="36">
        <v>4301020400</v>
      </c>
      <c r="D534" s="657">
        <v>4640242180519</v>
      </c>
      <c r="E534" s="657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659"/>
      <c r="R534" s="659"/>
      <c r="S534" s="659"/>
      <c r="T534" s="66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52"/>
      <c r="P535" s="648" t="s">
        <v>40</v>
      </c>
      <c r="Q535" s="649"/>
      <c r="R535" s="649"/>
      <c r="S535" s="649"/>
      <c r="T535" s="649"/>
      <c r="U535" s="649"/>
      <c r="V535" s="65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651"/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2"/>
      <c r="P536" s="648" t="s">
        <v>40</v>
      </c>
      <c r="Q536" s="649"/>
      <c r="R536" s="649"/>
      <c r="S536" s="649"/>
      <c r="T536" s="649"/>
      <c r="U536" s="649"/>
      <c r="V536" s="65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662" t="s">
        <v>77</v>
      </c>
      <c r="B537" s="662"/>
      <c r="C537" s="662"/>
      <c r="D537" s="662"/>
      <c r="E537" s="662"/>
      <c r="F537" s="662"/>
      <c r="G537" s="662"/>
      <c r="H537" s="662"/>
      <c r="I537" s="662"/>
      <c r="J537" s="662"/>
      <c r="K537" s="662"/>
      <c r="L537" s="662"/>
      <c r="M537" s="662"/>
      <c r="N537" s="662"/>
      <c r="O537" s="662"/>
      <c r="P537" s="662"/>
      <c r="Q537" s="662"/>
      <c r="R537" s="662"/>
      <c r="S537" s="662"/>
      <c r="T537" s="662"/>
      <c r="U537" s="662"/>
      <c r="V537" s="662"/>
      <c r="W537" s="662"/>
      <c r="X537" s="662"/>
      <c r="Y537" s="662"/>
      <c r="Z537" s="662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657">
        <v>4640242180595</v>
      </c>
      <c r="E538" s="657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66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659"/>
      <c r="R538" s="659"/>
      <c r="S538" s="659"/>
      <c r="T538" s="660"/>
      <c r="U538" s="39" t="s">
        <v>46</v>
      </c>
      <c r="V538" s="39" t="s">
        <v>46</v>
      </c>
      <c r="W538" s="40" t="s">
        <v>0</v>
      </c>
      <c r="X538" s="58">
        <v>48</v>
      </c>
      <c r="Y538" s="55">
        <f>IFERROR(IF(X538="",0,CEILING((X538/$H538),1)*$H538),"")</f>
        <v>50.400000000000006</v>
      </c>
      <c r="Z538" s="41">
        <f>IFERROR(IF(Y538=0,"",ROUNDUP(Y538/H538,0)*0.00902),"")</f>
        <v>0.10824</v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50.857142857142861</v>
      </c>
      <c r="BN538" s="78">
        <f>IFERROR(Y538*I538/H538,"0")</f>
        <v>53.400000000000006</v>
      </c>
      <c r="BO538" s="78">
        <f>IFERROR(1/J538*(X538/H538),"0")</f>
        <v>8.658008658008659E-2</v>
      </c>
      <c r="BP538" s="78">
        <f>IFERROR(1/J538*(Y538/H538),"0")</f>
        <v>9.0909090909090912E-2</v>
      </c>
    </row>
    <row r="539" spans="1:68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52"/>
      <c r="P539" s="648" t="s">
        <v>40</v>
      </c>
      <c r="Q539" s="649"/>
      <c r="R539" s="649"/>
      <c r="S539" s="649"/>
      <c r="T539" s="649"/>
      <c r="U539" s="649"/>
      <c r="V539" s="650"/>
      <c r="W539" s="42" t="s">
        <v>39</v>
      </c>
      <c r="X539" s="43">
        <f>IFERROR(X538/H538,"0")</f>
        <v>11.428571428571429</v>
      </c>
      <c r="Y539" s="43">
        <f>IFERROR(Y538/H538,"0")</f>
        <v>12</v>
      </c>
      <c r="Z539" s="43">
        <f>IFERROR(IF(Z538="",0,Z538),"0")</f>
        <v>0.10824</v>
      </c>
      <c r="AA539" s="67"/>
      <c r="AB539" s="67"/>
      <c r="AC539" s="67"/>
    </row>
    <row r="540" spans="1:68" x14ac:dyDescent="0.2">
      <c r="A540" s="651"/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2"/>
      <c r="P540" s="648" t="s">
        <v>40</v>
      </c>
      <c r="Q540" s="649"/>
      <c r="R540" s="649"/>
      <c r="S540" s="649"/>
      <c r="T540" s="649"/>
      <c r="U540" s="649"/>
      <c r="V540" s="650"/>
      <c r="W540" s="42" t="s">
        <v>0</v>
      </c>
      <c r="X540" s="43">
        <f>IFERROR(SUM(X538:X538),"0")</f>
        <v>48</v>
      </c>
      <c r="Y540" s="43">
        <f>IFERROR(SUM(Y538:Y538),"0")</f>
        <v>50.400000000000006</v>
      </c>
      <c r="Z540" s="42"/>
      <c r="AA540" s="67"/>
      <c r="AB540" s="67"/>
      <c r="AC540" s="67"/>
    </row>
    <row r="541" spans="1:68" ht="14.25" hidden="1" customHeight="1" x14ac:dyDescent="0.25">
      <c r="A541" s="662" t="s">
        <v>86</v>
      </c>
      <c r="B541" s="662"/>
      <c r="C541" s="662"/>
      <c r="D541" s="662"/>
      <c r="E541" s="662"/>
      <c r="F541" s="662"/>
      <c r="G541" s="662"/>
      <c r="H541" s="662"/>
      <c r="I541" s="662"/>
      <c r="J541" s="662"/>
      <c r="K541" s="662"/>
      <c r="L541" s="662"/>
      <c r="M541" s="662"/>
      <c r="N541" s="662"/>
      <c r="O541" s="662"/>
      <c r="P541" s="662"/>
      <c r="Q541" s="662"/>
      <c r="R541" s="662"/>
      <c r="S541" s="662"/>
      <c r="T541" s="662"/>
      <c r="U541" s="662"/>
      <c r="V541" s="662"/>
      <c r="W541" s="662"/>
      <c r="X541" s="662"/>
      <c r="Y541" s="662"/>
      <c r="Z541" s="662"/>
      <c r="AA541" s="66"/>
      <c r="AB541" s="66"/>
      <c r="AC541" s="80"/>
    </row>
    <row r="542" spans="1:68" ht="27" hidden="1" customHeight="1" x14ac:dyDescent="0.25">
      <c r="A542" s="63" t="s">
        <v>861</v>
      </c>
      <c r="B542" s="63" t="s">
        <v>862</v>
      </c>
      <c r="C542" s="36">
        <v>4301052043</v>
      </c>
      <c r="D542" s="657">
        <v>4640242180533</v>
      </c>
      <c r="E542" s="657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66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659"/>
      <c r="R542" s="659"/>
      <c r="S542" s="659"/>
      <c r="T542" s="660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52"/>
      <c r="P543" s="648" t="s">
        <v>40</v>
      </c>
      <c r="Q543" s="649"/>
      <c r="R543" s="649"/>
      <c r="S543" s="649"/>
      <c r="T543" s="649"/>
      <c r="U543" s="649"/>
      <c r="V543" s="650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hidden="1" x14ac:dyDescent="0.2">
      <c r="A544" s="651"/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2"/>
      <c r="P544" s="648" t="s">
        <v>40</v>
      </c>
      <c r="Q544" s="649"/>
      <c r="R544" s="649"/>
      <c r="S544" s="649"/>
      <c r="T544" s="649"/>
      <c r="U544" s="649"/>
      <c r="V544" s="650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hidden="1" customHeight="1" x14ac:dyDescent="0.25">
      <c r="A545" s="662" t="s">
        <v>175</v>
      </c>
      <c r="B545" s="662"/>
      <c r="C545" s="662"/>
      <c r="D545" s="662"/>
      <c r="E545" s="662"/>
      <c r="F545" s="662"/>
      <c r="G545" s="662"/>
      <c r="H545" s="662"/>
      <c r="I545" s="662"/>
      <c r="J545" s="662"/>
      <c r="K545" s="662"/>
      <c r="L545" s="662"/>
      <c r="M545" s="662"/>
      <c r="N545" s="662"/>
      <c r="O545" s="662"/>
      <c r="P545" s="662"/>
      <c r="Q545" s="662"/>
      <c r="R545" s="662"/>
      <c r="S545" s="662"/>
      <c r="T545" s="662"/>
      <c r="U545" s="662"/>
      <c r="V545" s="662"/>
      <c r="W545" s="662"/>
      <c r="X545" s="662"/>
      <c r="Y545" s="662"/>
      <c r="Z545" s="662"/>
      <c r="AA545" s="66"/>
      <c r="AB545" s="66"/>
      <c r="AC545" s="80"/>
    </row>
    <row r="546" spans="1:68" ht="27" hidden="1" customHeight="1" x14ac:dyDescent="0.25">
      <c r="A546" s="63" t="s">
        <v>864</v>
      </c>
      <c r="B546" s="63" t="s">
        <v>865</v>
      </c>
      <c r="C546" s="36">
        <v>4301060535</v>
      </c>
      <c r="D546" s="657">
        <v>4640242180120</v>
      </c>
      <c r="E546" s="657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66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659"/>
      <c r="R546" s="659"/>
      <c r="S546" s="659"/>
      <c r="T546" s="660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hidden="1" customHeight="1" x14ac:dyDescent="0.25">
      <c r="A547" s="63" t="s">
        <v>867</v>
      </c>
      <c r="B547" s="63" t="s">
        <v>868</v>
      </c>
      <c r="C547" s="36">
        <v>4301060536</v>
      </c>
      <c r="D547" s="657">
        <v>4640242180137</v>
      </c>
      <c r="E547" s="657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6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659"/>
      <c r="R547" s="659"/>
      <c r="S547" s="659"/>
      <c r="T547" s="660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51"/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2"/>
      <c r="P548" s="648" t="s">
        <v>40</v>
      </c>
      <c r="Q548" s="649"/>
      <c r="R548" s="649"/>
      <c r="S548" s="649"/>
      <c r="T548" s="649"/>
      <c r="U548" s="649"/>
      <c r="V548" s="650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hidden="1" x14ac:dyDescent="0.2">
      <c r="A549" s="651"/>
      <c r="B549" s="651"/>
      <c r="C549" s="651"/>
      <c r="D549" s="651"/>
      <c r="E549" s="651"/>
      <c r="F549" s="651"/>
      <c r="G549" s="651"/>
      <c r="H549" s="651"/>
      <c r="I549" s="651"/>
      <c r="J549" s="651"/>
      <c r="K549" s="651"/>
      <c r="L549" s="651"/>
      <c r="M549" s="651"/>
      <c r="N549" s="651"/>
      <c r="O549" s="652"/>
      <c r="P549" s="648" t="s">
        <v>40</v>
      </c>
      <c r="Q549" s="649"/>
      <c r="R549" s="649"/>
      <c r="S549" s="649"/>
      <c r="T549" s="649"/>
      <c r="U549" s="649"/>
      <c r="V549" s="650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hidden="1" customHeight="1" x14ac:dyDescent="0.25">
      <c r="A550" s="661" t="s">
        <v>870</v>
      </c>
      <c r="B550" s="661"/>
      <c r="C550" s="661"/>
      <c r="D550" s="661"/>
      <c r="E550" s="661"/>
      <c r="F550" s="661"/>
      <c r="G550" s="661"/>
      <c r="H550" s="661"/>
      <c r="I550" s="661"/>
      <c r="J550" s="661"/>
      <c r="K550" s="661"/>
      <c r="L550" s="661"/>
      <c r="M550" s="661"/>
      <c r="N550" s="661"/>
      <c r="O550" s="661"/>
      <c r="P550" s="661"/>
      <c r="Q550" s="661"/>
      <c r="R550" s="661"/>
      <c r="S550" s="661"/>
      <c r="T550" s="661"/>
      <c r="U550" s="661"/>
      <c r="V550" s="661"/>
      <c r="W550" s="661"/>
      <c r="X550" s="661"/>
      <c r="Y550" s="661"/>
      <c r="Z550" s="661"/>
      <c r="AA550" s="65"/>
      <c r="AB550" s="65"/>
      <c r="AC550" s="79"/>
    </row>
    <row r="551" spans="1:68" ht="14.25" hidden="1" customHeight="1" x14ac:dyDescent="0.25">
      <c r="A551" s="662" t="s">
        <v>158</v>
      </c>
      <c r="B551" s="662"/>
      <c r="C551" s="662"/>
      <c r="D551" s="662"/>
      <c r="E551" s="662"/>
      <c r="F551" s="662"/>
      <c r="G551" s="662"/>
      <c r="H551" s="662"/>
      <c r="I551" s="662"/>
      <c r="J551" s="662"/>
      <c r="K551" s="662"/>
      <c r="L551" s="662"/>
      <c r="M551" s="662"/>
      <c r="N551" s="662"/>
      <c r="O551" s="662"/>
      <c r="P551" s="662"/>
      <c r="Q551" s="662"/>
      <c r="R551" s="662"/>
      <c r="S551" s="662"/>
      <c r="T551" s="662"/>
      <c r="U551" s="662"/>
      <c r="V551" s="662"/>
      <c r="W551" s="662"/>
      <c r="X551" s="662"/>
      <c r="Y551" s="662"/>
      <c r="Z551" s="662"/>
      <c r="AA551" s="66"/>
      <c r="AB551" s="66"/>
      <c r="AC551" s="80"/>
    </row>
    <row r="552" spans="1:68" ht="27" hidden="1" customHeight="1" x14ac:dyDescent="0.25">
      <c r="A552" s="63" t="s">
        <v>871</v>
      </c>
      <c r="B552" s="63" t="s">
        <v>872</v>
      </c>
      <c r="C552" s="36">
        <v>4301020428</v>
      </c>
      <c r="D552" s="657">
        <v>4640242180090</v>
      </c>
      <c r="E552" s="657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663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659"/>
      <c r="R552" s="659"/>
      <c r="S552" s="659"/>
      <c r="T552" s="66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51"/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2"/>
      <c r="P553" s="648" t="s">
        <v>40</v>
      </c>
      <c r="Q553" s="649"/>
      <c r="R553" s="649"/>
      <c r="S553" s="649"/>
      <c r="T553" s="649"/>
      <c r="U553" s="649"/>
      <c r="V553" s="650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51"/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2"/>
      <c r="P554" s="648" t="s">
        <v>40</v>
      </c>
      <c r="Q554" s="649"/>
      <c r="R554" s="649"/>
      <c r="S554" s="649"/>
      <c r="T554" s="649"/>
      <c r="U554" s="649"/>
      <c r="V554" s="650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651"/>
      <c r="B555" s="651"/>
      <c r="C555" s="651"/>
      <c r="D555" s="651"/>
      <c r="E555" s="651"/>
      <c r="F555" s="651"/>
      <c r="G555" s="651"/>
      <c r="H555" s="651"/>
      <c r="I555" s="651"/>
      <c r="J555" s="651"/>
      <c r="K555" s="651"/>
      <c r="L555" s="651"/>
      <c r="M555" s="651"/>
      <c r="N555" s="651"/>
      <c r="O555" s="656"/>
      <c r="P555" s="653" t="s">
        <v>33</v>
      </c>
      <c r="Q555" s="654"/>
      <c r="R555" s="654"/>
      <c r="S555" s="654"/>
      <c r="T555" s="654"/>
      <c r="U555" s="654"/>
      <c r="V555" s="655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3965.9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3968.3</v>
      </c>
      <c r="Z555" s="42"/>
      <c r="AA555" s="67"/>
      <c r="AB555" s="67"/>
      <c r="AC555" s="67"/>
    </row>
    <row r="556" spans="1:68" x14ac:dyDescent="0.2">
      <c r="A556" s="651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56"/>
      <c r="P556" s="653" t="s">
        <v>34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IFERROR(SUM(BM22:BM552),"0")</f>
        <v>4158.9031428571425</v>
      </c>
      <c r="Y556" s="43">
        <f>IFERROR(SUM(BN22:BN552),"0")</f>
        <v>4161.445999999999</v>
      </c>
      <c r="Z556" s="42"/>
      <c r="AA556" s="67"/>
      <c r="AB556" s="67"/>
      <c r="AC556" s="67"/>
    </row>
    <row r="557" spans="1:68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56"/>
      <c r="P557" s="653" t="s">
        <v>35</v>
      </c>
      <c r="Q557" s="654"/>
      <c r="R557" s="654"/>
      <c r="S557" s="654"/>
      <c r="T557" s="654"/>
      <c r="U557" s="654"/>
      <c r="V557" s="655"/>
      <c r="W557" s="42" t="s">
        <v>20</v>
      </c>
      <c r="X557" s="44">
        <f>ROUNDUP(SUM(BO22:BO552),0)</f>
        <v>7</v>
      </c>
      <c r="Y557" s="44">
        <f>ROUNDUP(SUM(BP22:BP552),0)</f>
        <v>7</v>
      </c>
      <c r="Z557" s="42"/>
      <c r="AA557" s="67"/>
      <c r="AB557" s="67"/>
      <c r="AC557" s="67"/>
    </row>
    <row r="558" spans="1:68" x14ac:dyDescent="0.2">
      <c r="A558" s="65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656"/>
      <c r="P558" s="653" t="s">
        <v>36</v>
      </c>
      <c r="Q558" s="654"/>
      <c r="R558" s="654"/>
      <c r="S558" s="654"/>
      <c r="T558" s="654"/>
      <c r="U558" s="654"/>
      <c r="V558" s="655"/>
      <c r="W558" s="42" t="s">
        <v>0</v>
      </c>
      <c r="X558" s="43">
        <f>GrossWeightTotal+PalletQtyTotal*25</f>
        <v>4333.9031428571425</v>
      </c>
      <c r="Y558" s="43">
        <f>GrossWeightTotalR+PalletQtyTotalR*25</f>
        <v>4336.445999999999</v>
      </c>
      <c r="Z558" s="42"/>
      <c r="AA558" s="67"/>
      <c r="AB558" s="67"/>
      <c r="AC558" s="67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656"/>
      <c r="P559" s="653" t="s">
        <v>37</v>
      </c>
      <c r="Q559" s="654"/>
      <c r="R559" s="654"/>
      <c r="S559" s="654"/>
      <c r="T559" s="654"/>
      <c r="U559" s="654"/>
      <c r="V559" s="655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454.42857142857144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455</v>
      </c>
      <c r="Z559" s="42"/>
      <c r="AA559" s="67"/>
      <c r="AB559" s="67"/>
      <c r="AC559" s="67"/>
    </row>
    <row r="560" spans="1:68" ht="14.25" hidden="1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656"/>
      <c r="P560" s="653" t="s">
        <v>38</v>
      </c>
      <c r="Q560" s="654"/>
      <c r="R560" s="654"/>
      <c r="S560" s="654"/>
      <c r="T560" s="654"/>
      <c r="U560" s="654"/>
      <c r="V560" s="655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7.8647000000000018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644" t="s">
        <v>120</v>
      </c>
      <c r="E562" s="644" t="s">
        <v>120</v>
      </c>
      <c r="F562" s="644" t="s">
        <v>120</v>
      </c>
      <c r="G562" s="644" t="s">
        <v>120</v>
      </c>
      <c r="H562" s="644" t="s">
        <v>120</v>
      </c>
      <c r="I562" s="644" t="s">
        <v>120</v>
      </c>
      <c r="J562" s="644" t="s">
        <v>120</v>
      </c>
      <c r="K562" s="644" t="s">
        <v>353</v>
      </c>
      <c r="L562" s="644" t="s">
        <v>353</v>
      </c>
      <c r="M562" s="644" t="s">
        <v>353</v>
      </c>
      <c r="N562" s="645"/>
      <c r="O562" s="644" t="s">
        <v>353</v>
      </c>
      <c r="P562" s="644" t="s">
        <v>353</v>
      </c>
      <c r="Q562" s="644" t="s">
        <v>353</v>
      </c>
      <c r="R562" s="644" t="s">
        <v>353</v>
      </c>
      <c r="S562" s="644" t="s">
        <v>353</v>
      </c>
      <c r="T562" s="644" t="s">
        <v>353</v>
      </c>
      <c r="U562" s="644" t="s">
        <v>353</v>
      </c>
      <c r="V562" s="644" t="s">
        <v>353</v>
      </c>
      <c r="W562" s="644" t="s">
        <v>702</v>
      </c>
      <c r="X562" s="644" t="s">
        <v>702</v>
      </c>
      <c r="Y562" s="644" t="s">
        <v>768</v>
      </c>
      <c r="Z562" s="644" t="s">
        <v>768</v>
      </c>
      <c r="AA562" s="85" t="s">
        <v>804</v>
      </c>
      <c r="AB562" s="644" t="s">
        <v>851</v>
      </c>
      <c r="AC562" s="644" t="s">
        <v>851</v>
      </c>
      <c r="AF562" s="1"/>
    </row>
    <row r="563" spans="1:32" ht="14.25" customHeight="1" thickTop="1" x14ac:dyDescent="0.2">
      <c r="A563" s="646" t="s">
        <v>10</v>
      </c>
      <c r="B563" s="644" t="s">
        <v>76</v>
      </c>
      <c r="C563" s="644" t="s">
        <v>104</v>
      </c>
      <c r="D563" s="644" t="s">
        <v>121</v>
      </c>
      <c r="E563" s="644" t="s">
        <v>137</v>
      </c>
      <c r="F563" s="644" t="s">
        <v>182</v>
      </c>
      <c r="G563" s="644" t="s">
        <v>203</v>
      </c>
      <c r="H563" s="644" t="s">
        <v>243</v>
      </c>
      <c r="I563" s="644" t="s">
        <v>267</v>
      </c>
      <c r="J563" s="644" t="s">
        <v>120</v>
      </c>
      <c r="K563" s="644" t="s">
        <v>354</v>
      </c>
      <c r="L563" s="644" t="s">
        <v>375</v>
      </c>
      <c r="M563" s="644" t="s">
        <v>442</v>
      </c>
      <c r="N563" s="1"/>
      <c r="O563" s="644" t="s">
        <v>510</v>
      </c>
      <c r="P563" s="644" t="s">
        <v>543</v>
      </c>
      <c r="Q563" s="644" t="s">
        <v>559</v>
      </c>
      <c r="R563" s="644" t="s">
        <v>568</v>
      </c>
      <c r="S563" s="644" t="s">
        <v>589</v>
      </c>
      <c r="T563" s="644" t="s">
        <v>598</v>
      </c>
      <c r="U563" s="644" t="s">
        <v>682</v>
      </c>
      <c r="V563" s="644" t="s">
        <v>692</v>
      </c>
      <c r="W563" s="644" t="s">
        <v>703</v>
      </c>
      <c r="X563" s="644" t="s">
        <v>752</v>
      </c>
      <c r="Y563" s="644" t="s">
        <v>769</v>
      </c>
      <c r="Z563" s="644" t="s">
        <v>792</v>
      </c>
      <c r="AA563" s="644" t="s">
        <v>804</v>
      </c>
      <c r="AB563" s="644" t="s">
        <v>851</v>
      </c>
      <c r="AC563" s="644" t="s">
        <v>870</v>
      </c>
      <c r="AF563" s="1"/>
    </row>
    <row r="564" spans="1:32" ht="13.5" thickBot="1" x14ac:dyDescent="0.25">
      <c r="A564" s="647"/>
      <c r="B564" s="644"/>
      <c r="C564" s="644"/>
      <c r="D564" s="644"/>
      <c r="E564" s="644"/>
      <c r="F564" s="644"/>
      <c r="G564" s="644"/>
      <c r="H564" s="644"/>
      <c r="I564" s="644"/>
      <c r="J564" s="644"/>
      <c r="K564" s="644"/>
      <c r="L564" s="644"/>
      <c r="M564" s="644"/>
      <c r="N564" s="1"/>
      <c r="O564" s="644"/>
      <c r="P564" s="644"/>
      <c r="Q564" s="644"/>
      <c r="R564" s="644"/>
      <c r="S564" s="644"/>
      <c r="T564" s="644"/>
      <c r="U564" s="644"/>
      <c r="V564" s="644"/>
      <c r="W564" s="644"/>
      <c r="X564" s="644"/>
      <c r="Y564" s="644"/>
      <c r="Z564" s="644"/>
      <c r="AA564" s="644"/>
      <c r="AB564" s="644"/>
      <c r="AC564" s="644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175</v>
      </c>
      <c r="F565" s="52">
        <f>IFERROR(Y84*1,"0")+IFERROR(Y85*1,"0")+IFERROR(Y86*1,"0")+IFERROR(Y87*1,"0")+IFERROR(Y91*1,"0")+IFERROR(Y92*1,"0")+IFERROR(Y93*1,"0")+IFERROR(Y94*1,"0")</f>
        <v>148.5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17.5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162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1839.6</v>
      </c>
      <c r="U565" s="52">
        <f>IFERROR(Y413*1,"0")+IFERROR(Y414*1,"0")</f>
        <v>0</v>
      </c>
      <c r="V565" s="52">
        <f>IFERROR(Y419*1,"0")+IFERROR(Y420*1,"0")+IFERROR(Y421*1,"0")</f>
        <v>82.5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1440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52.800000000000004</v>
      </c>
      <c r="AB565" s="52">
        <f>IFERROR(Y530*1,"0")+IFERROR(Y534*1,"0")+IFERROR(Y538*1,"0")+IFERROR(Y542*1,"0")+IFERROR(Y546*1,"0")+IFERROR(Y547*1,"0")</f>
        <v>50.400000000000006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56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 497,60"/>
        <filter val="1 527,60"/>
        <filter val="10,00"/>
        <filter val="108,00"/>
        <filter val="11,43"/>
        <filter val="120,00"/>
        <filter val="135,00"/>
        <filter val="15,00"/>
        <filter val="162,00"/>
        <filter val="17,50"/>
        <filter val="20,00"/>
        <filter val="202,00"/>
        <filter val="21,00"/>
        <filter val="25,00"/>
        <filter val="26,40"/>
        <filter val="27,00"/>
        <filter val="3 965,90"/>
        <filter val="30,00"/>
        <filter val="4 158,90"/>
        <filter val="4 333,90"/>
        <filter val="40,00"/>
        <filter val="40,50"/>
        <filter val="42,00"/>
        <filter val="454,43"/>
        <filter val="48,00"/>
        <filter val="5,00"/>
        <filter val="54,00"/>
        <filter val="7"/>
        <filter val="720,00"/>
        <filter val="78,00"/>
        <filter val="82,50"/>
        <filter val="84,00"/>
        <filter val="96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1161</vt:i4>
      </vt:variant>
    </vt:vector>
  </HeadingPairs>
  <TitlesOfParts>
    <vt:vector size="116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2026-08-12T08:36:16Z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