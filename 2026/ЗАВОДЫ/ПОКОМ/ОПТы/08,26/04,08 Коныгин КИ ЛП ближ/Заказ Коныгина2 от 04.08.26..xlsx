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4,08 Коныгин КИ ЛП ближ\"/>
    </mc:Choice>
  </mc:AlternateContent>
  <xr:revisionPtr revIDLastSave="0" documentId="13_ncr:1_{7AF26817-7C2C-451D-AEA0-F8EACCBC5FB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N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N520" i="2"/>
  <c r="BM520" i="2"/>
  <c r="Y520" i="2"/>
  <c r="BP520" i="2" s="1"/>
  <c r="P520" i="2"/>
  <c r="BP519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N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N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N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N492" i="2"/>
  <c r="BM492" i="2"/>
  <c r="Y492" i="2"/>
  <c r="Z492" i="2" s="1"/>
  <c r="P492" i="2"/>
  <c r="X490" i="2"/>
  <c r="Y489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N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N465" i="2"/>
  <c r="BM465" i="2"/>
  <c r="Y465" i="2"/>
  <c r="P465" i="2"/>
  <c r="Y463" i="2"/>
  <c r="X463" i="2"/>
  <c r="X462" i="2"/>
  <c r="BO461" i="2"/>
  <c r="BM461" i="2"/>
  <c r="Z461" i="2"/>
  <c r="Z462" i="2" s="1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Y452" i="2"/>
  <c r="X452" i="2"/>
  <c r="BO451" i="2"/>
  <c r="BM451" i="2"/>
  <c r="Y451" i="2"/>
  <c r="BN451" i="2" s="1"/>
  <c r="P451" i="2"/>
  <c r="BO450" i="2"/>
  <c r="BN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N444" i="2"/>
  <c r="BM444" i="2"/>
  <c r="Y444" i="2"/>
  <c r="Z444" i="2" s="1"/>
  <c r="P444" i="2"/>
  <c r="X442" i="2"/>
  <c r="X441" i="2"/>
  <c r="BO440" i="2"/>
  <c r="BM440" i="2"/>
  <c r="Z440" i="2"/>
  <c r="Y440" i="2"/>
  <c r="BN440" i="2" s="1"/>
  <c r="P440" i="2"/>
  <c r="BP439" i="2"/>
  <c r="BO439" i="2"/>
  <c r="BM439" i="2"/>
  <c r="Z439" i="2"/>
  <c r="Y439" i="2"/>
  <c r="BN439" i="2" s="1"/>
  <c r="P439" i="2"/>
  <c r="BO438" i="2"/>
  <c r="BM438" i="2"/>
  <c r="Z438" i="2"/>
  <c r="Y438" i="2"/>
  <c r="P438" i="2"/>
  <c r="X436" i="2"/>
  <c r="X435" i="2"/>
  <c r="BP434" i="2"/>
  <c r="BO434" i="2"/>
  <c r="BN434" i="2"/>
  <c r="BM434" i="2"/>
  <c r="Z434" i="2"/>
  <c r="Y434" i="2"/>
  <c r="P434" i="2"/>
  <c r="BP433" i="2"/>
  <c r="BO433" i="2"/>
  <c r="BM433" i="2"/>
  <c r="Z433" i="2"/>
  <c r="Y433" i="2"/>
  <c r="BN433" i="2" s="1"/>
  <c r="P433" i="2"/>
  <c r="BO432" i="2"/>
  <c r="BM432" i="2"/>
  <c r="Y432" i="2"/>
  <c r="BN432" i="2" s="1"/>
  <c r="P432" i="2"/>
  <c r="BO431" i="2"/>
  <c r="BM431" i="2"/>
  <c r="Z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N429" i="2" s="1"/>
  <c r="P429" i="2"/>
  <c r="BO428" i="2"/>
  <c r="BM428" i="2"/>
  <c r="Z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Z406" i="2"/>
  <c r="Y406" i="2"/>
  <c r="BP406" i="2" s="1"/>
  <c r="P406" i="2"/>
  <c r="X404" i="2"/>
  <c r="X403" i="2"/>
  <c r="BO402" i="2"/>
  <c r="BM402" i="2"/>
  <c r="Y402" i="2"/>
  <c r="P402" i="2"/>
  <c r="BO401" i="2"/>
  <c r="BN401" i="2"/>
  <c r="BM401" i="2"/>
  <c r="Y401" i="2"/>
  <c r="P401" i="2"/>
  <c r="BO400" i="2"/>
  <c r="BM400" i="2"/>
  <c r="Y400" i="2"/>
  <c r="BP400" i="2" s="1"/>
  <c r="P400" i="2"/>
  <c r="X398" i="2"/>
  <c r="X397" i="2"/>
  <c r="BO396" i="2"/>
  <c r="BN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Y398" i="2" s="1"/>
  <c r="P394" i="2"/>
  <c r="BP393" i="2"/>
  <c r="BO393" i="2"/>
  <c r="BN393" i="2"/>
  <c r="BM393" i="2"/>
  <c r="Z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Z375" i="2"/>
  <c r="Y375" i="2"/>
  <c r="BP375" i="2" s="1"/>
  <c r="P375" i="2"/>
  <c r="BO374" i="2"/>
  <c r="BM374" i="2"/>
  <c r="Z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P356" i="2"/>
  <c r="BO356" i="2"/>
  <c r="BM356" i="2"/>
  <c r="Z356" i="2"/>
  <c r="Y356" i="2"/>
  <c r="BN356" i="2" s="1"/>
  <c r="P356" i="2"/>
  <c r="BO355" i="2"/>
  <c r="BM355" i="2"/>
  <c r="Z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N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N333" i="2"/>
  <c r="BM333" i="2"/>
  <c r="Y333" i="2"/>
  <c r="Z333" i="2" s="1"/>
  <c r="P333" i="2"/>
  <c r="X330" i="2"/>
  <c r="X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N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N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Y296" i="2" s="1"/>
  <c r="P293" i="2"/>
  <c r="X291" i="2"/>
  <c r="X290" i="2"/>
  <c r="BO289" i="2"/>
  <c r="BN289" i="2"/>
  <c r="BM289" i="2"/>
  <c r="Y289" i="2"/>
  <c r="Z289" i="2" s="1"/>
  <c r="P289" i="2"/>
  <c r="BO288" i="2"/>
  <c r="BM288" i="2"/>
  <c r="Y288" i="2"/>
  <c r="Z288" i="2" s="1"/>
  <c r="P288" i="2"/>
  <c r="BO287" i="2"/>
  <c r="BN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P283" i="2"/>
  <c r="BO283" i="2"/>
  <c r="BM283" i="2"/>
  <c r="Z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N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Y253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N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N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N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Y190" i="2"/>
  <c r="Z190" i="2" s="1"/>
  <c r="P190" i="2"/>
  <c r="BO189" i="2"/>
  <c r="BM189" i="2"/>
  <c r="Y189" i="2"/>
  <c r="P189" i="2"/>
  <c r="X187" i="2"/>
  <c r="X186" i="2"/>
  <c r="BO185" i="2"/>
  <c r="BN185" i="2"/>
  <c r="BM185" i="2"/>
  <c r="Y185" i="2"/>
  <c r="BP185" i="2" s="1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N175" i="2"/>
  <c r="BM175" i="2"/>
  <c r="Y175" i="2"/>
  <c r="BP175" i="2" s="1"/>
  <c r="P175" i="2"/>
  <c r="X173" i="2"/>
  <c r="X172" i="2"/>
  <c r="BO171" i="2"/>
  <c r="BM171" i="2"/>
  <c r="Z171" i="2"/>
  <c r="Y171" i="2"/>
  <c r="P171" i="2"/>
  <c r="BP170" i="2"/>
  <c r="BO170" i="2"/>
  <c r="BM170" i="2"/>
  <c r="Y170" i="2"/>
  <c r="P170" i="2"/>
  <c r="X168" i="2"/>
  <c r="X167" i="2"/>
  <c r="BP166" i="2"/>
  <c r="BO166" i="2"/>
  <c r="BM166" i="2"/>
  <c r="Y166" i="2"/>
  <c r="P166" i="2"/>
  <c r="BO165" i="2"/>
  <c r="BN165" i="2"/>
  <c r="BM165" i="2"/>
  <c r="Y165" i="2"/>
  <c r="Z165" i="2" s="1"/>
  <c r="P165" i="2"/>
  <c r="BO164" i="2"/>
  <c r="BM164" i="2"/>
  <c r="Y164" i="2"/>
  <c r="BN164" i="2" s="1"/>
  <c r="P164" i="2"/>
  <c r="X161" i="2"/>
  <c r="Y160" i="2"/>
  <c r="X160" i="2"/>
  <c r="BO159" i="2"/>
  <c r="BM159" i="2"/>
  <c r="Z159" i="2"/>
  <c r="Z160" i="2" s="1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N153" i="2"/>
  <c r="BM153" i="2"/>
  <c r="Y153" i="2"/>
  <c r="Z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Z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N136" i="2"/>
  <c r="BM136" i="2"/>
  <c r="Y136" i="2"/>
  <c r="Z136" i="2" s="1"/>
  <c r="P136" i="2"/>
  <c r="BO135" i="2"/>
  <c r="BM135" i="2"/>
  <c r="Y135" i="2"/>
  <c r="P135" i="2"/>
  <c r="X133" i="2"/>
  <c r="X132" i="2"/>
  <c r="BO131" i="2"/>
  <c r="BN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P124" i="2"/>
  <c r="BO124" i="2"/>
  <c r="BM124" i="2"/>
  <c r="Z124" i="2"/>
  <c r="Z125" i="2" s="1"/>
  <c r="Y124" i="2"/>
  <c r="Y126" i="2" s="1"/>
  <c r="P124" i="2"/>
  <c r="Y122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O113" i="2"/>
  <c r="BN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P100" i="2"/>
  <c r="BO100" i="2"/>
  <c r="BM100" i="2"/>
  <c r="Y100" i="2"/>
  <c r="BN100" i="2" s="1"/>
  <c r="P100" i="2"/>
  <c r="BO99" i="2"/>
  <c r="BN99" i="2"/>
  <c r="BM99" i="2"/>
  <c r="Y99" i="2"/>
  <c r="P99" i="2"/>
  <c r="X96" i="2"/>
  <c r="X95" i="2"/>
  <c r="BO94" i="2"/>
  <c r="BM94" i="2"/>
  <c r="Y94" i="2"/>
  <c r="P94" i="2"/>
  <c r="BO93" i="2"/>
  <c r="BN93" i="2"/>
  <c r="BM93" i="2"/>
  <c r="Y93" i="2"/>
  <c r="Z93" i="2" s="1"/>
  <c r="P93" i="2"/>
  <c r="BP92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N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N67" i="2"/>
  <c r="BM67" i="2"/>
  <c r="Y67" i="2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N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P55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N48" i="2"/>
  <c r="BM48" i="2"/>
  <c r="Y48" i="2"/>
  <c r="Z48" i="2" s="1"/>
  <c r="P48" i="2"/>
  <c r="BO47" i="2"/>
  <c r="BM47" i="2"/>
  <c r="Y47" i="2"/>
  <c r="P47" i="2"/>
  <c r="X43" i="2"/>
  <c r="X42" i="2"/>
  <c r="BO41" i="2"/>
  <c r="BN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BP28" i="2" s="1"/>
  <c r="P28" i="2"/>
  <c r="BO27" i="2"/>
  <c r="BM27" i="2"/>
  <c r="Z27" i="2"/>
  <c r="Y27" i="2"/>
  <c r="P27" i="2"/>
  <c r="X25" i="2"/>
  <c r="X24" i="2"/>
  <c r="BO23" i="2"/>
  <c r="BN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Z103" i="2" l="1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X558" i="2" s="1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367" i="2" s="1"/>
  <c r="Z422" i="2"/>
  <c r="Y484" i="2"/>
  <c r="Z39" i="2"/>
  <c r="Y75" i="2"/>
  <c r="E565" i="2"/>
  <c r="Z55" i="2"/>
  <c r="BP84" i="2"/>
  <c r="Z84" i="2"/>
  <c r="Z88" i="2" s="1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290" i="2" s="1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77" i="2" s="1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Y557" i="2" l="1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<sst xmlns="http://schemas.openxmlformats.org/spreadsheetml/2006/main" count="4244" uniqueCount="900">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</sst>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2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5000</v>
      </c>
      <c r="Y380" s="55">
        <f>IFERROR(IF(X380="",0,CEILING((X380/$H380),1)*$H380),"")</f>
        <v>5007.5999999999995</v>
      </c>
      <c r="Z380" s="41">
        <f>IFERROR(IF(Y380=0,"",ROUNDUP(Y380/H380,0)*0.01898),"")</f>
        <v>12.18516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5312.8205128205127</v>
      </c>
      <c r="BN380" s="78">
        <f>IFERROR(Y380*I380/H380,"0")</f>
        <v>5320.8959999999997</v>
      </c>
      <c r="BO380" s="78">
        <f>IFERROR(1/J380*(X380/H380),"0")</f>
        <v>10.016025641025641</v>
      </c>
      <c r="BP380" s="78">
        <f>IFERROR(1/J380*(Y380/H380),"0")</f>
        <v>10.03125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641.02564102564099</v>
      </c>
      <c r="Y384" s="43">
        <f>IFERROR(Y380/H380,"0")+IFERROR(Y381/H381,"0")+IFERROR(Y382/H382,"0")+IFERROR(Y383/H383,"0")</f>
        <v>642</v>
      </c>
      <c r="Z384" s="43">
        <f>IFERROR(IF(Z380="",0,Z380),"0")+IFERROR(IF(Z381="",0,Z381),"0")+IFERROR(IF(Z382="",0,Z382),"0")+IFERROR(IF(Z383="",0,Z383),"0")</f>
        <v>12.18516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5000</v>
      </c>
      <c r="Y385" s="43">
        <f>IFERROR(SUM(Y380:Y383),"0")</f>
        <v>5007.5999999999995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5000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5007.5999999999995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5312.8205128205127</v>
      </c>
      <c r="Y556" s="43">
        <f>IFERROR(SUM(BN22:BN552),"0")</f>
        <v>5320.8959999999997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11</v>
      </c>
      <c r="Y557" s="44">
        <f>ROUNDUP(SUM(BP22:BP552),0)</f>
        <v>11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5587.8205128205127</v>
      </c>
      <c r="Y558" s="43">
        <f>GrossWeightTotalR+PalletQtyTotalR*25</f>
        <v>5595.8959999999997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641.02564102564099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642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12.18516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5007.5999999999995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1162</vt:i4>
      </vt:variant>
    </vt:vector>
  </HeadingPairs>
  <TitlesOfParts>
    <vt:vector size="116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2026-08-06T06:57:32Z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