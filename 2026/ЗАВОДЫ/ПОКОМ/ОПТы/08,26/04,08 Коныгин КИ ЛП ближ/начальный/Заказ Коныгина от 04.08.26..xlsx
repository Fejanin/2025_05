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6942965-4E68-452C-8673-9E168D521E44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Y486" i="2" s="1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Y459" i="2" s="1"/>
  <c r="P457" i="2"/>
  <c r="X455" i="2"/>
  <c r="X454" i="2"/>
  <c r="BO453" i="2"/>
  <c r="BM453" i="2"/>
  <c r="Y453" i="2"/>
  <c r="BP453" i="2" s="1"/>
  <c r="P453" i="2"/>
  <c r="BO452" i="2"/>
  <c r="BM452" i="2"/>
  <c r="Y452" i="2"/>
  <c r="W561" i="2" s="1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BN434" i="2" s="1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P428" i="2" s="1"/>
  <c r="P428" i="2"/>
  <c r="BO427" i="2"/>
  <c r="BM427" i="2"/>
  <c r="Y427" i="2"/>
  <c r="BP427" i="2" s="1"/>
  <c r="P427" i="2"/>
  <c r="BO426" i="2"/>
  <c r="BM426" i="2"/>
  <c r="Y426" i="2"/>
  <c r="P426" i="2"/>
  <c r="BO425" i="2"/>
  <c r="BM425" i="2"/>
  <c r="Y425" i="2"/>
  <c r="BN425" i="2" s="1"/>
  <c r="P425" i="2"/>
  <c r="BO424" i="2"/>
  <c r="BM424" i="2"/>
  <c r="Y424" i="2"/>
  <c r="P424" i="2"/>
  <c r="BO423" i="2"/>
  <c r="BM423" i="2"/>
  <c r="Y423" i="2"/>
  <c r="P423" i="2"/>
  <c r="X419" i="2"/>
  <c r="X418" i="2"/>
  <c r="BO417" i="2"/>
  <c r="BM417" i="2"/>
  <c r="Y417" i="2"/>
  <c r="Z417" i="2" s="1"/>
  <c r="P417" i="2"/>
  <c r="BO416" i="2"/>
  <c r="BM416" i="2"/>
  <c r="Y416" i="2"/>
  <c r="BN416" i="2" s="1"/>
  <c r="P416" i="2"/>
  <c r="BO415" i="2"/>
  <c r="BM415" i="2"/>
  <c r="Y415" i="2"/>
  <c r="P415" i="2"/>
  <c r="X412" i="2"/>
  <c r="X411" i="2"/>
  <c r="BO410" i="2"/>
  <c r="BM410" i="2"/>
  <c r="Y410" i="2"/>
  <c r="Z410" i="2" s="1"/>
  <c r="P410" i="2"/>
  <c r="BO409" i="2"/>
  <c r="BM409" i="2"/>
  <c r="Y409" i="2"/>
  <c r="BP409" i="2" s="1"/>
  <c r="P409" i="2"/>
  <c r="BO408" i="2"/>
  <c r="BM408" i="2"/>
  <c r="Y408" i="2"/>
  <c r="Z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P385" i="2"/>
  <c r="BO384" i="2"/>
  <c r="BM384" i="2"/>
  <c r="Y384" i="2"/>
  <c r="Z384" i="2" s="1"/>
  <c r="P384" i="2"/>
  <c r="BO383" i="2"/>
  <c r="BM383" i="2"/>
  <c r="Y383" i="2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BP377" i="2" s="1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P372" i="2" s="1"/>
  <c r="P372" i="2"/>
  <c r="X370" i="2"/>
  <c r="X369" i="2"/>
  <c r="BO368" i="2"/>
  <c r="BM368" i="2"/>
  <c r="Y368" i="2"/>
  <c r="BN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BP365" i="2" s="1"/>
  <c r="P365" i="2"/>
  <c r="BO364" i="2"/>
  <c r="BM364" i="2"/>
  <c r="Y364" i="2"/>
  <c r="Z364" i="2" s="1"/>
  <c r="P364" i="2"/>
  <c r="BO363" i="2"/>
  <c r="BM363" i="2"/>
  <c r="Y363" i="2"/>
  <c r="Z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P346" i="2"/>
  <c r="BO345" i="2"/>
  <c r="BM345" i="2"/>
  <c r="Y345" i="2"/>
  <c r="P345" i="2"/>
  <c r="BO344" i="2"/>
  <c r="BM344" i="2"/>
  <c r="Y344" i="2"/>
  <c r="BP344" i="2" s="1"/>
  <c r="P344" i="2"/>
  <c r="BO343" i="2"/>
  <c r="BM343" i="2"/>
  <c r="Y343" i="2"/>
  <c r="P343" i="2"/>
  <c r="BO342" i="2"/>
  <c r="BM342" i="2"/>
  <c r="Y342" i="2"/>
  <c r="P342" i="2"/>
  <c r="X339" i="2"/>
  <c r="X338" i="2"/>
  <c r="BO337" i="2"/>
  <c r="BM337" i="2"/>
  <c r="Y337" i="2"/>
  <c r="BN337" i="2" s="1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BN329" i="2" s="1"/>
  <c r="P329" i="2"/>
  <c r="BO328" i="2"/>
  <c r="BM328" i="2"/>
  <c r="Y328" i="2"/>
  <c r="Z328" i="2" s="1"/>
  <c r="P328" i="2"/>
  <c r="BO327" i="2"/>
  <c r="BM327" i="2"/>
  <c r="Y327" i="2"/>
  <c r="P327" i="2"/>
  <c r="BO326" i="2"/>
  <c r="BM326" i="2"/>
  <c r="Y326" i="2"/>
  <c r="Y331" i="2" s="1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BP319" i="2" s="1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P311" i="2"/>
  <c r="X309" i="2"/>
  <c r="X308" i="2"/>
  <c r="BO307" i="2"/>
  <c r="BM307" i="2"/>
  <c r="Y307" i="2"/>
  <c r="P307" i="2"/>
  <c r="BO306" i="2"/>
  <c r="BM306" i="2"/>
  <c r="Y306" i="2"/>
  <c r="BP306" i="2" s="1"/>
  <c r="P306" i="2"/>
  <c r="BO305" i="2"/>
  <c r="BM305" i="2"/>
  <c r="Y305" i="2"/>
  <c r="Z305" i="2" s="1"/>
  <c r="P305" i="2"/>
  <c r="BO304" i="2"/>
  <c r="BM304" i="2"/>
  <c r="Y304" i="2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P269" i="2"/>
  <c r="X267" i="2"/>
  <c r="X266" i="2"/>
  <c r="BO265" i="2"/>
  <c r="BM265" i="2"/>
  <c r="Y265" i="2"/>
  <c r="BP265" i="2" s="1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P249" i="2"/>
  <c r="BO248" i="2"/>
  <c r="BM248" i="2"/>
  <c r="Y248" i="2"/>
  <c r="BP248" i="2" s="1"/>
  <c r="P248" i="2"/>
  <c r="X246" i="2"/>
  <c r="X245" i="2"/>
  <c r="BO244" i="2"/>
  <c r="BM244" i="2"/>
  <c r="Y244" i="2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Z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BP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P208" i="2"/>
  <c r="X204" i="2"/>
  <c r="X203" i="2"/>
  <c r="BO202" i="2"/>
  <c r="BM202" i="2"/>
  <c r="Y202" i="2"/>
  <c r="BP202" i="2" s="1"/>
  <c r="P202" i="2"/>
  <c r="X200" i="2"/>
  <c r="X199" i="2"/>
  <c r="BO198" i="2"/>
  <c r="BM198" i="2"/>
  <c r="Y198" i="2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BN191" i="2" s="1"/>
  <c r="P191" i="2"/>
  <c r="X189" i="2"/>
  <c r="X188" i="2"/>
  <c r="BO187" i="2"/>
  <c r="BM187" i="2"/>
  <c r="Y187" i="2"/>
  <c r="BN187" i="2" s="1"/>
  <c r="P187" i="2"/>
  <c r="BO186" i="2"/>
  <c r="BM186" i="2"/>
  <c r="Y186" i="2"/>
  <c r="BP186" i="2" s="1"/>
  <c r="P186" i="2"/>
  <c r="BO185" i="2"/>
  <c r="BM185" i="2"/>
  <c r="Y185" i="2"/>
  <c r="P185" i="2"/>
  <c r="BO184" i="2"/>
  <c r="BM184" i="2"/>
  <c r="Y184" i="2"/>
  <c r="BN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P166" i="2"/>
  <c r="X163" i="2"/>
  <c r="X162" i="2"/>
  <c r="BO161" i="2"/>
  <c r="BM161" i="2"/>
  <c r="Y161" i="2"/>
  <c r="Y162" i="2" s="1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BN149" i="2" s="1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BP142" i="2" s="1"/>
  <c r="P142" i="2"/>
  <c r="BO141" i="2"/>
  <c r="BM141" i="2"/>
  <c r="Y141" i="2"/>
  <c r="BN141" i="2" s="1"/>
  <c r="P141" i="2"/>
  <c r="BO140" i="2"/>
  <c r="BM140" i="2"/>
  <c r="Y140" i="2"/>
  <c r="Z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D56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Z91" i="2" l="1"/>
  <c r="Z232" i="2"/>
  <c r="Z427" i="2"/>
  <c r="Z141" i="2"/>
  <c r="Z191" i="2"/>
  <c r="Z272" i="2"/>
  <c r="Z330" i="2"/>
  <c r="Z469" i="2"/>
  <c r="Z62" i="2"/>
  <c r="Z116" i="2"/>
  <c r="Z149" i="2"/>
  <c r="Z184" i="2"/>
  <c r="Z282" i="2"/>
  <c r="Z319" i="2"/>
  <c r="Z344" i="2"/>
  <c r="BN344" i="2"/>
  <c r="Z377" i="2"/>
  <c r="Z416" i="2"/>
  <c r="Z434" i="2"/>
  <c r="BP484" i="2"/>
  <c r="Y163" i="2"/>
  <c r="Y203" i="2"/>
  <c r="Y204" i="2"/>
  <c r="X555" i="2"/>
  <c r="Z28" i="2"/>
  <c r="Z88" i="2"/>
  <c r="BN88" i="2"/>
  <c r="Y93" i="2"/>
  <c r="Z98" i="2"/>
  <c r="Z139" i="2"/>
  <c r="Z142" i="2"/>
  <c r="BN142" i="2"/>
  <c r="Z161" i="2"/>
  <c r="Z162" i="2" s="1"/>
  <c r="Z187" i="2"/>
  <c r="Z230" i="2"/>
  <c r="BN230" i="2"/>
  <c r="Z242" i="2"/>
  <c r="Z265" i="2"/>
  <c r="Z266" i="2" s="1"/>
  <c r="Z275" i="2"/>
  <c r="Z306" i="2"/>
  <c r="Z329" i="2"/>
  <c r="Z337" i="2"/>
  <c r="Z372" i="2"/>
  <c r="BP391" i="2"/>
  <c r="Z409" i="2"/>
  <c r="Z425" i="2"/>
  <c r="Z457" i="2"/>
  <c r="Z458" i="2" s="1"/>
  <c r="Z478" i="2"/>
  <c r="Z480" i="2" s="1"/>
  <c r="BN478" i="2"/>
  <c r="BN29" i="2"/>
  <c r="Y47" i="2"/>
  <c r="Y55" i="2"/>
  <c r="BP83" i="2"/>
  <c r="BN120" i="2"/>
  <c r="H561" i="2"/>
  <c r="Z132" i="2"/>
  <c r="BN140" i="2"/>
  <c r="BP166" i="2"/>
  <c r="BN166" i="2"/>
  <c r="Z166" i="2"/>
  <c r="BP185" i="2"/>
  <c r="BN185" i="2"/>
  <c r="Z185" i="2"/>
  <c r="BN198" i="2"/>
  <c r="Z198" i="2"/>
  <c r="BN208" i="2"/>
  <c r="Z208" i="2"/>
  <c r="BN226" i="2"/>
  <c r="Z226" i="2"/>
  <c r="BN231" i="2"/>
  <c r="BN234" i="2"/>
  <c r="BP234" i="2"/>
  <c r="BN240" i="2"/>
  <c r="Z240" i="2"/>
  <c r="BN249" i="2"/>
  <c r="Z249" i="2"/>
  <c r="BN264" i="2"/>
  <c r="BP269" i="2"/>
  <c r="BN269" i="2"/>
  <c r="Z269" i="2"/>
  <c r="BN284" i="2"/>
  <c r="BN304" i="2"/>
  <c r="Z304" i="2"/>
  <c r="BN327" i="2"/>
  <c r="Z327" i="2"/>
  <c r="BP346" i="2"/>
  <c r="Z346" i="2"/>
  <c r="BN366" i="2"/>
  <c r="Z366" i="2"/>
  <c r="BN375" i="2"/>
  <c r="BP383" i="2"/>
  <c r="BN383" i="2"/>
  <c r="Z383" i="2"/>
  <c r="Y387" i="2"/>
  <c r="Z385" i="2"/>
  <c r="BP415" i="2"/>
  <c r="Z415" i="2"/>
  <c r="BN426" i="2"/>
  <c r="BP426" i="2"/>
  <c r="BN429" i="2"/>
  <c r="BN441" i="2"/>
  <c r="Z441" i="2"/>
  <c r="BN470" i="2"/>
  <c r="BN479" i="2"/>
  <c r="BN489" i="2"/>
  <c r="BP503" i="2"/>
  <c r="BN503" i="2"/>
  <c r="Z503" i="2"/>
  <c r="BN515" i="2"/>
  <c r="BN30" i="2"/>
  <c r="Z41" i="2"/>
  <c r="BN41" i="2"/>
  <c r="BN42" i="2"/>
  <c r="Z51" i="2"/>
  <c r="BN52" i="2"/>
  <c r="Z53" i="2"/>
  <c r="BN53" i="2"/>
  <c r="BN54" i="2"/>
  <c r="Z64" i="2"/>
  <c r="BN64" i="2"/>
  <c r="BN65" i="2"/>
  <c r="Z72" i="2"/>
  <c r="BN77" i="2"/>
  <c r="Z83" i="2"/>
  <c r="Y85" i="2"/>
  <c r="BP90" i="2"/>
  <c r="Z95" i="2"/>
  <c r="BP98" i="2"/>
  <c r="BN121" i="2"/>
  <c r="BP132" i="2"/>
  <c r="BN135" i="2"/>
  <c r="Z135" i="2"/>
  <c r="Y143" i="2"/>
  <c r="BN156" i="2"/>
  <c r="BN178" i="2"/>
  <c r="Z178" i="2"/>
  <c r="BN181" i="2"/>
  <c r="Z181" i="2"/>
  <c r="BP211" i="2"/>
  <c r="BN211" i="2"/>
  <c r="Z211" i="2"/>
  <c r="BN225" i="2"/>
  <c r="Z225" i="2"/>
  <c r="BP226" i="2"/>
  <c r="BP240" i="2"/>
  <c r="BN241" i="2"/>
  <c r="BN244" i="2"/>
  <c r="BP244" i="2"/>
  <c r="BP273" i="2"/>
  <c r="BN273" i="2"/>
  <c r="Z273" i="2"/>
  <c r="BN283" i="2"/>
  <c r="Z283" i="2"/>
  <c r="BP295" i="2"/>
  <c r="BN295" i="2"/>
  <c r="Z295" i="2"/>
  <c r="Y298" i="2"/>
  <c r="BP304" i="2"/>
  <c r="BN305" i="2"/>
  <c r="BP307" i="2"/>
  <c r="BN307" i="2"/>
  <c r="Z307" i="2"/>
  <c r="Y313" i="2"/>
  <c r="Z311" i="2"/>
  <c r="Z312" i="2" s="1"/>
  <c r="BP327" i="2"/>
  <c r="BN328" i="2"/>
  <c r="BP342" i="2"/>
  <c r="BN342" i="2"/>
  <c r="Z342" i="2"/>
  <c r="Y369" i="2"/>
  <c r="Z365" i="2"/>
  <c r="BP366" i="2"/>
  <c r="BP367" i="2"/>
  <c r="Z367" i="2"/>
  <c r="BP385" i="2"/>
  <c r="BN396" i="2"/>
  <c r="Z411" i="2"/>
  <c r="BP423" i="2"/>
  <c r="BN423" i="2"/>
  <c r="Z423" i="2"/>
  <c r="BN428" i="2"/>
  <c r="Z428" i="2"/>
  <c r="BP441" i="2"/>
  <c r="BN453" i="2"/>
  <c r="BN501" i="2"/>
  <c r="Z501" i="2"/>
  <c r="BP538" i="2"/>
  <c r="Z538" i="2"/>
  <c r="Z539" i="2" s="1"/>
  <c r="BP141" i="2"/>
  <c r="BP161" i="2"/>
  <c r="Y170" i="2"/>
  <c r="BP187" i="2"/>
  <c r="BN202" i="2"/>
  <c r="BN235" i="2"/>
  <c r="BN260" i="2"/>
  <c r="BN290" i="2"/>
  <c r="BP329" i="2"/>
  <c r="Y370" i="2"/>
  <c r="BP363" i="2"/>
  <c r="BN364" i="2"/>
  <c r="BN384" i="2"/>
  <c r="Y412" i="2"/>
  <c r="BP408" i="2"/>
  <c r="BP416" i="2"/>
  <c r="BN417" i="2"/>
  <c r="BP434" i="2"/>
  <c r="Y437" i="2"/>
  <c r="BP457" i="2"/>
  <c r="BN504" i="2"/>
  <c r="Y531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338" i="2" l="1"/>
  <c r="Z251" i="2"/>
  <c r="Z297" i="2"/>
  <c r="Z386" i="2"/>
  <c r="Z347" i="2"/>
  <c r="Z143" i="2"/>
  <c r="Z55" i="2"/>
  <c r="Z418" i="2"/>
  <c r="Z322" i="2"/>
  <c r="Z454" i="2"/>
  <c r="Z437" i="2"/>
  <c r="Z369" i="2"/>
  <c r="X554" i="2"/>
  <c r="Z292" i="2"/>
  <c r="Z431" i="2"/>
  <c r="Z277" i="2"/>
  <c r="Z136" i="2"/>
  <c r="Z199" i="2"/>
  <c r="Z379" i="2"/>
  <c r="Z331" i="2"/>
  <c r="Z99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Y554" i="2" s="1"/>
  <c r="Z464" i="2"/>
  <c r="Z556" i="2" l="1"/>
</calcChain>
</file>

<file path=xl/sharedStrings.xml><?xml version="1.0" encoding="utf-8"?>
<sst xmlns="http://schemas.openxmlformats.org/spreadsheetml/2006/main" count="4201" uniqueCount="895">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</sst>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68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topLeftCell="A271" zoomScaleNormal="100" zoomScaleSheetLayoutView="100" workbookViewId="0">
      <selection activeCell="AA53" sqref="AA53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90" t="s">
        <v>26</v>
      </c>
      <c r="E1" s="990"/>
      <c r="F1" s="990"/>
      <c r="G1" s="14" t="s">
        <v>67</v>
      </c>
      <c r="H1" s="990" t="s">
        <v>47</v>
      </c>
      <c r="I1" s="990"/>
      <c r="J1" s="990"/>
      <c r="K1" s="990"/>
      <c r="L1" s="990"/>
      <c r="M1" s="990"/>
      <c r="N1" s="990"/>
      <c r="O1" s="990"/>
      <c r="P1" s="990"/>
      <c r="Q1" s="990"/>
      <c r="R1" s="991" t="s">
        <v>68</v>
      </c>
      <c r="S1" s="992"/>
      <c r="T1" s="99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9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93"/>
      <c r="R2" s="993"/>
      <c r="S2" s="993"/>
      <c r="T2" s="993"/>
      <c r="U2" s="993"/>
      <c r="V2" s="993"/>
      <c r="W2" s="99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93"/>
      <c r="Q3" s="993"/>
      <c r="R3" s="993"/>
      <c r="S3" s="993"/>
      <c r="T3" s="993"/>
      <c r="U3" s="993"/>
      <c r="V3" s="993"/>
      <c r="W3" s="99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72" t="s">
        <v>8</v>
      </c>
      <c r="B5" s="972"/>
      <c r="C5" s="972"/>
      <c r="D5" s="994"/>
      <c r="E5" s="994"/>
      <c r="F5" s="995" t="s">
        <v>14</v>
      </c>
      <c r="G5" s="995"/>
      <c r="H5" s="994"/>
      <c r="I5" s="994"/>
      <c r="J5" s="994"/>
      <c r="K5" s="994"/>
      <c r="L5" s="994"/>
      <c r="M5" s="994"/>
      <c r="N5" s="72"/>
      <c r="P5" s="27" t="s">
        <v>4</v>
      </c>
      <c r="Q5" s="996">
        <v>46233</v>
      </c>
      <c r="R5" s="996"/>
      <c r="T5" s="997" t="s">
        <v>3</v>
      </c>
      <c r="U5" s="998"/>
      <c r="V5" s="999" t="s">
        <v>871</v>
      </c>
      <c r="W5" s="1000"/>
      <c r="AB5" s="59"/>
      <c r="AC5" s="59"/>
      <c r="AD5" s="59"/>
      <c r="AE5" s="59"/>
    </row>
    <row r="6" spans="1:32" s="17" customFormat="1" ht="24" customHeight="1" x14ac:dyDescent="0.2">
      <c r="A6" s="972" t="s">
        <v>1</v>
      </c>
      <c r="B6" s="972"/>
      <c r="C6" s="972"/>
      <c r="D6" s="973" t="s">
        <v>878</v>
      </c>
      <c r="E6" s="973"/>
      <c r="F6" s="973"/>
      <c r="G6" s="973"/>
      <c r="H6" s="973"/>
      <c r="I6" s="973"/>
      <c r="J6" s="973"/>
      <c r="K6" s="973"/>
      <c r="L6" s="973"/>
      <c r="M6" s="973"/>
      <c r="N6" s="73"/>
      <c r="P6" s="27" t="s">
        <v>27</v>
      </c>
      <c r="Q6" s="974" t="str">
        <f>IF(Q5=0," ",CHOOSE(WEEKDAY(Q5,2),"Понедельник","Вторник","Среда","Четверг","Пятница","Суббота","Воскресенье"))</f>
        <v>Четверг</v>
      </c>
      <c r="R6" s="974"/>
      <c r="T6" s="975" t="s">
        <v>5</v>
      </c>
      <c r="U6" s="976"/>
      <c r="V6" s="977" t="s">
        <v>70</v>
      </c>
      <c r="W6" s="97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83" t="str">
        <f>IFERROR(VLOOKUP(DeliveryAddress,Table,3,0),1)</f>
        <v>3</v>
      </c>
      <c r="E7" s="984"/>
      <c r="F7" s="984"/>
      <c r="G7" s="984"/>
      <c r="H7" s="984"/>
      <c r="I7" s="984"/>
      <c r="J7" s="984"/>
      <c r="K7" s="984"/>
      <c r="L7" s="984"/>
      <c r="M7" s="985"/>
      <c r="N7" s="74"/>
      <c r="P7" s="29"/>
      <c r="Q7" s="48"/>
      <c r="R7" s="48"/>
      <c r="T7" s="975"/>
      <c r="U7" s="976"/>
      <c r="V7" s="979"/>
      <c r="W7" s="980"/>
      <c r="AB7" s="59"/>
      <c r="AC7" s="59"/>
      <c r="AD7" s="59"/>
      <c r="AE7" s="59"/>
    </row>
    <row r="8" spans="1:32" s="17" customFormat="1" ht="25.5" customHeight="1" x14ac:dyDescent="0.2">
      <c r="A8" s="986" t="s">
        <v>58</v>
      </c>
      <c r="B8" s="986"/>
      <c r="C8" s="986"/>
      <c r="D8" s="987"/>
      <c r="E8" s="987"/>
      <c r="F8" s="987"/>
      <c r="G8" s="987"/>
      <c r="H8" s="987"/>
      <c r="I8" s="987"/>
      <c r="J8" s="987"/>
      <c r="K8" s="987"/>
      <c r="L8" s="987"/>
      <c r="M8" s="987"/>
      <c r="N8" s="75"/>
      <c r="P8" s="27" t="s">
        <v>11</v>
      </c>
      <c r="Q8" s="970">
        <v>0.41666666666666669</v>
      </c>
      <c r="R8" s="970"/>
      <c r="T8" s="975"/>
      <c r="U8" s="976"/>
      <c r="V8" s="979"/>
      <c r="W8" s="980"/>
      <c r="AB8" s="59"/>
      <c r="AC8" s="59"/>
      <c r="AD8" s="59"/>
      <c r="AE8" s="59"/>
    </row>
    <row r="9" spans="1:32" s="17" customFormat="1" ht="39.950000000000003" customHeight="1" x14ac:dyDescent="0.2">
      <c r="A9" s="96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62"/>
      <c r="C9" s="962"/>
      <c r="D9" s="963" t="s">
        <v>46</v>
      </c>
      <c r="E9" s="964"/>
      <c r="F9" s="96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62"/>
      <c r="H9" s="988" t="str">
        <f>IF(AND($A$9="Тип доверенности/получателя при получении в адресе перегруза:",$D$9="Разовая доверенность"),"Введите ФИО","")</f>
        <v/>
      </c>
      <c r="I9" s="988"/>
      <c r="J9" s="98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8"/>
      <c r="L9" s="988"/>
      <c r="M9" s="988"/>
      <c r="N9" s="70"/>
      <c r="P9" s="31" t="s">
        <v>15</v>
      </c>
      <c r="Q9" s="989"/>
      <c r="R9" s="989"/>
      <c r="T9" s="975"/>
      <c r="U9" s="976"/>
      <c r="V9" s="981"/>
      <c r="W9" s="98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6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62"/>
      <c r="C10" s="962"/>
      <c r="D10" s="963"/>
      <c r="E10" s="964"/>
      <c r="F10" s="96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62"/>
      <c r="H10" s="965" t="str">
        <f>IFERROR(VLOOKUP($D$10,Proxy,2,FALSE),"")</f>
        <v/>
      </c>
      <c r="I10" s="965"/>
      <c r="J10" s="965"/>
      <c r="K10" s="965"/>
      <c r="L10" s="965"/>
      <c r="M10" s="965"/>
      <c r="N10" s="71"/>
      <c r="P10" s="31" t="s">
        <v>32</v>
      </c>
      <c r="Q10" s="966"/>
      <c r="R10" s="966"/>
      <c r="U10" s="29" t="s">
        <v>12</v>
      </c>
      <c r="V10" s="967" t="s">
        <v>71</v>
      </c>
      <c r="W10" s="968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9"/>
      <c r="R11" s="969"/>
      <c r="U11" s="29" t="s">
        <v>28</v>
      </c>
      <c r="V11" s="948" t="s">
        <v>55</v>
      </c>
      <c r="W11" s="94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47" t="s">
        <v>72</v>
      </c>
      <c r="B12" s="947"/>
      <c r="C12" s="947"/>
      <c r="D12" s="947"/>
      <c r="E12" s="947"/>
      <c r="F12" s="947"/>
      <c r="G12" s="947"/>
      <c r="H12" s="947"/>
      <c r="I12" s="947"/>
      <c r="J12" s="947"/>
      <c r="K12" s="947"/>
      <c r="L12" s="947"/>
      <c r="M12" s="947"/>
      <c r="N12" s="76"/>
      <c r="P12" s="27" t="s">
        <v>30</v>
      </c>
      <c r="Q12" s="970"/>
      <c r="R12" s="970"/>
      <c r="S12" s="28"/>
      <c r="T12"/>
      <c r="U12" s="29" t="s">
        <v>46</v>
      </c>
      <c r="V12" s="971"/>
      <c r="W12" s="971"/>
      <c r="X12"/>
      <c r="AB12" s="59"/>
      <c r="AC12" s="59"/>
      <c r="AD12" s="59"/>
      <c r="AE12" s="59"/>
    </row>
    <row r="13" spans="1:32" s="17" customFormat="1" ht="23.25" customHeight="1" x14ac:dyDescent="0.2">
      <c r="A13" s="947" t="s">
        <v>73</v>
      </c>
      <c r="B13" s="947"/>
      <c r="C13" s="947"/>
      <c r="D13" s="947"/>
      <c r="E13" s="947"/>
      <c r="F13" s="947"/>
      <c r="G13" s="947"/>
      <c r="H13" s="947"/>
      <c r="I13" s="947"/>
      <c r="J13" s="947"/>
      <c r="K13" s="947"/>
      <c r="L13" s="947"/>
      <c r="M13" s="947"/>
      <c r="N13" s="76"/>
      <c r="O13" s="31"/>
      <c r="P13" s="31" t="s">
        <v>31</v>
      </c>
      <c r="Q13" s="948"/>
      <c r="R13" s="94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47" t="s">
        <v>74</v>
      </c>
      <c r="B14" s="947"/>
      <c r="C14" s="947"/>
      <c r="D14" s="947"/>
      <c r="E14" s="947"/>
      <c r="F14" s="947"/>
      <c r="G14" s="947"/>
      <c r="H14" s="947"/>
      <c r="I14" s="947"/>
      <c r="J14" s="947"/>
      <c r="K14" s="947"/>
      <c r="L14" s="947"/>
      <c r="M14" s="94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49" t="s">
        <v>75</v>
      </c>
      <c r="B15" s="949"/>
      <c r="C15" s="949"/>
      <c r="D15" s="949"/>
      <c r="E15" s="949"/>
      <c r="F15" s="949"/>
      <c r="G15" s="949"/>
      <c r="H15" s="949"/>
      <c r="I15" s="949"/>
      <c r="J15" s="949"/>
      <c r="K15" s="949"/>
      <c r="L15" s="949"/>
      <c r="M15" s="949"/>
      <c r="N15" s="77"/>
      <c r="O15"/>
      <c r="P15" s="950" t="s">
        <v>61</v>
      </c>
      <c r="Q15" s="950"/>
      <c r="R15" s="950"/>
      <c r="S15" s="950"/>
      <c r="T15" s="95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51"/>
      <c r="Q16" s="951"/>
      <c r="R16" s="951"/>
      <c r="S16" s="951"/>
      <c r="T16" s="95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3" t="s">
        <v>59</v>
      </c>
      <c r="B17" s="933" t="s">
        <v>49</v>
      </c>
      <c r="C17" s="954" t="s">
        <v>48</v>
      </c>
      <c r="D17" s="956" t="s">
        <v>50</v>
      </c>
      <c r="E17" s="957"/>
      <c r="F17" s="933" t="s">
        <v>21</v>
      </c>
      <c r="G17" s="933" t="s">
        <v>24</v>
      </c>
      <c r="H17" s="933" t="s">
        <v>22</v>
      </c>
      <c r="I17" s="933" t="s">
        <v>23</v>
      </c>
      <c r="J17" s="933" t="s">
        <v>16</v>
      </c>
      <c r="K17" s="933" t="s">
        <v>66</v>
      </c>
      <c r="L17" s="933" t="s">
        <v>64</v>
      </c>
      <c r="M17" s="933" t="s">
        <v>2</v>
      </c>
      <c r="N17" s="933" t="s">
        <v>63</v>
      </c>
      <c r="O17" s="933" t="s">
        <v>25</v>
      </c>
      <c r="P17" s="956" t="s">
        <v>17</v>
      </c>
      <c r="Q17" s="960"/>
      <c r="R17" s="960"/>
      <c r="S17" s="960"/>
      <c r="T17" s="957"/>
      <c r="U17" s="952" t="s">
        <v>56</v>
      </c>
      <c r="V17" s="953"/>
      <c r="W17" s="933" t="s">
        <v>6</v>
      </c>
      <c r="X17" s="933" t="s">
        <v>41</v>
      </c>
      <c r="Y17" s="935" t="s">
        <v>54</v>
      </c>
      <c r="Z17" s="937" t="s">
        <v>18</v>
      </c>
      <c r="AA17" s="939" t="s">
        <v>60</v>
      </c>
      <c r="AB17" s="939" t="s">
        <v>19</v>
      </c>
      <c r="AC17" s="939" t="s">
        <v>65</v>
      </c>
      <c r="AD17" s="941" t="s">
        <v>57</v>
      </c>
      <c r="AE17" s="942"/>
      <c r="AF17" s="943"/>
      <c r="AG17" s="82"/>
      <c r="BD17" s="81" t="s">
        <v>62</v>
      </c>
    </row>
    <row r="18" spans="1:68" ht="14.25" customHeight="1" x14ac:dyDescent="0.2">
      <c r="A18" s="934"/>
      <c r="B18" s="934"/>
      <c r="C18" s="955"/>
      <c r="D18" s="958"/>
      <c r="E18" s="959"/>
      <c r="F18" s="934"/>
      <c r="G18" s="934"/>
      <c r="H18" s="934"/>
      <c r="I18" s="934"/>
      <c r="J18" s="934"/>
      <c r="K18" s="934"/>
      <c r="L18" s="934"/>
      <c r="M18" s="934"/>
      <c r="N18" s="934"/>
      <c r="O18" s="934"/>
      <c r="P18" s="958"/>
      <c r="Q18" s="961"/>
      <c r="R18" s="961"/>
      <c r="S18" s="961"/>
      <c r="T18" s="959"/>
      <c r="U18" s="83" t="s">
        <v>44</v>
      </c>
      <c r="V18" s="83" t="s">
        <v>43</v>
      </c>
      <c r="W18" s="934"/>
      <c r="X18" s="934"/>
      <c r="Y18" s="936"/>
      <c r="Z18" s="938"/>
      <c r="AA18" s="940"/>
      <c r="AB18" s="940"/>
      <c r="AC18" s="940"/>
      <c r="AD18" s="944"/>
      <c r="AE18" s="945"/>
      <c r="AF18" s="946"/>
      <c r="AG18" s="82"/>
      <c r="BD18" s="81"/>
    </row>
    <row r="19" spans="1:68" ht="27.75" hidden="1" customHeight="1" x14ac:dyDescent="0.2">
      <c r="A19" s="662" t="s">
        <v>76</v>
      </c>
      <c r="B19" s="662"/>
      <c r="C19" s="662"/>
      <c r="D19" s="662"/>
      <c r="E19" s="662"/>
      <c r="F19" s="662"/>
      <c r="G19" s="662"/>
      <c r="H19" s="662"/>
      <c r="I19" s="662"/>
      <c r="J19" s="662"/>
      <c r="K19" s="662"/>
      <c r="L19" s="662"/>
      <c r="M19" s="662"/>
      <c r="N19" s="662"/>
      <c r="O19" s="662"/>
      <c r="P19" s="662"/>
      <c r="Q19" s="662"/>
      <c r="R19" s="662"/>
      <c r="S19" s="662"/>
      <c r="T19" s="662"/>
      <c r="U19" s="662"/>
      <c r="V19" s="662"/>
      <c r="W19" s="662"/>
      <c r="X19" s="662"/>
      <c r="Y19" s="662"/>
      <c r="Z19" s="662"/>
      <c r="AA19" s="54"/>
      <c r="AB19" s="54"/>
      <c r="AC19" s="54"/>
    </row>
    <row r="20" spans="1:68" ht="16.5" hidden="1" customHeight="1" x14ac:dyDescent="0.25">
      <c r="A20" s="655" t="s">
        <v>76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5"/>
      <c r="AB20" s="65"/>
      <c r="AC20" s="79"/>
    </row>
    <row r="21" spans="1:68" ht="14.25" hidden="1" customHeight="1" x14ac:dyDescent="0.25">
      <c r="A21" s="656" t="s">
        <v>77</v>
      </c>
      <c r="B21" s="656"/>
      <c r="C21" s="656"/>
      <c r="D21" s="656"/>
      <c r="E21" s="656"/>
      <c r="F21" s="656"/>
      <c r="G21" s="656"/>
      <c r="H21" s="656"/>
      <c r="I21" s="656"/>
      <c r="J21" s="656"/>
      <c r="K21" s="656"/>
      <c r="L21" s="656"/>
      <c r="M21" s="656"/>
      <c r="N21" s="656"/>
      <c r="O21" s="656"/>
      <c r="P21" s="656"/>
      <c r="Q21" s="656"/>
      <c r="R21" s="656"/>
      <c r="S21" s="656"/>
      <c r="T21" s="656"/>
      <c r="U21" s="656"/>
      <c r="V21" s="656"/>
      <c r="W21" s="656"/>
      <c r="X21" s="656"/>
      <c r="Y21" s="656"/>
      <c r="Z21" s="65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51">
        <v>4680115886643</v>
      </c>
      <c r="E22" s="65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3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3"/>
      <c r="R22" s="653"/>
      <c r="S22" s="653"/>
      <c r="T22" s="65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51">
        <v>4680115889071</v>
      </c>
      <c r="E23" s="65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3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3"/>
      <c r="R23" s="653"/>
      <c r="S23" s="653"/>
      <c r="T23" s="65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45"/>
      <c r="B24" s="645"/>
      <c r="C24" s="645"/>
      <c r="D24" s="645"/>
      <c r="E24" s="645"/>
      <c r="F24" s="645"/>
      <c r="G24" s="645"/>
      <c r="H24" s="645"/>
      <c r="I24" s="645"/>
      <c r="J24" s="645"/>
      <c r="K24" s="645"/>
      <c r="L24" s="645"/>
      <c r="M24" s="645"/>
      <c r="N24" s="645"/>
      <c r="O24" s="646"/>
      <c r="P24" s="642" t="s">
        <v>40</v>
      </c>
      <c r="Q24" s="643"/>
      <c r="R24" s="643"/>
      <c r="S24" s="643"/>
      <c r="T24" s="643"/>
      <c r="U24" s="643"/>
      <c r="V24" s="64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45"/>
      <c r="B25" s="645"/>
      <c r="C25" s="645"/>
      <c r="D25" s="645"/>
      <c r="E25" s="645"/>
      <c r="F25" s="645"/>
      <c r="G25" s="645"/>
      <c r="H25" s="645"/>
      <c r="I25" s="645"/>
      <c r="J25" s="645"/>
      <c r="K25" s="645"/>
      <c r="L25" s="645"/>
      <c r="M25" s="645"/>
      <c r="N25" s="645"/>
      <c r="O25" s="646"/>
      <c r="P25" s="642" t="s">
        <v>40</v>
      </c>
      <c r="Q25" s="643"/>
      <c r="R25" s="643"/>
      <c r="S25" s="643"/>
      <c r="T25" s="643"/>
      <c r="U25" s="643"/>
      <c r="V25" s="64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56" t="s">
        <v>86</v>
      </c>
      <c r="B26" s="656"/>
      <c r="C26" s="656"/>
      <c r="D26" s="656"/>
      <c r="E26" s="656"/>
      <c r="F26" s="656"/>
      <c r="G26" s="656"/>
      <c r="H26" s="656"/>
      <c r="I26" s="656"/>
      <c r="J26" s="656"/>
      <c r="K26" s="656"/>
      <c r="L26" s="656"/>
      <c r="M26" s="656"/>
      <c r="N26" s="656"/>
      <c r="O26" s="656"/>
      <c r="P26" s="656"/>
      <c r="Q26" s="656"/>
      <c r="R26" s="656"/>
      <c r="S26" s="656"/>
      <c r="T26" s="656"/>
      <c r="U26" s="656"/>
      <c r="V26" s="656"/>
      <c r="W26" s="656"/>
      <c r="X26" s="656"/>
      <c r="Y26" s="656"/>
      <c r="Z26" s="65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51">
        <v>4680115885912</v>
      </c>
      <c r="E27" s="65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3"/>
      <c r="R27" s="653"/>
      <c r="S27" s="653"/>
      <c r="T27" s="65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51">
        <v>4607091388237</v>
      </c>
      <c r="E28" s="65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3"/>
      <c r="R28" s="653"/>
      <c r="S28" s="653"/>
      <c r="T28" s="65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51">
        <v>4680115887350</v>
      </c>
      <c r="E29" s="65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3"/>
      <c r="R29" s="653"/>
      <c r="S29" s="653"/>
      <c r="T29" s="65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51">
        <v>4680115885905</v>
      </c>
      <c r="E30" s="65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3"/>
      <c r="R30" s="653"/>
      <c r="S30" s="653"/>
      <c r="T30" s="65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51">
        <v>4680115887619</v>
      </c>
      <c r="E31" s="65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3"/>
      <c r="R31" s="653"/>
      <c r="S31" s="653"/>
      <c r="T31" s="65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45"/>
      <c r="B32" s="645"/>
      <c r="C32" s="645"/>
      <c r="D32" s="645"/>
      <c r="E32" s="645"/>
      <c r="F32" s="645"/>
      <c r="G32" s="645"/>
      <c r="H32" s="645"/>
      <c r="I32" s="645"/>
      <c r="J32" s="645"/>
      <c r="K32" s="645"/>
      <c r="L32" s="645"/>
      <c r="M32" s="645"/>
      <c r="N32" s="645"/>
      <c r="O32" s="646"/>
      <c r="P32" s="642" t="s">
        <v>40</v>
      </c>
      <c r="Q32" s="643"/>
      <c r="R32" s="643"/>
      <c r="S32" s="643"/>
      <c r="T32" s="643"/>
      <c r="U32" s="643"/>
      <c r="V32" s="64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45"/>
      <c r="B33" s="645"/>
      <c r="C33" s="645"/>
      <c r="D33" s="645"/>
      <c r="E33" s="645"/>
      <c r="F33" s="645"/>
      <c r="G33" s="645"/>
      <c r="H33" s="645"/>
      <c r="I33" s="645"/>
      <c r="J33" s="645"/>
      <c r="K33" s="645"/>
      <c r="L33" s="645"/>
      <c r="M33" s="645"/>
      <c r="N33" s="645"/>
      <c r="O33" s="646"/>
      <c r="P33" s="642" t="s">
        <v>40</v>
      </c>
      <c r="Q33" s="643"/>
      <c r="R33" s="643"/>
      <c r="S33" s="643"/>
      <c r="T33" s="643"/>
      <c r="U33" s="643"/>
      <c r="V33" s="64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56" t="s">
        <v>104</v>
      </c>
      <c r="B34" s="656"/>
      <c r="C34" s="656"/>
      <c r="D34" s="656"/>
      <c r="E34" s="656"/>
      <c r="F34" s="656"/>
      <c r="G34" s="656"/>
      <c r="H34" s="656"/>
      <c r="I34" s="656"/>
      <c r="J34" s="656"/>
      <c r="K34" s="656"/>
      <c r="L34" s="656"/>
      <c r="M34" s="656"/>
      <c r="N34" s="656"/>
      <c r="O34" s="656"/>
      <c r="P34" s="656"/>
      <c r="Q34" s="656"/>
      <c r="R34" s="656"/>
      <c r="S34" s="656"/>
      <c r="T34" s="656"/>
      <c r="U34" s="656"/>
      <c r="V34" s="656"/>
      <c r="W34" s="656"/>
      <c r="X34" s="656"/>
      <c r="Y34" s="656"/>
      <c r="Z34" s="65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51">
        <v>4607091388503</v>
      </c>
      <c r="E35" s="651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92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53"/>
      <c r="R35" s="653"/>
      <c r="S35" s="653"/>
      <c r="T35" s="654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5"/>
      <c r="B36" s="645"/>
      <c r="C36" s="645"/>
      <c r="D36" s="645"/>
      <c r="E36" s="645"/>
      <c r="F36" s="645"/>
      <c r="G36" s="645"/>
      <c r="H36" s="645"/>
      <c r="I36" s="645"/>
      <c r="J36" s="645"/>
      <c r="K36" s="645"/>
      <c r="L36" s="645"/>
      <c r="M36" s="645"/>
      <c r="N36" s="645"/>
      <c r="O36" s="646"/>
      <c r="P36" s="642" t="s">
        <v>40</v>
      </c>
      <c r="Q36" s="643"/>
      <c r="R36" s="643"/>
      <c r="S36" s="643"/>
      <c r="T36" s="643"/>
      <c r="U36" s="643"/>
      <c r="V36" s="64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645"/>
      <c r="B37" s="645"/>
      <c r="C37" s="645"/>
      <c r="D37" s="645"/>
      <c r="E37" s="645"/>
      <c r="F37" s="645"/>
      <c r="G37" s="645"/>
      <c r="H37" s="645"/>
      <c r="I37" s="645"/>
      <c r="J37" s="645"/>
      <c r="K37" s="645"/>
      <c r="L37" s="645"/>
      <c r="M37" s="645"/>
      <c r="N37" s="645"/>
      <c r="O37" s="646"/>
      <c r="P37" s="642" t="s">
        <v>40</v>
      </c>
      <c r="Q37" s="643"/>
      <c r="R37" s="643"/>
      <c r="S37" s="643"/>
      <c r="T37" s="643"/>
      <c r="U37" s="643"/>
      <c r="V37" s="64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62" t="s">
        <v>45</v>
      </c>
      <c r="B38" s="662"/>
      <c r="C38" s="662"/>
      <c r="D38" s="662"/>
      <c r="E38" s="662"/>
      <c r="F38" s="662"/>
      <c r="G38" s="662"/>
      <c r="H38" s="662"/>
      <c r="I38" s="662"/>
      <c r="J38" s="662"/>
      <c r="K38" s="662"/>
      <c r="L38" s="662"/>
      <c r="M38" s="662"/>
      <c r="N38" s="662"/>
      <c r="O38" s="662"/>
      <c r="P38" s="662"/>
      <c r="Q38" s="662"/>
      <c r="R38" s="662"/>
      <c r="S38" s="662"/>
      <c r="T38" s="662"/>
      <c r="U38" s="662"/>
      <c r="V38" s="662"/>
      <c r="W38" s="662"/>
      <c r="X38" s="662"/>
      <c r="Y38" s="662"/>
      <c r="Z38" s="662"/>
      <c r="AA38" s="54"/>
      <c r="AB38" s="54"/>
      <c r="AC38" s="54"/>
    </row>
    <row r="39" spans="1:68" ht="16.5" hidden="1" customHeight="1" x14ac:dyDescent="0.25">
      <c r="A39" s="655" t="s">
        <v>110</v>
      </c>
      <c r="B39" s="655"/>
      <c r="C39" s="655"/>
      <c r="D39" s="655"/>
      <c r="E39" s="655"/>
      <c r="F39" s="655"/>
      <c r="G39" s="655"/>
      <c r="H39" s="655"/>
      <c r="I39" s="655"/>
      <c r="J39" s="655"/>
      <c r="K39" s="655"/>
      <c r="L39" s="655"/>
      <c r="M39" s="655"/>
      <c r="N39" s="655"/>
      <c r="O39" s="655"/>
      <c r="P39" s="655"/>
      <c r="Q39" s="655"/>
      <c r="R39" s="655"/>
      <c r="S39" s="655"/>
      <c r="T39" s="655"/>
      <c r="U39" s="655"/>
      <c r="V39" s="655"/>
      <c r="W39" s="655"/>
      <c r="X39" s="655"/>
      <c r="Y39" s="655"/>
      <c r="Z39" s="655"/>
      <c r="AA39" s="65"/>
      <c r="AB39" s="65"/>
      <c r="AC39" s="79"/>
    </row>
    <row r="40" spans="1:68" ht="14.25" hidden="1" customHeight="1" x14ac:dyDescent="0.25">
      <c r="A40" s="656" t="s">
        <v>86</v>
      </c>
      <c r="B40" s="656"/>
      <c r="C40" s="656"/>
      <c r="D40" s="656"/>
      <c r="E40" s="656"/>
      <c r="F40" s="656"/>
      <c r="G40" s="656"/>
      <c r="H40" s="656"/>
      <c r="I40" s="656"/>
      <c r="J40" s="656"/>
      <c r="K40" s="656"/>
      <c r="L40" s="656"/>
      <c r="M40" s="656"/>
      <c r="N40" s="656"/>
      <c r="O40" s="656"/>
      <c r="P40" s="656"/>
      <c r="Q40" s="656"/>
      <c r="R40" s="656"/>
      <c r="S40" s="656"/>
      <c r="T40" s="656"/>
      <c r="U40" s="656"/>
      <c r="V40" s="656"/>
      <c r="W40" s="656"/>
      <c r="X40" s="656"/>
      <c r="Y40" s="656"/>
      <c r="Z40" s="65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51">
        <v>4680115889354</v>
      </c>
      <c r="E41" s="65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92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53"/>
      <c r="R41" s="653"/>
      <c r="S41" s="653"/>
      <c r="T41" s="654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51">
        <v>4680115888463</v>
      </c>
      <c r="E42" s="65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92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53"/>
      <c r="R42" s="653"/>
      <c r="S42" s="653"/>
      <c r="T42" s="654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51">
        <v>4680115888494</v>
      </c>
      <c r="E43" s="651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924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53"/>
      <c r="R43" s="653"/>
      <c r="S43" s="653"/>
      <c r="T43" s="654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651">
        <v>4680115888272</v>
      </c>
      <c r="E44" s="651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92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53"/>
      <c r="R44" s="653"/>
      <c r="S44" s="653"/>
      <c r="T44" s="654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51">
        <v>4680115888364</v>
      </c>
      <c r="E45" s="651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92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53"/>
      <c r="R45" s="653"/>
      <c r="S45" s="653"/>
      <c r="T45" s="654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5"/>
      <c r="B46" s="645"/>
      <c r="C46" s="645"/>
      <c r="D46" s="645"/>
      <c r="E46" s="645"/>
      <c r="F46" s="645"/>
      <c r="G46" s="645"/>
      <c r="H46" s="645"/>
      <c r="I46" s="645"/>
      <c r="J46" s="645"/>
      <c r="K46" s="645"/>
      <c r="L46" s="645"/>
      <c r="M46" s="645"/>
      <c r="N46" s="645"/>
      <c r="O46" s="646"/>
      <c r="P46" s="642" t="s">
        <v>40</v>
      </c>
      <c r="Q46" s="643"/>
      <c r="R46" s="643"/>
      <c r="S46" s="643"/>
      <c r="T46" s="643"/>
      <c r="U46" s="643"/>
      <c r="V46" s="644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5"/>
      <c r="B47" s="645"/>
      <c r="C47" s="645"/>
      <c r="D47" s="645"/>
      <c r="E47" s="645"/>
      <c r="F47" s="645"/>
      <c r="G47" s="645"/>
      <c r="H47" s="645"/>
      <c r="I47" s="645"/>
      <c r="J47" s="645"/>
      <c r="K47" s="645"/>
      <c r="L47" s="645"/>
      <c r="M47" s="645"/>
      <c r="N47" s="645"/>
      <c r="O47" s="646"/>
      <c r="P47" s="642" t="s">
        <v>40</v>
      </c>
      <c r="Q47" s="643"/>
      <c r="R47" s="643"/>
      <c r="S47" s="643"/>
      <c r="T47" s="643"/>
      <c r="U47" s="643"/>
      <c r="V47" s="644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62" t="s">
        <v>126</v>
      </c>
      <c r="B48" s="662"/>
      <c r="C48" s="662"/>
      <c r="D48" s="662"/>
      <c r="E48" s="662"/>
      <c r="F48" s="662"/>
      <c r="G48" s="662"/>
      <c r="H48" s="662"/>
      <c r="I48" s="662"/>
      <c r="J48" s="662"/>
      <c r="K48" s="662"/>
      <c r="L48" s="662"/>
      <c r="M48" s="662"/>
      <c r="N48" s="662"/>
      <c r="O48" s="662"/>
      <c r="P48" s="662"/>
      <c r="Q48" s="662"/>
      <c r="R48" s="662"/>
      <c r="S48" s="662"/>
      <c r="T48" s="662"/>
      <c r="U48" s="662"/>
      <c r="V48" s="662"/>
      <c r="W48" s="662"/>
      <c r="X48" s="662"/>
      <c r="Y48" s="662"/>
      <c r="Z48" s="662"/>
      <c r="AA48" s="54"/>
      <c r="AB48" s="54"/>
      <c r="AC48" s="54"/>
    </row>
    <row r="49" spans="1:68" ht="16.5" hidden="1" customHeight="1" x14ac:dyDescent="0.25">
      <c r="A49" s="655" t="s">
        <v>127</v>
      </c>
      <c r="B49" s="655"/>
      <c r="C49" s="655"/>
      <c r="D49" s="655"/>
      <c r="E49" s="655"/>
      <c r="F49" s="655"/>
      <c r="G49" s="655"/>
      <c r="H49" s="655"/>
      <c r="I49" s="655"/>
      <c r="J49" s="655"/>
      <c r="K49" s="655"/>
      <c r="L49" s="655"/>
      <c r="M49" s="655"/>
      <c r="N49" s="655"/>
      <c r="O49" s="655"/>
      <c r="P49" s="655"/>
      <c r="Q49" s="655"/>
      <c r="R49" s="655"/>
      <c r="S49" s="655"/>
      <c r="T49" s="655"/>
      <c r="U49" s="655"/>
      <c r="V49" s="655"/>
      <c r="W49" s="655"/>
      <c r="X49" s="655"/>
      <c r="Y49" s="655"/>
      <c r="Z49" s="655"/>
      <c r="AA49" s="65"/>
      <c r="AB49" s="65"/>
      <c r="AC49" s="79"/>
    </row>
    <row r="50" spans="1:68" ht="14.25" hidden="1" customHeight="1" x14ac:dyDescent="0.25">
      <c r="A50" s="656" t="s">
        <v>128</v>
      </c>
      <c r="B50" s="656"/>
      <c r="C50" s="656"/>
      <c r="D50" s="656"/>
      <c r="E50" s="656"/>
      <c r="F50" s="656"/>
      <c r="G50" s="656"/>
      <c r="H50" s="656"/>
      <c r="I50" s="656"/>
      <c r="J50" s="656"/>
      <c r="K50" s="656"/>
      <c r="L50" s="656"/>
      <c r="M50" s="656"/>
      <c r="N50" s="656"/>
      <c r="O50" s="656"/>
      <c r="P50" s="656"/>
      <c r="Q50" s="656"/>
      <c r="R50" s="656"/>
      <c r="S50" s="656"/>
      <c r="T50" s="656"/>
      <c r="U50" s="656"/>
      <c r="V50" s="656"/>
      <c r="W50" s="656"/>
      <c r="X50" s="656"/>
      <c r="Y50" s="656"/>
      <c r="Z50" s="65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51">
        <v>4607091385670</v>
      </c>
      <c r="E51" s="651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91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53"/>
      <c r="R51" s="653"/>
      <c r="S51" s="653"/>
      <c r="T51" s="654"/>
      <c r="U51" s="39" t="s">
        <v>46</v>
      </c>
      <c r="V51" s="39" t="s">
        <v>46</v>
      </c>
      <c r="W51" s="40" t="s">
        <v>0</v>
      </c>
      <c r="X51" s="58">
        <v>80</v>
      </c>
      <c r="Y51" s="55">
        <f>IFERROR(IF(X51="",0,CEILING((X51/$H51),1)*$H51),"")</f>
        <v>86.4</v>
      </c>
      <c r="Z51" s="41">
        <f>IFERROR(IF(Y51=0,"",ROUNDUP(Y51/H51,0)*0.01898),"")</f>
        <v>0.15184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83.037037037037038</v>
      </c>
      <c r="BN51" s="78">
        <f>IFERROR(Y51*I51/H51,"0")</f>
        <v>89.68</v>
      </c>
      <c r="BO51" s="78">
        <f>IFERROR(1/J51*(X51/H51),"0")</f>
        <v>0.11574074074074073</v>
      </c>
      <c r="BP51" s="78">
        <f>IFERROR(1/J51*(Y51/H51),"0")</f>
        <v>0.125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51">
        <v>4680115887725</v>
      </c>
      <c r="E52" s="651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91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53"/>
      <c r="R52" s="653"/>
      <c r="S52" s="653"/>
      <c r="T52" s="654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51">
        <v>4607091385687</v>
      </c>
      <c r="E53" s="651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91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53"/>
      <c r="R53" s="653"/>
      <c r="S53" s="653"/>
      <c r="T53" s="654"/>
      <c r="U53" s="39" t="s">
        <v>46</v>
      </c>
      <c r="V53" s="39" t="s">
        <v>46</v>
      </c>
      <c r="W53" s="40" t="s">
        <v>0</v>
      </c>
      <c r="X53" s="58">
        <v>12</v>
      </c>
      <c r="Y53" s="55">
        <f>IFERROR(IF(X53="",0,CEILING((X53/$H53),1)*$H53),"")</f>
        <v>12</v>
      </c>
      <c r="Z53" s="41">
        <f>IFERROR(IF(Y53=0,"",ROUNDUP(Y53/H53,0)*0.00902),"")</f>
        <v>2.7060000000000001E-2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12.57</v>
      </c>
      <c r="BN53" s="78">
        <f>IFERROR(Y53*I53/H53,"0")</f>
        <v>12.57</v>
      </c>
      <c r="BO53" s="78">
        <f>IFERROR(1/J53*(X53/H53),"0")</f>
        <v>2.2727272727272728E-2</v>
      </c>
      <c r="BP53" s="78">
        <f>IFERROR(1/J53*(Y53/H53),"0")</f>
        <v>2.2727272727272728E-2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51">
        <v>4680115882539</v>
      </c>
      <c r="E54" s="651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9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53"/>
      <c r="R54" s="653"/>
      <c r="S54" s="653"/>
      <c r="T54" s="654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645"/>
      <c r="B55" s="645"/>
      <c r="C55" s="645"/>
      <c r="D55" s="645"/>
      <c r="E55" s="645"/>
      <c r="F55" s="645"/>
      <c r="G55" s="645"/>
      <c r="H55" s="645"/>
      <c r="I55" s="645"/>
      <c r="J55" s="645"/>
      <c r="K55" s="645"/>
      <c r="L55" s="645"/>
      <c r="M55" s="645"/>
      <c r="N55" s="645"/>
      <c r="O55" s="646"/>
      <c r="P55" s="642" t="s">
        <v>40</v>
      </c>
      <c r="Q55" s="643"/>
      <c r="R55" s="643"/>
      <c r="S55" s="643"/>
      <c r="T55" s="643"/>
      <c r="U55" s="643"/>
      <c r="V55" s="644"/>
      <c r="W55" s="42" t="s">
        <v>39</v>
      </c>
      <c r="X55" s="43">
        <f>IFERROR(X51/H51,"0")+IFERROR(X52/H52,"0")+IFERROR(X53/H53,"0")+IFERROR(X54/H54,"0")</f>
        <v>10.407407407407407</v>
      </c>
      <c r="Y55" s="43">
        <f>IFERROR(Y51/H51,"0")+IFERROR(Y52/H52,"0")+IFERROR(Y53/H53,"0")+IFERROR(Y54/H54,"0")</f>
        <v>11</v>
      </c>
      <c r="Z55" s="43">
        <f>IFERROR(IF(Z51="",0,Z51),"0")+IFERROR(IF(Z52="",0,Z52),"0")+IFERROR(IF(Z53="",0,Z53),"0")+IFERROR(IF(Z54="",0,Z54),"0")</f>
        <v>0.1789</v>
      </c>
      <c r="AA55" s="67"/>
      <c r="AB55" s="67"/>
      <c r="AC55" s="67"/>
    </row>
    <row r="56" spans="1:68" x14ac:dyDescent="0.2">
      <c r="A56" s="645"/>
      <c r="B56" s="645"/>
      <c r="C56" s="645"/>
      <c r="D56" s="645"/>
      <c r="E56" s="645"/>
      <c r="F56" s="645"/>
      <c r="G56" s="645"/>
      <c r="H56" s="645"/>
      <c r="I56" s="645"/>
      <c r="J56" s="645"/>
      <c r="K56" s="645"/>
      <c r="L56" s="645"/>
      <c r="M56" s="645"/>
      <c r="N56" s="645"/>
      <c r="O56" s="646"/>
      <c r="P56" s="642" t="s">
        <v>40</v>
      </c>
      <c r="Q56" s="643"/>
      <c r="R56" s="643"/>
      <c r="S56" s="643"/>
      <c r="T56" s="643"/>
      <c r="U56" s="643"/>
      <c r="V56" s="644"/>
      <c r="W56" s="42" t="s">
        <v>0</v>
      </c>
      <c r="X56" s="43">
        <f>IFERROR(SUM(X51:X54),"0")</f>
        <v>92</v>
      </c>
      <c r="Y56" s="43">
        <f>IFERROR(SUM(Y51:Y54),"0")</f>
        <v>98.4</v>
      </c>
      <c r="Z56" s="42"/>
      <c r="AA56" s="67"/>
      <c r="AB56" s="67"/>
      <c r="AC56" s="67"/>
    </row>
    <row r="57" spans="1:68" ht="16.5" hidden="1" customHeight="1" x14ac:dyDescent="0.25">
      <c r="A57" s="655" t="s">
        <v>143</v>
      </c>
      <c r="B57" s="655"/>
      <c r="C57" s="655"/>
      <c r="D57" s="655"/>
      <c r="E57" s="655"/>
      <c r="F57" s="655"/>
      <c r="G57" s="655"/>
      <c r="H57" s="655"/>
      <c r="I57" s="655"/>
      <c r="J57" s="655"/>
      <c r="K57" s="655"/>
      <c r="L57" s="655"/>
      <c r="M57" s="655"/>
      <c r="N57" s="655"/>
      <c r="O57" s="655"/>
      <c r="P57" s="655"/>
      <c r="Q57" s="655"/>
      <c r="R57" s="655"/>
      <c r="S57" s="655"/>
      <c r="T57" s="655"/>
      <c r="U57" s="655"/>
      <c r="V57" s="655"/>
      <c r="W57" s="655"/>
      <c r="X57" s="655"/>
      <c r="Y57" s="655"/>
      <c r="Z57" s="655"/>
      <c r="AA57" s="65"/>
      <c r="AB57" s="65"/>
      <c r="AC57" s="79"/>
    </row>
    <row r="58" spans="1:68" ht="14.25" hidden="1" customHeight="1" x14ac:dyDescent="0.25">
      <c r="A58" s="656" t="s">
        <v>128</v>
      </c>
      <c r="B58" s="656"/>
      <c r="C58" s="656"/>
      <c r="D58" s="656"/>
      <c r="E58" s="656"/>
      <c r="F58" s="656"/>
      <c r="G58" s="656"/>
      <c r="H58" s="656"/>
      <c r="I58" s="656"/>
      <c r="J58" s="656"/>
      <c r="K58" s="656"/>
      <c r="L58" s="656"/>
      <c r="M58" s="656"/>
      <c r="N58" s="656"/>
      <c r="O58" s="656"/>
      <c r="P58" s="656"/>
      <c r="Q58" s="656"/>
      <c r="R58" s="656"/>
      <c r="S58" s="656"/>
      <c r="T58" s="656"/>
      <c r="U58" s="656"/>
      <c r="V58" s="656"/>
      <c r="W58" s="656"/>
      <c r="X58" s="656"/>
      <c r="Y58" s="656"/>
      <c r="Z58" s="65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51">
        <v>4680115885882</v>
      </c>
      <c r="E59" s="651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91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53"/>
      <c r="R59" s="653"/>
      <c r="S59" s="653"/>
      <c r="T59" s="65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51">
        <v>4680115885882</v>
      </c>
      <c r="E60" s="651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91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53"/>
      <c r="R60" s="653"/>
      <c r="S60" s="653"/>
      <c r="T60" s="65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51">
        <v>4680115881426</v>
      </c>
      <c r="E61" s="651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90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53"/>
      <c r="R61" s="653"/>
      <c r="S61" s="653"/>
      <c r="T61" s="654"/>
      <c r="U61" s="39" t="s">
        <v>46</v>
      </c>
      <c r="V61" s="39" t="s">
        <v>46</v>
      </c>
      <c r="W61" s="40" t="s">
        <v>0</v>
      </c>
      <c r="X61" s="58">
        <v>50</v>
      </c>
      <c r="Y61" s="55">
        <f t="shared" si="0"/>
        <v>54</v>
      </c>
      <c r="Z61" s="41">
        <f>IFERROR(IF(Y61=0,"",ROUNDUP(Y61/H61,0)*0.01898),"")</f>
        <v>9.4899999999999998E-2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51.898148148148145</v>
      </c>
      <c r="BN61" s="78">
        <f t="shared" si="2"/>
        <v>56.05</v>
      </c>
      <c r="BO61" s="78">
        <f t="shared" si="3"/>
        <v>7.2337962962962965E-2</v>
      </c>
      <c r="BP61" s="78">
        <f t="shared" si="4"/>
        <v>7.8125E-2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51">
        <v>4680115880283</v>
      </c>
      <c r="E62" s="651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91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53"/>
      <c r="R62" s="653"/>
      <c r="S62" s="653"/>
      <c r="T62" s="654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51">
        <v>4680115880283</v>
      </c>
      <c r="E63" s="651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91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53"/>
      <c r="R63" s="653"/>
      <c r="S63" s="653"/>
      <c r="T63" s="654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51">
        <v>4680115881525</v>
      </c>
      <c r="E64" s="651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91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53"/>
      <c r="R64" s="653"/>
      <c r="S64" s="653"/>
      <c r="T64" s="654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51">
        <v>4680115885899</v>
      </c>
      <c r="E65" s="651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913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53"/>
      <c r="R65" s="653"/>
      <c r="S65" s="653"/>
      <c r="T65" s="654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51">
        <v>4680115881419</v>
      </c>
      <c r="E66" s="651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90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53"/>
      <c r="R66" s="653"/>
      <c r="S66" s="653"/>
      <c r="T66" s="654"/>
      <c r="U66" s="39" t="s">
        <v>46</v>
      </c>
      <c r="V66" s="39" t="s">
        <v>46</v>
      </c>
      <c r="W66" s="40" t="s">
        <v>0</v>
      </c>
      <c r="X66" s="58">
        <v>9</v>
      </c>
      <c r="Y66" s="55">
        <f t="shared" si="0"/>
        <v>9</v>
      </c>
      <c r="Z66" s="41">
        <f>IFERROR(IF(Y66=0,"",ROUNDUP(Y66/H66,0)*0.00902),"")</f>
        <v>1.804E-2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9.3800000000000008</v>
      </c>
      <c r="BN66" s="78">
        <f t="shared" si="2"/>
        <v>9.3800000000000008</v>
      </c>
      <c r="BO66" s="78">
        <f t="shared" si="3"/>
        <v>1.5151515151515152E-2</v>
      </c>
      <c r="BP66" s="78">
        <f t="shared" si="4"/>
        <v>1.5151515151515152E-2</v>
      </c>
    </row>
    <row r="67" spans="1:68" x14ac:dyDescent="0.2">
      <c r="A67" s="645"/>
      <c r="B67" s="645"/>
      <c r="C67" s="645"/>
      <c r="D67" s="645"/>
      <c r="E67" s="645"/>
      <c r="F67" s="645"/>
      <c r="G67" s="645"/>
      <c r="H67" s="645"/>
      <c r="I67" s="645"/>
      <c r="J67" s="645"/>
      <c r="K67" s="645"/>
      <c r="L67" s="645"/>
      <c r="M67" s="645"/>
      <c r="N67" s="645"/>
      <c r="O67" s="646"/>
      <c r="P67" s="642" t="s">
        <v>40</v>
      </c>
      <c r="Q67" s="643"/>
      <c r="R67" s="643"/>
      <c r="S67" s="643"/>
      <c r="T67" s="643"/>
      <c r="U67" s="643"/>
      <c r="V67" s="64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6.6296296296296298</v>
      </c>
      <c r="Y67" s="43">
        <f>IFERROR(Y59/H59,"0")+IFERROR(Y60/H60,"0")+IFERROR(Y61/H61,"0")+IFERROR(Y62/H62,"0")+IFERROR(Y63/H63,"0")+IFERROR(Y64/H64,"0")+IFERROR(Y65/H65,"0")+IFERROR(Y66/H66,"0")</f>
        <v>7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0.11294</v>
      </c>
      <c r="AA67" s="67"/>
      <c r="AB67" s="67"/>
      <c r="AC67" s="67"/>
    </row>
    <row r="68" spans="1:68" x14ac:dyDescent="0.2">
      <c r="A68" s="645"/>
      <c r="B68" s="645"/>
      <c r="C68" s="645"/>
      <c r="D68" s="645"/>
      <c r="E68" s="645"/>
      <c r="F68" s="645"/>
      <c r="G68" s="645"/>
      <c r="H68" s="645"/>
      <c r="I68" s="645"/>
      <c r="J68" s="645"/>
      <c r="K68" s="645"/>
      <c r="L68" s="645"/>
      <c r="M68" s="645"/>
      <c r="N68" s="645"/>
      <c r="O68" s="646"/>
      <c r="P68" s="642" t="s">
        <v>40</v>
      </c>
      <c r="Q68" s="643"/>
      <c r="R68" s="643"/>
      <c r="S68" s="643"/>
      <c r="T68" s="643"/>
      <c r="U68" s="643"/>
      <c r="V68" s="644"/>
      <c r="W68" s="42" t="s">
        <v>0</v>
      </c>
      <c r="X68" s="43">
        <f>IFERROR(SUM(X59:X66),"0")</f>
        <v>59</v>
      </c>
      <c r="Y68" s="43">
        <f>IFERROR(SUM(Y59:Y66),"0")</f>
        <v>63</v>
      </c>
      <c r="Z68" s="42"/>
      <c r="AA68" s="67"/>
      <c r="AB68" s="67"/>
      <c r="AC68" s="67"/>
    </row>
    <row r="69" spans="1:68" ht="14.25" hidden="1" customHeight="1" x14ac:dyDescent="0.25">
      <c r="A69" s="656" t="s">
        <v>164</v>
      </c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6"/>
      <c r="P69" s="656"/>
      <c r="Q69" s="656"/>
      <c r="R69" s="656"/>
      <c r="S69" s="656"/>
      <c r="T69" s="656"/>
      <c r="U69" s="656"/>
      <c r="V69" s="656"/>
      <c r="W69" s="656"/>
      <c r="X69" s="656"/>
      <c r="Y69" s="656"/>
      <c r="Z69" s="65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51">
        <v>4680115881440</v>
      </c>
      <c r="E70" s="651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90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53"/>
      <c r="R70" s="653"/>
      <c r="S70" s="653"/>
      <c r="T70" s="654"/>
      <c r="U70" s="39" t="s">
        <v>46</v>
      </c>
      <c r="V70" s="39" t="s">
        <v>46</v>
      </c>
      <c r="W70" s="40" t="s">
        <v>0</v>
      </c>
      <c r="X70" s="58">
        <v>350</v>
      </c>
      <c r="Y70" s="55">
        <f>IFERROR(IF(X70="",0,CEILING((X70/$H70),1)*$H70),"")</f>
        <v>356.40000000000003</v>
      </c>
      <c r="Z70" s="41">
        <f>IFERROR(IF(Y70=0,"",ROUNDUP(Y70/H70,0)*0.01898),"")</f>
        <v>0.62634000000000001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363.28703703703707</v>
      </c>
      <c r="BN70" s="78">
        <f>IFERROR(Y70*I70/H70,"0")</f>
        <v>369.93</v>
      </c>
      <c r="BO70" s="78">
        <f>IFERROR(1/J70*(X70/H70),"0")</f>
        <v>0.5063657407407407</v>
      </c>
      <c r="BP70" s="78">
        <f>IFERROR(1/J70*(Y70/H70),"0")</f>
        <v>0.515625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51">
        <v>4680115885950</v>
      </c>
      <c r="E71" s="651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90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53"/>
      <c r="R71" s="653"/>
      <c r="S71" s="653"/>
      <c r="T71" s="654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51">
        <v>4680115887688</v>
      </c>
      <c r="E72" s="651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90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53"/>
      <c r="R72" s="653"/>
      <c r="S72" s="653"/>
      <c r="T72" s="65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173</v>
      </c>
      <c r="B73" s="63" t="s">
        <v>174</v>
      </c>
      <c r="C73" s="36">
        <v>4301020296</v>
      </c>
      <c r="D73" s="651">
        <v>4680115881433</v>
      </c>
      <c r="E73" s="651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90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53"/>
      <c r="R73" s="653"/>
      <c r="S73" s="653"/>
      <c r="T73" s="65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x14ac:dyDescent="0.2">
      <c r="A74" s="645"/>
      <c r="B74" s="645"/>
      <c r="C74" s="645"/>
      <c r="D74" s="645"/>
      <c r="E74" s="645"/>
      <c r="F74" s="645"/>
      <c r="G74" s="645"/>
      <c r="H74" s="645"/>
      <c r="I74" s="645"/>
      <c r="J74" s="645"/>
      <c r="K74" s="645"/>
      <c r="L74" s="645"/>
      <c r="M74" s="645"/>
      <c r="N74" s="645"/>
      <c r="O74" s="646"/>
      <c r="P74" s="642" t="s">
        <v>40</v>
      </c>
      <c r="Q74" s="643"/>
      <c r="R74" s="643"/>
      <c r="S74" s="643"/>
      <c r="T74" s="643"/>
      <c r="U74" s="643"/>
      <c r="V74" s="644"/>
      <c r="W74" s="42" t="s">
        <v>39</v>
      </c>
      <c r="X74" s="43">
        <f>IFERROR(X70/H70,"0")+IFERROR(X71/H71,"0")+IFERROR(X72/H72,"0")+IFERROR(X73/H73,"0")</f>
        <v>32.407407407407405</v>
      </c>
      <c r="Y74" s="43">
        <f>IFERROR(Y70/H70,"0")+IFERROR(Y71/H71,"0")+IFERROR(Y72/H72,"0")+IFERROR(Y73/H73,"0")</f>
        <v>33</v>
      </c>
      <c r="Z74" s="43">
        <f>IFERROR(IF(Z70="",0,Z70),"0")+IFERROR(IF(Z71="",0,Z71),"0")+IFERROR(IF(Z72="",0,Z72),"0")+IFERROR(IF(Z73="",0,Z73),"0")</f>
        <v>0.62634000000000001</v>
      </c>
      <c r="AA74" s="67"/>
      <c r="AB74" s="67"/>
      <c r="AC74" s="67"/>
    </row>
    <row r="75" spans="1:68" x14ac:dyDescent="0.2">
      <c r="A75" s="645"/>
      <c r="B75" s="645"/>
      <c r="C75" s="645"/>
      <c r="D75" s="645"/>
      <c r="E75" s="645"/>
      <c r="F75" s="645"/>
      <c r="G75" s="645"/>
      <c r="H75" s="645"/>
      <c r="I75" s="645"/>
      <c r="J75" s="645"/>
      <c r="K75" s="645"/>
      <c r="L75" s="645"/>
      <c r="M75" s="645"/>
      <c r="N75" s="645"/>
      <c r="O75" s="646"/>
      <c r="P75" s="642" t="s">
        <v>40</v>
      </c>
      <c r="Q75" s="643"/>
      <c r="R75" s="643"/>
      <c r="S75" s="643"/>
      <c r="T75" s="643"/>
      <c r="U75" s="643"/>
      <c r="V75" s="644"/>
      <c r="W75" s="42" t="s">
        <v>0</v>
      </c>
      <c r="X75" s="43">
        <f>IFERROR(SUM(X70:X73),"0")</f>
        <v>350</v>
      </c>
      <c r="Y75" s="43">
        <f>IFERROR(SUM(Y70:Y73),"0")</f>
        <v>356.40000000000003</v>
      </c>
      <c r="Z75" s="42"/>
      <c r="AA75" s="67"/>
      <c r="AB75" s="67"/>
      <c r="AC75" s="67"/>
    </row>
    <row r="76" spans="1:68" ht="14.25" hidden="1" customHeight="1" x14ac:dyDescent="0.25">
      <c r="A76" s="656" t="s">
        <v>86</v>
      </c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6"/>
      <c r="P76" s="656"/>
      <c r="Q76" s="656"/>
      <c r="R76" s="656"/>
      <c r="S76" s="656"/>
      <c r="T76" s="656"/>
      <c r="U76" s="656"/>
      <c r="V76" s="656"/>
      <c r="W76" s="656"/>
      <c r="X76" s="656"/>
      <c r="Y76" s="656"/>
      <c r="Z76" s="65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51">
        <v>4680115884311</v>
      </c>
      <c r="E77" s="651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90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53"/>
      <c r="R77" s="653"/>
      <c r="S77" s="653"/>
      <c r="T77" s="65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51">
        <v>4680115884403</v>
      </c>
      <c r="E78" s="651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9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53"/>
      <c r="R78" s="653"/>
      <c r="S78" s="653"/>
      <c r="T78" s="65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5"/>
      <c r="B79" s="645"/>
      <c r="C79" s="645"/>
      <c r="D79" s="645"/>
      <c r="E79" s="645"/>
      <c r="F79" s="645"/>
      <c r="G79" s="645"/>
      <c r="H79" s="645"/>
      <c r="I79" s="645"/>
      <c r="J79" s="645"/>
      <c r="K79" s="645"/>
      <c r="L79" s="645"/>
      <c r="M79" s="645"/>
      <c r="N79" s="645"/>
      <c r="O79" s="646"/>
      <c r="P79" s="642" t="s">
        <v>40</v>
      </c>
      <c r="Q79" s="643"/>
      <c r="R79" s="643"/>
      <c r="S79" s="643"/>
      <c r="T79" s="643"/>
      <c r="U79" s="643"/>
      <c r="V79" s="64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5"/>
      <c r="B80" s="645"/>
      <c r="C80" s="645"/>
      <c r="D80" s="645"/>
      <c r="E80" s="645"/>
      <c r="F80" s="645"/>
      <c r="G80" s="645"/>
      <c r="H80" s="645"/>
      <c r="I80" s="645"/>
      <c r="J80" s="645"/>
      <c r="K80" s="645"/>
      <c r="L80" s="645"/>
      <c r="M80" s="645"/>
      <c r="N80" s="645"/>
      <c r="O80" s="646"/>
      <c r="P80" s="642" t="s">
        <v>40</v>
      </c>
      <c r="Q80" s="643"/>
      <c r="R80" s="643"/>
      <c r="S80" s="643"/>
      <c r="T80" s="643"/>
      <c r="U80" s="643"/>
      <c r="V80" s="64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6" t="s">
        <v>181</v>
      </c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6"/>
      <c r="P81" s="656"/>
      <c r="Q81" s="656"/>
      <c r="R81" s="656"/>
      <c r="S81" s="656"/>
      <c r="T81" s="656"/>
      <c r="U81" s="656"/>
      <c r="V81" s="656"/>
      <c r="W81" s="656"/>
      <c r="X81" s="656"/>
      <c r="Y81" s="656"/>
      <c r="Z81" s="656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651">
        <v>4680115881532</v>
      </c>
      <c r="E82" s="651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9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53"/>
      <c r="R82" s="653"/>
      <c r="S82" s="653"/>
      <c r="T82" s="654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51">
        <v>4680115881464</v>
      </c>
      <c r="E83" s="651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90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53"/>
      <c r="R83" s="653"/>
      <c r="S83" s="653"/>
      <c r="T83" s="65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645"/>
      <c r="B84" s="645"/>
      <c r="C84" s="645"/>
      <c r="D84" s="645"/>
      <c r="E84" s="645"/>
      <c r="F84" s="645"/>
      <c r="G84" s="645"/>
      <c r="H84" s="645"/>
      <c r="I84" s="645"/>
      <c r="J84" s="645"/>
      <c r="K84" s="645"/>
      <c r="L84" s="645"/>
      <c r="M84" s="645"/>
      <c r="N84" s="645"/>
      <c r="O84" s="646"/>
      <c r="P84" s="642" t="s">
        <v>40</v>
      </c>
      <c r="Q84" s="643"/>
      <c r="R84" s="643"/>
      <c r="S84" s="643"/>
      <c r="T84" s="643"/>
      <c r="U84" s="643"/>
      <c r="V84" s="644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645"/>
      <c r="B85" s="645"/>
      <c r="C85" s="645"/>
      <c r="D85" s="645"/>
      <c r="E85" s="645"/>
      <c r="F85" s="645"/>
      <c r="G85" s="645"/>
      <c r="H85" s="645"/>
      <c r="I85" s="645"/>
      <c r="J85" s="645"/>
      <c r="K85" s="645"/>
      <c r="L85" s="645"/>
      <c r="M85" s="645"/>
      <c r="N85" s="645"/>
      <c r="O85" s="646"/>
      <c r="P85" s="642" t="s">
        <v>40</v>
      </c>
      <c r="Q85" s="643"/>
      <c r="R85" s="643"/>
      <c r="S85" s="643"/>
      <c r="T85" s="643"/>
      <c r="U85" s="643"/>
      <c r="V85" s="644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655" t="s">
        <v>188</v>
      </c>
      <c r="B86" s="655"/>
      <c r="C86" s="655"/>
      <c r="D86" s="655"/>
      <c r="E86" s="655"/>
      <c r="F86" s="655"/>
      <c r="G86" s="655"/>
      <c r="H86" s="655"/>
      <c r="I86" s="655"/>
      <c r="J86" s="655"/>
      <c r="K86" s="655"/>
      <c r="L86" s="655"/>
      <c r="M86" s="655"/>
      <c r="N86" s="655"/>
      <c r="O86" s="655"/>
      <c r="P86" s="655"/>
      <c r="Q86" s="655"/>
      <c r="R86" s="655"/>
      <c r="S86" s="655"/>
      <c r="T86" s="655"/>
      <c r="U86" s="655"/>
      <c r="V86" s="655"/>
      <c r="W86" s="655"/>
      <c r="X86" s="655"/>
      <c r="Y86" s="655"/>
      <c r="Z86" s="655"/>
      <c r="AA86" s="65"/>
      <c r="AB86" s="65"/>
      <c r="AC86" s="79"/>
    </row>
    <row r="87" spans="1:68" ht="14.25" hidden="1" customHeight="1" x14ac:dyDescent="0.25">
      <c r="A87" s="656" t="s">
        <v>128</v>
      </c>
      <c r="B87" s="656"/>
      <c r="C87" s="656"/>
      <c r="D87" s="656"/>
      <c r="E87" s="656"/>
      <c r="F87" s="656"/>
      <c r="G87" s="656"/>
      <c r="H87" s="656"/>
      <c r="I87" s="656"/>
      <c r="J87" s="656"/>
      <c r="K87" s="656"/>
      <c r="L87" s="656"/>
      <c r="M87" s="656"/>
      <c r="N87" s="656"/>
      <c r="O87" s="656"/>
      <c r="P87" s="656"/>
      <c r="Q87" s="656"/>
      <c r="R87" s="656"/>
      <c r="S87" s="656"/>
      <c r="T87" s="656"/>
      <c r="U87" s="656"/>
      <c r="V87" s="656"/>
      <c r="W87" s="656"/>
      <c r="X87" s="656"/>
      <c r="Y87" s="656"/>
      <c r="Z87" s="656"/>
      <c r="AA87" s="66"/>
      <c r="AB87" s="66"/>
      <c r="AC87" s="80"/>
    </row>
    <row r="88" spans="1:68" ht="27" hidden="1" customHeight="1" x14ac:dyDescent="0.25">
      <c r="A88" s="63" t="s">
        <v>189</v>
      </c>
      <c r="B88" s="63" t="s">
        <v>190</v>
      </c>
      <c r="C88" s="36">
        <v>4301011468</v>
      </c>
      <c r="D88" s="651">
        <v>4680115881327</v>
      </c>
      <c r="E88" s="651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89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53"/>
      <c r="R88" s="653"/>
      <c r="S88" s="653"/>
      <c r="T88" s="654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51">
        <v>4680115887732</v>
      </c>
      <c r="E89" s="651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89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53"/>
      <c r="R89" s="653"/>
      <c r="S89" s="653"/>
      <c r="T89" s="654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51">
        <v>4680115881518</v>
      </c>
      <c r="E90" s="651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89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53"/>
      <c r="R90" s="653"/>
      <c r="S90" s="653"/>
      <c r="T90" s="654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4301011443</v>
      </c>
      <c r="D91" s="651">
        <v>4680115881303</v>
      </c>
      <c r="E91" s="651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89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53"/>
      <c r="R91" s="653"/>
      <c r="S91" s="653"/>
      <c r="T91" s="65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645"/>
      <c r="B92" s="645"/>
      <c r="C92" s="645"/>
      <c r="D92" s="645"/>
      <c r="E92" s="645"/>
      <c r="F92" s="645"/>
      <c r="G92" s="645"/>
      <c r="H92" s="645"/>
      <c r="I92" s="645"/>
      <c r="J92" s="645"/>
      <c r="K92" s="645"/>
      <c r="L92" s="645"/>
      <c r="M92" s="645"/>
      <c r="N92" s="645"/>
      <c r="O92" s="646"/>
      <c r="P92" s="642" t="s">
        <v>40</v>
      </c>
      <c r="Q92" s="643"/>
      <c r="R92" s="643"/>
      <c r="S92" s="643"/>
      <c r="T92" s="643"/>
      <c r="U92" s="643"/>
      <c r="V92" s="644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645"/>
      <c r="B93" s="645"/>
      <c r="C93" s="645"/>
      <c r="D93" s="645"/>
      <c r="E93" s="645"/>
      <c r="F93" s="645"/>
      <c r="G93" s="645"/>
      <c r="H93" s="645"/>
      <c r="I93" s="645"/>
      <c r="J93" s="645"/>
      <c r="K93" s="645"/>
      <c r="L93" s="645"/>
      <c r="M93" s="645"/>
      <c r="N93" s="645"/>
      <c r="O93" s="646"/>
      <c r="P93" s="642" t="s">
        <v>40</v>
      </c>
      <c r="Q93" s="643"/>
      <c r="R93" s="643"/>
      <c r="S93" s="643"/>
      <c r="T93" s="643"/>
      <c r="U93" s="643"/>
      <c r="V93" s="644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656" t="s">
        <v>86</v>
      </c>
      <c r="B94" s="656"/>
      <c r="C94" s="656"/>
      <c r="D94" s="656"/>
      <c r="E94" s="656"/>
      <c r="F94" s="656"/>
      <c r="G94" s="656"/>
      <c r="H94" s="656"/>
      <c r="I94" s="656"/>
      <c r="J94" s="656"/>
      <c r="K94" s="656"/>
      <c r="L94" s="656"/>
      <c r="M94" s="656"/>
      <c r="N94" s="656"/>
      <c r="O94" s="656"/>
      <c r="P94" s="656"/>
      <c r="Q94" s="656"/>
      <c r="R94" s="656"/>
      <c r="S94" s="656"/>
      <c r="T94" s="656"/>
      <c r="U94" s="656"/>
      <c r="V94" s="656"/>
      <c r="W94" s="656"/>
      <c r="X94" s="656"/>
      <c r="Y94" s="656"/>
      <c r="Z94" s="656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651">
        <v>4607091386967</v>
      </c>
      <c r="E95" s="651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89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53"/>
      <c r="R95" s="653"/>
      <c r="S95" s="653"/>
      <c r="T95" s="654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51">
        <v>4680115884953</v>
      </c>
      <c r="E96" s="651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89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53"/>
      <c r="R96" s="653"/>
      <c r="S96" s="653"/>
      <c r="T96" s="654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204</v>
      </c>
      <c r="B97" s="63" t="s">
        <v>205</v>
      </c>
      <c r="C97" s="36">
        <v>4301051718</v>
      </c>
      <c r="D97" s="651">
        <v>4607091385731</v>
      </c>
      <c r="E97" s="651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89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53"/>
      <c r="R97" s="653"/>
      <c r="S97" s="653"/>
      <c r="T97" s="654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25">
      <c r="A98" s="63" t="s">
        <v>206</v>
      </c>
      <c r="B98" s="63" t="s">
        <v>207</v>
      </c>
      <c r="C98" s="36">
        <v>4301052092</v>
      </c>
      <c r="D98" s="651">
        <v>4680115880894</v>
      </c>
      <c r="E98" s="651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89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53"/>
      <c r="R98" s="653"/>
      <c r="S98" s="653"/>
      <c r="T98" s="654"/>
      <c r="U98" s="39" t="s">
        <v>46</v>
      </c>
      <c r="V98" s="39" t="s">
        <v>46</v>
      </c>
      <c r="W98" s="40" t="s">
        <v>0</v>
      </c>
      <c r="X98" s="58">
        <v>3.96</v>
      </c>
      <c r="Y98" s="55">
        <f>IFERROR(IF(X98="",0,CEILING((X98/$H98),1)*$H98),"")</f>
        <v>3.96</v>
      </c>
      <c r="Z98" s="41">
        <f>IFERROR(IF(Y98=0,"",ROUNDUP(Y98/H98,0)*0.00651),"")</f>
        <v>1.302E-2</v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4.476</v>
      </c>
      <c r="BN98" s="78">
        <f>IFERROR(Y98*I98/H98,"0")</f>
        <v>4.476</v>
      </c>
      <c r="BO98" s="78">
        <f>IFERROR(1/J98*(X98/H98),"0")</f>
        <v>1.098901098901099E-2</v>
      </c>
      <c r="BP98" s="78">
        <f>IFERROR(1/J98*(Y98/H98),"0")</f>
        <v>1.098901098901099E-2</v>
      </c>
    </row>
    <row r="99" spans="1:68" x14ac:dyDescent="0.2">
      <c r="A99" s="645"/>
      <c r="B99" s="645"/>
      <c r="C99" s="645"/>
      <c r="D99" s="645"/>
      <c r="E99" s="645"/>
      <c r="F99" s="645"/>
      <c r="G99" s="645"/>
      <c r="H99" s="645"/>
      <c r="I99" s="645"/>
      <c r="J99" s="645"/>
      <c r="K99" s="645"/>
      <c r="L99" s="645"/>
      <c r="M99" s="645"/>
      <c r="N99" s="645"/>
      <c r="O99" s="646"/>
      <c r="P99" s="642" t="s">
        <v>40</v>
      </c>
      <c r="Q99" s="643"/>
      <c r="R99" s="643"/>
      <c r="S99" s="643"/>
      <c r="T99" s="643"/>
      <c r="U99" s="643"/>
      <c r="V99" s="644"/>
      <c r="W99" s="42" t="s">
        <v>39</v>
      </c>
      <c r="X99" s="43">
        <f>IFERROR(X95/H95,"0")+IFERROR(X96/H96,"0")+IFERROR(X97/H97,"0")+IFERROR(X98/H98,"0")</f>
        <v>2</v>
      </c>
      <c r="Y99" s="43">
        <f>IFERROR(Y95/H95,"0")+IFERROR(Y96/H96,"0")+IFERROR(Y97/H97,"0")+IFERROR(Y98/H98,"0")</f>
        <v>2</v>
      </c>
      <c r="Z99" s="43">
        <f>IFERROR(IF(Z95="",0,Z95),"0")+IFERROR(IF(Z96="",0,Z96),"0")+IFERROR(IF(Z97="",0,Z97),"0")+IFERROR(IF(Z98="",0,Z98),"0")</f>
        <v>1.302E-2</v>
      </c>
      <c r="AA99" s="67"/>
      <c r="AB99" s="67"/>
      <c r="AC99" s="67"/>
    </row>
    <row r="100" spans="1:68" x14ac:dyDescent="0.2">
      <c r="A100" s="645"/>
      <c r="B100" s="645"/>
      <c r="C100" s="645"/>
      <c r="D100" s="645"/>
      <c r="E100" s="645"/>
      <c r="F100" s="645"/>
      <c r="G100" s="645"/>
      <c r="H100" s="645"/>
      <c r="I100" s="645"/>
      <c r="J100" s="645"/>
      <c r="K100" s="645"/>
      <c r="L100" s="645"/>
      <c r="M100" s="645"/>
      <c r="N100" s="645"/>
      <c r="O100" s="646"/>
      <c r="P100" s="642" t="s">
        <v>40</v>
      </c>
      <c r="Q100" s="643"/>
      <c r="R100" s="643"/>
      <c r="S100" s="643"/>
      <c r="T100" s="643"/>
      <c r="U100" s="643"/>
      <c r="V100" s="644"/>
      <c r="W100" s="42" t="s">
        <v>0</v>
      </c>
      <c r="X100" s="43">
        <f>IFERROR(SUM(X95:X98),"0")</f>
        <v>3.96</v>
      </c>
      <c r="Y100" s="43">
        <f>IFERROR(SUM(Y95:Y98),"0")</f>
        <v>3.96</v>
      </c>
      <c r="Z100" s="42"/>
      <c r="AA100" s="67"/>
      <c r="AB100" s="67"/>
      <c r="AC100" s="67"/>
    </row>
    <row r="101" spans="1:68" ht="16.5" hidden="1" customHeight="1" x14ac:dyDescent="0.25">
      <c r="A101" s="655" t="s">
        <v>209</v>
      </c>
      <c r="B101" s="655"/>
      <c r="C101" s="655"/>
      <c r="D101" s="655"/>
      <c r="E101" s="655"/>
      <c r="F101" s="655"/>
      <c r="G101" s="655"/>
      <c r="H101" s="655"/>
      <c r="I101" s="655"/>
      <c r="J101" s="655"/>
      <c r="K101" s="655"/>
      <c r="L101" s="655"/>
      <c r="M101" s="655"/>
      <c r="N101" s="655"/>
      <c r="O101" s="655"/>
      <c r="P101" s="655"/>
      <c r="Q101" s="655"/>
      <c r="R101" s="655"/>
      <c r="S101" s="655"/>
      <c r="T101" s="655"/>
      <c r="U101" s="655"/>
      <c r="V101" s="655"/>
      <c r="W101" s="655"/>
      <c r="X101" s="655"/>
      <c r="Y101" s="655"/>
      <c r="Z101" s="655"/>
      <c r="AA101" s="65"/>
      <c r="AB101" s="65"/>
      <c r="AC101" s="79"/>
    </row>
    <row r="102" spans="1:68" ht="14.25" hidden="1" customHeight="1" x14ac:dyDescent="0.25">
      <c r="A102" s="656" t="s">
        <v>128</v>
      </c>
      <c r="B102" s="656"/>
      <c r="C102" s="656"/>
      <c r="D102" s="656"/>
      <c r="E102" s="656"/>
      <c r="F102" s="656"/>
      <c r="G102" s="656"/>
      <c r="H102" s="656"/>
      <c r="I102" s="656"/>
      <c r="J102" s="656"/>
      <c r="K102" s="656"/>
      <c r="L102" s="656"/>
      <c r="M102" s="656"/>
      <c r="N102" s="656"/>
      <c r="O102" s="656"/>
      <c r="P102" s="656"/>
      <c r="Q102" s="656"/>
      <c r="R102" s="656"/>
      <c r="S102" s="656"/>
      <c r="T102" s="656"/>
      <c r="U102" s="656"/>
      <c r="V102" s="656"/>
      <c r="W102" s="656"/>
      <c r="X102" s="656"/>
      <c r="Y102" s="656"/>
      <c r="Z102" s="656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651">
        <v>4680115882133</v>
      </c>
      <c r="E103" s="651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88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53"/>
      <c r="R103" s="653"/>
      <c r="S103" s="653"/>
      <c r="T103" s="654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51">
        <v>4680115887718</v>
      </c>
      <c r="E104" s="651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88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3"/>
      <c r="R104" s="653"/>
      <c r="S104" s="653"/>
      <c r="T104" s="65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51">
        <v>4680115887718</v>
      </c>
      <c r="E105" s="651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89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53"/>
      <c r="R105" s="653"/>
      <c r="S105" s="653"/>
      <c r="T105" s="654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51">
        <v>4680115880269</v>
      </c>
      <c r="E106" s="651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8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53"/>
      <c r="R106" s="653"/>
      <c r="S106" s="653"/>
      <c r="T106" s="654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651">
        <v>4680115880429</v>
      </c>
      <c r="E107" s="651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88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53"/>
      <c r="R107" s="653"/>
      <c r="S107" s="653"/>
      <c r="T107" s="654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51">
        <v>4680115881457</v>
      </c>
      <c r="E108" s="651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8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53"/>
      <c r="R108" s="653"/>
      <c r="S108" s="653"/>
      <c r="T108" s="654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645"/>
      <c r="B109" s="645"/>
      <c r="C109" s="645"/>
      <c r="D109" s="645"/>
      <c r="E109" s="645"/>
      <c r="F109" s="645"/>
      <c r="G109" s="645"/>
      <c r="H109" s="645"/>
      <c r="I109" s="645"/>
      <c r="J109" s="645"/>
      <c r="K109" s="645"/>
      <c r="L109" s="645"/>
      <c r="M109" s="645"/>
      <c r="N109" s="645"/>
      <c r="O109" s="646"/>
      <c r="P109" s="642" t="s">
        <v>40</v>
      </c>
      <c r="Q109" s="643"/>
      <c r="R109" s="643"/>
      <c r="S109" s="643"/>
      <c r="T109" s="643"/>
      <c r="U109" s="643"/>
      <c r="V109" s="644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645"/>
      <c r="B110" s="645"/>
      <c r="C110" s="645"/>
      <c r="D110" s="645"/>
      <c r="E110" s="645"/>
      <c r="F110" s="645"/>
      <c r="G110" s="645"/>
      <c r="H110" s="645"/>
      <c r="I110" s="645"/>
      <c r="J110" s="645"/>
      <c r="K110" s="645"/>
      <c r="L110" s="645"/>
      <c r="M110" s="645"/>
      <c r="N110" s="645"/>
      <c r="O110" s="646"/>
      <c r="P110" s="642" t="s">
        <v>40</v>
      </c>
      <c r="Q110" s="643"/>
      <c r="R110" s="643"/>
      <c r="S110" s="643"/>
      <c r="T110" s="643"/>
      <c r="U110" s="643"/>
      <c r="V110" s="644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656" t="s">
        <v>164</v>
      </c>
      <c r="B111" s="656"/>
      <c r="C111" s="656"/>
      <c r="D111" s="656"/>
      <c r="E111" s="656"/>
      <c r="F111" s="656"/>
      <c r="G111" s="656"/>
      <c r="H111" s="656"/>
      <c r="I111" s="656"/>
      <c r="J111" s="656"/>
      <c r="K111" s="656"/>
      <c r="L111" s="656"/>
      <c r="M111" s="656"/>
      <c r="N111" s="656"/>
      <c r="O111" s="656"/>
      <c r="P111" s="656"/>
      <c r="Q111" s="656"/>
      <c r="R111" s="656"/>
      <c r="S111" s="656"/>
      <c r="T111" s="656"/>
      <c r="U111" s="656"/>
      <c r="V111" s="656"/>
      <c r="W111" s="656"/>
      <c r="X111" s="656"/>
      <c r="Y111" s="656"/>
      <c r="Z111" s="65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51">
        <v>4680115881488</v>
      </c>
      <c r="E112" s="651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88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3"/>
      <c r="R112" s="653"/>
      <c r="S112" s="653"/>
      <c r="T112" s="65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51">
        <v>4680115887664</v>
      </c>
      <c r="E113" s="651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8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3"/>
      <c r="R113" s="653"/>
      <c r="S113" s="653"/>
      <c r="T113" s="654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51">
        <v>4680115887664</v>
      </c>
      <c r="E114" s="651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88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3"/>
      <c r="R114" s="653"/>
      <c r="S114" s="653"/>
      <c r="T114" s="654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51">
        <v>4680115882775</v>
      </c>
      <c r="E115" s="651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88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3"/>
      <c r="R115" s="653"/>
      <c r="S115" s="653"/>
      <c r="T115" s="654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51">
        <v>4680115880658</v>
      </c>
      <c r="E116" s="651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88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3"/>
      <c r="R116" s="653"/>
      <c r="S116" s="653"/>
      <c r="T116" s="654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645"/>
      <c r="B117" s="645"/>
      <c r="C117" s="645"/>
      <c r="D117" s="645"/>
      <c r="E117" s="645"/>
      <c r="F117" s="645"/>
      <c r="G117" s="645"/>
      <c r="H117" s="645"/>
      <c r="I117" s="645"/>
      <c r="J117" s="645"/>
      <c r="K117" s="645"/>
      <c r="L117" s="645"/>
      <c r="M117" s="645"/>
      <c r="N117" s="645"/>
      <c r="O117" s="646"/>
      <c r="P117" s="642" t="s">
        <v>40</v>
      </c>
      <c r="Q117" s="643"/>
      <c r="R117" s="643"/>
      <c r="S117" s="643"/>
      <c r="T117" s="643"/>
      <c r="U117" s="643"/>
      <c r="V117" s="64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645"/>
      <c r="B118" s="645"/>
      <c r="C118" s="645"/>
      <c r="D118" s="645"/>
      <c r="E118" s="645"/>
      <c r="F118" s="645"/>
      <c r="G118" s="645"/>
      <c r="H118" s="645"/>
      <c r="I118" s="645"/>
      <c r="J118" s="645"/>
      <c r="K118" s="645"/>
      <c r="L118" s="645"/>
      <c r="M118" s="645"/>
      <c r="N118" s="645"/>
      <c r="O118" s="646"/>
      <c r="P118" s="642" t="s">
        <v>40</v>
      </c>
      <c r="Q118" s="643"/>
      <c r="R118" s="643"/>
      <c r="S118" s="643"/>
      <c r="T118" s="643"/>
      <c r="U118" s="643"/>
      <c r="V118" s="64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56" t="s">
        <v>86</v>
      </c>
      <c r="B119" s="656"/>
      <c r="C119" s="656"/>
      <c r="D119" s="656"/>
      <c r="E119" s="656"/>
      <c r="F119" s="656"/>
      <c r="G119" s="656"/>
      <c r="H119" s="656"/>
      <c r="I119" s="656"/>
      <c r="J119" s="656"/>
      <c r="K119" s="656"/>
      <c r="L119" s="656"/>
      <c r="M119" s="656"/>
      <c r="N119" s="656"/>
      <c r="O119" s="656"/>
      <c r="P119" s="656"/>
      <c r="Q119" s="656"/>
      <c r="R119" s="656"/>
      <c r="S119" s="656"/>
      <c r="T119" s="656"/>
      <c r="U119" s="656"/>
      <c r="V119" s="656"/>
      <c r="W119" s="656"/>
      <c r="X119" s="656"/>
      <c r="Y119" s="656"/>
      <c r="Z119" s="65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51">
        <v>4607091385168</v>
      </c>
      <c r="E120" s="651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87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53"/>
      <c r="R120" s="653"/>
      <c r="S120" s="653"/>
      <c r="T120" s="654"/>
      <c r="U120" s="39" t="s">
        <v>46</v>
      </c>
      <c r="V120" s="39" t="s">
        <v>46</v>
      </c>
      <c r="W120" s="40" t="s">
        <v>0</v>
      </c>
      <c r="X120" s="58">
        <v>50</v>
      </c>
      <c r="Y120" s="55">
        <f>IFERROR(IF(X120="",0,CEILING((X120/$H120),1)*$H120),"")</f>
        <v>56.699999999999996</v>
      </c>
      <c r="Z120" s="41">
        <f>IFERROR(IF(Y120=0,"",ROUNDUP(Y120/H120,0)*0.01898),"")</f>
        <v>0.13286000000000001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53.012345679012348</v>
      </c>
      <c r="BN120" s="78">
        <f>IFERROR(Y120*I120/H120,"0")</f>
        <v>60.115999999999993</v>
      </c>
      <c r="BO120" s="78">
        <f>IFERROR(1/J120*(X120/H120),"0")</f>
        <v>9.6450617283950615E-2</v>
      </c>
      <c r="BP120" s="78">
        <f>IFERROR(1/J120*(Y120/H120),"0")</f>
        <v>0.109375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51">
        <v>4607091383256</v>
      </c>
      <c r="E121" s="651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87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53"/>
      <c r="R121" s="653"/>
      <c r="S121" s="653"/>
      <c r="T121" s="654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240</v>
      </c>
      <c r="B122" s="63" t="s">
        <v>241</v>
      </c>
      <c r="C122" s="36">
        <v>4301051721</v>
      </c>
      <c r="D122" s="651">
        <v>4607091385748</v>
      </c>
      <c r="E122" s="651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87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53"/>
      <c r="R122" s="653"/>
      <c r="S122" s="653"/>
      <c r="T122" s="654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651">
        <v>4680115884533</v>
      </c>
      <c r="E123" s="651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88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53"/>
      <c r="R123" s="653"/>
      <c r="S123" s="653"/>
      <c r="T123" s="65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645"/>
      <c r="B124" s="645"/>
      <c r="C124" s="645"/>
      <c r="D124" s="645"/>
      <c r="E124" s="645"/>
      <c r="F124" s="645"/>
      <c r="G124" s="645"/>
      <c r="H124" s="645"/>
      <c r="I124" s="645"/>
      <c r="J124" s="645"/>
      <c r="K124" s="645"/>
      <c r="L124" s="645"/>
      <c r="M124" s="645"/>
      <c r="N124" s="645"/>
      <c r="O124" s="646"/>
      <c r="P124" s="642" t="s">
        <v>40</v>
      </c>
      <c r="Q124" s="643"/>
      <c r="R124" s="643"/>
      <c r="S124" s="643"/>
      <c r="T124" s="643"/>
      <c r="U124" s="643"/>
      <c r="V124" s="644"/>
      <c r="W124" s="42" t="s">
        <v>39</v>
      </c>
      <c r="X124" s="43">
        <f>IFERROR(X120/H120,"0")+IFERROR(X121/H121,"0")+IFERROR(X122/H122,"0")+IFERROR(X123/H123,"0")</f>
        <v>6.1728395061728394</v>
      </c>
      <c r="Y124" s="43">
        <f>IFERROR(Y120/H120,"0")+IFERROR(Y121/H121,"0")+IFERROR(Y122/H122,"0")+IFERROR(Y123/H123,"0")</f>
        <v>7</v>
      </c>
      <c r="Z124" s="43">
        <f>IFERROR(IF(Z120="",0,Z120),"0")+IFERROR(IF(Z121="",0,Z121),"0")+IFERROR(IF(Z122="",0,Z122),"0")+IFERROR(IF(Z123="",0,Z123),"0")</f>
        <v>0.13286000000000001</v>
      </c>
      <c r="AA124" s="67"/>
      <c r="AB124" s="67"/>
      <c r="AC124" s="67"/>
    </row>
    <row r="125" spans="1:68" x14ac:dyDescent="0.2">
      <c r="A125" s="645"/>
      <c r="B125" s="645"/>
      <c r="C125" s="645"/>
      <c r="D125" s="645"/>
      <c r="E125" s="645"/>
      <c r="F125" s="645"/>
      <c r="G125" s="645"/>
      <c r="H125" s="645"/>
      <c r="I125" s="645"/>
      <c r="J125" s="645"/>
      <c r="K125" s="645"/>
      <c r="L125" s="645"/>
      <c r="M125" s="645"/>
      <c r="N125" s="645"/>
      <c r="O125" s="646"/>
      <c r="P125" s="642" t="s">
        <v>40</v>
      </c>
      <c r="Q125" s="643"/>
      <c r="R125" s="643"/>
      <c r="S125" s="643"/>
      <c r="T125" s="643"/>
      <c r="U125" s="643"/>
      <c r="V125" s="644"/>
      <c r="W125" s="42" t="s">
        <v>0</v>
      </c>
      <c r="X125" s="43">
        <f>IFERROR(SUM(X120:X123),"0")</f>
        <v>50</v>
      </c>
      <c r="Y125" s="43">
        <f>IFERROR(SUM(Y120:Y123),"0")</f>
        <v>56.699999999999996</v>
      </c>
      <c r="Z125" s="42"/>
      <c r="AA125" s="67"/>
      <c r="AB125" s="67"/>
      <c r="AC125" s="67"/>
    </row>
    <row r="126" spans="1:68" ht="14.25" hidden="1" customHeight="1" x14ac:dyDescent="0.25">
      <c r="A126" s="656" t="s">
        <v>181</v>
      </c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6"/>
      <c r="P126" s="656"/>
      <c r="Q126" s="656"/>
      <c r="R126" s="656"/>
      <c r="S126" s="656"/>
      <c r="T126" s="656"/>
      <c r="U126" s="656"/>
      <c r="V126" s="656"/>
      <c r="W126" s="656"/>
      <c r="X126" s="656"/>
      <c r="Y126" s="656"/>
      <c r="Z126" s="656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651">
        <v>4680115880238</v>
      </c>
      <c r="E127" s="651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8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53"/>
      <c r="R127" s="653"/>
      <c r="S127" s="653"/>
      <c r="T127" s="654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5"/>
      <c r="B128" s="645"/>
      <c r="C128" s="645"/>
      <c r="D128" s="645"/>
      <c r="E128" s="645"/>
      <c r="F128" s="645"/>
      <c r="G128" s="645"/>
      <c r="H128" s="645"/>
      <c r="I128" s="645"/>
      <c r="J128" s="645"/>
      <c r="K128" s="645"/>
      <c r="L128" s="645"/>
      <c r="M128" s="645"/>
      <c r="N128" s="645"/>
      <c r="O128" s="646"/>
      <c r="P128" s="642" t="s">
        <v>40</v>
      </c>
      <c r="Q128" s="643"/>
      <c r="R128" s="643"/>
      <c r="S128" s="643"/>
      <c r="T128" s="643"/>
      <c r="U128" s="643"/>
      <c r="V128" s="644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645"/>
      <c r="B129" s="645"/>
      <c r="C129" s="645"/>
      <c r="D129" s="645"/>
      <c r="E129" s="645"/>
      <c r="F129" s="645"/>
      <c r="G129" s="645"/>
      <c r="H129" s="645"/>
      <c r="I129" s="645"/>
      <c r="J129" s="645"/>
      <c r="K129" s="645"/>
      <c r="L129" s="645"/>
      <c r="M129" s="645"/>
      <c r="N129" s="645"/>
      <c r="O129" s="646"/>
      <c r="P129" s="642" t="s">
        <v>40</v>
      </c>
      <c r="Q129" s="643"/>
      <c r="R129" s="643"/>
      <c r="S129" s="643"/>
      <c r="T129" s="643"/>
      <c r="U129" s="643"/>
      <c r="V129" s="644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655" t="s">
        <v>248</v>
      </c>
      <c r="B130" s="655"/>
      <c r="C130" s="655"/>
      <c r="D130" s="655"/>
      <c r="E130" s="655"/>
      <c r="F130" s="655"/>
      <c r="G130" s="655"/>
      <c r="H130" s="655"/>
      <c r="I130" s="655"/>
      <c r="J130" s="655"/>
      <c r="K130" s="655"/>
      <c r="L130" s="655"/>
      <c r="M130" s="655"/>
      <c r="N130" s="655"/>
      <c r="O130" s="655"/>
      <c r="P130" s="655"/>
      <c r="Q130" s="655"/>
      <c r="R130" s="655"/>
      <c r="S130" s="655"/>
      <c r="T130" s="655"/>
      <c r="U130" s="655"/>
      <c r="V130" s="655"/>
      <c r="W130" s="655"/>
      <c r="X130" s="655"/>
      <c r="Y130" s="655"/>
      <c r="Z130" s="655"/>
      <c r="AA130" s="65"/>
      <c r="AB130" s="65"/>
      <c r="AC130" s="79"/>
    </row>
    <row r="131" spans="1:68" ht="14.25" hidden="1" customHeight="1" x14ac:dyDescent="0.25">
      <c r="A131" s="656" t="s">
        <v>128</v>
      </c>
      <c r="B131" s="656"/>
      <c r="C131" s="656"/>
      <c r="D131" s="656"/>
      <c r="E131" s="656"/>
      <c r="F131" s="656"/>
      <c r="G131" s="656"/>
      <c r="H131" s="656"/>
      <c r="I131" s="656"/>
      <c r="J131" s="656"/>
      <c r="K131" s="656"/>
      <c r="L131" s="656"/>
      <c r="M131" s="656"/>
      <c r="N131" s="656"/>
      <c r="O131" s="656"/>
      <c r="P131" s="656"/>
      <c r="Q131" s="656"/>
      <c r="R131" s="656"/>
      <c r="S131" s="656"/>
      <c r="T131" s="656"/>
      <c r="U131" s="656"/>
      <c r="V131" s="656"/>
      <c r="W131" s="656"/>
      <c r="X131" s="656"/>
      <c r="Y131" s="656"/>
      <c r="Z131" s="65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651">
        <v>4680115888784</v>
      </c>
      <c r="E132" s="651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872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53"/>
      <c r="R132" s="653"/>
      <c r="S132" s="653"/>
      <c r="T132" s="654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651">
        <v>4680115888845</v>
      </c>
      <c r="E133" s="651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873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53"/>
      <c r="R133" s="653"/>
      <c r="S133" s="653"/>
      <c r="T133" s="654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256</v>
      </c>
      <c r="B134" s="63" t="s">
        <v>257</v>
      </c>
      <c r="C134" s="36">
        <v>4301011562</v>
      </c>
      <c r="D134" s="651">
        <v>4680115882577</v>
      </c>
      <c r="E134" s="651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87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53"/>
      <c r="R134" s="653"/>
      <c r="S134" s="653"/>
      <c r="T134" s="65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651">
        <v>4680115882577</v>
      </c>
      <c r="E135" s="651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87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53"/>
      <c r="R135" s="653"/>
      <c r="S135" s="653"/>
      <c r="T135" s="65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45"/>
      <c r="B136" s="645"/>
      <c r="C136" s="645"/>
      <c r="D136" s="645"/>
      <c r="E136" s="645"/>
      <c r="F136" s="645"/>
      <c r="G136" s="645"/>
      <c r="H136" s="645"/>
      <c r="I136" s="645"/>
      <c r="J136" s="645"/>
      <c r="K136" s="645"/>
      <c r="L136" s="645"/>
      <c r="M136" s="645"/>
      <c r="N136" s="645"/>
      <c r="O136" s="646"/>
      <c r="P136" s="642" t="s">
        <v>40</v>
      </c>
      <c r="Q136" s="643"/>
      <c r="R136" s="643"/>
      <c r="S136" s="643"/>
      <c r="T136" s="643"/>
      <c r="U136" s="643"/>
      <c r="V136" s="644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645"/>
      <c r="B137" s="645"/>
      <c r="C137" s="645"/>
      <c r="D137" s="645"/>
      <c r="E137" s="645"/>
      <c r="F137" s="645"/>
      <c r="G137" s="645"/>
      <c r="H137" s="645"/>
      <c r="I137" s="645"/>
      <c r="J137" s="645"/>
      <c r="K137" s="645"/>
      <c r="L137" s="645"/>
      <c r="M137" s="645"/>
      <c r="N137" s="645"/>
      <c r="O137" s="646"/>
      <c r="P137" s="642" t="s">
        <v>40</v>
      </c>
      <c r="Q137" s="643"/>
      <c r="R137" s="643"/>
      <c r="S137" s="643"/>
      <c r="T137" s="643"/>
      <c r="U137" s="643"/>
      <c r="V137" s="644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656" t="s">
        <v>77</v>
      </c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6"/>
      <c r="P138" s="656"/>
      <c r="Q138" s="656"/>
      <c r="R138" s="656"/>
      <c r="S138" s="656"/>
      <c r="T138" s="656"/>
      <c r="U138" s="656"/>
      <c r="V138" s="656"/>
      <c r="W138" s="656"/>
      <c r="X138" s="656"/>
      <c r="Y138" s="656"/>
      <c r="Z138" s="656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651">
        <v>4680115888913</v>
      </c>
      <c r="E139" s="651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869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53"/>
      <c r="R139" s="653"/>
      <c r="S139" s="653"/>
      <c r="T139" s="654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651">
        <v>4680115888920</v>
      </c>
      <c r="E140" s="651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87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53"/>
      <c r="R140" s="653"/>
      <c r="S140" s="653"/>
      <c r="T140" s="654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1">
        <v>4680115883444</v>
      </c>
      <c r="E141" s="651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87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53"/>
      <c r="R141" s="653"/>
      <c r="S141" s="653"/>
      <c r="T141" s="65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1">
        <v>4680115883444</v>
      </c>
      <c r="E142" s="651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86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53"/>
      <c r="R142" s="653"/>
      <c r="S142" s="653"/>
      <c r="T142" s="65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5"/>
      <c r="B143" s="645"/>
      <c r="C143" s="645"/>
      <c r="D143" s="645"/>
      <c r="E143" s="645"/>
      <c r="F143" s="645"/>
      <c r="G143" s="645"/>
      <c r="H143" s="645"/>
      <c r="I143" s="645"/>
      <c r="J143" s="645"/>
      <c r="K143" s="645"/>
      <c r="L143" s="645"/>
      <c r="M143" s="645"/>
      <c r="N143" s="645"/>
      <c r="O143" s="646"/>
      <c r="P143" s="642" t="s">
        <v>40</v>
      </c>
      <c r="Q143" s="643"/>
      <c r="R143" s="643"/>
      <c r="S143" s="643"/>
      <c r="T143" s="643"/>
      <c r="U143" s="643"/>
      <c r="V143" s="644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645"/>
      <c r="B144" s="645"/>
      <c r="C144" s="645"/>
      <c r="D144" s="645"/>
      <c r="E144" s="645"/>
      <c r="F144" s="645"/>
      <c r="G144" s="645"/>
      <c r="H144" s="645"/>
      <c r="I144" s="645"/>
      <c r="J144" s="645"/>
      <c r="K144" s="645"/>
      <c r="L144" s="645"/>
      <c r="M144" s="645"/>
      <c r="N144" s="645"/>
      <c r="O144" s="646"/>
      <c r="P144" s="642" t="s">
        <v>40</v>
      </c>
      <c r="Q144" s="643"/>
      <c r="R144" s="643"/>
      <c r="S144" s="643"/>
      <c r="T144" s="643"/>
      <c r="U144" s="643"/>
      <c r="V144" s="644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6" t="s">
        <v>86</v>
      </c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6"/>
      <c r="P145" s="656"/>
      <c r="Q145" s="656"/>
      <c r="R145" s="656"/>
      <c r="S145" s="656"/>
      <c r="T145" s="656"/>
      <c r="U145" s="656"/>
      <c r="V145" s="656"/>
      <c r="W145" s="656"/>
      <c r="X145" s="656"/>
      <c r="Y145" s="656"/>
      <c r="Z145" s="656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651">
        <v>4680115888937</v>
      </c>
      <c r="E146" s="651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867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53"/>
      <c r="R146" s="653"/>
      <c r="S146" s="653"/>
      <c r="T146" s="654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651">
        <v>4680115888944</v>
      </c>
      <c r="E147" s="651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868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53"/>
      <c r="R147" s="653"/>
      <c r="S147" s="653"/>
      <c r="T147" s="654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651">
        <v>4680115882584</v>
      </c>
      <c r="E148" s="651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86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53"/>
      <c r="R148" s="653"/>
      <c r="S148" s="653"/>
      <c r="T148" s="654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651">
        <v>4680115882584</v>
      </c>
      <c r="E149" s="651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86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53"/>
      <c r="R149" s="653"/>
      <c r="S149" s="653"/>
      <c r="T149" s="654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45"/>
      <c r="B150" s="645"/>
      <c r="C150" s="645"/>
      <c r="D150" s="645"/>
      <c r="E150" s="645"/>
      <c r="F150" s="645"/>
      <c r="G150" s="645"/>
      <c r="H150" s="645"/>
      <c r="I150" s="645"/>
      <c r="J150" s="645"/>
      <c r="K150" s="645"/>
      <c r="L150" s="645"/>
      <c r="M150" s="645"/>
      <c r="N150" s="645"/>
      <c r="O150" s="646"/>
      <c r="P150" s="642" t="s">
        <v>40</v>
      </c>
      <c r="Q150" s="643"/>
      <c r="R150" s="643"/>
      <c r="S150" s="643"/>
      <c r="T150" s="643"/>
      <c r="U150" s="643"/>
      <c r="V150" s="644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45"/>
      <c r="B151" s="645"/>
      <c r="C151" s="645"/>
      <c r="D151" s="645"/>
      <c r="E151" s="645"/>
      <c r="F151" s="645"/>
      <c r="G151" s="645"/>
      <c r="H151" s="645"/>
      <c r="I151" s="645"/>
      <c r="J151" s="645"/>
      <c r="K151" s="645"/>
      <c r="L151" s="645"/>
      <c r="M151" s="645"/>
      <c r="N151" s="645"/>
      <c r="O151" s="646"/>
      <c r="P151" s="642" t="s">
        <v>40</v>
      </c>
      <c r="Q151" s="643"/>
      <c r="R151" s="643"/>
      <c r="S151" s="643"/>
      <c r="T151" s="643"/>
      <c r="U151" s="643"/>
      <c r="V151" s="644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655" t="s">
        <v>276</v>
      </c>
      <c r="B152" s="655"/>
      <c r="C152" s="655"/>
      <c r="D152" s="655"/>
      <c r="E152" s="655"/>
      <c r="F152" s="655"/>
      <c r="G152" s="655"/>
      <c r="H152" s="655"/>
      <c r="I152" s="655"/>
      <c r="J152" s="655"/>
      <c r="K152" s="655"/>
      <c r="L152" s="655"/>
      <c r="M152" s="655"/>
      <c r="N152" s="655"/>
      <c r="O152" s="655"/>
      <c r="P152" s="655"/>
      <c r="Q152" s="655"/>
      <c r="R152" s="655"/>
      <c r="S152" s="655"/>
      <c r="T152" s="655"/>
      <c r="U152" s="655"/>
      <c r="V152" s="655"/>
      <c r="W152" s="655"/>
      <c r="X152" s="655"/>
      <c r="Y152" s="655"/>
      <c r="Z152" s="655"/>
      <c r="AA152" s="65"/>
      <c r="AB152" s="65"/>
      <c r="AC152" s="79"/>
    </row>
    <row r="153" spans="1:68" ht="14.25" hidden="1" customHeight="1" x14ac:dyDescent="0.25">
      <c r="A153" s="656" t="s">
        <v>86</v>
      </c>
      <c r="B153" s="656"/>
      <c r="C153" s="656"/>
      <c r="D153" s="656"/>
      <c r="E153" s="656"/>
      <c r="F153" s="656"/>
      <c r="G153" s="656"/>
      <c r="H153" s="656"/>
      <c r="I153" s="656"/>
      <c r="J153" s="656"/>
      <c r="K153" s="656"/>
      <c r="L153" s="656"/>
      <c r="M153" s="656"/>
      <c r="N153" s="656"/>
      <c r="O153" s="656"/>
      <c r="P153" s="656"/>
      <c r="Q153" s="656"/>
      <c r="R153" s="656"/>
      <c r="S153" s="656"/>
      <c r="T153" s="656"/>
      <c r="U153" s="656"/>
      <c r="V153" s="656"/>
      <c r="W153" s="656"/>
      <c r="X153" s="656"/>
      <c r="Y153" s="656"/>
      <c r="Z153" s="656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651">
        <v>4680115888203</v>
      </c>
      <c r="E154" s="65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60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53"/>
      <c r="R154" s="653"/>
      <c r="S154" s="653"/>
      <c r="T154" s="654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651">
        <v>4680115888180</v>
      </c>
      <c r="E155" s="651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61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53"/>
      <c r="R155" s="653"/>
      <c r="S155" s="653"/>
      <c r="T155" s="654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651">
        <v>4680115888197</v>
      </c>
      <c r="E156" s="651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62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53"/>
      <c r="R156" s="653"/>
      <c r="S156" s="653"/>
      <c r="T156" s="654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651">
        <v>4680115888210</v>
      </c>
      <c r="E157" s="651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63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53"/>
      <c r="R157" s="653"/>
      <c r="S157" s="653"/>
      <c r="T157" s="654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645"/>
      <c r="B158" s="645"/>
      <c r="C158" s="645"/>
      <c r="D158" s="645"/>
      <c r="E158" s="645"/>
      <c r="F158" s="645"/>
      <c r="G158" s="645"/>
      <c r="H158" s="645"/>
      <c r="I158" s="645"/>
      <c r="J158" s="645"/>
      <c r="K158" s="645"/>
      <c r="L158" s="645"/>
      <c r="M158" s="645"/>
      <c r="N158" s="645"/>
      <c r="O158" s="646"/>
      <c r="P158" s="642" t="s">
        <v>40</v>
      </c>
      <c r="Q158" s="643"/>
      <c r="R158" s="643"/>
      <c r="S158" s="643"/>
      <c r="T158" s="643"/>
      <c r="U158" s="643"/>
      <c r="V158" s="644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645"/>
      <c r="B159" s="645"/>
      <c r="C159" s="645"/>
      <c r="D159" s="645"/>
      <c r="E159" s="645"/>
      <c r="F159" s="645"/>
      <c r="G159" s="645"/>
      <c r="H159" s="645"/>
      <c r="I159" s="645"/>
      <c r="J159" s="645"/>
      <c r="K159" s="645"/>
      <c r="L159" s="645"/>
      <c r="M159" s="645"/>
      <c r="N159" s="645"/>
      <c r="O159" s="646"/>
      <c r="P159" s="642" t="s">
        <v>40</v>
      </c>
      <c r="Q159" s="643"/>
      <c r="R159" s="643"/>
      <c r="S159" s="643"/>
      <c r="T159" s="643"/>
      <c r="U159" s="643"/>
      <c r="V159" s="644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656" t="s">
        <v>104</v>
      </c>
      <c r="B160" s="656"/>
      <c r="C160" s="656"/>
      <c r="D160" s="656"/>
      <c r="E160" s="656"/>
      <c r="F160" s="656"/>
      <c r="G160" s="656"/>
      <c r="H160" s="656"/>
      <c r="I160" s="656"/>
      <c r="J160" s="656"/>
      <c r="K160" s="656"/>
      <c r="L160" s="656"/>
      <c r="M160" s="656"/>
      <c r="N160" s="656"/>
      <c r="O160" s="656"/>
      <c r="P160" s="656"/>
      <c r="Q160" s="656"/>
      <c r="R160" s="656"/>
      <c r="S160" s="656"/>
      <c r="T160" s="656"/>
      <c r="U160" s="656"/>
      <c r="V160" s="656"/>
      <c r="W160" s="656"/>
      <c r="X160" s="656"/>
      <c r="Y160" s="656"/>
      <c r="Z160" s="656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651">
        <v>4680115889132</v>
      </c>
      <c r="E161" s="651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85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53"/>
      <c r="R161" s="653"/>
      <c r="S161" s="653"/>
      <c r="T161" s="654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45"/>
      <c r="B162" s="645"/>
      <c r="C162" s="645"/>
      <c r="D162" s="645"/>
      <c r="E162" s="645"/>
      <c r="F162" s="645"/>
      <c r="G162" s="645"/>
      <c r="H162" s="645"/>
      <c r="I162" s="645"/>
      <c r="J162" s="645"/>
      <c r="K162" s="645"/>
      <c r="L162" s="645"/>
      <c r="M162" s="645"/>
      <c r="N162" s="645"/>
      <c r="O162" s="646"/>
      <c r="P162" s="642" t="s">
        <v>40</v>
      </c>
      <c r="Q162" s="643"/>
      <c r="R162" s="643"/>
      <c r="S162" s="643"/>
      <c r="T162" s="643"/>
      <c r="U162" s="643"/>
      <c r="V162" s="644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645"/>
      <c r="B163" s="645"/>
      <c r="C163" s="645"/>
      <c r="D163" s="645"/>
      <c r="E163" s="645"/>
      <c r="F163" s="645"/>
      <c r="G163" s="645"/>
      <c r="H163" s="645"/>
      <c r="I163" s="645"/>
      <c r="J163" s="645"/>
      <c r="K163" s="645"/>
      <c r="L163" s="645"/>
      <c r="M163" s="645"/>
      <c r="N163" s="645"/>
      <c r="O163" s="646"/>
      <c r="P163" s="642" t="s">
        <v>40</v>
      </c>
      <c r="Q163" s="643"/>
      <c r="R163" s="643"/>
      <c r="S163" s="643"/>
      <c r="T163" s="643"/>
      <c r="U163" s="643"/>
      <c r="V163" s="644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655" t="s">
        <v>126</v>
      </c>
      <c r="B164" s="655"/>
      <c r="C164" s="655"/>
      <c r="D164" s="655"/>
      <c r="E164" s="655"/>
      <c r="F164" s="655"/>
      <c r="G164" s="655"/>
      <c r="H164" s="655"/>
      <c r="I164" s="655"/>
      <c r="J164" s="655"/>
      <c r="K164" s="655"/>
      <c r="L164" s="655"/>
      <c r="M164" s="655"/>
      <c r="N164" s="655"/>
      <c r="O164" s="655"/>
      <c r="P164" s="655"/>
      <c r="Q164" s="655"/>
      <c r="R164" s="655"/>
      <c r="S164" s="655"/>
      <c r="T164" s="655"/>
      <c r="U164" s="655"/>
      <c r="V164" s="655"/>
      <c r="W164" s="655"/>
      <c r="X164" s="655"/>
      <c r="Y164" s="655"/>
      <c r="Z164" s="655"/>
      <c r="AA164" s="65"/>
      <c r="AB164" s="65"/>
      <c r="AC164" s="79"/>
    </row>
    <row r="165" spans="1:68" ht="14.25" hidden="1" customHeight="1" x14ac:dyDescent="0.25">
      <c r="A165" s="656" t="s">
        <v>128</v>
      </c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6"/>
      <c r="P165" s="656"/>
      <c r="Q165" s="656"/>
      <c r="R165" s="656"/>
      <c r="S165" s="656"/>
      <c r="T165" s="656"/>
      <c r="U165" s="656"/>
      <c r="V165" s="656"/>
      <c r="W165" s="656"/>
      <c r="X165" s="656"/>
      <c r="Y165" s="656"/>
      <c r="Z165" s="656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651">
        <v>4680115888876</v>
      </c>
      <c r="E166" s="651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85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53"/>
      <c r="R166" s="653"/>
      <c r="S166" s="653"/>
      <c r="T166" s="654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651">
        <v>4680115887374</v>
      </c>
      <c r="E167" s="651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85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53"/>
      <c r="R167" s="653"/>
      <c r="S167" s="653"/>
      <c r="T167" s="654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300</v>
      </c>
      <c r="B168" s="63" t="s">
        <v>301</v>
      </c>
      <c r="C168" s="36">
        <v>4301011705</v>
      </c>
      <c r="D168" s="651">
        <v>4607091384604</v>
      </c>
      <c r="E168" s="651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85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53"/>
      <c r="R168" s="653"/>
      <c r="S168" s="653"/>
      <c r="T168" s="654"/>
      <c r="U168" s="39" t="s">
        <v>46</v>
      </c>
      <c r="V168" s="39" t="s">
        <v>46</v>
      </c>
      <c r="W168" s="40" t="s">
        <v>0</v>
      </c>
      <c r="X168" s="58">
        <v>8</v>
      </c>
      <c r="Y168" s="55">
        <f>IFERROR(IF(X168="",0,CEILING((X168/$H168),1)*$H168),"")</f>
        <v>8</v>
      </c>
      <c r="Z168" s="41">
        <f>IFERROR(IF(Y168=0,"",ROUNDUP(Y168/H168,0)*0.00902),"")</f>
        <v>1.804E-2</v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8.3800000000000008</v>
      </c>
      <c r="BN168" s="78">
        <f>IFERROR(Y168*I168/H168,"0")</f>
        <v>8.3800000000000008</v>
      </c>
      <c r="BO168" s="78">
        <f>IFERROR(1/J168*(X168/H168),"0")</f>
        <v>1.5151515151515152E-2</v>
      </c>
      <c r="BP168" s="78">
        <f>IFERROR(1/J168*(Y168/H168),"0")</f>
        <v>1.5151515151515152E-2</v>
      </c>
    </row>
    <row r="169" spans="1:68" x14ac:dyDescent="0.2">
      <c r="A169" s="645"/>
      <c r="B169" s="645"/>
      <c r="C169" s="645"/>
      <c r="D169" s="645"/>
      <c r="E169" s="645"/>
      <c r="F169" s="645"/>
      <c r="G169" s="645"/>
      <c r="H169" s="645"/>
      <c r="I169" s="645"/>
      <c r="J169" s="645"/>
      <c r="K169" s="645"/>
      <c r="L169" s="645"/>
      <c r="M169" s="645"/>
      <c r="N169" s="645"/>
      <c r="O169" s="646"/>
      <c r="P169" s="642" t="s">
        <v>40</v>
      </c>
      <c r="Q169" s="643"/>
      <c r="R169" s="643"/>
      <c r="S169" s="643"/>
      <c r="T169" s="643"/>
      <c r="U169" s="643"/>
      <c r="V169" s="644"/>
      <c r="W169" s="42" t="s">
        <v>39</v>
      </c>
      <c r="X169" s="43">
        <f>IFERROR(X166/H166,"0")+IFERROR(X167/H167,"0")+IFERROR(X168/H168,"0")</f>
        <v>2</v>
      </c>
      <c r="Y169" s="43">
        <f>IFERROR(Y166/H166,"0")+IFERROR(Y167/H167,"0")+IFERROR(Y168/H168,"0")</f>
        <v>2</v>
      </c>
      <c r="Z169" s="43">
        <f>IFERROR(IF(Z166="",0,Z166),"0")+IFERROR(IF(Z167="",0,Z167),"0")+IFERROR(IF(Z168="",0,Z168),"0")</f>
        <v>1.804E-2</v>
      </c>
      <c r="AA169" s="67"/>
      <c r="AB169" s="67"/>
      <c r="AC169" s="67"/>
    </row>
    <row r="170" spans="1:68" x14ac:dyDescent="0.2">
      <c r="A170" s="645"/>
      <c r="B170" s="645"/>
      <c r="C170" s="645"/>
      <c r="D170" s="645"/>
      <c r="E170" s="645"/>
      <c r="F170" s="645"/>
      <c r="G170" s="645"/>
      <c r="H170" s="645"/>
      <c r="I170" s="645"/>
      <c r="J170" s="645"/>
      <c r="K170" s="645"/>
      <c r="L170" s="645"/>
      <c r="M170" s="645"/>
      <c r="N170" s="645"/>
      <c r="O170" s="646"/>
      <c r="P170" s="642" t="s">
        <v>40</v>
      </c>
      <c r="Q170" s="643"/>
      <c r="R170" s="643"/>
      <c r="S170" s="643"/>
      <c r="T170" s="643"/>
      <c r="U170" s="643"/>
      <c r="V170" s="644"/>
      <c r="W170" s="42" t="s">
        <v>0</v>
      </c>
      <c r="X170" s="43">
        <f>IFERROR(SUM(X166:X168),"0")</f>
        <v>8</v>
      </c>
      <c r="Y170" s="43">
        <f>IFERROR(SUM(Y166:Y168),"0")</f>
        <v>8</v>
      </c>
      <c r="Z170" s="42"/>
      <c r="AA170" s="67"/>
      <c r="AB170" s="67"/>
      <c r="AC170" s="67"/>
    </row>
    <row r="171" spans="1:68" ht="14.25" hidden="1" customHeight="1" x14ac:dyDescent="0.25">
      <c r="A171" s="656" t="s">
        <v>164</v>
      </c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6"/>
      <c r="P171" s="656"/>
      <c r="Q171" s="656"/>
      <c r="R171" s="656"/>
      <c r="S171" s="656"/>
      <c r="T171" s="656"/>
      <c r="U171" s="656"/>
      <c r="V171" s="656"/>
      <c r="W171" s="656"/>
      <c r="X171" s="656"/>
      <c r="Y171" s="656"/>
      <c r="Z171" s="656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651">
        <v>4680115889491</v>
      </c>
      <c r="E172" s="651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857" t="s">
        <v>305</v>
      </c>
      <c r="Q172" s="653"/>
      <c r="R172" s="653"/>
      <c r="S172" s="653"/>
      <c r="T172" s="654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651">
        <v>4680115887695</v>
      </c>
      <c r="E173" s="651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852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53"/>
      <c r="R173" s="653"/>
      <c r="S173" s="653"/>
      <c r="T173" s="654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45"/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6"/>
      <c r="P174" s="642" t="s">
        <v>40</v>
      </c>
      <c r="Q174" s="643"/>
      <c r="R174" s="643"/>
      <c r="S174" s="643"/>
      <c r="T174" s="643"/>
      <c r="U174" s="643"/>
      <c r="V174" s="644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645"/>
      <c r="B175" s="645"/>
      <c r="C175" s="645"/>
      <c r="D175" s="645"/>
      <c r="E175" s="645"/>
      <c r="F175" s="645"/>
      <c r="G175" s="645"/>
      <c r="H175" s="645"/>
      <c r="I175" s="645"/>
      <c r="J175" s="645"/>
      <c r="K175" s="645"/>
      <c r="L175" s="645"/>
      <c r="M175" s="645"/>
      <c r="N175" s="645"/>
      <c r="O175" s="646"/>
      <c r="P175" s="642" t="s">
        <v>40</v>
      </c>
      <c r="Q175" s="643"/>
      <c r="R175" s="643"/>
      <c r="S175" s="643"/>
      <c r="T175" s="643"/>
      <c r="U175" s="643"/>
      <c r="V175" s="644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56" t="s">
        <v>77</v>
      </c>
      <c r="B176" s="656"/>
      <c r="C176" s="656"/>
      <c r="D176" s="656"/>
      <c r="E176" s="656"/>
      <c r="F176" s="656"/>
      <c r="G176" s="656"/>
      <c r="H176" s="656"/>
      <c r="I176" s="656"/>
      <c r="J176" s="656"/>
      <c r="K176" s="656"/>
      <c r="L176" s="656"/>
      <c r="M176" s="656"/>
      <c r="N176" s="656"/>
      <c r="O176" s="656"/>
      <c r="P176" s="656"/>
      <c r="Q176" s="656"/>
      <c r="R176" s="656"/>
      <c r="S176" s="656"/>
      <c r="T176" s="656"/>
      <c r="U176" s="656"/>
      <c r="V176" s="656"/>
      <c r="W176" s="656"/>
      <c r="X176" s="656"/>
      <c r="Y176" s="656"/>
      <c r="Z176" s="656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651">
        <v>4680115887428</v>
      </c>
      <c r="E177" s="65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85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53"/>
      <c r="R177" s="653"/>
      <c r="S177" s="653"/>
      <c r="T177" s="65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313</v>
      </c>
      <c r="B178" s="63" t="s">
        <v>314</v>
      </c>
      <c r="C178" s="36">
        <v>4301031509</v>
      </c>
      <c r="D178" s="651">
        <v>4680115889170</v>
      </c>
      <c r="E178" s="651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854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53"/>
      <c r="R178" s="653"/>
      <c r="S178" s="653"/>
      <c r="T178" s="65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651">
        <v>4680115887398</v>
      </c>
      <c r="E179" s="651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84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53"/>
      <c r="R179" s="653"/>
      <c r="S179" s="653"/>
      <c r="T179" s="65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651">
        <v>4680115887336</v>
      </c>
      <c r="E180" s="651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848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53"/>
      <c r="R180" s="653"/>
      <c r="S180" s="653"/>
      <c r="T180" s="65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651">
        <v>4680115887787</v>
      </c>
      <c r="E181" s="651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49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53"/>
      <c r="R181" s="653"/>
      <c r="S181" s="653"/>
      <c r="T181" s="65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651">
        <v>4680115887503</v>
      </c>
      <c r="E182" s="65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50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53"/>
      <c r="R182" s="653"/>
      <c r="S182" s="653"/>
      <c r="T182" s="65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651">
        <v>4680115887763</v>
      </c>
      <c r="E183" s="651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51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53"/>
      <c r="R183" s="653"/>
      <c r="S183" s="653"/>
      <c r="T183" s="65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651">
        <v>4680115887763</v>
      </c>
      <c r="E184" s="651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4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53"/>
      <c r="R184" s="653"/>
      <c r="S184" s="653"/>
      <c r="T184" s="65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651">
        <v>4680115887480</v>
      </c>
      <c r="E185" s="651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4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53"/>
      <c r="R185" s="653"/>
      <c r="S185" s="653"/>
      <c r="T185" s="654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651">
        <v>4680115888067</v>
      </c>
      <c r="E186" s="651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4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53"/>
      <c r="R186" s="653"/>
      <c r="S186" s="653"/>
      <c r="T186" s="654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651">
        <v>4680115887435</v>
      </c>
      <c r="E187" s="651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4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53"/>
      <c r="R187" s="653"/>
      <c r="S187" s="653"/>
      <c r="T187" s="654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645"/>
      <c r="B188" s="645"/>
      <c r="C188" s="645"/>
      <c r="D188" s="645"/>
      <c r="E188" s="645"/>
      <c r="F188" s="645"/>
      <c r="G188" s="645"/>
      <c r="H188" s="645"/>
      <c r="I188" s="645"/>
      <c r="J188" s="645"/>
      <c r="K188" s="645"/>
      <c r="L188" s="645"/>
      <c r="M188" s="645"/>
      <c r="N188" s="645"/>
      <c r="O188" s="646"/>
      <c r="P188" s="642" t="s">
        <v>40</v>
      </c>
      <c r="Q188" s="643"/>
      <c r="R188" s="643"/>
      <c r="S188" s="643"/>
      <c r="T188" s="643"/>
      <c r="U188" s="643"/>
      <c r="V188" s="644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645"/>
      <c r="B189" s="645"/>
      <c r="C189" s="645"/>
      <c r="D189" s="645"/>
      <c r="E189" s="645"/>
      <c r="F189" s="645"/>
      <c r="G189" s="645"/>
      <c r="H189" s="645"/>
      <c r="I189" s="645"/>
      <c r="J189" s="645"/>
      <c r="K189" s="645"/>
      <c r="L189" s="645"/>
      <c r="M189" s="645"/>
      <c r="N189" s="645"/>
      <c r="O189" s="646"/>
      <c r="P189" s="642" t="s">
        <v>40</v>
      </c>
      <c r="Q189" s="643"/>
      <c r="R189" s="643"/>
      <c r="S189" s="643"/>
      <c r="T189" s="643"/>
      <c r="U189" s="643"/>
      <c r="V189" s="644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656" t="s">
        <v>86</v>
      </c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6"/>
      <c r="P190" s="656"/>
      <c r="Q190" s="656"/>
      <c r="R190" s="656"/>
      <c r="S190" s="656"/>
      <c r="T190" s="656"/>
      <c r="U190" s="656"/>
      <c r="V190" s="656"/>
      <c r="W190" s="656"/>
      <c r="X190" s="656"/>
      <c r="Y190" s="656"/>
      <c r="Z190" s="656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651">
        <v>4680115888395</v>
      </c>
      <c r="E191" s="651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4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53"/>
      <c r="R191" s="653"/>
      <c r="S191" s="653"/>
      <c r="T191" s="654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651">
        <v>4680115888371</v>
      </c>
      <c r="E192" s="651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4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53"/>
      <c r="R192" s="653"/>
      <c r="S192" s="653"/>
      <c r="T192" s="654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651">
        <v>4680115887459</v>
      </c>
      <c r="E193" s="651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42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53"/>
      <c r="R193" s="653"/>
      <c r="S193" s="653"/>
      <c r="T193" s="654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45"/>
      <c r="B194" s="645"/>
      <c r="C194" s="645"/>
      <c r="D194" s="645"/>
      <c r="E194" s="645"/>
      <c r="F194" s="645"/>
      <c r="G194" s="645"/>
      <c r="H194" s="645"/>
      <c r="I194" s="645"/>
      <c r="J194" s="645"/>
      <c r="K194" s="645"/>
      <c r="L194" s="645"/>
      <c r="M194" s="645"/>
      <c r="N194" s="645"/>
      <c r="O194" s="646"/>
      <c r="P194" s="642" t="s">
        <v>40</v>
      </c>
      <c r="Q194" s="643"/>
      <c r="R194" s="643"/>
      <c r="S194" s="643"/>
      <c r="T194" s="643"/>
      <c r="U194" s="643"/>
      <c r="V194" s="644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645"/>
      <c r="B195" s="645"/>
      <c r="C195" s="645"/>
      <c r="D195" s="645"/>
      <c r="E195" s="645"/>
      <c r="F195" s="645"/>
      <c r="G195" s="645"/>
      <c r="H195" s="645"/>
      <c r="I195" s="645"/>
      <c r="J195" s="645"/>
      <c r="K195" s="645"/>
      <c r="L195" s="645"/>
      <c r="M195" s="645"/>
      <c r="N195" s="645"/>
      <c r="O195" s="646"/>
      <c r="P195" s="642" t="s">
        <v>40</v>
      </c>
      <c r="Q195" s="643"/>
      <c r="R195" s="643"/>
      <c r="S195" s="643"/>
      <c r="T195" s="643"/>
      <c r="U195" s="643"/>
      <c r="V195" s="644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656" t="s">
        <v>104</v>
      </c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6"/>
      <c r="P196" s="656"/>
      <c r="Q196" s="656"/>
      <c r="R196" s="656"/>
      <c r="S196" s="656"/>
      <c r="T196" s="656"/>
      <c r="U196" s="656"/>
      <c r="V196" s="656"/>
      <c r="W196" s="656"/>
      <c r="X196" s="656"/>
      <c r="Y196" s="656"/>
      <c r="Z196" s="656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651">
        <v>4680115889026</v>
      </c>
      <c r="E197" s="651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3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53"/>
      <c r="R197" s="653"/>
      <c r="S197" s="653"/>
      <c r="T197" s="654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651">
        <v>4680115889088</v>
      </c>
      <c r="E198" s="651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3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53"/>
      <c r="R198" s="653"/>
      <c r="S198" s="653"/>
      <c r="T198" s="65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645"/>
      <c r="B199" s="645"/>
      <c r="C199" s="645"/>
      <c r="D199" s="645"/>
      <c r="E199" s="645"/>
      <c r="F199" s="645"/>
      <c r="G199" s="645"/>
      <c r="H199" s="645"/>
      <c r="I199" s="645"/>
      <c r="J199" s="645"/>
      <c r="K199" s="645"/>
      <c r="L199" s="645"/>
      <c r="M199" s="645"/>
      <c r="N199" s="645"/>
      <c r="O199" s="646"/>
      <c r="P199" s="642" t="s">
        <v>40</v>
      </c>
      <c r="Q199" s="643"/>
      <c r="R199" s="643"/>
      <c r="S199" s="643"/>
      <c r="T199" s="643"/>
      <c r="U199" s="643"/>
      <c r="V199" s="644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645"/>
      <c r="B200" s="645"/>
      <c r="C200" s="645"/>
      <c r="D200" s="645"/>
      <c r="E200" s="645"/>
      <c r="F200" s="645"/>
      <c r="G200" s="645"/>
      <c r="H200" s="645"/>
      <c r="I200" s="645"/>
      <c r="J200" s="645"/>
      <c r="K200" s="645"/>
      <c r="L200" s="645"/>
      <c r="M200" s="645"/>
      <c r="N200" s="645"/>
      <c r="O200" s="646"/>
      <c r="P200" s="642" t="s">
        <v>40</v>
      </c>
      <c r="Q200" s="643"/>
      <c r="R200" s="643"/>
      <c r="S200" s="643"/>
      <c r="T200" s="643"/>
      <c r="U200" s="643"/>
      <c r="V200" s="644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656" t="s">
        <v>354</v>
      </c>
      <c r="B201" s="656"/>
      <c r="C201" s="656"/>
      <c r="D201" s="656"/>
      <c r="E201" s="656"/>
      <c r="F201" s="656"/>
      <c r="G201" s="656"/>
      <c r="H201" s="656"/>
      <c r="I201" s="656"/>
      <c r="J201" s="656"/>
      <c r="K201" s="656"/>
      <c r="L201" s="656"/>
      <c r="M201" s="656"/>
      <c r="N201" s="656"/>
      <c r="O201" s="656"/>
      <c r="P201" s="656"/>
      <c r="Q201" s="656"/>
      <c r="R201" s="656"/>
      <c r="S201" s="656"/>
      <c r="T201" s="656"/>
      <c r="U201" s="656"/>
      <c r="V201" s="656"/>
      <c r="W201" s="656"/>
      <c r="X201" s="656"/>
      <c r="Y201" s="656"/>
      <c r="Z201" s="656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651">
        <v>4680115889033</v>
      </c>
      <c r="E202" s="651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3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53"/>
      <c r="R202" s="653"/>
      <c r="S202" s="653"/>
      <c r="T202" s="654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645"/>
      <c r="B203" s="645"/>
      <c r="C203" s="645"/>
      <c r="D203" s="645"/>
      <c r="E203" s="645"/>
      <c r="F203" s="645"/>
      <c r="G203" s="645"/>
      <c r="H203" s="645"/>
      <c r="I203" s="645"/>
      <c r="J203" s="645"/>
      <c r="K203" s="645"/>
      <c r="L203" s="645"/>
      <c r="M203" s="645"/>
      <c r="N203" s="645"/>
      <c r="O203" s="646"/>
      <c r="P203" s="642" t="s">
        <v>40</v>
      </c>
      <c r="Q203" s="643"/>
      <c r="R203" s="643"/>
      <c r="S203" s="643"/>
      <c r="T203" s="643"/>
      <c r="U203" s="643"/>
      <c r="V203" s="644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645"/>
      <c r="B204" s="645"/>
      <c r="C204" s="645"/>
      <c r="D204" s="645"/>
      <c r="E204" s="645"/>
      <c r="F204" s="645"/>
      <c r="G204" s="645"/>
      <c r="H204" s="645"/>
      <c r="I204" s="645"/>
      <c r="J204" s="645"/>
      <c r="K204" s="645"/>
      <c r="L204" s="645"/>
      <c r="M204" s="645"/>
      <c r="N204" s="645"/>
      <c r="O204" s="646"/>
      <c r="P204" s="642" t="s">
        <v>40</v>
      </c>
      <c r="Q204" s="643"/>
      <c r="R204" s="643"/>
      <c r="S204" s="643"/>
      <c r="T204" s="643"/>
      <c r="U204" s="643"/>
      <c r="V204" s="644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662" t="s">
        <v>358</v>
      </c>
      <c r="B205" s="662"/>
      <c r="C205" s="662"/>
      <c r="D205" s="662"/>
      <c r="E205" s="662"/>
      <c r="F205" s="662"/>
      <c r="G205" s="662"/>
      <c r="H205" s="662"/>
      <c r="I205" s="662"/>
      <c r="J205" s="662"/>
      <c r="K205" s="662"/>
      <c r="L205" s="662"/>
      <c r="M205" s="662"/>
      <c r="N205" s="662"/>
      <c r="O205" s="662"/>
      <c r="P205" s="662"/>
      <c r="Q205" s="662"/>
      <c r="R205" s="662"/>
      <c r="S205" s="662"/>
      <c r="T205" s="662"/>
      <c r="U205" s="662"/>
      <c r="V205" s="662"/>
      <c r="W205" s="662"/>
      <c r="X205" s="662"/>
      <c r="Y205" s="662"/>
      <c r="Z205" s="662"/>
      <c r="AA205" s="54"/>
      <c r="AB205" s="54"/>
      <c r="AC205" s="54"/>
    </row>
    <row r="206" spans="1:68" ht="16.5" hidden="1" customHeight="1" x14ac:dyDescent="0.25">
      <c r="A206" s="655" t="s">
        <v>359</v>
      </c>
      <c r="B206" s="655"/>
      <c r="C206" s="655"/>
      <c r="D206" s="655"/>
      <c r="E206" s="655"/>
      <c r="F206" s="655"/>
      <c r="G206" s="655"/>
      <c r="H206" s="655"/>
      <c r="I206" s="655"/>
      <c r="J206" s="655"/>
      <c r="K206" s="655"/>
      <c r="L206" s="655"/>
      <c r="M206" s="655"/>
      <c r="N206" s="655"/>
      <c r="O206" s="655"/>
      <c r="P206" s="655"/>
      <c r="Q206" s="655"/>
      <c r="R206" s="655"/>
      <c r="S206" s="655"/>
      <c r="T206" s="655"/>
      <c r="U206" s="655"/>
      <c r="V206" s="655"/>
      <c r="W206" s="655"/>
      <c r="X206" s="655"/>
      <c r="Y206" s="655"/>
      <c r="Z206" s="655"/>
      <c r="AA206" s="65"/>
      <c r="AB206" s="65"/>
      <c r="AC206" s="79"/>
    </row>
    <row r="207" spans="1:68" ht="14.25" hidden="1" customHeight="1" x14ac:dyDescent="0.25">
      <c r="A207" s="656" t="s">
        <v>128</v>
      </c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6"/>
      <c r="P207" s="656"/>
      <c r="Q207" s="656"/>
      <c r="R207" s="656"/>
      <c r="S207" s="656"/>
      <c r="T207" s="656"/>
      <c r="U207" s="656"/>
      <c r="V207" s="656"/>
      <c r="W207" s="656"/>
      <c r="X207" s="656"/>
      <c r="Y207" s="656"/>
      <c r="Z207" s="656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651">
        <v>4607091383423</v>
      </c>
      <c r="E208" s="651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3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53"/>
      <c r="R208" s="653"/>
      <c r="S208" s="653"/>
      <c r="T208" s="65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651">
        <v>4680115888760</v>
      </c>
      <c r="E209" s="651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3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53"/>
      <c r="R209" s="653"/>
      <c r="S209" s="653"/>
      <c r="T209" s="65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651">
        <v>4680115888807</v>
      </c>
      <c r="E210" s="651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3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53"/>
      <c r="R210" s="653"/>
      <c r="S210" s="653"/>
      <c r="T210" s="65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651">
        <v>4680115888852</v>
      </c>
      <c r="E211" s="651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3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53"/>
      <c r="R211" s="653"/>
      <c r="S211" s="653"/>
      <c r="T211" s="654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651">
        <v>4680115886957</v>
      </c>
      <c r="E212" s="651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3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53"/>
      <c r="R212" s="653"/>
      <c r="S212" s="653"/>
      <c r="T212" s="654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651">
        <v>4680115885660</v>
      </c>
      <c r="E213" s="651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3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53"/>
      <c r="R213" s="653"/>
      <c r="S213" s="653"/>
      <c r="T213" s="654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651">
        <v>4680115886773</v>
      </c>
      <c r="E214" s="651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53"/>
      <c r="R214" s="653"/>
      <c r="S214" s="653"/>
      <c r="T214" s="654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645"/>
      <c r="B215" s="645"/>
      <c r="C215" s="645"/>
      <c r="D215" s="645"/>
      <c r="E215" s="645"/>
      <c r="F215" s="645"/>
      <c r="G215" s="645"/>
      <c r="H215" s="645"/>
      <c r="I215" s="645"/>
      <c r="J215" s="645"/>
      <c r="K215" s="645"/>
      <c r="L215" s="645"/>
      <c r="M215" s="645"/>
      <c r="N215" s="645"/>
      <c r="O215" s="646"/>
      <c r="P215" s="642" t="s">
        <v>40</v>
      </c>
      <c r="Q215" s="643"/>
      <c r="R215" s="643"/>
      <c r="S215" s="643"/>
      <c r="T215" s="643"/>
      <c r="U215" s="643"/>
      <c r="V215" s="644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645"/>
      <c r="B216" s="645"/>
      <c r="C216" s="645"/>
      <c r="D216" s="645"/>
      <c r="E216" s="645"/>
      <c r="F216" s="645"/>
      <c r="G216" s="645"/>
      <c r="H216" s="645"/>
      <c r="I216" s="645"/>
      <c r="J216" s="645"/>
      <c r="K216" s="645"/>
      <c r="L216" s="645"/>
      <c r="M216" s="645"/>
      <c r="N216" s="645"/>
      <c r="O216" s="646"/>
      <c r="P216" s="642" t="s">
        <v>40</v>
      </c>
      <c r="Q216" s="643"/>
      <c r="R216" s="643"/>
      <c r="S216" s="643"/>
      <c r="T216" s="643"/>
      <c r="U216" s="643"/>
      <c r="V216" s="644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655" t="s">
        <v>380</v>
      </c>
      <c r="B217" s="655"/>
      <c r="C217" s="655"/>
      <c r="D217" s="655"/>
      <c r="E217" s="655"/>
      <c r="F217" s="655"/>
      <c r="G217" s="655"/>
      <c r="H217" s="655"/>
      <c r="I217" s="655"/>
      <c r="J217" s="655"/>
      <c r="K217" s="655"/>
      <c r="L217" s="655"/>
      <c r="M217" s="655"/>
      <c r="N217" s="655"/>
      <c r="O217" s="655"/>
      <c r="P217" s="655"/>
      <c r="Q217" s="655"/>
      <c r="R217" s="655"/>
      <c r="S217" s="655"/>
      <c r="T217" s="655"/>
      <c r="U217" s="655"/>
      <c r="V217" s="655"/>
      <c r="W217" s="655"/>
      <c r="X217" s="655"/>
      <c r="Y217" s="655"/>
      <c r="Z217" s="655"/>
      <c r="AA217" s="65"/>
      <c r="AB217" s="65"/>
      <c r="AC217" s="79"/>
    </row>
    <row r="218" spans="1:68" ht="14.25" hidden="1" customHeight="1" x14ac:dyDescent="0.25">
      <c r="A218" s="656" t="s">
        <v>164</v>
      </c>
      <c r="B218" s="656"/>
      <c r="C218" s="656"/>
      <c r="D218" s="656"/>
      <c r="E218" s="656"/>
      <c r="F218" s="656"/>
      <c r="G218" s="656"/>
      <c r="H218" s="656"/>
      <c r="I218" s="656"/>
      <c r="J218" s="656"/>
      <c r="K218" s="656"/>
      <c r="L218" s="656"/>
      <c r="M218" s="656"/>
      <c r="N218" s="656"/>
      <c r="O218" s="656"/>
      <c r="P218" s="656"/>
      <c r="Q218" s="656"/>
      <c r="R218" s="656"/>
      <c r="S218" s="656"/>
      <c r="T218" s="656"/>
      <c r="U218" s="656"/>
      <c r="V218" s="656"/>
      <c r="W218" s="656"/>
      <c r="X218" s="656"/>
      <c r="Y218" s="656"/>
      <c r="Z218" s="656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651">
        <v>4680115886223</v>
      </c>
      <c r="E219" s="651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53"/>
      <c r="R219" s="653"/>
      <c r="S219" s="653"/>
      <c r="T219" s="654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645"/>
      <c r="B220" s="645"/>
      <c r="C220" s="645"/>
      <c r="D220" s="645"/>
      <c r="E220" s="645"/>
      <c r="F220" s="645"/>
      <c r="G220" s="645"/>
      <c r="H220" s="645"/>
      <c r="I220" s="645"/>
      <c r="J220" s="645"/>
      <c r="K220" s="645"/>
      <c r="L220" s="645"/>
      <c r="M220" s="645"/>
      <c r="N220" s="645"/>
      <c r="O220" s="646"/>
      <c r="P220" s="642" t="s">
        <v>40</v>
      </c>
      <c r="Q220" s="643"/>
      <c r="R220" s="643"/>
      <c r="S220" s="643"/>
      <c r="T220" s="643"/>
      <c r="U220" s="643"/>
      <c r="V220" s="644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645"/>
      <c r="B221" s="645"/>
      <c r="C221" s="645"/>
      <c r="D221" s="645"/>
      <c r="E221" s="645"/>
      <c r="F221" s="645"/>
      <c r="G221" s="645"/>
      <c r="H221" s="645"/>
      <c r="I221" s="645"/>
      <c r="J221" s="645"/>
      <c r="K221" s="645"/>
      <c r="L221" s="645"/>
      <c r="M221" s="645"/>
      <c r="N221" s="645"/>
      <c r="O221" s="646"/>
      <c r="P221" s="642" t="s">
        <v>40</v>
      </c>
      <c r="Q221" s="643"/>
      <c r="R221" s="643"/>
      <c r="S221" s="643"/>
      <c r="T221" s="643"/>
      <c r="U221" s="643"/>
      <c r="V221" s="644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656" t="s">
        <v>77</v>
      </c>
      <c r="B222" s="656"/>
      <c r="C222" s="656"/>
      <c r="D222" s="656"/>
      <c r="E222" s="656"/>
      <c r="F222" s="656"/>
      <c r="G222" s="656"/>
      <c r="H222" s="656"/>
      <c r="I222" s="656"/>
      <c r="J222" s="656"/>
      <c r="K222" s="656"/>
      <c r="L222" s="656"/>
      <c r="M222" s="656"/>
      <c r="N222" s="656"/>
      <c r="O222" s="656"/>
      <c r="P222" s="656"/>
      <c r="Q222" s="656"/>
      <c r="R222" s="656"/>
      <c r="S222" s="656"/>
      <c r="T222" s="656"/>
      <c r="U222" s="656"/>
      <c r="V222" s="656"/>
      <c r="W222" s="656"/>
      <c r="X222" s="656"/>
      <c r="Y222" s="656"/>
      <c r="Z222" s="656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651">
        <v>4680115880993</v>
      </c>
      <c r="E223" s="651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53"/>
      <c r="R223" s="653"/>
      <c r="S223" s="653"/>
      <c r="T223" s="65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651">
        <v>4680115881761</v>
      </c>
      <c r="E224" s="651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53"/>
      <c r="R224" s="653"/>
      <c r="S224" s="653"/>
      <c r="T224" s="65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25">
      <c r="A225" s="63" t="s">
        <v>390</v>
      </c>
      <c r="B225" s="63" t="s">
        <v>391</v>
      </c>
      <c r="C225" s="36">
        <v>4301031201</v>
      </c>
      <c r="D225" s="651">
        <v>4680115881563</v>
      </c>
      <c r="E225" s="651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53"/>
      <c r="R225" s="653"/>
      <c r="S225" s="653"/>
      <c r="T225" s="654"/>
      <c r="U225" s="39" t="s">
        <v>46</v>
      </c>
      <c r="V225" s="39" t="s">
        <v>46</v>
      </c>
      <c r="W225" s="40" t="s">
        <v>0</v>
      </c>
      <c r="X225" s="58">
        <v>100</v>
      </c>
      <c r="Y225" s="55">
        <f t="shared" si="21"/>
        <v>100.80000000000001</v>
      </c>
      <c r="Z225" s="41">
        <f>IFERROR(IF(Y225=0,"",ROUNDUP(Y225/H225,0)*0.00902),"")</f>
        <v>0.21648000000000001</v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104.5238095238095</v>
      </c>
      <c r="BN225" s="78">
        <f t="shared" si="23"/>
        <v>105.36</v>
      </c>
      <c r="BO225" s="78">
        <f t="shared" si="24"/>
        <v>0.18037518037518038</v>
      </c>
      <c r="BP225" s="78">
        <f t="shared" si="25"/>
        <v>0.18181818181818182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651">
        <v>4680115887565</v>
      </c>
      <c r="E226" s="651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53"/>
      <c r="R226" s="653"/>
      <c r="S226" s="653"/>
      <c r="T226" s="65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651">
        <v>4680115880986</v>
      </c>
      <c r="E227" s="651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53"/>
      <c r="R227" s="653"/>
      <c r="S227" s="653"/>
      <c r="T227" s="65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651">
        <v>4680115887213</v>
      </c>
      <c r="E228" s="651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53"/>
      <c r="R228" s="653"/>
      <c r="S228" s="653"/>
      <c r="T228" s="65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651">
        <v>4680115881785</v>
      </c>
      <c r="E229" s="651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53"/>
      <c r="R229" s="653"/>
      <c r="S229" s="653"/>
      <c r="T229" s="65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651">
        <v>4680115888432</v>
      </c>
      <c r="E230" s="651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53"/>
      <c r="R230" s="653"/>
      <c r="S230" s="653"/>
      <c r="T230" s="65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651">
        <v>4680115888104</v>
      </c>
      <c r="E231" s="651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1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53"/>
      <c r="R231" s="653"/>
      <c r="S231" s="653"/>
      <c r="T231" s="65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651">
        <v>4680115886537</v>
      </c>
      <c r="E232" s="651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1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53"/>
      <c r="R232" s="653"/>
      <c r="S232" s="653"/>
      <c r="T232" s="65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651">
        <v>4680115887596</v>
      </c>
      <c r="E233" s="651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1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53"/>
      <c r="R233" s="653"/>
      <c r="S233" s="653"/>
      <c r="T233" s="654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651">
        <v>4680115881679</v>
      </c>
      <c r="E234" s="651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1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53"/>
      <c r="R234" s="653"/>
      <c r="S234" s="653"/>
      <c r="T234" s="654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651">
        <v>4680115880191</v>
      </c>
      <c r="E235" s="651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2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53"/>
      <c r="R235" s="653"/>
      <c r="S235" s="653"/>
      <c r="T235" s="654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651">
        <v>4680115883963</v>
      </c>
      <c r="E236" s="651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1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53"/>
      <c r="R236" s="653"/>
      <c r="S236" s="653"/>
      <c r="T236" s="654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x14ac:dyDescent="0.2">
      <c r="A237" s="645"/>
      <c r="B237" s="645"/>
      <c r="C237" s="645"/>
      <c r="D237" s="645"/>
      <c r="E237" s="645"/>
      <c r="F237" s="645"/>
      <c r="G237" s="645"/>
      <c r="H237" s="645"/>
      <c r="I237" s="645"/>
      <c r="J237" s="645"/>
      <c r="K237" s="645"/>
      <c r="L237" s="645"/>
      <c r="M237" s="645"/>
      <c r="N237" s="645"/>
      <c r="O237" s="646"/>
      <c r="P237" s="642" t="s">
        <v>40</v>
      </c>
      <c r="Q237" s="643"/>
      <c r="R237" s="643"/>
      <c r="S237" s="643"/>
      <c r="T237" s="643"/>
      <c r="U237" s="643"/>
      <c r="V237" s="644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23.80952380952381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24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0.21648000000000001</v>
      </c>
      <c r="AA237" s="67"/>
      <c r="AB237" s="67"/>
      <c r="AC237" s="67"/>
    </row>
    <row r="238" spans="1:68" x14ac:dyDescent="0.2">
      <c r="A238" s="645"/>
      <c r="B238" s="645"/>
      <c r="C238" s="645"/>
      <c r="D238" s="645"/>
      <c r="E238" s="645"/>
      <c r="F238" s="645"/>
      <c r="G238" s="645"/>
      <c r="H238" s="645"/>
      <c r="I238" s="645"/>
      <c r="J238" s="645"/>
      <c r="K238" s="645"/>
      <c r="L238" s="645"/>
      <c r="M238" s="645"/>
      <c r="N238" s="645"/>
      <c r="O238" s="646"/>
      <c r="P238" s="642" t="s">
        <v>40</v>
      </c>
      <c r="Q238" s="643"/>
      <c r="R238" s="643"/>
      <c r="S238" s="643"/>
      <c r="T238" s="643"/>
      <c r="U238" s="643"/>
      <c r="V238" s="644"/>
      <c r="W238" s="42" t="s">
        <v>0</v>
      </c>
      <c r="X238" s="43">
        <f>IFERROR(SUM(X223:X236),"0")</f>
        <v>100</v>
      </c>
      <c r="Y238" s="43">
        <f>IFERROR(SUM(Y223:Y236),"0")</f>
        <v>100.80000000000001</v>
      </c>
      <c r="Z238" s="42"/>
      <c r="AA238" s="67"/>
      <c r="AB238" s="67"/>
      <c r="AC238" s="67"/>
    </row>
    <row r="239" spans="1:68" ht="14.25" hidden="1" customHeight="1" x14ac:dyDescent="0.25">
      <c r="A239" s="656" t="s">
        <v>86</v>
      </c>
      <c r="B239" s="656"/>
      <c r="C239" s="656"/>
      <c r="D239" s="656"/>
      <c r="E239" s="656"/>
      <c r="F239" s="656"/>
      <c r="G239" s="656"/>
      <c r="H239" s="656"/>
      <c r="I239" s="656"/>
      <c r="J239" s="656"/>
      <c r="K239" s="656"/>
      <c r="L239" s="656"/>
      <c r="M239" s="656"/>
      <c r="N239" s="656"/>
      <c r="O239" s="656"/>
      <c r="P239" s="656"/>
      <c r="Q239" s="656"/>
      <c r="R239" s="656"/>
      <c r="S239" s="656"/>
      <c r="T239" s="656"/>
      <c r="U239" s="656"/>
      <c r="V239" s="656"/>
      <c r="W239" s="656"/>
      <c r="X239" s="656"/>
      <c r="Y239" s="656"/>
      <c r="Z239" s="656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651">
        <v>4680115888692</v>
      </c>
      <c r="E240" s="651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1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53"/>
      <c r="R240" s="653"/>
      <c r="S240" s="653"/>
      <c r="T240" s="65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651">
        <v>4680115888722</v>
      </c>
      <c r="E241" s="651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15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53"/>
      <c r="R241" s="653"/>
      <c r="S241" s="653"/>
      <c r="T241" s="654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651">
        <v>4680115888951</v>
      </c>
      <c r="E242" s="651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10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53"/>
      <c r="R242" s="653"/>
      <c r="S242" s="653"/>
      <c r="T242" s="654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651">
        <v>4680115888975</v>
      </c>
      <c r="E243" s="651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1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53"/>
      <c r="R243" s="653"/>
      <c r="S243" s="653"/>
      <c r="T243" s="654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651">
        <v>4680115888982</v>
      </c>
      <c r="E244" s="651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1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53"/>
      <c r="R244" s="653"/>
      <c r="S244" s="653"/>
      <c r="T244" s="65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45"/>
      <c r="B245" s="645"/>
      <c r="C245" s="645"/>
      <c r="D245" s="645"/>
      <c r="E245" s="645"/>
      <c r="F245" s="645"/>
      <c r="G245" s="645"/>
      <c r="H245" s="645"/>
      <c r="I245" s="645"/>
      <c r="J245" s="645"/>
      <c r="K245" s="645"/>
      <c r="L245" s="645"/>
      <c r="M245" s="645"/>
      <c r="N245" s="645"/>
      <c r="O245" s="646"/>
      <c r="P245" s="642" t="s">
        <v>40</v>
      </c>
      <c r="Q245" s="643"/>
      <c r="R245" s="643"/>
      <c r="S245" s="643"/>
      <c r="T245" s="643"/>
      <c r="U245" s="643"/>
      <c r="V245" s="644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645"/>
      <c r="B246" s="645"/>
      <c r="C246" s="645"/>
      <c r="D246" s="645"/>
      <c r="E246" s="645"/>
      <c r="F246" s="645"/>
      <c r="G246" s="645"/>
      <c r="H246" s="645"/>
      <c r="I246" s="645"/>
      <c r="J246" s="645"/>
      <c r="K246" s="645"/>
      <c r="L246" s="645"/>
      <c r="M246" s="645"/>
      <c r="N246" s="645"/>
      <c r="O246" s="646"/>
      <c r="P246" s="642" t="s">
        <v>40</v>
      </c>
      <c r="Q246" s="643"/>
      <c r="R246" s="643"/>
      <c r="S246" s="643"/>
      <c r="T246" s="643"/>
      <c r="U246" s="643"/>
      <c r="V246" s="644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656" t="s">
        <v>104</v>
      </c>
      <c r="B247" s="656"/>
      <c r="C247" s="656"/>
      <c r="D247" s="656"/>
      <c r="E247" s="656"/>
      <c r="F247" s="656"/>
      <c r="G247" s="656"/>
      <c r="H247" s="656"/>
      <c r="I247" s="656"/>
      <c r="J247" s="656"/>
      <c r="K247" s="656"/>
      <c r="L247" s="656"/>
      <c r="M247" s="656"/>
      <c r="N247" s="656"/>
      <c r="O247" s="656"/>
      <c r="P247" s="656"/>
      <c r="Q247" s="656"/>
      <c r="R247" s="656"/>
      <c r="S247" s="656"/>
      <c r="T247" s="656"/>
      <c r="U247" s="656"/>
      <c r="V247" s="656"/>
      <c r="W247" s="656"/>
      <c r="X247" s="656"/>
      <c r="Y247" s="656"/>
      <c r="Z247" s="656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651">
        <v>4680115886780</v>
      </c>
      <c r="E248" s="651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0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53"/>
      <c r="R248" s="653"/>
      <c r="S248" s="653"/>
      <c r="T248" s="654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651">
        <v>4680115886742</v>
      </c>
      <c r="E249" s="651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53"/>
      <c r="R249" s="653"/>
      <c r="S249" s="653"/>
      <c r="T249" s="654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651">
        <v>4680115886766</v>
      </c>
      <c r="E250" s="65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0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53"/>
      <c r="R250" s="653"/>
      <c r="S250" s="653"/>
      <c r="T250" s="65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5"/>
      <c r="B251" s="645"/>
      <c r="C251" s="645"/>
      <c r="D251" s="645"/>
      <c r="E251" s="645"/>
      <c r="F251" s="645"/>
      <c r="G251" s="645"/>
      <c r="H251" s="645"/>
      <c r="I251" s="645"/>
      <c r="J251" s="645"/>
      <c r="K251" s="645"/>
      <c r="L251" s="645"/>
      <c r="M251" s="645"/>
      <c r="N251" s="645"/>
      <c r="O251" s="646"/>
      <c r="P251" s="642" t="s">
        <v>40</v>
      </c>
      <c r="Q251" s="643"/>
      <c r="R251" s="643"/>
      <c r="S251" s="643"/>
      <c r="T251" s="643"/>
      <c r="U251" s="643"/>
      <c r="V251" s="644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645"/>
      <c r="B252" s="645"/>
      <c r="C252" s="645"/>
      <c r="D252" s="645"/>
      <c r="E252" s="645"/>
      <c r="F252" s="645"/>
      <c r="G252" s="645"/>
      <c r="H252" s="645"/>
      <c r="I252" s="645"/>
      <c r="J252" s="645"/>
      <c r="K252" s="645"/>
      <c r="L252" s="645"/>
      <c r="M252" s="645"/>
      <c r="N252" s="645"/>
      <c r="O252" s="646"/>
      <c r="P252" s="642" t="s">
        <v>40</v>
      </c>
      <c r="Q252" s="643"/>
      <c r="R252" s="643"/>
      <c r="S252" s="643"/>
      <c r="T252" s="643"/>
      <c r="U252" s="643"/>
      <c r="V252" s="644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56" t="s">
        <v>444</v>
      </c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6"/>
      <c r="P253" s="656"/>
      <c r="Q253" s="656"/>
      <c r="R253" s="656"/>
      <c r="S253" s="656"/>
      <c r="T253" s="656"/>
      <c r="U253" s="656"/>
      <c r="V253" s="656"/>
      <c r="W253" s="656"/>
      <c r="X253" s="656"/>
      <c r="Y253" s="656"/>
      <c r="Z253" s="656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651">
        <v>4680115886797</v>
      </c>
      <c r="E254" s="651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0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53"/>
      <c r="R254" s="653"/>
      <c r="S254" s="653"/>
      <c r="T254" s="654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645"/>
      <c r="B255" s="645"/>
      <c r="C255" s="645"/>
      <c r="D255" s="645"/>
      <c r="E255" s="645"/>
      <c r="F255" s="645"/>
      <c r="G255" s="645"/>
      <c r="H255" s="645"/>
      <c r="I255" s="645"/>
      <c r="J255" s="645"/>
      <c r="K255" s="645"/>
      <c r="L255" s="645"/>
      <c r="M255" s="645"/>
      <c r="N255" s="645"/>
      <c r="O255" s="646"/>
      <c r="P255" s="642" t="s">
        <v>40</v>
      </c>
      <c r="Q255" s="643"/>
      <c r="R255" s="643"/>
      <c r="S255" s="643"/>
      <c r="T255" s="643"/>
      <c r="U255" s="643"/>
      <c r="V255" s="644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645"/>
      <c r="B256" s="645"/>
      <c r="C256" s="645"/>
      <c r="D256" s="645"/>
      <c r="E256" s="645"/>
      <c r="F256" s="645"/>
      <c r="G256" s="645"/>
      <c r="H256" s="645"/>
      <c r="I256" s="645"/>
      <c r="J256" s="645"/>
      <c r="K256" s="645"/>
      <c r="L256" s="645"/>
      <c r="M256" s="645"/>
      <c r="N256" s="645"/>
      <c r="O256" s="646"/>
      <c r="P256" s="642" t="s">
        <v>40</v>
      </c>
      <c r="Q256" s="643"/>
      <c r="R256" s="643"/>
      <c r="S256" s="643"/>
      <c r="T256" s="643"/>
      <c r="U256" s="643"/>
      <c r="V256" s="644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655" t="s">
        <v>447</v>
      </c>
      <c r="B257" s="655"/>
      <c r="C257" s="655"/>
      <c r="D257" s="655"/>
      <c r="E257" s="655"/>
      <c r="F257" s="655"/>
      <c r="G257" s="655"/>
      <c r="H257" s="655"/>
      <c r="I257" s="655"/>
      <c r="J257" s="655"/>
      <c r="K257" s="655"/>
      <c r="L257" s="655"/>
      <c r="M257" s="655"/>
      <c r="N257" s="655"/>
      <c r="O257" s="655"/>
      <c r="P257" s="655"/>
      <c r="Q257" s="655"/>
      <c r="R257" s="655"/>
      <c r="S257" s="655"/>
      <c r="T257" s="655"/>
      <c r="U257" s="655"/>
      <c r="V257" s="655"/>
      <c r="W257" s="655"/>
      <c r="X257" s="655"/>
      <c r="Y257" s="655"/>
      <c r="Z257" s="655"/>
      <c r="AA257" s="65"/>
      <c r="AB257" s="65"/>
      <c r="AC257" s="79"/>
    </row>
    <row r="258" spans="1:68" ht="14.25" hidden="1" customHeight="1" x14ac:dyDescent="0.25">
      <c r="A258" s="656" t="s">
        <v>128</v>
      </c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6"/>
      <c r="P258" s="656"/>
      <c r="Q258" s="656"/>
      <c r="R258" s="656"/>
      <c r="S258" s="656"/>
      <c r="T258" s="656"/>
      <c r="U258" s="656"/>
      <c r="V258" s="656"/>
      <c r="W258" s="656"/>
      <c r="X258" s="656"/>
      <c r="Y258" s="656"/>
      <c r="Z258" s="656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651">
        <v>4680115881402</v>
      </c>
      <c r="E259" s="651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0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53"/>
      <c r="R259" s="653"/>
      <c r="S259" s="653"/>
      <c r="T259" s="654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651">
        <v>4680115881396</v>
      </c>
      <c r="E260" s="651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0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53"/>
      <c r="R260" s="653"/>
      <c r="S260" s="653"/>
      <c r="T260" s="65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645"/>
      <c r="B261" s="645"/>
      <c r="C261" s="645"/>
      <c r="D261" s="645"/>
      <c r="E261" s="645"/>
      <c r="F261" s="645"/>
      <c r="G261" s="645"/>
      <c r="H261" s="645"/>
      <c r="I261" s="645"/>
      <c r="J261" s="645"/>
      <c r="K261" s="645"/>
      <c r="L261" s="645"/>
      <c r="M261" s="645"/>
      <c r="N261" s="645"/>
      <c r="O261" s="646"/>
      <c r="P261" s="642" t="s">
        <v>40</v>
      </c>
      <c r="Q261" s="643"/>
      <c r="R261" s="643"/>
      <c r="S261" s="643"/>
      <c r="T261" s="643"/>
      <c r="U261" s="643"/>
      <c r="V261" s="644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645"/>
      <c r="B262" s="645"/>
      <c r="C262" s="645"/>
      <c r="D262" s="645"/>
      <c r="E262" s="645"/>
      <c r="F262" s="645"/>
      <c r="G262" s="645"/>
      <c r="H262" s="645"/>
      <c r="I262" s="645"/>
      <c r="J262" s="645"/>
      <c r="K262" s="645"/>
      <c r="L262" s="645"/>
      <c r="M262" s="645"/>
      <c r="N262" s="645"/>
      <c r="O262" s="646"/>
      <c r="P262" s="642" t="s">
        <v>40</v>
      </c>
      <c r="Q262" s="643"/>
      <c r="R262" s="643"/>
      <c r="S262" s="643"/>
      <c r="T262" s="643"/>
      <c r="U262" s="643"/>
      <c r="V262" s="644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656" t="s">
        <v>164</v>
      </c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6"/>
      <c r="P263" s="656"/>
      <c r="Q263" s="656"/>
      <c r="R263" s="656"/>
      <c r="S263" s="656"/>
      <c r="T263" s="656"/>
      <c r="U263" s="656"/>
      <c r="V263" s="656"/>
      <c r="W263" s="656"/>
      <c r="X263" s="656"/>
      <c r="Y263" s="656"/>
      <c r="Z263" s="656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651">
        <v>4680115882935</v>
      </c>
      <c r="E264" s="65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0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53"/>
      <c r="R264" s="653"/>
      <c r="S264" s="653"/>
      <c r="T264" s="654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651">
        <v>4680115880764</v>
      </c>
      <c r="E265" s="651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0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53"/>
      <c r="R265" s="653"/>
      <c r="S265" s="653"/>
      <c r="T265" s="654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645"/>
      <c r="B266" s="645"/>
      <c r="C266" s="645"/>
      <c r="D266" s="645"/>
      <c r="E266" s="645"/>
      <c r="F266" s="645"/>
      <c r="G266" s="645"/>
      <c r="H266" s="645"/>
      <c r="I266" s="645"/>
      <c r="J266" s="645"/>
      <c r="K266" s="645"/>
      <c r="L266" s="645"/>
      <c r="M266" s="645"/>
      <c r="N266" s="645"/>
      <c r="O266" s="646"/>
      <c r="P266" s="642" t="s">
        <v>40</v>
      </c>
      <c r="Q266" s="643"/>
      <c r="R266" s="643"/>
      <c r="S266" s="643"/>
      <c r="T266" s="643"/>
      <c r="U266" s="643"/>
      <c r="V266" s="644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645"/>
      <c r="B267" s="645"/>
      <c r="C267" s="645"/>
      <c r="D267" s="645"/>
      <c r="E267" s="645"/>
      <c r="F267" s="645"/>
      <c r="G267" s="645"/>
      <c r="H267" s="645"/>
      <c r="I267" s="645"/>
      <c r="J267" s="645"/>
      <c r="K267" s="645"/>
      <c r="L267" s="645"/>
      <c r="M267" s="645"/>
      <c r="N267" s="645"/>
      <c r="O267" s="646"/>
      <c r="P267" s="642" t="s">
        <v>40</v>
      </c>
      <c r="Q267" s="643"/>
      <c r="R267" s="643"/>
      <c r="S267" s="643"/>
      <c r="T267" s="643"/>
      <c r="U267" s="643"/>
      <c r="V267" s="644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656" t="s">
        <v>77</v>
      </c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6"/>
      <c r="P268" s="656"/>
      <c r="Q268" s="656"/>
      <c r="R268" s="656"/>
      <c r="S268" s="656"/>
      <c r="T268" s="656"/>
      <c r="U268" s="656"/>
      <c r="V268" s="656"/>
      <c r="W268" s="656"/>
      <c r="X268" s="656"/>
      <c r="Y268" s="656"/>
      <c r="Z268" s="656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651">
        <v>4680115882683</v>
      </c>
      <c r="E269" s="651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7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53"/>
      <c r="R269" s="653"/>
      <c r="S269" s="653"/>
      <c r="T269" s="65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651">
        <v>4680115882690</v>
      </c>
      <c r="E270" s="651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53"/>
      <c r="R270" s="653"/>
      <c r="S270" s="653"/>
      <c r="T270" s="65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25">
      <c r="A271" s="63" t="s">
        <v>464</v>
      </c>
      <c r="B271" s="63" t="s">
        <v>465</v>
      </c>
      <c r="C271" s="36">
        <v>4301031220</v>
      </c>
      <c r="D271" s="651">
        <v>4680115882669</v>
      </c>
      <c r="E271" s="651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0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53"/>
      <c r="R271" s="653"/>
      <c r="S271" s="653"/>
      <c r="T271" s="654"/>
      <c r="U271" s="39" t="s">
        <v>46</v>
      </c>
      <c r="V271" s="39" t="s">
        <v>46</v>
      </c>
      <c r="W271" s="40" t="s">
        <v>0</v>
      </c>
      <c r="X271" s="58">
        <v>70</v>
      </c>
      <c r="Y271" s="55">
        <f t="shared" si="27"/>
        <v>70.2</v>
      </c>
      <c r="Z271" s="41">
        <f>IFERROR(IF(Y271=0,"",ROUNDUP(Y271/H271,0)*0.00902),"")</f>
        <v>0.11726</v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72.462962962962962</v>
      </c>
      <c r="BN271" s="78">
        <f t="shared" si="29"/>
        <v>72.67</v>
      </c>
      <c r="BO271" s="78">
        <f t="shared" si="30"/>
        <v>9.8204264870931535E-2</v>
      </c>
      <c r="BP271" s="78">
        <f t="shared" si="31"/>
        <v>9.8484848484848481E-2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651">
        <v>4680115882676</v>
      </c>
      <c r="E272" s="651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7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53"/>
      <c r="R272" s="653"/>
      <c r="S272" s="653"/>
      <c r="T272" s="65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651">
        <v>4680115884014</v>
      </c>
      <c r="E273" s="651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79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53"/>
      <c r="R273" s="653"/>
      <c r="S273" s="653"/>
      <c r="T273" s="654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651">
        <v>4680115884007</v>
      </c>
      <c r="E274" s="651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7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53"/>
      <c r="R274" s="653"/>
      <c r="S274" s="653"/>
      <c r="T274" s="654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651">
        <v>4680115884038</v>
      </c>
      <c r="E275" s="651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79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53"/>
      <c r="R275" s="653"/>
      <c r="S275" s="653"/>
      <c r="T275" s="654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651">
        <v>4680115884021</v>
      </c>
      <c r="E276" s="651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79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53"/>
      <c r="R276" s="653"/>
      <c r="S276" s="653"/>
      <c r="T276" s="65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x14ac:dyDescent="0.2">
      <c r="A277" s="645"/>
      <c r="B277" s="645"/>
      <c r="C277" s="645"/>
      <c r="D277" s="645"/>
      <c r="E277" s="645"/>
      <c r="F277" s="645"/>
      <c r="G277" s="645"/>
      <c r="H277" s="645"/>
      <c r="I277" s="645"/>
      <c r="J277" s="645"/>
      <c r="K277" s="645"/>
      <c r="L277" s="645"/>
      <c r="M277" s="645"/>
      <c r="N277" s="645"/>
      <c r="O277" s="646"/>
      <c r="P277" s="642" t="s">
        <v>40</v>
      </c>
      <c r="Q277" s="643"/>
      <c r="R277" s="643"/>
      <c r="S277" s="643"/>
      <c r="T277" s="643"/>
      <c r="U277" s="643"/>
      <c r="V277" s="644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12.962962962962962</v>
      </c>
      <c r="Y277" s="43">
        <f>IFERROR(Y269/H269,"0")+IFERROR(Y270/H270,"0")+IFERROR(Y271/H271,"0")+IFERROR(Y272/H272,"0")+IFERROR(Y273/H273,"0")+IFERROR(Y274/H274,"0")+IFERROR(Y275/H275,"0")+IFERROR(Y276/H276,"0")</f>
        <v>13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0.11726</v>
      </c>
      <c r="AA277" s="67"/>
      <c r="AB277" s="67"/>
      <c r="AC277" s="67"/>
    </row>
    <row r="278" spans="1:68" x14ac:dyDescent="0.2">
      <c r="A278" s="645"/>
      <c r="B278" s="645"/>
      <c r="C278" s="645"/>
      <c r="D278" s="645"/>
      <c r="E278" s="645"/>
      <c r="F278" s="645"/>
      <c r="G278" s="645"/>
      <c r="H278" s="645"/>
      <c r="I278" s="645"/>
      <c r="J278" s="645"/>
      <c r="K278" s="645"/>
      <c r="L278" s="645"/>
      <c r="M278" s="645"/>
      <c r="N278" s="645"/>
      <c r="O278" s="646"/>
      <c r="P278" s="642" t="s">
        <v>40</v>
      </c>
      <c r="Q278" s="643"/>
      <c r="R278" s="643"/>
      <c r="S278" s="643"/>
      <c r="T278" s="643"/>
      <c r="U278" s="643"/>
      <c r="V278" s="644"/>
      <c r="W278" s="42" t="s">
        <v>0</v>
      </c>
      <c r="X278" s="43">
        <f>IFERROR(SUM(X269:X276),"0")</f>
        <v>70</v>
      </c>
      <c r="Y278" s="43">
        <f>IFERROR(SUM(Y269:Y276),"0")</f>
        <v>70.2</v>
      </c>
      <c r="Z278" s="42"/>
      <c r="AA278" s="67"/>
      <c r="AB278" s="67"/>
      <c r="AC278" s="67"/>
    </row>
    <row r="279" spans="1:68" ht="14.25" hidden="1" customHeight="1" x14ac:dyDescent="0.25">
      <c r="A279" s="656" t="s">
        <v>86</v>
      </c>
      <c r="B279" s="656"/>
      <c r="C279" s="656"/>
      <c r="D279" s="656"/>
      <c r="E279" s="656"/>
      <c r="F279" s="656"/>
      <c r="G279" s="656"/>
      <c r="H279" s="656"/>
      <c r="I279" s="656"/>
      <c r="J279" s="656"/>
      <c r="K279" s="656"/>
      <c r="L279" s="656"/>
      <c r="M279" s="656"/>
      <c r="N279" s="656"/>
      <c r="O279" s="656"/>
      <c r="P279" s="656"/>
      <c r="Q279" s="656"/>
      <c r="R279" s="656"/>
      <c r="S279" s="656"/>
      <c r="T279" s="656"/>
      <c r="U279" s="656"/>
      <c r="V279" s="656"/>
      <c r="W279" s="656"/>
      <c r="X279" s="656"/>
      <c r="Y279" s="656"/>
      <c r="Z279" s="656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651">
        <v>4680115881594</v>
      </c>
      <c r="E280" s="651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7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53"/>
      <c r="R280" s="653"/>
      <c r="S280" s="653"/>
      <c r="T280" s="65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651">
        <v>4680115881617</v>
      </c>
      <c r="E281" s="651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7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53"/>
      <c r="R281" s="653"/>
      <c r="S281" s="653"/>
      <c r="T281" s="65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651">
        <v>4680115880573</v>
      </c>
      <c r="E282" s="651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7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53"/>
      <c r="R282" s="653"/>
      <c r="S282" s="653"/>
      <c r="T282" s="654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651">
        <v>4680115882195</v>
      </c>
      <c r="E283" s="651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78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53"/>
      <c r="R283" s="653"/>
      <c r="S283" s="653"/>
      <c r="T283" s="654"/>
      <c r="U283" s="39" t="s">
        <v>46</v>
      </c>
      <c r="V283" s="39" t="s">
        <v>46</v>
      </c>
      <c r="W283" s="40" t="s">
        <v>0</v>
      </c>
      <c r="X283" s="58">
        <v>4.8</v>
      </c>
      <c r="Y283" s="55">
        <f t="shared" si="32"/>
        <v>4.8</v>
      </c>
      <c r="Z283" s="41">
        <f>IFERROR(IF(Y283=0,"",ROUNDUP(Y283/H283,0)*0.00651),"")</f>
        <v>1.302E-2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5.34</v>
      </c>
      <c r="BN283" s="78">
        <f t="shared" si="34"/>
        <v>5.34</v>
      </c>
      <c r="BO283" s="78">
        <f t="shared" si="35"/>
        <v>1.098901098901099E-2</v>
      </c>
      <c r="BP283" s="78">
        <f t="shared" si="36"/>
        <v>1.098901098901099E-2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651">
        <v>4680115882607</v>
      </c>
      <c r="E284" s="651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78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53"/>
      <c r="R284" s="653"/>
      <c r="S284" s="653"/>
      <c r="T284" s="654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651">
        <v>4680115882607</v>
      </c>
      <c r="E285" s="651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78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53"/>
      <c r="R285" s="653"/>
      <c r="S285" s="653"/>
      <c r="T285" s="65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651">
        <v>4680115880092</v>
      </c>
      <c r="E286" s="651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78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53"/>
      <c r="R286" s="653"/>
      <c r="S286" s="653"/>
      <c r="T286" s="65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651">
        <v>4680115889064</v>
      </c>
      <c r="E287" s="651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79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53"/>
      <c r="R287" s="653"/>
      <c r="S287" s="653"/>
      <c r="T287" s="65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651">
        <v>4680115880221</v>
      </c>
      <c r="E288" s="651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78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53"/>
      <c r="R288" s="653"/>
      <c r="S288" s="653"/>
      <c r="T288" s="654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651">
        <v>4680115880504</v>
      </c>
      <c r="E289" s="651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78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53"/>
      <c r="R289" s="653"/>
      <c r="S289" s="653"/>
      <c r="T289" s="654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651">
        <v>4680115882164</v>
      </c>
      <c r="E290" s="651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78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53"/>
      <c r="R290" s="653"/>
      <c r="S290" s="653"/>
      <c r="T290" s="654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651">
        <v>4680115888340</v>
      </c>
      <c r="E291" s="65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785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53"/>
      <c r="R291" s="653"/>
      <c r="S291" s="653"/>
      <c r="T291" s="654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645"/>
      <c r="B292" s="645"/>
      <c r="C292" s="645"/>
      <c r="D292" s="645"/>
      <c r="E292" s="645"/>
      <c r="F292" s="645"/>
      <c r="G292" s="645"/>
      <c r="H292" s="645"/>
      <c r="I292" s="645"/>
      <c r="J292" s="645"/>
      <c r="K292" s="645"/>
      <c r="L292" s="645"/>
      <c r="M292" s="645"/>
      <c r="N292" s="645"/>
      <c r="O292" s="646"/>
      <c r="P292" s="642" t="s">
        <v>40</v>
      </c>
      <c r="Q292" s="643"/>
      <c r="R292" s="643"/>
      <c r="S292" s="643"/>
      <c r="T292" s="643"/>
      <c r="U292" s="643"/>
      <c r="V292" s="644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2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2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1.302E-2</v>
      </c>
      <c r="AA292" s="67"/>
      <c r="AB292" s="67"/>
      <c r="AC292" s="67"/>
    </row>
    <row r="293" spans="1:68" x14ac:dyDescent="0.2">
      <c r="A293" s="645"/>
      <c r="B293" s="645"/>
      <c r="C293" s="645"/>
      <c r="D293" s="645"/>
      <c r="E293" s="645"/>
      <c r="F293" s="645"/>
      <c r="G293" s="645"/>
      <c r="H293" s="645"/>
      <c r="I293" s="645"/>
      <c r="J293" s="645"/>
      <c r="K293" s="645"/>
      <c r="L293" s="645"/>
      <c r="M293" s="645"/>
      <c r="N293" s="645"/>
      <c r="O293" s="646"/>
      <c r="P293" s="642" t="s">
        <v>40</v>
      </c>
      <c r="Q293" s="643"/>
      <c r="R293" s="643"/>
      <c r="S293" s="643"/>
      <c r="T293" s="643"/>
      <c r="U293" s="643"/>
      <c r="V293" s="644"/>
      <c r="W293" s="42" t="s">
        <v>0</v>
      </c>
      <c r="X293" s="43">
        <f>IFERROR(SUM(X280:X291),"0")</f>
        <v>4.8</v>
      </c>
      <c r="Y293" s="43">
        <f>IFERROR(SUM(Y280:Y291),"0")</f>
        <v>4.8</v>
      </c>
      <c r="Z293" s="42"/>
      <c r="AA293" s="67"/>
      <c r="AB293" s="67"/>
      <c r="AC293" s="67"/>
    </row>
    <row r="294" spans="1:68" ht="14.25" hidden="1" customHeight="1" x14ac:dyDescent="0.25">
      <c r="A294" s="656" t="s">
        <v>181</v>
      </c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6"/>
      <c r="P294" s="656"/>
      <c r="Q294" s="656"/>
      <c r="R294" s="656"/>
      <c r="S294" s="656"/>
      <c r="T294" s="656"/>
      <c r="U294" s="656"/>
      <c r="V294" s="656"/>
      <c r="W294" s="656"/>
      <c r="X294" s="656"/>
      <c r="Y294" s="656"/>
      <c r="Z294" s="656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651">
        <v>4680115880818</v>
      </c>
      <c r="E295" s="651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78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53"/>
      <c r="R295" s="653"/>
      <c r="S295" s="653"/>
      <c r="T295" s="654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651">
        <v>4680115880801</v>
      </c>
      <c r="E296" s="651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78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53"/>
      <c r="R296" s="653"/>
      <c r="S296" s="653"/>
      <c r="T296" s="654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645"/>
      <c r="B297" s="645"/>
      <c r="C297" s="645"/>
      <c r="D297" s="645"/>
      <c r="E297" s="645"/>
      <c r="F297" s="645"/>
      <c r="G297" s="645"/>
      <c r="H297" s="645"/>
      <c r="I297" s="645"/>
      <c r="J297" s="645"/>
      <c r="K297" s="645"/>
      <c r="L297" s="645"/>
      <c r="M297" s="645"/>
      <c r="N297" s="645"/>
      <c r="O297" s="646"/>
      <c r="P297" s="642" t="s">
        <v>40</v>
      </c>
      <c r="Q297" s="643"/>
      <c r="R297" s="643"/>
      <c r="S297" s="643"/>
      <c r="T297" s="643"/>
      <c r="U297" s="643"/>
      <c r="V297" s="644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645"/>
      <c r="B298" s="645"/>
      <c r="C298" s="645"/>
      <c r="D298" s="645"/>
      <c r="E298" s="645"/>
      <c r="F298" s="645"/>
      <c r="G298" s="645"/>
      <c r="H298" s="645"/>
      <c r="I298" s="645"/>
      <c r="J298" s="645"/>
      <c r="K298" s="645"/>
      <c r="L298" s="645"/>
      <c r="M298" s="645"/>
      <c r="N298" s="645"/>
      <c r="O298" s="646"/>
      <c r="P298" s="642" t="s">
        <v>40</v>
      </c>
      <c r="Q298" s="643"/>
      <c r="R298" s="643"/>
      <c r="S298" s="643"/>
      <c r="T298" s="643"/>
      <c r="U298" s="643"/>
      <c r="V298" s="644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655" t="s">
        <v>515</v>
      </c>
      <c r="B299" s="655"/>
      <c r="C299" s="655"/>
      <c r="D299" s="655"/>
      <c r="E299" s="655"/>
      <c r="F299" s="655"/>
      <c r="G299" s="655"/>
      <c r="H299" s="655"/>
      <c r="I299" s="655"/>
      <c r="J299" s="655"/>
      <c r="K299" s="655"/>
      <c r="L299" s="655"/>
      <c r="M299" s="655"/>
      <c r="N299" s="655"/>
      <c r="O299" s="655"/>
      <c r="P299" s="655"/>
      <c r="Q299" s="655"/>
      <c r="R299" s="655"/>
      <c r="S299" s="655"/>
      <c r="T299" s="655"/>
      <c r="U299" s="655"/>
      <c r="V299" s="655"/>
      <c r="W299" s="655"/>
      <c r="X299" s="655"/>
      <c r="Y299" s="655"/>
      <c r="Z299" s="655"/>
      <c r="AA299" s="65"/>
      <c r="AB299" s="65"/>
      <c r="AC299" s="79"/>
    </row>
    <row r="300" spans="1:68" ht="14.25" hidden="1" customHeight="1" x14ac:dyDescent="0.25">
      <c r="A300" s="656" t="s">
        <v>128</v>
      </c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6"/>
      <c r="P300" s="656"/>
      <c r="Q300" s="656"/>
      <c r="R300" s="656"/>
      <c r="S300" s="656"/>
      <c r="T300" s="656"/>
      <c r="U300" s="656"/>
      <c r="V300" s="656"/>
      <c r="W300" s="656"/>
      <c r="X300" s="656"/>
      <c r="Y300" s="656"/>
      <c r="Z300" s="656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651">
        <v>4680115884137</v>
      </c>
      <c r="E301" s="651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77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53"/>
      <c r="R301" s="653"/>
      <c r="S301" s="653"/>
      <c r="T301" s="65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651">
        <v>4680115884236</v>
      </c>
      <c r="E302" s="651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77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53"/>
      <c r="R302" s="653"/>
      <c r="S302" s="653"/>
      <c r="T302" s="65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651">
        <v>4680115884175</v>
      </c>
      <c r="E303" s="651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77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53"/>
      <c r="R303" s="653"/>
      <c r="S303" s="653"/>
      <c r="T303" s="65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651">
        <v>4680115884144</v>
      </c>
      <c r="E304" s="651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77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53"/>
      <c r="R304" s="653"/>
      <c r="S304" s="653"/>
      <c r="T304" s="654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651">
        <v>4680115886551</v>
      </c>
      <c r="E305" s="651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77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53"/>
      <c r="R305" s="653"/>
      <c r="S305" s="653"/>
      <c r="T305" s="654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651">
        <v>4680115887282</v>
      </c>
      <c r="E306" s="651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77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53"/>
      <c r="R306" s="653"/>
      <c r="S306" s="653"/>
      <c r="T306" s="654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651">
        <v>4680115884205</v>
      </c>
      <c r="E307" s="651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7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53"/>
      <c r="R307" s="653"/>
      <c r="S307" s="653"/>
      <c r="T307" s="654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645"/>
      <c r="B308" s="645"/>
      <c r="C308" s="645"/>
      <c r="D308" s="645"/>
      <c r="E308" s="645"/>
      <c r="F308" s="645"/>
      <c r="G308" s="645"/>
      <c r="H308" s="645"/>
      <c r="I308" s="645"/>
      <c r="J308" s="645"/>
      <c r="K308" s="645"/>
      <c r="L308" s="645"/>
      <c r="M308" s="645"/>
      <c r="N308" s="645"/>
      <c r="O308" s="646"/>
      <c r="P308" s="642" t="s">
        <v>40</v>
      </c>
      <c r="Q308" s="643"/>
      <c r="R308" s="643"/>
      <c r="S308" s="643"/>
      <c r="T308" s="643"/>
      <c r="U308" s="643"/>
      <c r="V308" s="644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645"/>
      <c r="B309" s="645"/>
      <c r="C309" s="645"/>
      <c r="D309" s="645"/>
      <c r="E309" s="645"/>
      <c r="F309" s="645"/>
      <c r="G309" s="645"/>
      <c r="H309" s="645"/>
      <c r="I309" s="645"/>
      <c r="J309" s="645"/>
      <c r="K309" s="645"/>
      <c r="L309" s="645"/>
      <c r="M309" s="645"/>
      <c r="N309" s="645"/>
      <c r="O309" s="646"/>
      <c r="P309" s="642" t="s">
        <v>40</v>
      </c>
      <c r="Q309" s="643"/>
      <c r="R309" s="643"/>
      <c r="S309" s="643"/>
      <c r="T309" s="643"/>
      <c r="U309" s="643"/>
      <c r="V309" s="644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6" t="s">
        <v>164</v>
      </c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6"/>
      <c r="P310" s="656"/>
      <c r="Q310" s="656"/>
      <c r="R310" s="656"/>
      <c r="S310" s="656"/>
      <c r="T310" s="656"/>
      <c r="U310" s="656"/>
      <c r="V310" s="656"/>
      <c r="W310" s="656"/>
      <c r="X310" s="656"/>
      <c r="Y310" s="656"/>
      <c r="Z310" s="656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651">
        <v>4680115885981</v>
      </c>
      <c r="E311" s="651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77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53"/>
      <c r="R311" s="653"/>
      <c r="S311" s="653"/>
      <c r="T311" s="65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5"/>
      <c r="B312" s="645"/>
      <c r="C312" s="645"/>
      <c r="D312" s="645"/>
      <c r="E312" s="645"/>
      <c r="F312" s="645"/>
      <c r="G312" s="645"/>
      <c r="H312" s="645"/>
      <c r="I312" s="645"/>
      <c r="J312" s="645"/>
      <c r="K312" s="645"/>
      <c r="L312" s="645"/>
      <c r="M312" s="645"/>
      <c r="N312" s="645"/>
      <c r="O312" s="646"/>
      <c r="P312" s="642" t="s">
        <v>40</v>
      </c>
      <c r="Q312" s="643"/>
      <c r="R312" s="643"/>
      <c r="S312" s="643"/>
      <c r="T312" s="643"/>
      <c r="U312" s="643"/>
      <c r="V312" s="644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5"/>
      <c r="B313" s="645"/>
      <c r="C313" s="645"/>
      <c r="D313" s="645"/>
      <c r="E313" s="645"/>
      <c r="F313" s="645"/>
      <c r="G313" s="645"/>
      <c r="H313" s="645"/>
      <c r="I313" s="645"/>
      <c r="J313" s="645"/>
      <c r="K313" s="645"/>
      <c r="L313" s="645"/>
      <c r="M313" s="645"/>
      <c r="N313" s="645"/>
      <c r="O313" s="646"/>
      <c r="P313" s="642" t="s">
        <v>40</v>
      </c>
      <c r="Q313" s="643"/>
      <c r="R313" s="643"/>
      <c r="S313" s="643"/>
      <c r="T313" s="643"/>
      <c r="U313" s="643"/>
      <c r="V313" s="644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6" t="s">
        <v>537</v>
      </c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6"/>
      <c r="P314" s="656"/>
      <c r="Q314" s="656"/>
      <c r="R314" s="656"/>
      <c r="S314" s="656"/>
      <c r="T314" s="656"/>
      <c r="U314" s="656"/>
      <c r="V314" s="656"/>
      <c r="W314" s="656"/>
      <c r="X314" s="656"/>
      <c r="Y314" s="656"/>
      <c r="Z314" s="656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651">
        <v>4680115886803</v>
      </c>
      <c r="E315" s="651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77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53"/>
      <c r="R315" s="653"/>
      <c r="S315" s="653"/>
      <c r="T315" s="65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645"/>
      <c r="B316" s="645"/>
      <c r="C316" s="645"/>
      <c r="D316" s="645"/>
      <c r="E316" s="645"/>
      <c r="F316" s="645"/>
      <c r="G316" s="645"/>
      <c r="H316" s="645"/>
      <c r="I316" s="645"/>
      <c r="J316" s="645"/>
      <c r="K316" s="645"/>
      <c r="L316" s="645"/>
      <c r="M316" s="645"/>
      <c r="N316" s="645"/>
      <c r="O316" s="646"/>
      <c r="P316" s="642" t="s">
        <v>40</v>
      </c>
      <c r="Q316" s="643"/>
      <c r="R316" s="643"/>
      <c r="S316" s="643"/>
      <c r="T316" s="643"/>
      <c r="U316" s="643"/>
      <c r="V316" s="644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645"/>
      <c r="B317" s="645"/>
      <c r="C317" s="645"/>
      <c r="D317" s="645"/>
      <c r="E317" s="645"/>
      <c r="F317" s="645"/>
      <c r="G317" s="645"/>
      <c r="H317" s="645"/>
      <c r="I317" s="645"/>
      <c r="J317" s="645"/>
      <c r="K317" s="645"/>
      <c r="L317" s="645"/>
      <c r="M317" s="645"/>
      <c r="N317" s="645"/>
      <c r="O317" s="646"/>
      <c r="P317" s="642" t="s">
        <v>40</v>
      </c>
      <c r="Q317" s="643"/>
      <c r="R317" s="643"/>
      <c r="S317" s="643"/>
      <c r="T317" s="643"/>
      <c r="U317" s="643"/>
      <c r="V317" s="644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656" t="s">
        <v>354</v>
      </c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6"/>
      <c r="P318" s="656"/>
      <c r="Q318" s="656"/>
      <c r="R318" s="656"/>
      <c r="S318" s="656"/>
      <c r="T318" s="656"/>
      <c r="U318" s="656"/>
      <c r="V318" s="656"/>
      <c r="W318" s="656"/>
      <c r="X318" s="656"/>
      <c r="Y318" s="656"/>
      <c r="Z318" s="656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651">
        <v>4680115886704</v>
      </c>
      <c r="E319" s="651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76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53"/>
      <c r="R319" s="653"/>
      <c r="S319" s="653"/>
      <c r="T319" s="654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651">
        <v>4680115886681</v>
      </c>
      <c r="E320" s="651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76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53"/>
      <c r="R320" s="653"/>
      <c r="S320" s="653"/>
      <c r="T320" s="654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651">
        <v>4680115886735</v>
      </c>
      <c r="E321" s="651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77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53"/>
      <c r="R321" s="653"/>
      <c r="S321" s="653"/>
      <c r="T321" s="654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645"/>
      <c r="B322" s="645"/>
      <c r="C322" s="645"/>
      <c r="D322" s="645"/>
      <c r="E322" s="645"/>
      <c r="F322" s="645"/>
      <c r="G322" s="645"/>
      <c r="H322" s="645"/>
      <c r="I322" s="645"/>
      <c r="J322" s="645"/>
      <c r="K322" s="645"/>
      <c r="L322" s="645"/>
      <c r="M322" s="645"/>
      <c r="N322" s="645"/>
      <c r="O322" s="646"/>
      <c r="P322" s="642" t="s">
        <v>40</v>
      </c>
      <c r="Q322" s="643"/>
      <c r="R322" s="643"/>
      <c r="S322" s="643"/>
      <c r="T322" s="643"/>
      <c r="U322" s="643"/>
      <c r="V322" s="644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645"/>
      <c r="B323" s="645"/>
      <c r="C323" s="645"/>
      <c r="D323" s="645"/>
      <c r="E323" s="645"/>
      <c r="F323" s="645"/>
      <c r="G323" s="645"/>
      <c r="H323" s="645"/>
      <c r="I323" s="645"/>
      <c r="J323" s="645"/>
      <c r="K323" s="645"/>
      <c r="L323" s="645"/>
      <c r="M323" s="645"/>
      <c r="N323" s="645"/>
      <c r="O323" s="646"/>
      <c r="P323" s="642" t="s">
        <v>40</v>
      </c>
      <c r="Q323" s="643"/>
      <c r="R323" s="643"/>
      <c r="S323" s="643"/>
      <c r="T323" s="643"/>
      <c r="U323" s="643"/>
      <c r="V323" s="644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655" t="s">
        <v>548</v>
      </c>
      <c r="B324" s="655"/>
      <c r="C324" s="655"/>
      <c r="D324" s="655"/>
      <c r="E324" s="655"/>
      <c r="F324" s="655"/>
      <c r="G324" s="655"/>
      <c r="H324" s="655"/>
      <c r="I324" s="655"/>
      <c r="J324" s="655"/>
      <c r="K324" s="655"/>
      <c r="L324" s="655"/>
      <c r="M324" s="655"/>
      <c r="N324" s="655"/>
      <c r="O324" s="655"/>
      <c r="P324" s="655"/>
      <c r="Q324" s="655"/>
      <c r="R324" s="655"/>
      <c r="S324" s="655"/>
      <c r="T324" s="655"/>
      <c r="U324" s="655"/>
      <c r="V324" s="655"/>
      <c r="W324" s="655"/>
      <c r="X324" s="655"/>
      <c r="Y324" s="655"/>
      <c r="Z324" s="655"/>
      <c r="AA324" s="65"/>
      <c r="AB324" s="65"/>
      <c r="AC324" s="79"/>
    </row>
    <row r="325" spans="1:68" ht="14.25" hidden="1" customHeight="1" x14ac:dyDescent="0.25">
      <c r="A325" s="656" t="s">
        <v>128</v>
      </c>
      <c r="B325" s="656"/>
      <c r="C325" s="656"/>
      <c r="D325" s="656"/>
      <c r="E325" s="656"/>
      <c r="F325" s="656"/>
      <c r="G325" s="656"/>
      <c r="H325" s="656"/>
      <c r="I325" s="656"/>
      <c r="J325" s="656"/>
      <c r="K325" s="656"/>
      <c r="L325" s="656"/>
      <c r="M325" s="656"/>
      <c r="N325" s="656"/>
      <c r="O325" s="656"/>
      <c r="P325" s="656"/>
      <c r="Q325" s="656"/>
      <c r="R325" s="656"/>
      <c r="S325" s="656"/>
      <c r="T325" s="656"/>
      <c r="U325" s="656"/>
      <c r="V325" s="656"/>
      <c r="W325" s="656"/>
      <c r="X325" s="656"/>
      <c r="Y325" s="656"/>
      <c r="Z325" s="656"/>
      <c r="AA325" s="66"/>
      <c r="AB325" s="66"/>
      <c r="AC325" s="80"/>
    </row>
    <row r="326" spans="1:68" ht="27" hidden="1" customHeight="1" x14ac:dyDescent="0.25">
      <c r="A326" s="63" t="s">
        <v>549</v>
      </c>
      <c r="B326" s="63" t="s">
        <v>550</v>
      </c>
      <c r="C326" s="36">
        <v>4301011855</v>
      </c>
      <c r="D326" s="651">
        <v>4680115885837</v>
      </c>
      <c r="E326" s="651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7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53"/>
      <c r="R326" s="653"/>
      <c r="S326" s="653"/>
      <c r="T326" s="65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552</v>
      </c>
      <c r="B327" s="63" t="s">
        <v>553</v>
      </c>
      <c r="C327" s="36">
        <v>4301012234</v>
      </c>
      <c r="D327" s="651">
        <v>4680115887237</v>
      </c>
      <c r="E327" s="651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76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53"/>
      <c r="R327" s="653"/>
      <c r="S327" s="653"/>
      <c r="T327" s="654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555</v>
      </c>
      <c r="B328" s="63" t="s">
        <v>556</v>
      </c>
      <c r="C328" s="36">
        <v>4301011850</v>
      </c>
      <c r="D328" s="651">
        <v>4680115885806</v>
      </c>
      <c r="E328" s="651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76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53"/>
      <c r="R328" s="653"/>
      <c r="S328" s="653"/>
      <c r="T328" s="654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558</v>
      </c>
      <c r="B329" s="63" t="s">
        <v>559</v>
      </c>
      <c r="C329" s="36">
        <v>4301011852</v>
      </c>
      <c r="D329" s="651">
        <v>4680115885844</v>
      </c>
      <c r="E329" s="651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7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53"/>
      <c r="R329" s="653"/>
      <c r="S329" s="653"/>
      <c r="T329" s="654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561</v>
      </c>
      <c r="B330" s="63" t="s">
        <v>562</v>
      </c>
      <c r="C330" s="36">
        <v>4301011851</v>
      </c>
      <c r="D330" s="651">
        <v>4680115885820</v>
      </c>
      <c r="E330" s="651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76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53"/>
      <c r="R330" s="653"/>
      <c r="S330" s="653"/>
      <c r="T330" s="654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645"/>
      <c r="B331" s="645"/>
      <c r="C331" s="645"/>
      <c r="D331" s="645"/>
      <c r="E331" s="645"/>
      <c r="F331" s="645"/>
      <c r="G331" s="645"/>
      <c r="H331" s="645"/>
      <c r="I331" s="645"/>
      <c r="J331" s="645"/>
      <c r="K331" s="645"/>
      <c r="L331" s="645"/>
      <c r="M331" s="645"/>
      <c r="N331" s="645"/>
      <c r="O331" s="646"/>
      <c r="P331" s="642" t="s">
        <v>40</v>
      </c>
      <c r="Q331" s="643"/>
      <c r="R331" s="643"/>
      <c r="S331" s="643"/>
      <c r="T331" s="643"/>
      <c r="U331" s="643"/>
      <c r="V331" s="644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645"/>
      <c r="B332" s="645"/>
      <c r="C332" s="645"/>
      <c r="D332" s="645"/>
      <c r="E332" s="645"/>
      <c r="F332" s="645"/>
      <c r="G332" s="645"/>
      <c r="H332" s="645"/>
      <c r="I332" s="645"/>
      <c r="J332" s="645"/>
      <c r="K332" s="645"/>
      <c r="L332" s="645"/>
      <c r="M332" s="645"/>
      <c r="N332" s="645"/>
      <c r="O332" s="646"/>
      <c r="P332" s="642" t="s">
        <v>40</v>
      </c>
      <c r="Q332" s="643"/>
      <c r="R332" s="643"/>
      <c r="S332" s="643"/>
      <c r="T332" s="643"/>
      <c r="U332" s="643"/>
      <c r="V332" s="644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655" t="s">
        <v>564</v>
      </c>
      <c r="B333" s="655"/>
      <c r="C333" s="655"/>
      <c r="D333" s="655"/>
      <c r="E333" s="655"/>
      <c r="F333" s="655"/>
      <c r="G333" s="655"/>
      <c r="H333" s="655"/>
      <c r="I333" s="655"/>
      <c r="J333" s="655"/>
      <c r="K333" s="655"/>
      <c r="L333" s="655"/>
      <c r="M333" s="655"/>
      <c r="N333" s="655"/>
      <c r="O333" s="655"/>
      <c r="P333" s="655"/>
      <c r="Q333" s="655"/>
      <c r="R333" s="655"/>
      <c r="S333" s="655"/>
      <c r="T333" s="655"/>
      <c r="U333" s="655"/>
      <c r="V333" s="655"/>
      <c r="W333" s="655"/>
      <c r="X333" s="655"/>
      <c r="Y333" s="655"/>
      <c r="Z333" s="655"/>
      <c r="AA333" s="65"/>
      <c r="AB333" s="65"/>
      <c r="AC333" s="79"/>
    </row>
    <row r="334" spans="1:68" ht="14.25" hidden="1" customHeight="1" x14ac:dyDescent="0.25">
      <c r="A334" s="656" t="s">
        <v>86</v>
      </c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6"/>
      <c r="P334" s="656"/>
      <c r="Q334" s="656"/>
      <c r="R334" s="656"/>
      <c r="S334" s="656"/>
      <c r="T334" s="656"/>
      <c r="U334" s="656"/>
      <c r="V334" s="656"/>
      <c r="W334" s="656"/>
      <c r="X334" s="656"/>
      <c r="Y334" s="656"/>
      <c r="Z334" s="656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651">
        <v>4680115886186</v>
      </c>
      <c r="E335" s="651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76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53"/>
      <c r="R335" s="653"/>
      <c r="S335" s="653"/>
      <c r="T335" s="654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651">
        <v>4680115881228</v>
      </c>
      <c r="E336" s="651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76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53"/>
      <c r="R336" s="653"/>
      <c r="S336" s="653"/>
      <c r="T336" s="654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651">
        <v>4680115881211</v>
      </c>
      <c r="E337" s="651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76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53"/>
      <c r="R337" s="653"/>
      <c r="S337" s="653"/>
      <c r="T337" s="654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45"/>
      <c r="B338" s="645"/>
      <c r="C338" s="645"/>
      <c r="D338" s="645"/>
      <c r="E338" s="645"/>
      <c r="F338" s="645"/>
      <c r="G338" s="645"/>
      <c r="H338" s="645"/>
      <c r="I338" s="645"/>
      <c r="J338" s="645"/>
      <c r="K338" s="645"/>
      <c r="L338" s="645"/>
      <c r="M338" s="645"/>
      <c r="N338" s="645"/>
      <c r="O338" s="646"/>
      <c r="P338" s="642" t="s">
        <v>40</v>
      </c>
      <c r="Q338" s="643"/>
      <c r="R338" s="643"/>
      <c r="S338" s="643"/>
      <c r="T338" s="643"/>
      <c r="U338" s="643"/>
      <c r="V338" s="644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45"/>
      <c r="B339" s="645"/>
      <c r="C339" s="645"/>
      <c r="D339" s="645"/>
      <c r="E339" s="645"/>
      <c r="F339" s="645"/>
      <c r="G339" s="645"/>
      <c r="H339" s="645"/>
      <c r="I339" s="645"/>
      <c r="J339" s="645"/>
      <c r="K339" s="645"/>
      <c r="L339" s="645"/>
      <c r="M339" s="645"/>
      <c r="N339" s="645"/>
      <c r="O339" s="646"/>
      <c r="P339" s="642" t="s">
        <v>40</v>
      </c>
      <c r="Q339" s="643"/>
      <c r="R339" s="643"/>
      <c r="S339" s="643"/>
      <c r="T339" s="643"/>
      <c r="U339" s="643"/>
      <c r="V339" s="644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55" t="s">
        <v>573</v>
      </c>
      <c r="B340" s="655"/>
      <c r="C340" s="655"/>
      <c r="D340" s="655"/>
      <c r="E340" s="655"/>
      <c r="F340" s="655"/>
      <c r="G340" s="655"/>
      <c r="H340" s="655"/>
      <c r="I340" s="655"/>
      <c r="J340" s="655"/>
      <c r="K340" s="655"/>
      <c r="L340" s="655"/>
      <c r="M340" s="655"/>
      <c r="N340" s="655"/>
      <c r="O340" s="655"/>
      <c r="P340" s="655"/>
      <c r="Q340" s="655"/>
      <c r="R340" s="655"/>
      <c r="S340" s="655"/>
      <c r="T340" s="655"/>
      <c r="U340" s="655"/>
      <c r="V340" s="655"/>
      <c r="W340" s="655"/>
      <c r="X340" s="655"/>
      <c r="Y340" s="655"/>
      <c r="Z340" s="655"/>
      <c r="AA340" s="65"/>
      <c r="AB340" s="65"/>
      <c r="AC340" s="79"/>
    </row>
    <row r="341" spans="1:68" ht="14.25" hidden="1" customHeight="1" x14ac:dyDescent="0.25">
      <c r="A341" s="656" t="s">
        <v>77</v>
      </c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6"/>
      <c r="P341" s="656"/>
      <c r="Q341" s="656"/>
      <c r="R341" s="656"/>
      <c r="S341" s="656"/>
      <c r="T341" s="656"/>
      <c r="U341" s="656"/>
      <c r="V341" s="656"/>
      <c r="W341" s="656"/>
      <c r="X341" s="656"/>
      <c r="Y341" s="656"/>
      <c r="Z341" s="656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651">
        <v>4680115888319</v>
      </c>
      <c r="E342" s="651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75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53"/>
      <c r="R342" s="653"/>
      <c r="S342" s="653"/>
      <c r="T342" s="65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651">
        <v>4680115884700</v>
      </c>
      <c r="E343" s="651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5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53"/>
      <c r="R343" s="653"/>
      <c r="S343" s="653"/>
      <c r="T343" s="654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651">
        <v>4680115880344</v>
      </c>
      <c r="E344" s="651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75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53"/>
      <c r="R344" s="653"/>
      <c r="S344" s="653"/>
      <c r="T344" s="654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651">
        <v>4680115886919</v>
      </c>
      <c r="E345" s="651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75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53"/>
      <c r="R345" s="653"/>
      <c r="S345" s="653"/>
      <c r="T345" s="654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651">
        <v>4680115883970</v>
      </c>
      <c r="E346" s="651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753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53"/>
      <c r="R346" s="653"/>
      <c r="S346" s="653"/>
      <c r="T346" s="65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45"/>
      <c r="B347" s="645"/>
      <c r="C347" s="645"/>
      <c r="D347" s="645"/>
      <c r="E347" s="645"/>
      <c r="F347" s="645"/>
      <c r="G347" s="645"/>
      <c r="H347" s="645"/>
      <c r="I347" s="645"/>
      <c r="J347" s="645"/>
      <c r="K347" s="645"/>
      <c r="L347" s="645"/>
      <c r="M347" s="645"/>
      <c r="N347" s="645"/>
      <c r="O347" s="646"/>
      <c r="P347" s="642" t="s">
        <v>40</v>
      </c>
      <c r="Q347" s="643"/>
      <c r="R347" s="643"/>
      <c r="S347" s="643"/>
      <c r="T347" s="643"/>
      <c r="U347" s="643"/>
      <c r="V347" s="644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45"/>
      <c r="B348" s="645"/>
      <c r="C348" s="645"/>
      <c r="D348" s="645"/>
      <c r="E348" s="645"/>
      <c r="F348" s="645"/>
      <c r="G348" s="645"/>
      <c r="H348" s="645"/>
      <c r="I348" s="645"/>
      <c r="J348" s="645"/>
      <c r="K348" s="645"/>
      <c r="L348" s="645"/>
      <c r="M348" s="645"/>
      <c r="N348" s="645"/>
      <c r="O348" s="646"/>
      <c r="P348" s="642" t="s">
        <v>40</v>
      </c>
      <c r="Q348" s="643"/>
      <c r="R348" s="643"/>
      <c r="S348" s="643"/>
      <c r="T348" s="643"/>
      <c r="U348" s="643"/>
      <c r="V348" s="644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656" t="s">
        <v>86</v>
      </c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6"/>
      <c r="P349" s="656"/>
      <c r="Q349" s="656"/>
      <c r="R349" s="656"/>
      <c r="S349" s="656"/>
      <c r="T349" s="656"/>
      <c r="U349" s="656"/>
      <c r="V349" s="656"/>
      <c r="W349" s="656"/>
      <c r="X349" s="656"/>
      <c r="Y349" s="656"/>
      <c r="Z349" s="656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651">
        <v>4680115884618</v>
      </c>
      <c r="E350" s="651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75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53"/>
      <c r="R350" s="653"/>
      <c r="S350" s="653"/>
      <c r="T350" s="654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651">
        <v>4680115887114</v>
      </c>
      <c r="E351" s="651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75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53"/>
      <c r="R351" s="653"/>
      <c r="S351" s="653"/>
      <c r="T351" s="654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45"/>
      <c r="B352" s="645"/>
      <c r="C352" s="645"/>
      <c r="D352" s="645"/>
      <c r="E352" s="645"/>
      <c r="F352" s="645"/>
      <c r="G352" s="645"/>
      <c r="H352" s="645"/>
      <c r="I352" s="645"/>
      <c r="J352" s="645"/>
      <c r="K352" s="645"/>
      <c r="L352" s="645"/>
      <c r="M352" s="645"/>
      <c r="N352" s="645"/>
      <c r="O352" s="646"/>
      <c r="P352" s="642" t="s">
        <v>40</v>
      </c>
      <c r="Q352" s="643"/>
      <c r="R352" s="643"/>
      <c r="S352" s="643"/>
      <c r="T352" s="643"/>
      <c r="U352" s="643"/>
      <c r="V352" s="644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645"/>
      <c r="B353" s="645"/>
      <c r="C353" s="645"/>
      <c r="D353" s="645"/>
      <c r="E353" s="645"/>
      <c r="F353" s="645"/>
      <c r="G353" s="645"/>
      <c r="H353" s="645"/>
      <c r="I353" s="645"/>
      <c r="J353" s="645"/>
      <c r="K353" s="645"/>
      <c r="L353" s="645"/>
      <c r="M353" s="645"/>
      <c r="N353" s="645"/>
      <c r="O353" s="646"/>
      <c r="P353" s="642" t="s">
        <v>40</v>
      </c>
      <c r="Q353" s="643"/>
      <c r="R353" s="643"/>
      <c r="S353" s="643"/>
      <c r="T353" s="643"/>
      <c r="U353" s="643"/>
      <c r="V353" s="644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655" t="s">
        <v>594</v>
      </c>
      <c r="B354" s="655"/>
      <c r="C354" s="655"/>
      <c r="D354" s="655"/>
      <c r="E354" s="655"/>
      <c r="F354" s="655"/>
      <c r="G354" s="655"/>
      <c r="H354" s="655"/>
      <c r="I354" s="655"/>
      <c r="J354" s="655"/>
      <c r="K354" s="655"/>
      <c r="L354" s="655"/>
      <c r="M354" s="655"/>
      <c r="N354" s="655"/>
      <c r="O354" s="655"/>
      <c r="P354" s="655"/>
      <c r="Q354" s="655"/>
      <c r="R354" s="655"/>
      <c r="S354" s="655"/>
      <c r="T354" s="655"/>
      <c r="U354" s="655"/>
      <c r="V354" s="655"/>
      <c r="W354" s="655"/>
      <c r="X354" s="655"/>
      <c r="Y354" s="655"/>
      <c r="Z354" s="655"/>
      <c r="AA354" s="65"/>
      <c r="AB354" s="65"/>
      <c r="AC354" s="79"/>
    </row>
    <row r="355" spans="1:68" ht="14.25" hidden="1" customHeight="1" x14ac:dyDescent="0.25">
      <c r="A355" s="656" t="s">
        <v>128</v>
      </c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6"/>
      <c r="P355" s="656"/>
      <c r="Q355" s="656"/>
      <c r="R355" s="656"/>
      <c r="S355" s="656"/>
      <c r="T355" s="656"/>
      <c r="U355" s="656"/>
      <c r="V355" s="656"/>
      <c r="W355" s="656"/>
      <c r="X355" s="656"/>
      <c r="Y355" s="656"/>
      <c r="Z355" s="656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651">
        <v>4680115887947</v>
      </c>
      <c r="E356" s="651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75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53"/>
      <c r="R356" s="653"/>
      <c r="S356" s="653"/>
      <c r="T356" s="654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651">
        <v>4680115887978</v>
      </c>
      <c r="E357" s="651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75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53"/>
      <c r="R357" s="653"/>
      <c r="S357" s="653"/>
      <c r="T357" s="654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651">
        <v>4680115887992</v>
      </c>
      <c r="E358" s="651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74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53"/>
      <c r="R358" s="653"/>
      <c r="S358" s="653"/>
      <c r="T358" s="654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45"/>
      <c r="B359" s="645"/>
      <c r="C359" s="645"/>
      <c r="D359" s="645"/>
      <c r="E359" s="645"/>
      <c r="F359" s="645"/>
      <c r="G359" s="645"/>
      <c r="H359" s="645"/>
      <c r="I359" s="645"/>
      <c r="J359" s="645"/>
      <c r="K359" s="645"/>
      <c r="L359" s="645"/>
      <c r="M359" s="645"/>
      <c r="N359" s="645"/>
      <c r="O359" s="646"/>
      <c r="P359" s="642" t="s">
        <v>40</v>
      </c>
      <c r="Q359" s="643"/>
      <c r="R359" s="643"/>
      <c r="S359" s="643"/>
      <c r="T359" s="643"/>
      <c r="U359" s="643"/>
      <c r="V359" s="644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645"/>
      <c r="B360" s="645"/>
      <c r="C360" s="645"/>
      <c r="D360" s="645"/>
      <c r="E360" s="645"/>
      <c r="F360" s="645"/>
      <c r="G360" s="645"/>
      <c r="H360" s="645"/>
      <c r="I360" s="645"/>
      <c r="J360" s="645"/>
      <c r="K360" s="645"/>
      <c r="L360" s="645"/>
      <c r="M360" s="645"/>
      <c r="N360" s="645"/>
      <c r="O360" s="646"/>
      <c r="P360" s="642" t="s">
        <v>40</v>
      </c>
      <c r="Q360" s="643"/>
      <c r="R360" s="643"/>
      <c r="S360" s="643"/>
      <c r="T360" s="643"/>
      <c r="U360" s="643"/>
      <c r="V360" s="644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55" t="s">
        <v>603</v>
      </c>
      <c r="B361" s="655"/>
      <c r="C361" s="655"/>
      <c r="D361" s="655"/>
      <c r="E361" s="655"/>
      <c r="F361" s="655"/>
      <c r="G361" s="655"/>
      <c r="H361" s="655"/>
      <c r="I361" s="655"/>
      <c r="J361" s="655"/>
      <c r="K361" s="655"/>
      <c r="L361" s="655"/>
      <c r="M361" s="655"/>
      <c r="N361" s="655"/>
      <c r="O361" s="655"/>
      <c r="P361" s="655"/>
      <c r="Q361" s="655"/>
      <c r="R361" s="655"/>
      <c r="S361" s="655"/>
      <c r="T361" s="655"/>
      <c r="U361" s="655"/>
      <c r="V361" s="655"/>
      <c r="W361" s="655"/>
      <c r="X361" s="655"/>
      <c r="Y361" s="655"/>
      <c r="Z361" s="655"/>
      <c r="AA361" s="65"/>
      <c r="AB361" s="65"/>
      <c r="AC361" s="79"/>
    </row>
    <row r="362" spans="1:68" ht="14.25" hidden="1" customHeight="1" x14ac:dyDescent="0.25">
      <c r="A362" s="656" t="s">
        <v>128</v>
      </c>
      <c r="B362" s="656"/>
      <c r="C362" s="656"/>
      <c r="D362" s="656"/>
      <c r="E362" s="656"/>
      <c r="F362" s="656"/>
      <c r="G362" s="656"/>
      <c r="H362" s="656"/>
      <c r="I362" s="656"/>
      <c r="J362" s="656"/>
      <c r="K362" s="656"/>
      <c r="L362" s="656"/>
      <c r="M362" s="656"/>
      <c r="N362" s="656"/>
      <c r="O362" s="656"/>
      <c r="P362" s="656"/>
      <c r="Q362" s="656"/>
      <c r="R362" s="656"/>
      <c r="S362" s="656"/>
      <c r="T362" s="656"/>
      <c r="U362" s="656"/>
      <c r="V362" s="656"/>
      <c r="W362" s="656"/>
      <c r="X362" s="656"/>
      <c r="Y362" s="656"/>
      <c r="Z362" s="656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651">
        <v>4607091386004</v>
      </c>
      <c r="E363" s="651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75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53"/>
      <c r="R363" s="653"/>
      <c r="S363" s="653"/>
      <c r="T363" s="65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4301012235</v>
      </c>
      <c r="D364" s="651">
        <v>4680115887190</v>
      </c>
      <c r="E364" s="651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74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53"/>
      <c r="R364" s="653"/>
      <c r="S364" s="653"/>
      <c r="T364" s="65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610</v>
      </c>
      <c r="B365" s="63" t="s">
        <v>611</v>
      </c>
      <c r="C365" s="36">
        <v>4301012233</v>
      </c>
      <c r="D365" s="651">
        <v>4680115887138</v>
      </c>
      <c r="E365" s="651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74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53"/>
      <c r="R365" s="653"/>
      <c r="S365" s="653"/>
      <c r="T365" s="654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651">
        <v>4680115885554</v>
      </c>
      <c r="E366" s="651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74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53"/>
      <c r="R366" s="653"/>
      <c r="S366" s="653"/>
      <c r="T366" s="654"/>
      <c r="U366" s="39" t="s">
        <v>46</v>
      </c>
      <c r="V366" s="39" t="s">
        <v>46</v>
      </c>
      <c r="W366" s="40" t="s">
        <v>0</v>
      </c>
      <c r="X366" s="58">
        <v>500</v>
      </c>
      <c r="Y366" s="55">
        <f t="shared" si="42"/>
        <v>507.6</v>
      </c>
      <c r="Z366" s="41">
        <f>IFERROR(IF(Y366=0,"",ROUNDUP(Y366/H366,0)*0.01898),"")</f>
        <v>0.89205999999999996</v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518.98148148148141</v>
      </c>
      <c r="BN366" s="78">
        <f t="shared" si="44"/>
        <v>526.87</v>
      </c>
      <c r="BO366" s="78">
        <f t="shared" si="45"/>
        <v>0.72337962962962954</v>
      </c>
      <c r="BP366" s="78">
        <f t="shared" si="46"/>
        <v>0.734375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651">
        <v>4680115887220</v>
      </c>
      <c r="E367" s="651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53"/>
      <c r="R367" s="653"/>
      <c r="S367" s="653"/>
      <c r="T367" s="654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618</v>
      </c>
      <c r="B368" s="63" t="s">
        <v>619</v>
      </c>
      <c r="C368" s="36">
        <v>4301011859</v>
      </c>
      <c r="D368" s="651">
        <v>4680115885608</v>
      </c>
      <c r="E368" s="65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53"/>
      <c r="R368" s="653"/>
      <c r="S368" s="653"/>
      <c r="T368" s="65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x14ac:dyDescent="0.2">
      <c r="A369" s="645"/>
      <c r="B369" s="645"/>
      <c r="C369" s="645"/>
      <c r="D369" s="645"/>
      <c r="E369" s="645"/>
      <c r="F369" s="645"/>
      <c r="G369" s="645"/>
      <c r="H369" s="645"/>
      <c r="I369" s="645"/>
      <c r="J369" s="645"/>
      <c r="K369" s="645"/>
      <c r="L369" s="645"/>
      <c r="M369" s="645"/>
      <c r="N369" s="645"/>
      <c r="O369" s="646"/>
      <c r="P369" s="642" t="s">
        <v>40</v>
      </c>
      <c r="Q369" s="643"/>
      <c r="R369" s="643"/>
      <c r="S369" s="643"/>
      <c r="T369" s="643"/>
      <c r="U369" s="643"/>
      <c r="V369" s="644"/>
      <c r="W369" s="42" t="s">
        <v>39</v>
      </c>
      <c r="X369" s="43">
        <f>IFERROR(X363/H363,"0")+IFERROR(X364/H364,"0")+IFERROR(X365/H365,"0")+IFERROR(X366/H366,"0")+IFERROR(X367/H367,"0")+IFERROR(X368/H368,"0")</f>
        <v>46.296296296296291</v>
      </c>
      <c r="Y369" s="43">
        <f>IFERROR(Y363/H363,"0")+IFERROR(Y364/H364,"0")+IFERROR(Y365/H365,"0")+IFERROR(Y366/H366,"0")+IFERROR(Y367/H367,"0")+IFERROR(Y368/H368,"0")</f>
        <v>47</v>
      </c>
      <c r="Z369" s="43">
        <f>IFERROR(IF(Z363="",0,Z363),"0")+IFERROR(IF(Z364="",0,Z364),"0")+IFERROR(IF(Z365="",0,Z365),"0")+IFERROR(IF(Z366="",0,Z366),"0")+IFERROR(IF(Z367="",0,Z367),"0")+IFERROR(IF(Z368="",0,Z368),"0")</f>
        <v>0.89205999999999996</v>
      </c>
      <c r="AA369" s="67"/>
      <c r="AB369" s="67"/>
      <c r="AC369" s="67"/>
    </row>
    <row r="370" spans="1:68" x14ac:dyDescent="0.2">
      <c r="A370" s="645"/>
      <c r="B370" s="645"/>
      <c r="C370" s="645"/>
      <c r="D370" s="645"/>
      <c r="E370" s="645"/>
      <c r="F370" s="645"/>
      <c r="G370" s="645"/>
      <c r="H370" s="645"/>
      <c r="I370" s="645"/>
      <c r="J370" s="645"/>
      <c r="K370" s="645"/>
      <c r="L370" s="645"/>
      <c r="M370" s="645"/>
      <c r="N370" s="645"/>
      <c r="O370" s="646"/>
      <c r="P370" s="642" t="s">
        <v>40</v>
      </c>
      <c r="Q370" s="643"/>
      <c r="R370" s="643"/>
      <c r="S370" s="643"/>
      <c r="T370" s="643"/>
      <c r="U370" s="643"/>
      <c r="V370" s="644"/>
      <c r="W370" s="42" t="s">
        <v>0</v>
      </c>
      <c r="X370" s="43">
        <f>IFERROR(SUM(X363:X368),"0")</f>
        <v>500</v>
      </c>
      <c r="Y370" s="43">
        <f>IFERROR(SUM(Y363:Y368),"0")</f>
        <v>507.6</v>
      </c>
      <c r="Z370" s="42"/>
      <c r="AA370" s="67"/>
      <c r="AB370" s="67"/>
      <c r="AC370" s="67"/>
    </row>
    <row r="371" spans="1:68" ht="14.25" hidden="1" customHeight="1" x14ac:dyDescent="0.25">
      <c r="A371" s="656" t="s">
        <v>77</v>
      </c>
      <c r="B371" s="656"/>
      <c r="C371" s="656"/>
      <c r="D371" s="656"/>
      <c r="E371" s="656"/>
      <c r="F371" s="656"/>
      <c r="G371" s="656"/>
      <c r="H371" s="656"/>
      <c r="I371" s="656"/>
      <c r="J371" s="656"/>
      <c r="K371" s="656"/>
      <c r="L371" s="656"/>
      <c r="M371" s="656"/>
      <c r="N371" s="656"/>
      <c r="O371" s="656"/>
      <c r="P371" s="656"/>
      <c r="Q371" s="656"/>
      <c r="R371" s="656"/>
      <c r="S371" s="656"/>
      <c r="T371" s="656"/>
      <c r="U371" s="656"/>
      <c r="V371" s="656"/>
      <c r="W371" s="656"/>
      <c r="X371" s="656"/>
      <c r="Y371" s="656"/>
      <c r="Z371" s="656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651">
        <v>4607091387193</v>
      </c>
      <c r="E372" s="651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7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53"/>
      <c r="R372" s="653"/>
      <c r="S372" s="653"/>
      <c r="T372" s="654"/>
      <c r="U372" s="39" t="s">
        <v>46</v>
      </c>
      <c r="V372" s="39" t="s">
        <v>46</v>
      </c>
      <c r="W372" s="40" t="s">
        <v>0</v>
      </c>
      <c r="X372" s="58">
        <v>70</v>
      </c>
      <c r="Y372" s="55">
        <f t="shared" ref="Y372:Y378" si="47">IFERROR(IF(X372="",0,CEILING((X372/$H372),1)*$H372),"")</f>
        <v>71.400000000000006</v>
      </c>
      <c r="Z372" s="41">
        <f>IFERROR(IF(Y372=0,"",ROUNDUP(Y372/H372,0)*0.00902),"")</f>
        <v>0.15334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74.166666666666657</v>
      </c>
      <c r="BN372" s="78">
        <f t="shared" ref="BN372:BN378" si="49">IFERROR(Y372*I372/H372,"0")</f>
        <v>75.650000000000006</v>
      </c>
      <c r="BO372" s="78">
        <f t="shared" ref="BO372:BO378" si="50">IFERROR(1/J372*(X372/H372),"0")</f>
        <v>0.12626262626262624</v>
      </c>
      <c r="BP372" s="78">
        <f t="shared" ref="BP372:BP378" si="51">IFERROR(1/J372*(Y372/H372),"0")</f>
        <v>0.12878787878787878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651">
        <v>4607091387230</v>
      </c>
      <c r="E373" s="65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7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53"/>
      <c r="R373" s="653"/>
      <c r="S373" s="653"/>
      <c r="T373" s="654"/>
      <c r="U373" s="39" t="s">
        <v>46</v>
      </c>
      <c r="V373" s="39" t="s">
        <v>46</v>
      </c>
      <c r="W373" s="40" t="s">
        <v>0</v>
      </c>
      <c r="X373" s="58">
        <v>500</v>
      </c>
      <c r="Y373" s="55">
        <f t="shared" si="47"/>
        <v>504</v>
      </c>
      <c r="Z373" s="41">
        <f>IFERROR(IF(Y373=0,"",ROUNDUP(Y373/H373,0)*0.00902),"")</f>
        <v>1.0824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529.7619047619047</v>
      </c>
      <c r="BN373" s="78">
        <f t="shared" si="49"/>
        <v>534</v>
      </c>
      <c r="BO373" s="78">
        <f t="shared" si="50"/>
        <v>0.90187590187590183</v>
      </c>
      <c r="BP373" s="78">
        <f t="shared" si="51"/>
        <v>0.90909090909090917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651">
        <v>4607091387292</v>
      </c>
      <c r="E374" s="651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53"/>
      <c r="R374" s="653"/>
      <c r="S374" s="653"/>
      <c r="T374" s="65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4301031152</v>
      </c>
      <c r="D375" s="651">
        <v>4607091387285</v>
      </c>
      <c r="E375" s="651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73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53"/>
      <c r="R375" s="653"/>
      <c r="S375" s="653"/>
      <c r="T375" s="654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632</v>
      </c>
      <c r="B376" s="63" t="s">
        <v>633</v>
      </c>
      <c r="C376" s="36">
        <v>4301031305</v>
      </c>
      <c r="D376" s="651">
        <v>4607091389845</v>
      </c>
      <c r="E376" s="651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73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53"/>
      <c r="R376" s="653"/>
      <c r="S376" s="653"/>
      <c r="T376" s="654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651">
        <v>4680115887442</v>
      </c>
      <c r="E377" s="651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73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53"/>
      <c r="R377" s="653"/>
      <c r="S377" s="653"/>
      <c r="T377" s="654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651">
        <v>4607091383836</v>
      </c>
      <c r="E378" s="651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74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53"/>
      <c r="R378" s="653"/>
      <c r="S378" s="653"/>
      <c r="T378" s="654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645"/>
      <c r="B379" s="645"/>
      <c r="C379" s="645"/>
      <c r="D379" s="645"/>
      <c r="E379" s="645"/>
      <c r="F379" s="645"/>
      <c r="G379" s="645"/>
      <c r="H379" s="645"/>
      <c r="I379" s="645"/>
      <c r="J379" s="645"/>
      <c r="K379" s="645"/>
      <c r="L379" s="645"/>
      <c r="M379" s="645"/>
      <c r="N379" s="645"/>
      <c r="O379" s="646"/>
      <c r="P379" s="642" t="s">
        <v>40</v>
      </c>
      <c r="Q379" s="643"/>
      <c r="R379" s="643"/>
      <c r="S379" s="643"/>
      <c r="T379" s="643"/>
      <c r="U379" s="643"/>
      <c r="V379" s="644"/>
      <c r="W379" s="42" t="s">
        <v>39</v>
      </c>
      <c r="X379" s="43">
        <f>IFERROR(X372/H372,"0")+IFERROR(X373/H373,"0")+IFERROR(X374/H374,"0")+IFERROR(X375/H375,"0")+IFERROR(X376/H376,"0")+IFERROR(X377/H377,"0")+IFERROR(X378/H378,"0")</f>
        <v>135.71428571428569</v>
      </c>
      <c r="Y379" s="43">
        <f>IFERROR(Y372/H372,"0")+IFERROR(Y373/H373,"0")+IFERROR(Y374/H374,"0")+IFERROR(Y375/H375,"0")+IFERROR(Y376/H376,"0")+IFERROR(Y377/H377,"0")+IFERROR(Y378/H378,"0")</f>
        <v>137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1.2357400000000001</v>
      </c>
      <c r="AA379" s="67"/>
      <c r="AB379" s="67"/>
      <c r="AC379" s="67"/>
    </row>
    <row r="380" spans="1:68" x14ac:dyDescent="0.2">
      <c r="A380" s="645"/>
      <c r="B380" s="645"/>
      <c r="C380" s="645"/>
      <c r="D380" s="645"/>
      <c r="E380" s="645"/>
      <c r="F380" s="645"/>
      <c r="G380" s="645"/>
      <c r="H380" s="645"/>
      <c r="I380" s="645"/>
      <c r="J380" s="645"/>
      <c r="K380" s="645"/>
      <c r="L380" s="645"/>
      <c r="M380" s="645"/>
      <c r="N380" s="645"/>
      <c r="O380" s="646"/>
      <c r="P380" s="642" t="s">
        <v>40</v>
      </c>
      <c r="Q380" s="643"/>
      <c r="R380" s="643"/>
      <c r="S380" s="643"/>
      <c r="T380" s="643"/>
      <c r="U380" s="643"/>
      <c r="V380" s="644"/>
      <c r="W380" s="42" t="s">
        <v>0</v>
      </c>
      <c r="X380" s="43">
        <f>IFERROR(SUM(X372:X378),"0")</f>
        <v>570</v>
      </c>
      <c r="Y380" s="43">
        <f>IFERROR(SUM(Y372:Y378),"0")</f>
        <v>575.4</v>
      </c>
      <c r="Z380" s="42"/>
      <c r="AA380" s="67"/>
      <c r="AB380" s="67"/>
      <c r="AC380" s="67"/>
    </row>
    <row r="381" spans="1:68" ht="14.25" hidden="1" customHeight="1" x14ac:dyDescent="0.25">
      <c r="A381" s="656" t="s">
        <v>86</v>
      </c>
      <c r="B381" s="656"/>
      <c r="C381" s="656"/>
      <c r="D381" s="656"/>
      <c r="E381" s="656"/>
      <c r="F381" s="656"/>
      <c r="G381" s="656"/>
      <c r="H381" s="656"/>
      <c r="I381" s="656"/>
      <c r="J381" s="656"/>
      <c r="K381" s="656"/>
      <c r="L381" s="656"/>
      <c r="M381" s="656"/>
      <c r="N381" s="656"/>
      <c r="O381" s="656"/>
      <c r="P381" s="656"/>
      <c r="Q381" s="656"/>
      <c r="R381" s="656"/>
      <c r="S381" s="656"/>
      <c r="T381" s="656"/>
      <c r="U381" s="656"/>
      <c r="V381" s="656"/>
      <c r="W381" s="656"/>
      <c r="X381" s="656"/>
      <c r="Y381" s="656"/>
      <c r="Z381" s="656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651">
        <v>4607091387766</v>
      </c>
      <c r="E382" s="651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53"/>
      <c r="R382" s="653"/>
      <c r="S382" s="653"/>
      <c r="T382" s="654"/>
      <c r="U382" s="39" t="s">
        <v>46</v>
      </c>
      <c r="V382" s="39" t="s">
        <v>46</v>
      </c>
      <c r="W382" s="40" t="s">
        <v>0</v>
      </c>
      <c r="X382" s="58">
        <v>5000</v>
      </c>
      <c r="Y382" s="55">
        <f>IFERROR(IF(X382="",0,CEILING((X382/$H382),1)*$H382),"")</f>
        <v>5007.5999999999995</v>
      </c>
      <c r="Z382" s="41">
        <f>IFERROR(IF(Y382=0,"",ROUNDUP(Y382/H382,0)*0.01898),"")</f>
        <v>12.18516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5312.8205128205127</v>
      </c>
      <c r="BN382" s="78">
        <f>IFERROR(Y382*I382/H382,"0")</f>
        <v>5320.8959999999997</v>
      </c>
      <c r="BO382" s="78">
        <f>IFERROR(1/J382*(X382/H382),"0")</f>
        <v>10.016025641025641</v>
      </c>
      <c r="BP382" s="78">
        <f>IFERROR(1/J382*(Y382/H382),"0")</f>
        <v>10.03125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651">
        <v>4607091387957</v>
      </c>
      <c r="E383" s="651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73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53"/>
      <c r="R383" s="653"/>
      <c r="S383" s="653"/>
      <c r="T383" s="654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651">
        <v>4607091387964</v>
      </c>
      <c r="E384" s="651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73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53"/>
      <c r="R384" s="653"/>
      <c r="S384" s="653"/>
      <c r="T384" s="654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4301051734</v>
      </c>
      <c r="D385" s="651">
        <v>4680115884588</v>
      </c>
      <c r="E385" s="651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7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53"/>
      <c r="R385" s="653"/>
      <c r="S385" s="653"/>
      <c r="T385" s="65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x14ac:dyDescent="0.2">
      <c r="A386" s="645"/>
      <c r="B386" s="645"/>
      <c r="C386" s="645"/>
      <c r="D386" s="645"/>
      <c r="E386" s="645"/>
      <c r="F386" s="645"/>
      <c r="G386" s="645"/>
      <c r="H386" s="645"/>
      <c r="I386" s="645"/>
      <c r="J386" s="645"/>
      <c r="K386" s="645"/>
      <c r="L386" s="645"/>
      <c r="M386" s="645"/>
      <c r="N386" s="645"/>
      <c r="O386" s="646"/>
      <c r="P386" s="642" t="s">
        <v>40</v>
      </c>
      <c r="Q386" s="643"/>
      <c r="R386" s="643"/>
      <c r="S386" s="643"/>
      <c r="T386" s="643"/>
      <c r="U386" s="643"/>
      <c r="V386" s="644"/>
      <c r="W386" s="42" t="s">
        <v>39</v>
      </c>
      <c r="X386" s="43">
        <f>IFERROR(X382/H382,"0")+IFERROR(X383/H383,"0")+IFERROR(X384/H384,"0")+IFERROR(X385/H385,"0")</f>
        <v>641.02564102564099</v>
      </c>
      <c r="Y386" s="43">
        <f>IFERROR(Y382/H382,"0")+IFERROR(Y383/H383,"0")+IFERROR(Y384/H384,"0")+IFERROR(Y385/H385,"0")</f>
        <v>642</v>
      </c>
      <c r="Z386" s="43">
        <f>IFERROR(IF(Z382="",0,Z382),"0")+IFERROR(IF(Z383="",0,Z383),"0")+IFERROR(IF(Z384="",0,Z384),"0")+IFERROR(IF(Z385="",0,Z385),"0")</f>
        <v>12.18516</v>
      </c>
      <c r="AA386" s="67"/>
      <c r="AB386" s="67"/>
      <c r="AC386" s="67"/>
    </row>
    <row r="387" spans="1:68" x14ac:dyDescent="0.2">
      <c r="A387" s="645"/>
      <c r="B387" s="645"/>
      <c r="C387" s="645"/>
      <c r="D387" s="645"/>
      <c r="E387" s="645"/>
      <c r="F387" s="645"/>
      <c r="G387" s="645"/>
      <c r="H387" s="645"/>
      <c r="I387" s="645"/>
      <c r="J387" s="645"/>
      <c r="K387" s="645"/>
      <c r="L387" s="645"/>
      <c r="M387" s="645"/>
      <c r="N387" s="645"/>
      <c r="O387" s="646"/>
      <c r="P387" s="642" t="s">
        <v>40</v>
      </c>
      <c r="Q387" s="643"/>
      <c r="R387" s="643"/>
      <c r="S387" s="643"/>
      <c r="T387" s="643"/>
      <c r="U387" s="643"/>
      <c r="V387" s="644"/>
      <c r="W387" s="42" t="s">
        <v>0</v>
      </c>
      <c r="X387" s="43">
        <f>IFERROR(SUM(X382:X385),"0")</f>
        <v>5000</v>
      </c>
      <c r="Y387" s="43">
        <f>IFERROR(SUM(Y382:Y385),"0")</f>
        <v>5007.5999999999995</v>
      </c>
      <c r="Z387" s="42"/>
      <c r="AA387" s="67"/>
      <c r="AB387" s="67"/>
      <c r="AC387" s="67"/>
    </row>
    <row r="388" spans="1:68" ht="14.25" hidden="1" customHeight="1" x14ac:dyDescent="0.25">
      <c r="A388" s="656" t="s">
        <v>181</v>
      </c>
      <c r="B388" s="656"/>
      <c r="C388" s="656"/>
      <c r="D388" s="656"/>
      <c r="E388" s="656"/>
      <c r="F388" s="656"/>
      <c r="G388" s="656"/>
      <c r="H388" s="656"/>
      <c r="I388" s="656"/>
      <c r="J388" s="656"/>
      <c r="K388" s="656"/>
      <c r="L388" s="656"/>
      <c r="M388" s="656"/>
      <c r="N388" s="656"/>
      <c r="O388" s="656"/>
      <c r="P388" s="656"/>
      <c r="Q388" s="656"/>
      <c r="R388" s="656"/>
      <c r="S388" s="656"/>
      <c r="T388" s="656"/>
      <c r="U388" s="656"/>
      <c r="V388" s="656"/>
      <c r="W388" s="656"/>
      <c r="X388" s="656"/>
      <c r="Y388" s="656"/>
      <c r="Z388" s="656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651">
        <v>4607091380880</v>
      </c>
      <c r="E389" s="651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7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53"/>
      <c r="R389" s="653"/>
      <c r="S389" s="653"/>
      <c r="T389" s="654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651">
        <v>4607091384482</v>
      </c>
      <c r="E390" s="651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7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53"/>
      <c r="R390" s="653"/>
      <c r="S390" s="653"/>
      <c r="T390" s="654"/>
      <c r="U390" s="39" t="s">
        <v>46</v>
      </c>
      <c r="V390" s="39" t="s">
        <v>46</v>
      </c>
      <c r="W390" s="40" t="s">
        <v>0</v>
      </c>
      <c r="X390" s="58">
        <v>70</v>
      </c>
      <c r="Y390" s="55">
        <f>IFERROR(IF(X390="",0,CEILING((X390/$H390),1)*$H390),"")</f>
        <v>70.2</v>
      </c>
      <c r="Z390" s="41">
        <f>IFERROR(IF(Y390=0,"",ROUNDUP(Y390/H390,0)*0.01898),"")</f>
        <v>0.17082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74.433333333333337</v>
      </c>
      <c r="BN390" s="78">
        <f>IFERROR(Y390*I390/H390,"0")</f>
        <v>74.646000000000015</v>
      </c>
      <c r="BO390" s="78">
        <f>IFERROR(1/J390*(X390/H390),"0")</f>
        <v>0.14022435897435898</v>
      </c>
      <c r="BP390" s="78">
        <f>IFERROR(1/J390*(Y390/H390),"0")</f>
        <v>0.140625</v>
      </c>
    </row>
    <row r="391" spans="1:68" ht="16.5" hidden="1" customHeight="1" x14ac:dyDescent="0.25">
      <c r="A391" s="63" t="s">
        <v>657</v>
      </c>
      <c r="B391" s="63" t="s">
        <v>658</v>
      </c>
      <c r="C391" s="36">
        <v>4301060484</v>
      </c>
      <c r="D391" s="651">
        <v>4607091380897</v>
      </c>
      <c r="E391" s="651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7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53"/>
      <c r="R391" s="653"/>
      <c r="S391" s="653"/>
      <c r="T391" s="65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x14ac:dyDescent="0.2">
      <c r="A392" s="645"/>
      <c r="B392" s="645"/>
      <c r="C392" s="645"/>
      <c r="D392" s="645"/>
      <c r="E392" s="645"/>
      <c r="F392" s="645"/>
      <c r="G392" s="645"/>
      <c r="H392" s="645"/>
      <c r="I392" s="645"/>
      <c r="J392" s="645"/>
      <c r="K392" s="645"/>
      <c r="L392" s="645"/>
      <c r="M392" s="645"/>
      <c r="N392" s="645"/>
      <c r="O392" s="646"/>
      <c r="P392" s="642" t="s">
        <v>40</v>
      </c>
      <c r="Q392" s="643"/>
      <c r="R392" s="643"/>
      <c r="S392" s="643"/>
      <c r="T392" s="643"/>
      <c r="U392" s="643"/>
      <c r="V392" s="644"/>
      <c r="W392" s="42" t="s">
        <v>39</v>
      </c>
      <c r="X392" s="43">
        <f>IFERROR(X389/H389,"0")+IFERROR(X390/H390,"0")+IFERROR(X391/H391,"0")</f>
        <v>8.9743589743589745</v>
      </c>
      <c r="Y392" s="43">
        <f>IFERROR(Y389/H389,"0")+IFERROR(Y390/H390,"0")+IFERROR(Y391/H391,"0")</f>
        <v>9</v>
      </c>
      <c r="Z392" s="43">
        <f>IFERROR(IF(Z389="",0,Z389),"0")+IFERROR(IF(Z390="",0,Z390),"0")+IFERROR(IF(Z391="",0,Z391),"0")</f>
        <v>0.17082</v>
      </c>
      <c r="AA392" s="67"/>
      <c r="AB392" s="67"/>
      <c r="AC392" s="67"/>
    </row>
    <row r="393" spans="1:68" x14ac:dyDescent="0.2">
      <c r="A393" s="645"/>
      <c r="B393" s="645"/>
      <c r="C393" s="645"/>
      <c r="D393" s="645"/>
      <c r="E393" s="645"/>
      <c r="F393" s="645"/>
      <c r="G393" s="645"/>
      <c r="H393" s="645"/>
      <c r="I393" s="645"/>
      <c r="J393" s="645"/>
      <c r="K393" s="645"/>
      <c r="L393" s="645"/>
      <c r="M393" s="645"/>
      <c r="N393" s="645"/>
      <c r="O393" s="646"/>
      <c r="P393" s="642" t="s">
        <v>40</v>
      </c>
      <c r="Q393" s="643"/>
      <c r="R393" s="643"/>
      <c r="S393" s="643"/>
      <c r="T393" s="643"/>
      <c r="U393" s="643"/>
      <c r="V393" s="644"/>
      <c r="W393" s="42" t="s">
        <v>0</v>
      </c>
      <c r="X393" s="43">
        <f>IFERROR(SUM(X389:X391),"0")</f>
        <v>70</v>
      </c>
      <c r="Y393" s="43">
        <f>IFERROR(SUM(Y389:Y391),"0")</f>
        <v>70.2</v>
      </c>
      <c r="Z393" s="42"/>
      <c r="AA393" s="67"/>
      <c r="AB393" s="67"/>
      <c r="AC393" s="67"/>
    </row>
    <row r="394" spans="1:68" ht="14.25" hidden="1" customHeight="1" x14ac:dyDescent="0.25">
      <c r="A394" s="656" t="s">
        <v>104</v>
      </c>
      <c r="B394" s="656"/>
      <c r="C394" s="656"/>
      <c r="D394" s="656"/>
      <c r="E394" s="656"/>
      <c r="F394" s="656"/>
      <c r="G394" s="656"/>
      <c r="H394" s="656"/>
      <c r="I394" s="656"/>
      <c r="J394" s="656"/>
      <c r="K394" s="656"/>
      <c r="L394" s="656"/>
      <c r="M394" s="656"/>
      <c r="N394" s="656"/>
      <c r="O394" s="656"/>
      <c r="P394" s="656"/>
      <c r="Q394" s="656"/>
      <c r="R394" s="656"/>
      <c r="S394" s="656"/>
      <c r="T394" s="656"/>
      <c r="U394" s="656"/>
      <c r="V394" s="656"/>
      <c r="W394" s="656"/>
      <c r="X394" s="656"/>
      <c r="Y394" s="656"/>
      <c r="Z394" s="656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651">
        <v>4607091388381</v>
      </c>
      <c r="E395" s="651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72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53"/>
      <c r="R395" s="653"/>
      <c r="S395" s="653"/>
      <c r="T395" s="654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651">
        <v>4607091388374</v>
      </c>
      <c r="E396" s="651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72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53"/>
      <c r="R396" s="653"/>
      <c r="S396" s="653"/>
      <c r="T396" s="654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651">
        <v>4607091383102</v>
      </c>
      <c r="E397" s="651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72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53"/>
      <c r="R397" s="653"/>
      <c r="S397" s="653"/>
      <c r="T397" s="654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667</v>
      </c>
      <c r="B398" s="63" t="s">
        <v>668</v>
      </c>
      <c r="C398" s="36">
        <v>4301030233</v>
      </c>
      <c r="D398" s="651">
        <v>4607091388404</v>
      </c>
      <c r="E398" s="651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7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53"/>
      <c r="R398" s="653"/>
      <c r="S398" s="653"/>
      <c r="T398" s="65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45"/>
      <c r="B399" s="645"/>
      <c r="C399" s="645"/>
      <c r="D399" s="645"/>
      <c r="E399" s="645"/>
      <c r="F399" s="645"/>
      <c r="G399" s="645"/>
      <c r="H399" s="645"/>
      <c r="I399" s="645"/>
      <c r="J399" s="645"/>
      <c r="K399" s="645"/>
      <c r="L399" s="645"/>
      <c r="M399" s="645"/>
      <c r="N399" s="645"/>
      <c r="O399" s="646"/>
      <c r="P399" s="642" t="s">
        <v>40</v>
      </c>
      <c r="Q399" s="643"/>
      <c r="R399" s="643"/>
      <c r="S399" s="643"/>
      <c r="T399" s="643"/>
      <c r="U399" s="643"/>
      <c r="V399" s="644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45"/>
      <c r="B400" s="645"/>
      <c r="C400" s="645"/>
      <c r="D400" s="645"/>
      <c r="E400" s="645"/>
      <c r="F400" s="645"/>
      <c r="G400" s="645"/>
      <c r="H400" s="645"/>
      <c r="I400" s="645"/>
      <c r="J400" s="645"/>
      <c r="K400" s="645"/>
      <c r="L400" s="645"/>
      <c r="M400" s="645"/>
      <c r="N400" s="645"/>
      <c r="O400" s="646"/>
      <c r="P400" s="642" t="s">
        <v>40</v>
      </c>
      <c r="Q400" s="643"/>
      <c r="R400" s="643"/>
      <c r="S400" s="643"/>
      <c r="T400" s="643"/>
      <c r="U400" s="643"/>
      <c r="V400" s="644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56" t="s">
        <v>669</v>
      </c>
      <c r="B401" s="656"/>
      <c r="C401" s="656"/>
      <c r="D401" s="656"/>
      <c r="E401" s="656"/>
      <c r="F401" s="656"/>
      <c r="G401" s="656"/>
      <c r="H401" s="656"/>
      <c r="I401" s="656"/>
      <c r="J401" s="656"/>
      <c r="K401" s="656"/>
      <c r="L401" s="656"/>
      <c r="M401" s="656"/>
      <c r="N401" s="656"/>
      <c r="O401" s="656"/>
      <c r="P401" s="656"/>
      <c r="Q401" s="656"/>
      <c r="R401" s="656"/>
      <c r="S401" s="656"/>
      <c r="T401" s="656"/>
      <c r="U401" s="656"/>
      <c r="V401" s="656"/>
      <c r="W401" s="656"/>
      <c r="X401" s="656"/>
      <c r="Y401" s="656"/>
      <c r="Z401" s="656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651">
        <v>4680115881808</v>
      </c>
      <c r="E402" s="651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7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53"/>
      <c r="R402" s="653"/>
      <c r="S402" s="653"/>
      <c r="T402" s="654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651">
        <v>4680115881822</v>
      </c>
      <c r="E403" s="651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7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53"/>
      <c r="R403" s="653"/>
      <c r="S403" s="653"/>
      <c r="T403" s="654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651">
        <v>4680115880016</v>
      </c>
      <c r="E404" s="651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72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53"/>
      <c r="R404" s="653"/>
      <c r="S404" s="653"/>
      <c r="T404" s="65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645"/>
      <c r="B405" s="645"/>
      <c r="C405" s="645"/>
      <c r="D405" s="645"/>
      <c r="E405" s="645"/>
      <c r="F405" s="645"/>
      <c r="G405" s="645"/>
      <c r="H405" s="645"/>
      <c r="I405" s="645"/>
      <c r="J405" s="645"/>
      <c r="K405" s="645"/>
      <c r="L405" s="645"/>
      <c r="M405" s="645"/>
      <c r="N405" s="645"/>
      <c r="O405" s="646"/>
      <c r="P405" s="642" t="s">
        <v>40</v>
      </c>
      <c r="Q405" s="643"/>
      <c r="R405" s="643"/>
      <c r="S405" s="643"/>
      <c r="T405" s="643"/>
      <c r="U405" s="643"/>
      <c r="V405" s="644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645"/>
      <c r="B406" s="645"/>
      <c r="C406" s="645"/>
      <c r="D406" s="645"/>
      <c r="E406" s="645"/>
      <c r="F406" s="645"/>
      <c r="G406" s="645"/>
      <c r="H406" s="645"/>
      <c r="I406" s="645"/>
      <c r="J406" s="645"/>
      <c r="K406" s="645"/>
      <c r="L406" s="645"/>
      <c r="M406" s="645"/>
      <c r="N406" s="645"/>
      <c r="O406" s="646"/>
      <c r="P406" s="642" t="s">
        <v>40</v>
      </c>
      <c r="Q406" s="643"/>
      <c r="R406" s="643"/>
      <c r="S406" s="643"/>
      <c r="T406" s="643"/>
      <c r="U406" s="643"/>
      <c r="V406" s="644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656" t="s">
        <v>678</v>
      </c>
      <c r="B407" s="656"/>
      <c r="C407" s="656"/>
      <c r="D407" s="656"/>
      <c r="E407" s="656"/>
      <c r="F407" s="656"/>
      <c r="G407" s="656"/>
      <c r="H407" s="656"/>
      <c r="I407" s="656"/>
      <c r="J407" s="656"/>
      <c r="K407" s="656"/>
      <c r="L407" s="656"/>
      <c r="M407" s="656"/>
      <c r="N407" s="656"/>
      <c r="O407" s="656"/>
      <c r="P407" s="656"/>
      <c r="Q407" s="656"/>
      <c r="R407" s="656"/>
      <c r="S407" s="656"/>
      <c r="T407" s="656"/>
      <c r="U407" s="656"/>
      <c r="V407" s="656"/>
      <c r="W407" s="656"/>
      <c r="X407" s="656"/>
      <c r="Y407" s="656"/>
      <c r="Z407" s="656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651">
        <v>4680115888678</v>
      </c>
      <c r="E408" s="651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72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53"/>
      <c r="R408" s="653"/>
      <c r="S408" s="653"/>
      <c r="T408" s="654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651">
        <v>4680115888654</v>
      </c>
      <c r="E409" s="651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72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53"/>
      <c r="R409" s="653"/>
      <c r="S409" s="653"/>
      <c r="T409" s="654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651">
        <v>4680115888753</v>
      </c>
      <c r="E410" s="651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71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53"/>
      <c r="R410" s="653"/>
      <c r="S410" s="653"/>
      <c r="T410" s="654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645"/>
      <c r="B411" s="645"/>
      <c r="C411" s="645"/>
      <c r="D411" s="645"/>
      <c r="E411" s="645"/>
      <c r="F411" s="645"/>
      <c r="G411" s="645"/>
      <c r="H411" s="645"/>
      <c r="I411" s="645"/>
      <c r="J411" s="645"/>
      <c r="K411" s="645"/>
      <c r="L411" s="645"/>
      <c r="M411" s="645"/>
      <c r="N411" s="645"/>
      <c r="O411" s="646"/>
      <c r="P411" s="642" t="s">
        <v>40</v>
      </c>
      <c r="Q411" s="643"/>
      <c r="R411" s="643"/>
      <c r="S411" s="643"/>
      <c r="T411" s="643"/>
      <c r="U411" s="643"/>
      <c r="V411" s="644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645"/>
      <c r="B412" s="645"/>
      <c r="C412" s="645"/>
      <c r="D412" s="645"/>
      <c r="E412" s="645"/>
      <c r="F412" s="645"/>
      <c r="G412" s="645"/>
      <c r="H412" s="645"/>
      <c r="I412" s="645"/>
      <c r="J412" s="645"/>
      <c r="K412" s="645"/>
      <c r="L412" s="645"/>
      <c r="M412" s="645"/>
      <c r="N412" s="645"/>
      <c r="O412" s="646"/>
      <c r="P412" s="642" t="s">
        <v>40</v>
      </c>
      <c r="Q412" s="643"/>
      <c r="R412" s="643"/>
      <c r="S412" s="643"/>
      <c r="T412" s="643"/>
      <c r="U412" s="643"/>
      <c r="V412" s="644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655" t="s">
        <v>687</v>
      </c>
      <c r="B413" s="655"/>
      <c r="C413" s="655"/>
      <c r="D413" s="655"/>
      <c r="E413" s="655"/>
      <c r="F413" s="655"/>
      <c r="G413" s="655"/>
      <c r="H413" s="655"/>
      <c r="I413" s="655"/>
      <c r="J413" s="655"/>
      <c r="K413" s="655"/>
      <c r="L413" s="655"/>
      <c r="M413" s="655"/>
      <c r="N413" s="655"/>
      <c r="O413" s="655"/>
      <c r="P413" s="655"/>
      <c r="Q413" s="655"/>
      <c r="R413" s="655"/>
      <c r="S413" s="655"/>
      <c r="T413" s="655"/>
      <c r="U413" s="655"/>
      <c r="V413" s="655"/>
      <c r="W413" s="655"/>
      <c r="X413" s="655"/>
      <c r="Y413" s="655"/>
      <c r="Z413" s="655"/>
      <c r="AA413" s="65"/>
      <c r="AB413" s="65"/>
      <c r="AC413" s="79"/>
    </row>
    <row r="414" spans="1:68" ht="14.25" hidden="1" customHeight="1" x14ac:dyDescent="0.25">
      <c r="A414" s="656" t="s">
        <v>86</v>
      </c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6"/>
      <c r="P414" s="656"/>
      <c r="Q414" s="656"/>
      <c r="R414" s="656"/>
      <c r="S414" s="656"/>
      <c r="T414" s="656"/>
      <c r="U414" s="656"/>
      <c r="V414" s="656"/>
      <c r="W414" s="656"/>
      <c r="X414" s="656"/>
      <c r="Y414" s="656"/>
      <c r="Z414" s="656"/>
      <c r="AA414" s="66"/>
      <c r="AB414" s="66"/>
      <c r="AC414" s="80"/>
    </row>
    <row r="415" spans="1:68" ht="27" hidden="1" customHeight="1" x14ac:dyDescent="0.25">
      <c r="A415" s="63" t="s">
        <v>688</v>
      </c>
      <c r="B415" s="63" t="s">
        <v>689</v>
      </c>
      <c r="C415" s="36">
        <v>4301051489</v>
      </c>
      <c r="D415" s="651">
        <v>4607091387919</v>
      </c>
      <c r="E415" s="651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72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53"/>
      <c r="R415" s="653"/>
      <c r="S415" s="653"/>
      <c r="T415" s="654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651">
        <v>4680115883604</v>
      </c>
      <c r="E416" s="651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53"/>
      <c r="R416" s="653"/>
      <c r="S416" s="653"/>
      <c r="T416" s="654"/>
      <c r="U416" s="39" t="s">
        <v>46</v>
      </c>
      <c r="V416" s="39" t="s">
        <v>46</v>
      </c>
      <c r="W416" s="40" t="s">
        <v>0</v>
      </c>
      <c r="X416" s="58">
        <v>12.6</v>
      </c>
      <c r="Y416" s="55">
        <f>IFERROR(IF(X416="",0,CEILING((X416/$H416),1)*$H416),"")</f>
        <v>12.600000000000001</v>
      </c>
      <c r="Z416" s="41">
        <f>IFERROR(IF(Y416=0,"",ROUNDUP(Y416/H416,0)*0.00651),"")</f>
        <v>3.9059999999999997E-2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14.111999999999998</v>
      </c>
      <c r="BN416" s="78">
        <f>IFERROR(Y416*I416/H416,"0")</f>
        <v>14.112</v>
      </c>
      <c r="BO416" s="78">
        <f>IFERROR(1/J416*(X416/H416),"0")</f>
        <v>3.2967032967032968E-2</v>
      </c>
      <c r="BP416" s="78">
        <f>IFERROR(1/J416*(Y416/H416),"0")</f>
        <v>3.2967032967032968E-2</v>
      </c>
    </row>
    <row r="417" spans="1:68" ht="27" hidden="1" customHeight="1" x14ac:dyDescent="0.25">
      <c r="A417" s="63" t="s">
        <v>694</v>
      </c>
      <c r="B417" s="63" t="s">
        <v>695</v>
      </c>
      <c r="C417" s="36">
        <v>4301051864</v>
      </c>
      <c r="D417" s="651">
        <v>4680115883567</v>
      </c>
      <c r="E417" s="651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53"/>
      <c r="R417" s="653"/>
      <c r="S417" s="653"/>
      <c r="T417" s="65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x14ac:dyDescent="0.2">
      <c r="A418" s="645"/>
      <c r="B418" s="645"/>
      <c r="C418" s="645"/>
      <c r="D418" s="645"/>
      <c r="E418" s="645"/>
      <c r="F418" s="645"/>
      <c r="G418" s="645"/>
      <c r="H418" s="645"/>
      <c r="I418" s="645"/>
      <c r="J418" s="645"/>
      <c r="K418" s="645"/>
      <c r="L418" s="645"/>
      <c r="M418" s="645"/>
      <c r="N418" s="645"/>
      <c r="O418" s="646"/>
      <c r="P418" s="642" t="s">
        <v>40</v>
      </c>
      <c r="Q418" s="643"/>
      <c r="R418" s="643"/>
      <c r="S418" s="643"/>
      <c r="T418" s="643"/>
      <c r="U418" s="643"/>
      <c r="V418" s="644"/>
      <c r="W418" s="42" t="s">
        <v>39</v>
      </c>
      <c r="X418" s="43">
        <f>IFERROR(X415/H415,"0")+IFERROR(X416/H416,"0")+IFERROR(X417/H417,"0")</f>
        <v>6</v>
      </c>
      <c r="Y418" s="43">
        <f>IFERROR(Y415/H415,"0")+IFERROR(Y416/H416,"0")+IFERROR(Y417/H417,"0")</f>
        <v>6</v>
      </c>
      <c r="Z418" s="43">
        <f>IFERROR(IF(Z415="",0,Z415),"0")+IFERROR(IF(Z416="",0,Z416),"0")+IFERROR(IF(Z417="",0,Z417),"0")</f>
        <v>3.9059999999999997E-2</v>
      </c>
      <c r="AA418" s="67"/>
      <c r="AB418" s="67"/>
      <c r="AC418" s="67"/>
    </row>
    <row r="419" spans="1:68" x14ac:dyDescent="0.2">
      <c r="A419" s="645"/>
      <c r="B419" s="645"/>
      <c r="C419" s="645"/>
      <c r="D419" s="645"/>
      <c r="E419" s="645"/>
      <c r="F419" s="645"/>
      <c r="G419" s="645"/>
      <c r="H419" s="645"/>
      <c r="I419" s="645"/>
      <c r="J419" s="645"/>
      <c r="K419" s="645"/>
      <c r="L419" s="645"/>
      <c r="M419" s="645"/>
      <c r="N419" s="645"/>
      <c r="O419" s="646"/>
      <c r="P419" s="642" t="s">
        <v>40</v>
      </c>
      <c r="Q419" s="643"/>
      <c r="R419" s="643"/>
      <c r="S419" s="643"/>
      <c r="T419" s="643"/>
      <c r="U419" s="643"/>
      <c r="V419" s="644"/>
      <c r="W419" s="42" t="s">
        <v>0</v>
      </c>
      <c r="X419" s="43">
        <f>IFERROR(SUM(X415:X417),"0")</f>
        <v>12.6</v>
      </c>
      <c r="Y419" s="43">
        <f>IFERROR(SUM(Y415:Y417),"0")</f>
        <v>12.600000000000001</v>
      </c>
      <c r="Z419" s="42"/>
      <c r="AA419" s="67"/>
      <c r="AB419" s="67"/>
      <c r="AC419" s="67"/>
    </row>
    <row r="420" spans="1:68" ht="27.75" hidden="1" customHeight="1" x14ac:dyDescent="0.2">
      <c r="A420" s="662" t="s">
        <v>697</v>
      </c>
      <c r="B420" s="662"/>
      <c r="C420" s="662"/>
      <c r="D420" s="662"/>
      <c r="E420" s="662"/>
      <c r="F420" s="662"/>
      <c r="G420" s="662"/>
      <c r="H420" s="662"/>
      <c r="I420" s="662"/>
      <c r="J420" s="662"/>
      <c r="K420" s="662"/>
      <c r="L420" s="662"/>
      <c r="M420" s="662"/>
      <c r="N420" s="662"/>
      <c r="O420" s="662"/>
      <c r="P420" s="662"/>
      <c r="Q420" s="662"/>
      <c r="R420" s="662"/>
      <c r="S420" s="662"/>
      <c r="T420" s="662"/>
      <c r="U420" s="662"/>
      <c r="V420" s="662"/>
      <c r="W420" s="662"/>
      <c r="X420" s="662"/>
      <c r="Y420" s="662"/>
      <c r="Z420" s="662"/>
      <c r="AA420" s="54"/>
      <c r="AB420" s="54"/>
      <c r="AC420" s="54"/>
    </row>
    <row r="421" spans="1:68" ht="16.5" hidden="1" customHeight="1" x14ac:dyDescent="0.25">
      <c r="A421" s="655" t="s">
        <v>698</v>
      </c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5"/>
      <c r="P421" s="655"/>
      <c r="Q421" s="655"/>
      <c r="R421" s="655"/>
      <c r="S421" s="655"/>
      <c r="T421" s="655"/>
      <c r="U421" s="655"/>
      <c r="V421" s="655"/>
      <c r="W421" s="655"/>
      <c r="X421" s="655"/>
      <c r="Y421" s="655"/>
      <c r="Z421" s="655"/>
      <c r="AA421" s="65"/>
      <c r="AB421" s="65"/>
      <c r="AC421" s="79"/>
    </row>
    <row r="422" spans="1:68" ht="14.25" hidden="1" customHeight="1" x14ac:dyDescent="0.25">
      <c r="A422" s="656" t="s">
        <v>128</v>
      </c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6"/>
      <c r="P422" s="656"/>
      <c r="Q422" s="656"/>
      <c r="R422" s="656"/>
      <c r="S422" s="656"/>
      <c r="T422" s="656"/>
      <c r="U422" s="656"/>
      <c r="V422" s="656"/>
      <c r="W422" s="656"/>
      <c r="X422" s="656"/>
      <c r="Y422" s="656"/>
      <c r="Z422" s="656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651">
        <v>4680115888401</v>
      </c>
      <c r="E423" s="651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53"/>
      <c r="R423" s="653"/>
      <c r="S423" s="653"/>
      <c r="T423" s="654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651">
        <v>4680115884847</v>
      </c>
      <c r="E424" s="651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53"/>
      <c r="R424" s="653"/>
      <c r="S424" s="653"/>
      <c r="T424" s="654"/>
      <c r="U424" s="39" t="s">
        <v>46</v>
      </c>
      <c r="V424" s="39" t="s">
        <v>46</v>
      </c>
      <c r="W424" s="40" t="s">
        <v>0</v>
      </c>
      <c r="X424" s="58">
        <v>210</v>
      </c>
      <c r="Y424" s="55">
        <f t="shared" si="52"/>
        <v>210</v>
      </c>
      <c r="Z424" s="41">
        <f>IFERROR(IF(Y424=0,"",ROUNDUP(Y424/H424,0)*0.02175),"")</f>
        <v>0.30449999999999999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216.58</v>
      </c>
      <c r="BN424" s="78">
        <f t="shared" si="54"/>
        <v>216.58</v>
      </c>
      <c r="BO424" s="78">
        <f t="shared" si="55"/>
        <v>0.29166666666666663</v>
      </c>
      <c r="BP424" s="78">
        <f t="shared" si="56"/>
        <v>0.29166666666666663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651">
        <v>4680115884854</v>
      </c>
      <c r="E425" s="65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53"/>
      <c r="R425" s="653"/>
      <c r="S425" s="653"/>
      <c r="T425" s="654"/>
      <c r="U425" s="39" t="s">
        <v>46</v>
      </c>
      <c r="V425" s="39" t="s">
        <v>46</v>
      </c>
      <c r="W425" s="40" t="s">
        <v>0</v>
      </c>
      <c r="X425" s="58">
        <v>150</v>
      </c>
      <c r="Y425" s="55">
        <f t="shared" si="52"/>
        <v>150</v>
      </c>
      <c r="Z425" s="41">
        <f>IFERROR(IF(Y425=0,"",ROUNDUP(Y425/H425,0)*0.02175),"")</f>
        <v>0.21749999999999997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154.69999999999999</v>
      </c>
      <c r="BN425" s="78">
        <f t="shared" si="54"/>
        <v>154.69999999999999</v>
      </c>
      <c r="BO425" s="78">
        <f t="shared" si="55"/>
        <v>0.20833333333333331</v>
      </c>
      <c r="BP425" s="78">
        <f t="shared" si="56"/>
        <v>0.20833333333333331</v>
      </c>
    </row>
    <row r="426" spans="1:68" ht="27" customHeight="1" x14ac:dyDescent="0.25">
      <c r="A426" s="63" t="s">
        <v>708</v>
      </c>
      <c r="B426" s="63" t="s">
        <v>709</v>
      </c>
      <c r="C426" s="36">
        <v>4301011867</v>
      </c>
      <c r="D426" s="651">
        <v>4680115884830</v>
      </c>
      <c r="E426" s="65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53"/>
      <c r="R426" s="653"/>
      <c r="S426" s="653"/>
      <c r="T426" s="654"/>
      <c r="U426" s="39" t="s">
        <v>46</v>
      </c>
      <c r="V426" s="39" t="s">
        <v>46</v>
      </c>
      <c r="W426" s="40" t="s">
        <v>0</v>
      </c>
      <c r="X426" s="58">
        <v>1200</v>
      </c>
      <c r="Y426" s="55">
        <f t="shared" si="52"/>
        <v>1200</v>
      </c>
      <c r="Z426" s="41">
        <f>IFERROR(IF(Y426=0,"",ROUNDUP(Y426/H426,0)*0.02175),"")</f>
        <v>1.7399999999999998</v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1237.5999999999999</v>
      </c>
      <c r="BN426" s="78">
        <f t="shared" si="54"/>
        <v>1237.5999999999999</v>
      </c>
      <c r="BO426" s="78">
        <f t="shared" si="55"/>
        <v>1.6666666666666665</v>
      </c>
      <c r="BP426" s="78">
        <f t="shared" si="56"/>
        <v>1.6666666666666665</v>
      </c>
    </row>
    <row r="427" spans="1:68" ht="27" hidden="1" customHeight="1" x14ac:dyDescent="0.25">
      <c r="A427" s="63" t="s">
        <v>711</v>
      </c>
      <c r="B427" s="63" t="s">
        <v>712</v>
      </c>
      <c r="C427" s="36">
        <v>4301012356</v>
      </c>
      <c r="D427" s="651">
        <v>4680115889231</v>
      </c>
      <c r="E427" s="65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709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53"/>
      <c r="R427" s="653"/>
      <c r="S427" s="653"/>
      <c r="T427" s="654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651">
        <v>4680115882638</v>
      </c>
      <c r="E428" s="651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7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53"/>
      <c r="R428" s="653"/>
      <c r="S428" s="653"/>
      <c r="T428" s="654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651">
        <v>4680115884922</v>
      </c>
      <c r="E429" s="651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71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53"/>
      <c r="R429" s="653"/>
      <c r="S429" s="653"/>
      <c r="T429" s="65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720</v>
      </c>
      <c r="B430" s="63" t="s">
        <v>721</v>
      </c>
      <c r="C430" s="36">
        <v>4301011868</v>
      </c>
      <c r="D430" s="651">
        <v>4680115884861</v>
      </c>
      <c r="E430" s="651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71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53"/>
      <c r="R430" s="653"/>
      <c r="S430" s="653"/>
      <c r="T430" s="65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645"/>
      <c r="B431" s="645"/>
      <c r="C431" s="645"/>
      <c r="D431" s="645"/>
      <c r="E431" s="645"/>
      <c r="F431" s="645"/>
      <c r="G431" s="645"/>
      <c r="H431" s="645"/>
      <c r="I431" s="645"/>
      <c r="J431" s="645"/>
      <c r="K431" s="645"/>
      <c r="L431" s="645"/>
      <c r="M431" s="645"/>
      <c r="N431" s="645"/>
      <c r="O431" s="646"/>
      <c r="P431" s="642" t="s">
        <v>40</v>
      </c>
      <c r="Q431" s="643"/>
      <c r="R431" s="643"/>
      <c r="S431" s="643"/>
      <c r="T431" s="643"/>
      <c r="U431" s="643"/>
      <c r="V431" s="644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104</v>
      </c>
      <c r="Y431" s="43">
        <f>IFERROR(Y423/H423,"0")+IFERROR(Y424/H424,"0")+IFERROR(Y425/H425,"0")+IFERROR(Y426/H426,"0")+IFERROR(Y427/H427,"0")+IFERROR(Y428/H428,"0")+IFERROR(Y429/H429,"0")+IFERROR(Y430/H430,"0")</f>
        <v>104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2.2619999999999996</v>
      </c>
      <c r="AA431" s="67"/>
      <c r="AB431" s="67"/>
      <c r="AC431" s="67"/>
    </row>
    <row r="432" spans="1:68" x14ac:dyDescent="0.2">
      <c r="A432" s="645"/>
      <c r="B432" s="645"/>
      <c r="C432" s="645"/>
      <c r="D432" s="645"/>
      <c r="E432" s="645"/>
      <c r="F432" s="645"/>
      <c r="G432" s="645"/>
      <c r="H432" s="645"/>
      <c r="I432" s="645"/>
      <c r="J432" s="645"/>
      <c r="K432" s="645"/>
      <c r="L432" s="645"/>
      <c r="M432" s="645"/>
      <c r="N432" s="645"/>
      <c r="O432" s="646"/>
      <c r="P432" s="642" t="s">
        <v>40</v>
      </c>
      <c r="Q432" s="643"/>
      <c r="R432" s="643"/>
      <c r="S432" s="643"/>
      <c r="T432" s="643"/>
      <c r="U432" s="643"/>
      <c r="V432" s="644"/>
      <c r="W432" s="42" t="s">
        <v>0</v>
      </c>
      <c r="X432" s="43">
        <f>IFERROR(SUM(X423:X430),"0")</f>
        <v>1560</v>
      </c>
      <c r="Y432" s="43">
        <f>IFERROR(SUM(Y423:Y430),"0")</f>
        <v>1560</v>
      </c>
      <c r="Z432" s="42"/>
      <c r="AA432" s="67"/>
      <c r="AB432" s="67"/>
      <c r="AC432" s="67"/>
    </row>
    <row r="433" spans="1:68" ht="14.25" hidden="1" customHeight="1" x14ac:dyDescent="0.25">
      <c r="A433" s="656" t="s">
        <v>164</v>
      </c>
      <c r="B433" s="656"/>
      <c r="C433" s="656"/>
      <c r="D433" s="656"/>
      <c r="E433" s="656"/>
      <c r="F433" s="656"/>
      <c r="G433" s="656"/>
      <c r="H433" s="656"/>
      <c r="I433" s="656"/>
      <c r="J433" s="656"/>
      <c r="K433" s="656"/>
      <c r="L433" s="656"/>
      <c r="M433" s="656"/>
      <c r="N433" s="656"/>
      <c r="O433" s="656"/>
      <c r="P433" s="656"/>
      <c r="Q433" s="656"/>
      <c r="R433" s="656"/>
      <c r="S433" s="656"/>
      <c r="T433" s="656"/>
      <c r="U433" s="656"/>
      <c r="V433" s="656"/>
      <c r="W433" s="656"/>
      <c r="X433" s="656"/>
      <c r="Y433" s="656"/>
      <c r="Z433" s="656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651">
        <v>4607091383980</v>
      </c>
      <c r="E434" s="651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53"/>
      <c r="R434" s="653"/>
      <c r="S434" s="653"/>
      <c r="T434" s="654"/>
      <c r="U434" s="39" t="s">
        <v>46</v>
      </c>
      <c r="V434" s="39" t="s">
        <v>46</v>
      </c>
      <c r="W434" s="40" t="s">
        <v>0</v>
      </c>
      <c r="X434" s="58">
        <v>2000</v>
      </c>
      <c r="Y434" s="55">
        <f>IFERROR(IF(X434="",0,CEILING((X434/$H434),1)*$H434),"")</f>
        <v>2010</v>
      </c>
      <c r="Z434" s="41">
        <f>IFERROR(IF(Y434=0,"",ROUNDUP(Y434/H434,0)*0.02175),"")</f>
        <v>2.9144999999999999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2062.6666666666665</v>
      </c>
      <c r="BN434" s="78">
        <f>IFERROR(Y434*I434/H434,"0")</f>
        <v>2072.98</v>
      </c>
      <c r="BO434" s="78">
        <f>IFERROR(1/J434*(X434/H434),"0")</f>
        <v>2.7777777777777777</v>
      </c>
      <c r="BP434" s="78">
        <f>IFERROR(1/J434*(Y434/H434),"0")</f>
        <v>2.7916666666666665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651">
        <v>4680115888425</v>
      </c>
      <c r="E435" s="651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70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53"/>
      <c r="R435" s="653"/>
      <c r="S435" s="653"/>
      <c r="T435" s="654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729</v>
      </c>
      <c r="B436" s="63" t="s">
        <v>730</v>
      </c>
      <c r="C436" s="36">
        <v>4301020179</v>
      </c>
      <c r="D436" s="651">
        <v>4607091384178</v>
      </c>
      <c r="E436" s="651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70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53"/>
      <c r="R436" s="653"/>
      <c r="S436" s="653"/>
      <c r="T436" s="654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x14ac:dyDescent="0.2">
      <c r="A437" s="645"/>
      <c r="B437" s="645"/>
      <c r="C437" s="645"/>
      <c r="D437" s="645"/>
      <c r="E437" s="645"/>
      <c r="F437" s="645"/>
      <c r="G437" s="645"/>
      <c r="H437" s="645"/>
      <c r="I437" s="645"/>
      <c r="J437" s="645"/>
      <c r="K437" s="645"/>
      <c r="L437" s="645"/>
      <c r="M437" s="645"/>
      <c r="N437" s="645"/>
      <c r="O437" s="646"/>
      <c r="P437" s="642" t="s">
        <v>40</v>
      </c>
      <c r="Q437" s="643"/>
      <c r="R437" s="643"/>
      <c r="S437" s="643"/>
      <c r="T437" s="643"/>
      <c r="U437" s="643"/>
      <c r="V437" s="644"/>
      <c r="W437" s="42" t="s">
        <v>39</v>
      </c>
      <c r="X437" s="43">
        <f>IFERROR(X434/H434,"0")+IFERROR(X435/H435,"0")+IFERROR(X436/H436,"0")</f>
        <v>133.33333333333334</v>
      </c>
      <c r="Y437" s="43">
        <f>IFERROR(Y434/H434,"0")+IFERROR(Y435/H435,"0")+IFERROR(Y436/H436,"0")</f>
        <v>134</v>
      </c>
      <c r="Z437" s="43">
        <f>IFERROR(IF(Z434="",0,Z434),"0")+IFERROR(IF(Z435="",0,Z435),"0")+IFERROR(IF(Z436="",0,Z436),"0")</f>
        <v>2.9144999999999999</v>
      </c>
      <c r="AA437" s="67"/>
      <c r="AB437" s="67"/>
      <c r="AC437" s="67"/>
    </row>
    <row r="438" spans="1:68" x14ac:dyDescent="0.2">
      <c r="A438" s="645"/>
      <c r="B438" s="645"/>
      <c r="C438" s="645"/>
      <c r="D438" s="645"/>
      <c r="E438" s="645"/>
      <c r="F438" s="645"/>
      <c r="G438" s="645"/>
      <c r="H438" s="645"/>
      <c r="I438" s="645"/>
      <c r="J438" s="645"/>
      <c r="K438" s="645"/>
      <c r="L438" s="645"/>
      <c r="M438" s="645"/>
      <c r="N438" s="645"/>
      <c r="O438" s="646"/>
      <c r="P438" s="642" t="s">
        <v>40</v>
      </c>
      <c r="Q438" s="643"/>
      <c r="R438" s="643"/>
      <c r="S438" s="643"/>
      <c r="T438" s="643"/>
      <c r="U438" s="643"/>
      <c r="V438" s="644"/>
      <c r="W438" s="42" t="s">
        <v>0</v>
      </c>
      <c r="X438" s="43">
        <f>IFERROR(SUM(X434:X436),"0")</f>
        <v>2000</v>
      </c>
      <c r="Y438" s="43">
        <f>IFERROR(SUM(Y434:Y436),"0")</f>
        <v>2010</v>
      </c>
      <c r="Z438" s="42"/>
      <c r="AA438" s="67"/>
      <c r="AB438" s="67"/>
      <c r="AC438" s="67"/>
    </row>
    <row r="439" spans="1:68" ht="14.25" hidden="1" customHeight="1" x14ac:dyDescent="0.25">
      <c r="A439" s="656" t="s">
        <v>86</v>
      </c>
      <c r="B439" s="656"/>
      <c r="C439" s="656"/>
      <c r="D439" s="656"/>
      <c r="E439" s="656"/>
      <c r="F439" s="656"/>
      <c r="G439" s="656"/>
      <c r="H439" s="656"/>
      <c r="I439" s="656"/>
      <c r="J439" s="656"/>
      <c r="K439" s="656"/>
      <c r="L439" s="656"/>
      <c r="M439" s="656"/>
      <c r="N439" s="656"/>
      <c r="O439" s="656"/>
      <c r="P439" s="656"/>
      <c r="Q439" s="656"/>
      <c r="R439" s="656"/>
      <c r="S439" s="656"/>
      <c r="T439" s="656"/>
      <c r="U439" s="656"/>
      <c r="V439" s="656"/>
      <c r="W439" s="656"/>
      <c r="X439" s="656"/>
      <c r="Y439" s="656"/>
      <c r="Z439" s="656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651">
        <v>4607091383928</v>
      </c>
      <c r="E440" s="651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70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53"/>
      <c r="R440" s="653"/>
      <c r="S440" s="653"/>
      <c r="T440" s="654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651">
        <v>4607091384260</v>
      </c>
      <c r="E441" s="651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704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53"/>
      <c r="R441" s="653"/>
      <c r="S441" s="653"/>
      <c r="T441" s="654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651">
        <v>4680115889538</v>
      </c>
      <c r="E442" s="651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70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53"/>
      <c r="R442" s="653"/>
      <c r="S442" s="653"/>
      <c r="T442" s="65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645"/>
      <c r="B443" s="645"/>
      <c r="C443" s="645"/>
      <c r="D443" s="645"/>
      <c r="E443" s="645"/>
      <c r="F443" s="645"/>
      <c r="G443" s="645"/>
      <c r="H443" s="645"/>
      <c r="I443" s="645"/>
      <c r="J443" s="645"/>
      <c r="K443" s="645"/>
      <c r="L443" s="645"/>
      <c r="M443" s="645"/>
      <c r="N443" s="645"/>
      <c r="O443" s="646"/>
      <c r="P443" s="642" t="s">
        <v>40</v>
      </c>
      <c r="Q443" s="643"/>
      <c r="R443" s="643"/>
      <c r="S443" s="643"/>
      <c r="T443" s="643"/>
      <c r="U443" s="643"/>
      <c r="V443" s="644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645"/>
      <c r="B444" s="645"/>
      <c r="C444" s="645"/>
      <c r="D444" s="645"/>
      <c r="E444" s="645"/>
      <c r="F444" s="645"/>
      <c r="G444" s="645"/>
      <c r="H444" s="645"/>
      <c r="I444" s="645"/>
      <c r="J444" s="645"/>
      <c r="K444" s="645"/>
      <c r="L444" s="645"/>
      <c r="M444" s="645"/>
      <c r="N444" s="645"/>
      <c r="O444" s="646"/>
      <c r="P444" s="642" t="s">
        <v>40</v>
      </c>
      <c r="Q444" s="643"/>
      <c r="R444" s="643"/>
      <c r="S444" s="643"/>
      <c r="T444" s="643"/>
      <c r="U444" s="643"/>
      <c r="V444" s="644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656" t="s">
        <v>181</v>
      </c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6"/>
      <c r="P445" s="656"/>
      <c r="Q445" s="656"/>
      <c r="R445" s="656"/>
      <c r="S445" s="656"/>
      <c r="T445" s="656"/>
      <c r="U445" s="656"/>
      <c r="V445" s="656"/>
      <c r="W445" s="656"/>
      <c r="X445" s="656"/>
      <c r="Y445" s="656"/>
      <c r="Z445" s="656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651">
        <v>4680115889545</v>
      </c>
      <c r="E446" s="651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70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53"/>
      <c r="R446" s="653"/>
      <c r="S446" s="653"/>
      <c r="T446" s="654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651">
        <v>4607091384673</v>
      </c>
      <c r="E447" s="651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702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53"/>
      <c r="R447" s="653"/>
      <c r="S447" s="653"/>
      <c r="T447" s="654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645"/>
      <c r="B448" s="645"/>
      <c r="C448" s="645"/>
      <c r="D448" s="645"/>
      <c r="E448" s="645"/>
      <c r="F448" s="645"/>
      <c r="G448" s="645"/>
      <c r="H448" s="645"/>
      <c r="I448" s="645"/>
      <c r="J448" s="645"/>
      <c r="K448" s="645"/>
      <c r="L448" s="645"/>
      <c r="M448" s="645"/>
      <c r="N448" s="645"/>
      <c r="O448" s="646"/>
      <c r="P448" s="642" t="s">
        <v>40</v>
      </c>
      <c r="Q448" s="643"/>
      <c r="R448" s="643"/>
      <c r="S448" s="643"/>
      <c r="T448" s="643"/>
      <c r="U448" s="643"/>
      <c r="V448" s="644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645"/>
      <c r="B449" s="645"/>
      <c r="C449" s="645"/>
      <c r="D449" s="645"/>
      <c r="E449" s="645"/>
      <c r="F449" s="645"/>
      <c r="G449" s="645"/>
      <c r="H449" s="645"/>
      <c r="I449" s="645"/>
      <c r="J449" s="645"/>
      <c r="K449" s="645"/>
      <c r="L449" s="645"/>
      <c r="M449" s="645"/>
      <c r="N449" s="645"/>
      <c r="O449" s="646"/>
      <c r="P449" s="642" t="s">
        <v>40</v>
      </c>
      <c r="Q449" s="643"/>
      <c r="R449" s="643"/>
      <c r="S449" s="643"/>
      <c r="T449" s="643"/>
      <c r="U449" s="643"/>
      <c r="V449" s="644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655" t="s">
        <v>747</v>
      </c>
      <c r="B450" s="655"/>
      <c r="C450" s="655"/>
      <c r="D450" s="655"/>
      <c r="E450" s="655"/>
      <c r="F450" s="655"/>
      <c r="G450" s="655"/>
      <c r="H450" s="655"/>
      <c r="I450" s="655"/>
      <c r="J450" s="655"/>
      <c r="K450" s="655"/>
      <c r="L450" s="655"/>
      <c r="M450" s="655"/>
      <c r="N450" s="655"/>
      <c r="O450" s="655"/>
      <c r="P450" s="655"/>
      <c r="Q450" s="655"/>
      <c r="R450" s="655"/>
      <c r="S450" s="655"/>
      <c r="T450" s="655"/>
      <c r="U450" s="655"/>
      <c r="V450" s="655"/>
      <c r="W450" s="655"/>
      <c r="X450" s="655"/>
      <c r="Y450" s="655"/>
      <c r="Z450" s="655"/>
      <c r="AA450" s="65"/>
      <c r="AB450" s="65"/>
      <c r="AC450" s="79"/>
    </row>
    <row r="451" spans="1:68" ht="14.25" hidden="1" customHeight="1" x14ac:dyDescent="0.25">
      <c r="A451" s="656" t="s">
        <v>128</v>
      </c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6"/>
      <c r="P451" s="656"/>
      <c r="Q451" s="656"/>
      <c r="R451" s="656"/>
      <c r="S451" s="656"/>
      <c r="T451" s="656"/>
      <c r="U451" s="656"/>
      <c r="V451" s="656"/>
      <c r="W451" s="656"/>
      <c r="X451" s="656"/>
      <c r="Y451" s="656"/>
      <c r="Z451" s="656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651">
        <v>4680115884885</v>
      </c>
      <c r="E452" s="651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69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53"/>
      <c r="R452" s="653"/>
      <c r="S452" s="653"/>
      <c r="T452" s="654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651">
        <v>4680115884908</v>
      </c>
      <c r="E453" s="651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70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53"/>
      <c r="R453" s="653"/>
      <c r="S453" s="653"/>
      <c r="T453" s="654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645"/>
      <c r="B454" s="645"/>
      <c r="C454" s="645"/>
      <c r="D454" s="645"/>
      <c r="E454" s="645"/>
      <c r="F454" s="645"/>
      <c r="G454" s="645"/>
      <c r="H454" s="645"/>
      <c r="I454" s="645"/>
      <c r="J454" s="645"/>
      <c r="K454" s="645"/>
      <c r="L454" s="645"/>
      <c r="M454" s="645"/>
      <c r="N454" s="645"/>
      <c r="O454" s="646"/>
      <c r="P454" s="642" t="s">
        <v>40</v>
      </c>
      <c r="Q454" s="643"/>
      <c r="R454" s="643"/>
      <c r="S454" s="643"/>
      <c r="T454" s="643"/>
      <c r="U454" s="643"/>
      <c r="V454" s="644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645"/>
      <c r="B455" s="645"/>
      <c r="C455" s="645"/>
      <c r="D455" s="645"/>
      <c r="E455" s="645"/>
      <c r="F455" s="645"/>
      <c r="G455" s="645"/>
      <c r="H455" s="645"/>
      <c r="I455" s="645"/>
      <c r="J455" s="645"/>
      <c r="K455" s="645"/>
      <c r="L455" s="645"/>
      <c r="M455" s="645"/>
      <c r="N455" s="645"/>
      <c r="O455" s="646"/>
      <c r="P455" s="642" t="s">
        <v>40</v>
      </c>
      <c r="Q455" s="643"/>
      <c r="R455" s="643"/>
      <c r="S455" s="643"/>
      <c r="T455" s="643"/>
      <c r="U455" s="643"/>
      <c r="V455" s="644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656" t="s">
        <v>77</v>
      </c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6"/>
      <c r="P456" s="656"/>
      <c r="Q456" s="656"/>
      <c r="R456" s="656"/>
      <c r="S456" s="656"/>
      <c r="T456" s="656"/>
      <c r="U456" s="656"/>
      <c r="V456" s="656"/>
      <c r="W456" s="656"/>
      <c r="X456" s="656"/>
      <c r="Y456" s="656"/>
      <c r="Z456" s="656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651">
        <v>4607091384802</v>
      </c>
      <c r="E457" s="651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6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53"/>
      <c r="R457" s="653"/>
      <c r="S457" s="653"/>
      <c r="T457" s="654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645"/>
      <c r="B458" s="645"/>
      <c r="C458" s="645"/>
      <c r="D458" s="645"/>
      <c r="E458" s="645"/>
      <c r="F458" s="645"/>
      <c r="G458" s="645"/>
      <c r="H458" s="645"/>
      <c r="I458" s="645"/>
      <c r="J458" s="645"/>
      <c r="K458" s="645"/>
      <c r="L458" s="645"/>
      <c r="M458" s="645"/>
      <c r="N458" s="645"/>
      <c r="O458" s="646"/>
      <c r="P458" s="642" t="s">
        <v>40</v>
      </c>
      <c r="Q458" s="643"/>
      <c r="R458" s="643"/>
      <c r="S458" s="643"/>
      <c r="T458" s="643"/>
      <c r="U458" s="643"/>
      <c r="V458" s="644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645"/>
      <c r="B459" s="645"/>
      <c r="C459" s="645"/>
      <c r="D459" s="645"/>
      <c r="E459" s="645"/>
      <c r="F459" s="645"/>
      <c r="G459" s="645"/>
      <c r="H459" s="645"/>
      <c r="I459" s="645"/>
      <c r="J459" s="645"/>
      <c r="K459" s="645"/>
      <c r="L459" s="645"/>
      <c r="M459" s="645"/>
      <c r="N459" s="645"/>
      <c r="O459" s="646"/>
      <c r="P459" s="642" t="s">
        <v>40</v>
      </c>
      <c r="Q459" s="643"/>
      <c r="R459" s="643"/>
      <c r="S459" s="643"/>
      <c r="T459" s="643"/>
      <c r="U459" s="643"/>
      <c r="V459" s="644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656" t="s">
        <v>86</v>
      </c>
      <c r="B460" s="656"/>
      <c r="C460" s="656"/>
      <c r="D460" s="656"/>
      <c r="E460" s="656"/>
      <c r="F460" s="656"/>
      <c r="G460" s="656"/>
      <c r="H460" s="656"/>
      <c r="I460" s="656"/>
      <c r="J460" s="656"/>
      <c r="K460" s="656"/>
      <c r="L460" s="656"/>
      <c r="M460" s="656"/>
      <c r="N460" s="656"/>
      <c r="O460" s="656"/>
      <c r="P460" s="656"/>
      <c r="Q460" s="656"/>
      <c r="R460" s="656"/>
      <c r="S460" s="656"/>
      <c r="T460" s="656"/>
      <c r="U460" s="656"/>
      <c r="V460" s="656"/>
      <c r="W460" s="656"/>
      <c r="X460" s="656"/>
      <c r="Y460" s="656"/>
      <c r="Z460" s="656"/>
      <c r="AA460" s="66"/>
      <c r="AB460" s="66"/>
      <c r="AC460" s="80"/>
    </row>
    <row r="461" spans="1:68" ht="27" customHeight="1" x14ac:dyDescent="0.25">
      <c r="A461" s="63" t="s">
        <v>756</v>
      </c>
      <c r="B461" s="63" t="s">
        <v>757</v>
      </c>
      <c r="C461" s="36">
        <v>4301051899</v>
      </c>
      <c r="D461" s="651">
        <v>4607091384246</v>
      </c>
      <c r="E461" s="651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53"/>
      <c r="R461" s="653"/>
      <c r="S461" s="653"/>
      <c r="T461" s="654"/>
      <c r="U461" s="39" t="s">
        <v>46</v>
      </c>
      <c r="V461" s="39" t="s">
        <v>46</v>
      </c>
      <c r="W461" s="40" t="s">
        <v>0</v>
      </c>
      <c r="X461" s="58">
        <v>150</v>
      </c>
      <c r="Y461" s="55">
        <f>IFERROR(IF(X461="",0,CEILING((X461/$H461),1)*$H461),"")</f>
        <v>153</v>
      </c>
      <c r="Z461" s="41">
        <f>IFERROR(IF(Y461=0,"",ROUNDUP(Y461/H461,0)*0.01898),"")</f>
        <v>0.32266</v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158.23333333333332</v>
      </c>
      <c r="BN461" s="78">
        <f>IFERROR(Y461*I461/H461,"0")</f>
        <v>161.398</v>
      </c>
      <c r="BO461" s="78">
        <f>IFERROR(1/J461*(X461/H461),"0")</f>
        <v>0.26041666666666669</v>
      </c>
      <c r="BP461" s="78">
        <f>IFERROR(1/J461*(Y461/H461),"0")</f>
        <v>0.265625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651">
        <v>4607091384253</v>
      </c>
      <c r="E462" s="651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53"/>
      <c r="R462" s="653"/>
      <c r="S462" s="653"/>
      <c r="T462" s="654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651">
        <v>4607091384253</v>
      </c>
      <c r="E463" s="651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69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53"/>
      <c r="R463" s="653"/>
      <c r="S463" s="653"/>
      <c r="T463" s="654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x14ac:dyDescent="0.2">
      <c r="A464" s="645"/>
      <c r="B464" s="645"/>
      <c r="C464" s="645"/>
      <c r="D464" s="645"/>
      <c r="E464" s="645"/>
      <c r="F464" s="645"/>
      <c r="G464" s="645"/>
      <c r="H464" s="645"/>
      <c r="I464" s="645"/>
      <c r="J464" s="645"/>
      <c r="K464" s="645"/>
      <c r="L464" s="645"/>
      <c r="M464" s="645"/>
      <c r="N464" s="645"/>
      <c r="O464" s="646"/>
      <c r="P464" s="642" t="s">
        <v>40</v>
      </c>
      <c r="Q464" s="643"/>
      <c r="R464" s="643"/>
      <c r="S464" s="643"/>
      <c r="T464" s="643"/>
      <c r="U464" s="643"/>
      <c r="V464" s="644"/>
      <c r="W464" s="42" t="s">
        <v>39</v>
      </c>
      <c r="X464" s="43">
        <f>IFERROR(X461/H461,"0")+IFERROR(X462/H462,"0")+IFERROR(X463/H463,"0")</f>
        <v>16.666666666666668</v>
      </c>
      <c r="Y464" s="43">
        <f>IFERROR(Y461/H461,"0")+IFERROR(Y462/H462,"0")+IFERROR(Y463/H463,"0")</f>
        <v>17</v>
      </c>
      <c r="Z464" s="43">
        <f>IFERROR(IF(Z461="",0,Z461),"0")+IFERROR(IF(Z462="",0,Z462),"0")+IFERROR(IF(Z463="",0,Z463),"0")</f>
        <v>0.32266</v>
      </c>
      <c r="AA464" s="67"/>
      <c r="AB464" s="67"/>
      <c r="AC464" s="67"/>
    </row>
    <row r="465" spans="1:68" x14ac:dyDescent="0.2">
      <c r="A465" s="645"/>
      <c r="B465" s="645"/>
      <c r="C465" s="645"/>
      <c r="D465" s="645"/>
      <c r="E465" s="645"/>
      <c r="F465" s="645"/>
      <c r="G465" s="645"/>
      <c r="H465" s="645"/>
      <c r="I465" s="645"/>
      <c r="J465" s="645"/>
      <c r="K465" s="645"/>
      <c r="L465" s="645"/>
      <c r="M465" s="645"/>
      <c r="N465" s="645"/>
      <c r="O465" s="646"/>
      <c r="P465" s="642" t="s">
        <v>40</v>
      </c>
      <c r="Q465" s="643"/>
      <c r="R465" s="643"/>
      <c r="S465" s="643"/>
      <c r="T465" s="643"/>
      <c r="U465" s="643"/>
      <c r="V465" s="644"/>
      <c r="W465" s="42" t="s">
        <v>0</v>
      </c>
      <c r="X465" s="43">
        <f>IFERROR(SUM(X461:X463),"0")</f>
        <v>150</v>
      </c>
      <c r="Y465" s="43">
        <f>IFERROR(SUM(Y461:Y463),"0")</f>
        <v>153</v>
      </c>
      <c r="Z465" s="42"/>
      <c r="AA465" s="67"/>
      <c r="AB465" s="67"/>
      <c r="AC465" s="67"/>
    </row>
    <row r="466" spans="1:68" ht="27.75" hidden="1" customHeight="1" x14ac:dyDescent="0.2">
      <c r="A466" s="662" t="s">
        <v>763</v>
      </c>
      <c r="B466" s="662"/>
      <c r="C466" s="662"/>
      <c r="D466" s="662"/>
      <c r="E466" s="662"/>
      <c r="F466" s="662"/>
      <c r="G466" s="662"/>
      <c r="H466" s="662"/>
      <c r="I466" s="662"/>
      <c r="J466" s="662"/>
      <c r="K466" s="662"/>
      <c r="L466" s="662"/>
      <c r="M466" s="662"/>
      <c r="N466" s="662"/>
      <c r="O466" s="662"/>
      <c r="P466" s="662"/>
      <c r="Q466" s="662"/>
      <c r="R466" s="662"/>
      <c r="S466" s="662"/>
      <c r="T466" s="662"/>
      <c r="U466" s="662"/>
      <c r="V466" s="662"/>
      <c r="W466" s="662"/>
      <c r="X466" s="662"/>
      <c r="Y466" s="662"/>
      <c r="Z466" s="662"/>
      <c r="AA466" s="54"/>
      <c r="AB466" s="54"/>
      <c r="AC466" s="54"/>
    </row>
    <row r="467" spans="1:68" ht="16.5" hidden="1" customHeight="1" x14ac:dyDescent="0.25">
      <c r="A467" s="655" t="s">
        <v>764</v>
      </c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5"/>
      <c r="P467" s="655"/>
      <c r="Q467" s="655"/>
      <c r="R467" s="655"/>
      <c r="S467" s="655"/>
      <c r="T467" s="655"/>
      <c r="U467" s="655"/>
      <c r="V467" s="655"/>
      <c r="W467" s="655"/>
      <c r="X467" s="655"/>
      <c r="Y467" s="655"/>
      <c r="Z467" s="655"/>
      <c r="AA467" s="65"/>
      <c r="AB467" s="65"/>
      <c r="AC467" s="79"/>
    </row>
    <row r="468" spans="1:68" ht="14.25" hidden="1" customHeight="1" x14ac:dyDescent="0.25">
      <c r="A468" s="656" t="s">
        <v>77</v>
      </c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6"/>
      <c r="P468" s="656"/>
      <c r="Q468" s="656"/>
      <c r="R468" s="656"/>
      <c r="S468" s="656"/>
      <c r="T468" s="656"/>
      <c r="U468" s="656"/>
      <c r="V468" s="656"/>
      <c r="W468" s="656"/>
      <c r="X468" s="656"/>
      <c r="Y468" s="656"/>
      <c r="Z468" s="656"/>
      <c r="AA468" s="66"/>
      <c r="AB468" s="66"/>
      <c r="AC468" s="80"/>
    </row>
    <row r="469" spans="1:68" ht="27" customHeight="1" x14ac:dyDescent="0.25">
      <c r="A469" s="63" t="s">
        <v>765</v>
      </c>
      <c r="B469" s="63" t="s">
        <v>766</v>
      </c>
      <c r="C469" s="36">
        <v>4301031405</v>
      </c>
      <c r="D469" s="651">
        <v>4680115886100</v>
      </c>
      <c r="E469" s="651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69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53"/>
      <c r="R469" s="653"/>
      <c r="S469" s="653"/>
      <c r="T469" s="654"/>
      <c r="U469" s="39" t="s">
        <v>46</v>
      </c>
      <c r="V469" s="39" t="s">
        <v>46</v>
      </c>
      <c r="W469" s="40" t="s">
        <v>0</v>
      </c>
      <c r="X469" s="58">
        <v>20</v>
      </c>
      <c r="Y469" s="55">
        <f t="shared" ref="Y469:Y474" si="57">IFERROR(IF(X469="",0,CEILING((X469/$H469),1)*$H469),"")</f>
        <v>21.6</v>
      </c>
      <c r="Z469" s="41">
        <f>IFERROR(IF(Y469=0,"",ROUNDUP(Y469/H469,0)*0.00902),"")</f>
        <v>3.6080000000000001E-2</v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20.703703703703702</v>
      </c>
      <c r="BN469" s="78">
        <f t="shared" ref="BN469:BN474" si="59">IFERROR(Y469*I469/H469,"0")</f>
        <v>22.36</v>
      </c>
      <c r="BO469" s="78">
        <f t="shared" ref="BO469:BO474" si="60">IFERROR(1/J469*(X469/H469),"0")</f>
        <v>2.8058361391694722E-2</v>
      </c>
      <c r="BP469" s="78">
        <f t="shared" ref="BP469:BP474" si="61">IFERROR(1/J469*(Y469/H469),"0")</f>
        <v>3.0303030303030304E-2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651">
        <v>4680115886124</v>
      </c>
      <c r="E470" s="651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68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53"/>
      <c r="R470" s="653"/>
      <c r="S470" s="653"/>
      <c r="T470" s="654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651">
        <v>4607091384338</v>
      </c>
      <c r="E471" s="651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9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53"/>
      <c r="R471" s="653"/>
      <c r="S471" s="653"/>
      <c r="T471" s="65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651">
        <v>4680115883161</v>
      </c>
      <c r="E472" s="651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69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53"/>
      <c r="R472" s="653"/>
      <c r="S472" s="653"/>
      <c r="T472" s="65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776</v>
      </c>
      <c r="B473" s="63" t="s">
        <v>777</v>
      </c>
      <c r="C473" s="36">
        <v>4301031358</v>
      </c>
      <c r="D473" s="651">
        <v>4607091389531</v>
      </c>
      <c r="E473" s="65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6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53"/>
      <c r="R473" s="653"/>
      <c r="S473" s="653"/>
      <c r="T473" s="65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651">
        <v>4607091384345</v>
      </c>
      <c r="E474" s="651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69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53"/>
      <c r="R474" s="653"/>
      <c r="S474" s="653"/>
      <c r="T474" s="65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645"/>
      <c r="B475" s="645"/>
      <c r="C475" s="645"/>
      <c r="D475" s="645"/>
      <c r="E475" s="645"/>
      <c r="F475" s="645"/>
      <c r="G475" s="645"/>
      <c r="H475" s="645"/>
      <c r="I475" s="645"/>
      <c r="J475" s="645"/>
      <c r="K475" s="645"/>
      <c r="L475" s="645"/>
      <c r="M475" s="645"/>
      <c r="N475" s="645"/>
      <c r="O475" s="646"/>
      <c r="P475" s="642" t="s">
        <v>40</v>
      </c>
      <c r="Q475" s="643"/>
      <c r="R475" s="643"/>
      <c r="S475" s="643"/>
      <c r="T475" s="643"/>
      <c r="U475" s="643"/>
      <c r="V475" s="644"/>
      <c r="W475" s="42" t="s">
        <v>39</v>
      </c>
      <c r="X475" s="43">
        <f>IFERROR(X469/H469,"0")+IFERROR(X470/H470,"0")+IFERROR(X471/H471,"0")+IFERROR(X472/H472,"0")+IFERROR(X473/H473,"0")+IFERROR(X474/H474,"0")</f>
        <v>3.7037037037037033</v>
      </c>
      <c r="Y475" s="43">
        <f>IFERROR(Y469/H469,"0")+IFERROR(Y470/H470,"0")+IFERROR(Y471/H471,"0")+IFERROR(Y472/H472,"0")+IFERROR(Y473/H473,"0")+IFERROR(Y474/H474,"0")</f>
        <v>4</v>
      </c>
      <c r="Z475" s="43">
        <f>IFERROR(IF(Z469="",0,Z469),"0")+IFERROR(IF(Z470="",0,Z470),"0")+IFERROR(IF(Z471="",0,Z471),"0")+IFERROR(IF(Z472="",0,Z472),"0")+IFERROR(IF(Z473="",0,Z473),"0")+IFERROR(IF(Z474="",0,Z474),"0")</f>
        <v>3.6080000000000001E-2</v>
      </c>
      <c r="AA475" s="67"/>
      <c r="AB475" s="67"/>
      <c r="AC475" s="67"/>
    </row>
    <row r="476" spans="1:68" x14ac:dyDescent="0.2">
      <c r="A476" s="645"/>
      <c r="B476" s="645"/>
      <c r="C476" s="645"/>
      <c r="D476" s="645"/>
      <c r="E476" s="645"/>
      <c r="F476" s="645"/>
      <c r="G476" s="645"/>
      <c r="H476" s="645"/>
      <c r="I476" s="645"/>
      <c r="J476" s="645"/>
      <c r="K476" s="645"/>
      <c r="L476" s="645"/>
      <c r="M476" s="645"/>
      <c r="N476" s="645"/>
      <c r="O476" s="646"/>
      <c r="P476" s="642" t="s">
        <v>40</v>
      </c>
      <c r="Q476" s="643"/>
      <c r="R476" s="643"/>
      <c r="S476" s="643"/>
      <c r="T476" s="643"/>
      <c r="U476" s="643"/>
      <c r="V476" s="644"/>
      <c r="W476" s="42" t="s">
        <v>0</v>
      </c>
      <c r="X476" s="43">
        <f>IFERROR(SUM(X469:X474),"0")</f>
        <v>20</v>
      </c>
      <c r="Y476" s="43">
        <f>IFERROR(SUM(Y469:Y474),"0")</f>
        <v>21.6</v>
      </c>
      <c r="Z476" s="42"/>
      <c r="AA476" s="67"/>
      <c r="AB476" s="67"/>
      <c r="AC476" s="67"/>
    </row>
    <row r="477" spans="1:68" ht="14.25" hidden="1" customHeight="1" x14ac:dyDescent="0.25">
      <c r="A477" s="656" t="s">
        <v>86</v>
      </c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6"/>
      <c r="P477" s="656"/>
      <c r="Q477" s="656"/>
      <c r="R477" s="656"/>
      <c r="S477" s="656"/>
      <c r="T477" s="656"/>
      <c r="U477" s="656"/>
      <c r="V477" s="656"/>
      <c r="W477" s="656"/>
      <c r="X477" s="656"/>
      <c r="Y477" s="656"/>
      <c r="Z477" s="656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651">
        <v>4607091384352</v>
      </c>
      <c r="E478" s="651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53"/>
      <c r="R478" s="653"/>
      <c r="S478" s="653"/>
      <c r="T478" s="654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651">
        <v>4607091389654</v>
      </c>
      <c r="E479" s="651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6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53"/>
      <c r="R479" s="653"/>
      <c r="S479" s="653"/>
      <c r="T479" s="654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5"/>
      <c r="B480" s="645"/>
      <c r="C480" s="645"/>
      <c r="D480" s="645"/>
      <c r="E480" s="645"/>
      <c r="F480" s="645"/>
      <c r="G480" s="645"/>
      <c r="H480" s="645"/>
      <c r="I480" s="645"/>
      <c r="J480" s="645"/>
      <c r="K480" s="645"/>
      <c r="L480" s="645"/>
      <c r="M480" s="645"/>
      <c r="N480" s="645"/>
      <c r="O480" s="646"/>
      <c r="P480" s="642" t="s">
        <v>40</v>
      </c>
      <c r="Q480" s="643"/>
      <c r="R480" s="643"/>
      <c r="S480" s="643"/>
      <c r="T480" s="643"/>
      <c r="U480" s="643"/>
      <c r="V480" s="644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645"/>
      <c r="B481" s="645"/>
      <c r="C481" s="645"/>
      <c r="D481" s="645"/>
      <c r="E481" s="645"/>
      <c r="F481" s="645"/>
      <c r="G481" s="645"/>
      <c r="H481" s="645"/>
      <c r="I481" s="645"/>
      <c r="J481" s="645"/>
      <c r="K481" s="645"/>
      <c r="L481" s="645"/>
      <c r="M481" s="645"/>
      <c r="N481" s="645"/>
      <c r="O481" s="646"/>
      <c r="P481" s="642" t="s">
        <v>40</v>
      </c>
      <c r="Q481" s="643"/>
      <c r="R481" s="643"/>
      <c r="S481" s="643"/>
      <c r="T481" s="643"/>
      <c r="U481" s="643"/>
      <c r="V481" s="644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655" t="s">
        <v>787</v>
      </c>
      <c r="B482" s="655"/>
      <c r="C482" s="655"/>
      <c r="D482" s="655"/>
      <c r="E482" s="655"/>
      <c r="F482" s="655"/>
      <c r="G482" s="655"/>
      <c r="H482" s="655"/>
      <c r="I482" s="655"/>
      <c r="J482" s="655"/>
      <c r="K482" s="655"/>
      <c r="L482" s="655"/>
      <c r="M482" s="655"/>
      <c r="N482" s="655"/>
      <c r="O482" s="655"/>
      <c r="P482" s="655"/>
      <c r="Q482" s="655"/>
      <c r="R482" s="655"/>
      <c r="S482" s="655"/>
      <c r="T482" s="655"/>
      <c r="U482" s="655"/>
      <c r="V482" s="655"/>
      <c r="W482" s="655"/>
      <c r="X482" s="655"/>
      <c r="Y482" s="655"/>
      <c r="Z482" s="655"/>
      <c r="AA482" s="65"/>
      <c r="AB482" s="65"/>
      <c r="AC482" s="79"/>
    </row>
    <row r="483" spans="1:68" ht="14.25" hidden="1" customHeight="1" x14ac:dyDescent="0.25">
      <c r="A483" s="656" t="s">
        <v>164</v>
      </c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6"/>
      <c r="P483" s="656"/>
      <c r="Q483" s="656"/>
      <c r="R483" s="656"/>
      <c r="S483" s="656"/>
      <c r="T483" s="656"/>
      <c r="U483" s="656"/>
      <c r="V483" s="656"/>
      <c r="W483" s="656"/>
      <c r="X483" s="656"/>
      <c r="Y483" s="656"/>
      <c r="Z483" s="656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651">
        <v>4680115885240</v>
      </c>
      <c r="E484" s="651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68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53"/>
      <c r="R484" s="653"/>
      <c r="S484" s="653"/>
      <c r="T484" s="654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645"/>
      <c r="B485" s="645"/>
      <c r="C485" s="645"/>
      <c r="D485" s="645"/>
      <c r="E485" s="645"/>
      <c r="F485" s="645"/>
      <c r="G485" s="645"/>
      <c r="H485" s="645"/>
      <c r="I485" s="645"/>
      <c r="J485" s="645"/>
      <c r="K485" s="645"/>
      <c r="L485" s="645"/>
      <c r="M485" s="645"/>
      <c r="N485" s="645"/>
      <c r="O485" s="646"/>
      <c r="P485" s="642" t="s">
        <v>40</v>
      </c>
      <c r="Q485" s="643"/>
      <c r="R485" s="643"/>
      <c r="S485" s="643"/>
      <c r="T485" s="643"/>
      <c r="U485" s="643"/>
      <c r="V485" s="644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645"/>
      <c r="B486" s="645"/>
      <c r="C486" s="645"/>
      <c r="D486" s="645"/>
      <c r="E486" s="645"/>
      <c r="F486" s="645"/>
      <c r="G486" s="645"/>
      <c r="H486" s="645"/>
      <c r="I486" s="645"/>
      <c r="J486" s="645"/>
      <c r="K486" s="645"/>
      <c r="L486" s="645"/>
      <c r="M486" s="645"/>
      <c r="N486" s="645"/>
      <c r="O486" s="646"/>
      <c r="P486" s="642" t="s">
        <v>40</v>
      </c>
      <c r="Q486" s="643"/>
      <c r="R486" s="643"/>
      <c r="S486" s="643"/>
      <c r="T486" s="643"/>
      <c r="U486" s="643"/>
      <c r="V486" s="644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656" t="s">
        <v>77</v>
      </c>
      <c r="B487" s="656"/>
      <c r="C487" s="656"/>
      <c r="D487" s="656"/>
      <c r="E487" s="656"/>
      <c r="F487" s="656"/>
      <c r="G487" s="656"/>
      <c r="H487" s="656"/>
      <c r="I487" s="656"/>
      <c r="J487" s="656"/>
      <c r="K487" s="656"/>
      <c r="L487" s="656"/>
      <c r="M487" s="656"/>
      <c r="N487" s="656"/>
      <c r="O487" s="656"/>
      <c r="P487" s="656"/>
      <c r="Q487" s="656"/>
      <c r="R487" s="656"/>
      <c r="S487" s="656"/>
      <c r="T487" s="656"/>
      <c r="U487" s="656"/>
      <c r="V487" s="656"/>
      <c r="W487" s="656"/>
      <c r="X487" s="656"/>
      <c r="Y487" s="656"/>
      <c r="Z487" s="656"/>
      <c r="AA487" s="66"/>
      <c r="AB487" s="66"/>
      <c r="AC487" s="80"/>
    </row>
    <row r="488" spans="1:68" ht="27" customHeight="1" x14ac:dyDescent="0.25">
      <c r="A488" s="63" t="s">
        <v>791</v>
      </c>
      <c r="B488" s="63" t="s">
        <v>792</v>
      </c>
      <c r="C488" s="36">
        <v>4301031407</v>
      </c>
      <c r="D488" s="651">
        <v>4680115886094</v>
      </c>
      <c r="E488" s="651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68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53"/>
      <c r="R488" s="653"/>
      <c r="S488" s="653"/>
      <c r="T488" s="654"/>
      <c r="U488" s="39" t="s">
        <v>46</v>
      </c>
      <c r="V488" s="39" t="s">
        <v>46</v>
      </c>
      <c r="W488" s="40" t="s">
        <v>0</v>
      </c>
      <c r="X488" s="58">
        <v>20</v>
      </c>
      <c r="Y488" s="55">
        <f>IFERROR(IF(X488="",0,CEILING((X488/$H488),1)*$H488),"")</f>
        <v>21.6</v>
      </c>
      <c r="Z488" s="41">
        <f>IFERROR(IF(Y488=0,"",ROUNDUP(Y488/H488,0)*0.00902),"")</f>
        <v>3.6080000000000001E-2</v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20.703703703703702</v>
      </c>
      <c r="BN488" s="78">
        <f>IFERROR(Y488*I488/H488,"0")</f>
        <v>22.36</v>
      </c>
      <c r="BO488" s="78">
        <f>IFERROR(1/J488*(X488/H488),"0")</f>
        <v>2.8058361391694722E-2</v>
      </c>
      <c r="BP488" s="78">
        <f>IFERROR(1/J488*(Y488/H488),"0")</f>
        <v>3.0303030303030304E-2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651">
        <v>4680115880771</v>
      </c>
      <c r="E489" s="651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8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53"/>
      <c r="R489" s="653"/>
      <c r="S489" s="653"/>
      <c r="T489" s="654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797</v>
      </c>
      <c r="B490" s="63" t="s">
        <v>798</v>
      </c>
      <c r="C490" s="36">
        <v>4301031359</v>
      </c>
      <c r="D490" s="651">
        <v>4607091389500</v>
      </c>
      <c r="E490" s="651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8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53"/>
      <c r="R490" s="653"/>
      <c r="S490" s="653"/>
      <c r="T490" s="65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x14ac:dyDescent="0.2">
      <c r="A491" s="645"/>
      <c r="B491" s="645"/>
      <c r="C491" s="645"/>
      <c r="D491" s="645"/>
      <c r="E491" s="645"/>
      <c r="F491" s="645"/>
      <c r="G491" s="645"/>
      <c r="H491" s="645"/>
      <c r="I491" s="645"/>
      <c r="J491" s="645"/>
      <c r="K491" s="645"/>
      <c r="L491" s="645"/>
      <c r="M491" s="645"/>
      <c r="N491" s="645"/>
      <c r="O491" s="646"/>
      <c r="P491" s="642" t="s">
        <v>40</v>
      </c>
      <c r="Q491" s="643"/>
      <c r="R491" s="643"/>
      <c r="S491" s="643"/>
      <c r="T491" s="643"/>
      <c r="U491" s="643"/>
      <c r="V491" s="644"/>
      <c r="W491" s="42" t="s">
        <v>39</v>
      </c>
      <c r="X491" s="43">
        <f>IFERROR(X488/H488,"0")+IFERROR(X489/H489,"0")+IFERROR(X490/H490,"0")</f>
        <v>3.7037037037037033</v>
      </c>
      <c r="Y491" s="43">
        <f>IFERROR(Y488/H488,"0")+IFERROR(Y489/H489,"0")+IFERROR(Y490/H490,"0")</f>
        <v>4</v>
      </c>
      <c r="Z491" s="43">
        <f>IFERROR(IF(Z488="",0,Z488),"0")+IFERROR(IF(Z489="",0,Z489),"0")+IFERROR(IF(Z490="",0,Z490),"0")</f>
        <v>3.6080000000000001E-2</v>
      </c>
      <c r="AA491" s="67"/>
      <c r="AB491" s="67"/>
      <c r="AC491" s="67"/>
    </row>
    <row r="492" spans="1:68" x14ac:dyDescent="0.2">
      <c r="A492" s="645"/>
      <c r="B492" s="645"/>
      <c r="C492" s="645"/>
      <c r="D492" s="645"/>
      <c r="E492" s="645"/>
      <c r="F492" s="645"/>
      <c r="G492" s="645"/>
      <c r="H492" s="645"/>
      <c r="I492" s="645"/>
      <c r="J492" s="645"/>
      <c r="K492" s="645"/>
      <c r="L492" s="645"/>
      <c r="M492" s="645"/>
      <c r="N492" s="645"/>
      <c r="O492" s="646"/>
      <c r="P492" s="642" t="s">
        <v>40</v>
      </c>
      <c r="Q492" s="643"/>
      <c r="R492" s="643"/>
      <c r="S492" s="643"/>
      <c r="T492" s="643"/>
      <c r="U492" s="643"/>
      <c r="V492" s="644"/>
      <c r="W492" s="42" t="s">
        <v>0</v>
      </c>
      <c r="X492" s="43">
        <f>IFERROR(SUM(X488:X490),"0")</f>
        <v>20</v>
      </c>
      <c r="Y492" s="43">
        <f>IFERROR(SUM(Y488:Y490),"0")</f>
        <v>21.6</v>
      </c>
      <c r="Z492" s="42"/>
      <c r="AA492" s="67"/>
      <c r="AB492" s="67"/>
      <c r="AC492" s="67"/>
    </row>
    <row r="493" spans="1:68" ht="27.75" hidden="1" customHeight="1" x14ac:dyDescent="0.2">
      <c r="A493" s="662" t="s">
        <v>799</v>
      </c>
      <c r="B493" s="662"/>
      <c r="C493" s="662"/>
      <c r="D493" s="662"/>
      <c r="E493" s="662"/>
      <c r="F493" s="662"/>
      <c r="G493" s="662"/>
      <c r="H493" s="662"/>
      <c r="I493" s="662"/>
      <c r="J493" s="662"/>
      <c r="K493" s="662"/>
      <c r="L493" s="662"/>
      <c r="M493" s="662"/>
      <c r="N493" s="662"/>
      <c r="O493" s="662"/>
      <c r="P493" s="662"/>
      <c r="Q493" s="662"/>
      <c r="R493" s="662"/>
      <c r="S493" s="662"/>
      <c r="T493" s="662"/>
      <c r="U493" s="662"/>
      <c r="V493" s="662"/>
      <c r="W493" s="662"/>
      <c r="X493" s="662"/>
      <c r="Y493" s="662"/>
      <c r="Z493" s="662"/>
      <c r="AA493" s="54"/>
      <c r="AB493" s="54"/>
      <c r="AC493" s="54"/>
    </row>
    <row r="494" spans="1:68" ht="16.5" hidden="1" customHeight="1" x14ac:dyDescent="0.25">
      <c r="A494" s="655" t="s">
        <v>799</v>
      </c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5"/>
      <c r="P494" s="655"/>
      <c r="Q494" s="655"/>
      <c r="R494" s="655"/>
      <c r="S494" s="655"/>
      <c r="T494" s="655"/>
      <c r="U494" s="655"/>
      <c r="V494" s="655"/>
      <c r="W494" s="655"/>
      <c r="X494" s="655"/>
      <c r="Y494" s="655"/>
      <c r="Z494" s="655"/>
      <c r="AA494" s="65"/>
      <c r="AB494" s="65"/>
      <c r="AC494" s="79"/>
    </row>
    <row r="495" spans="1:68" ht="14.25" hidden="1" customHeight="1" x14ac:dyDescent="0.25">
      <c r="A495" s="656" t="s">
        <v>128</v>
      </c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6"/>
      <c r="P495" s="656"/>
      <c r="Q495" s="656"/>
      <c r="R495" s="656"/>
      <c r="S495" s="656"/>
      <c r="T495" s="656"/>
      <c r="U495" s="656"/>
      <c r="V495" s="656"/>
      <c r="W495" s="656"/>
      <c r="X495" s="656"/>
      <c r="Y495" s="656"/>
      <c r="Z495" s="656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4301011769</v>
      </c>
      <c r="D496" s="651">
        <v>4607091389067</v>
      </c>
      <c r="E496" s="651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67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53"/>
      <c r="R496" s="653"/>
      <c r="S496" s="653"/>
      <c r="T496" s="654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651">
        <v>4680115889576</v>
      </c>
      <c r="E497" s="651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68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53"/>
      <c r="R497" s="653"/>
      <c r="S497" s="653"/>
      <c r="T497" s="654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805</v>
      </c>
      <c r="B498" s="63" t="s">
        <v>806</v>
      </c>
      <c r="C498" s="36">
        <v>4301011961</v>
      </c>
      <c r="D498" s="651">
        <v>4680115885271</v>
      </c>
      <c r="E498" s="65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53"/>
      <c r="R498" s="653"/>
      <c r="S498" s="653"/>
      <c r="T498" s="65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651">
        <v>4680115885226</v>
      </c>
      <c r="E499" s="65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53"/>
      <c r="R499" s="653"/>
      <c r="S499" s="653"/>
      <c r="T499" s="654"/>
      <c r="U499" s="39" t="s">
        <v>46</v>
      </c>
      <c r="V499" s="39" t="s">
        <v>46</v>
      </c>
      <c r="W499" s="40" t="s">
        <v>0</v>
      </c>
      <c r="X499" s="58">
        <v>90</v>
      </c>
      <c r="Y499" s="55">
        <f t="shared" si="62"/>
        <v>95.04</v>
      </c>
      <c r="Z499" s="41">
        <f t="shared" si="63"/>
        <v>0.21528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95.965909090909079</v>
      </c>
      <c r="BN499" s="78">
        <f t="shared" si="65"/>
        <v>101.33999999999999</v>
      </c>
      <c r="BO499" s="78">
        <f t="shared" si="66"/>
        <v>0.16389860139860138</v>
      </c>
      <c r="BP499" s="78">
        <f t="shared" si="67"/>
        <v>0.17307692307692307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651">
        <v>4680115884502</v>
      </c>
      <c r="E500" s="65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6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53"/>
      <c r="R500" s="653"/>
      <c r="S500" s="653"/>
      <c r="T500" s="65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814</v>
      </c>
      <c r="B501" s="63" t="s">
        <v>815</v>
      </c>
      <c r="C501" s="36">
        <v>4301011771</v>
      </c>
      <c r="D501" s="651">
        <v>4607091389104</v>
      </c>
      <c r="E501" s="65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6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53"/>
      <c r="R501" s="653"/>
      <c r="S501" s="653"/>
      <c r="T501" s="654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651">
        <v>4680115886391</v>
      </c>
      <c r="E502" s="651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6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53"/>
      <c r="R502" s="653"/>
      <c r="S502" s="653"/>
      <c r="T502" s="65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651">
        <v>4680115880603</v>
      </c>
      <c r="E503" s="651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6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53"/>
      <c r="R503" s="653"/>
      <c r="S503" s="653"/>
      <c r="T503" s="654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651">
        <v>4607091389982</v>
      </c>
      <c r="E504" s="651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6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53"/>
      <c r="R504" s="653"/>
      <c r="S504" s="653"/>
      <c r="T504" s="65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645"/>
      <c r="B505" s="645"/>
      <c r="C505" s="645"/>
      <c r="D505" s="645"/>
      <c r="E505" s="645"/>
      <c r="F505" s="645"/>
      <c r="G505" s="645"/>
      <c r="H505" s="645"/>
      <c r="I505" s="645"/>
      <c r="J505" s="645"/>
      <c r="K505" s="645"/>
      <c r="L505" s="645"/>
      <c r="M505" s="645"/>
      <c r="N505" s="645"/>
      <c r="O505" s="646"/>
      <c r="P505" s="642" t="s">
        <v>40</v>
      </c>
      <c r="Q505" s="643"/>
      <c r="R505" s="643"/>
      <c r="S505" s="643"/>
      <c r="T505" s="643"/>
      <c r="U505" s="643"/>
      <c r="V505" s="644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17.045454545454543</v>
      </c>
      <c r="Y505" s="43">
        <f>IFERROR(Y496/H496,"0")+IFERROR(Y497/H497,"0")+IFERROR(Y498/H498,"0")+IFERROR(Y499/H499,"0")+IFERROR(Y500/H500,"0")+IFERROR(Y501/H501,"0")+IFERROR(Y502/H502,"0")+IFERROR(Y503/H503,"0")+IFERROR(Y504/H504,"0")</f>
        <v>18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0.21528</v>
      </c>
      <c r="AA505" s="67"/>
      <c r="AB505" s="67"/>
      <c r="AC505" s="67"/>
    </row>
    <row r="506" spans="1:68" x14ac:dyDescent="0.2">
      <c r="A506" s="645"/>
      <c r="B506" s="645"/>
      <c r="C506" s="645"/>
      <c r="D506" s="645"/>
      <c r="E506" s="645"/>
      <c r="F506" s="645"/>
      <c r="G506" s="645"/>
      <c r="H506" s="645"/>
      <c r="I506" s="645"/>
      <c r="J506" s="645"/>
      <c r="K506" s="645"/>
      <c r="L506" s="645"/>
      <c r="M506" s="645"/>
      <c r="N506" s="645"/>
      <c r="O506" s="646"/>
      <c r="P506" s="642" t="s">
        <v>40</v>
      </c>
      <c r="Q506" s="643"/>
      <c r="R506" s="643"/>
      <c r="S506" s="643"/>
      <c r="T506" s="643"/>
      <c r="U506" s="643"/>
      <c r="V506" s="644"/>
      <c r="W506" s="42" t="s">
        <v>0</v>
      </c>
      <c r="X506" s="43">
        <f>IFERROR(SUM(X496:X504),"0")</f>
        <v>90</v>
      </c>
      <c r="Y506" s="43">
        <f>IFERROR(SUM(Y496:Y504),"0")</f>
        <v>95.04</v>
      </c>
      <c r="Z506" s="42"/>
      <c r="AA506" s="67"/>
      <c r="AB506" s="67"/>
      <c r="AC506" s="67"/>
    </row>
    <row r="507" spans="1:68" ht="14.25" hidden="1" customHeight="1" x14ac:dyDescent="0.25">
      <c r="A507" s="656" t="s">
        <v>164</v>
      </c>
      <c r="B507" s="656"/>
      <c r="C507" s="656"/>
      <c r="D507" s="656"/>
      <c r="E507" s="656"/>
      <c r="F507" s="656"/>
      <c r="G507" s="656"/>
      <c r="H507" s="656"/>
      <c r="I507" s="656"/>
      <c r="J507" s="656"/>
      <c r="K507" s="656"/>
      <c r="L507" s="656"/>
      <c r="M507" s="656"/>
      <c r="N507" s="656"/>
      <c r="O507" s="656"/>
      <c r="P507" s="656"/>
      <c r="Q507" s="656"/>
      <c r="R507" s="656"/>
      <c r="S507" s="656"/>
      <c r="T507" s="656"/>
      <c r="U507" s="656"/>
      <c r="V507" s="656"/>
      <c r="W507" s="656"/>
      <c r="X507" s="656"/>
      <c r="Y507" s="656"/>
      <c r="Z507" s="656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651">
        <v>4607091388930</v>
      </c>
      <c r="E508" s="651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67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53"/>
      <c r="R508" s="653"/>
      <c r="S508" s="653"/>
      <c r="T508" s="654"/>
      <c r="U508" s="39" t="s">
        <v>46</v>
      </c>
      <c r="V508" s="39" t="s">
        <v>46</v>
      </c>
      <c r="W508" s="40" t="s">
        <v>0</v>
      </c>
      <c r="X508" s="58">
        <v>120</v>
      </c>
      <c r="Y508" s="55">
        <f>IFERROR(IF(X508="",0,CEILING((X508/$H508),1)*$H508),"")</f>
        <v>121.44000000000001</v>
      </c>
      <c r="Z508" s="41">
        <f>IFERROR(IF(Y508=0,"",ROUNDUP(Y508/H508,0)*0.01196),"")</f>
        <v>0.27507999999999999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127.95454545454545</v>
      </c>
      <c r="BN508" s="78">
        <f>IFERROR(Y508*I508/H508,"0")</f>
        <v>129.49</v>
      </c>
      <c r="BO508" s="78">
        <f>IFERROR(1/J508*(X508/H508),"0")</f>
        <v>0.21853146853146854</v>
      </c>
      <c r="BP508" s="78">
        <f>IFERROR(1/J508*(Y508/H508),"0")</f>
        <v>0.22115384615384617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651">
        <v>4680115886407</v>
      </c>
      <c r="E509" s="651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67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53"/>
      <c r="R509" s="653"/>
      <c r="S509" s="653"/>
      <c r="T509" s="654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651">
        <v>4680115880054</v>
      </c>
      <c r="E510" s="651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67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53"/>
      <c r="R510" s="653"/>
      <c r="S510" s="653"/>
      <c r="T510" s="654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645"/>
      <c r="B511" s="645"/>
      <c r="C511" s="645"/>
      <c r="D511" s="645"/>
      <c r="E511" s="645"/>
      <c r="F511" s="645"/>
      <c r="G511" s="645"/>
      <c r="H511" s="645"/>
      <c r="I511" s="645"/>
      <c r="J511" s="645"/>
      <c r="K511" s="645"/>
      <c r="L511" s="645"/>
      <c r="M511" s="645"/>
      <c r="N511" s="645"/>
      <c r="O511" s="646"/>
      <c r="P511" s="642" t="s">
        <v>40</v>
      </c>
      <c r="Q511" s="643"/>
      <c r="R511" s="643"/>
      <c r="S511" s="643"/>
      <c r="T511" s="643"/>
      <c r="U511" s="643"/>
      <c r="V511" s="644"/>
      <c r="W511" s="42" t="s">
        <v>39</v>
      </c>
      <c r="X511" s="43">
        <f>IFERROR(X508/H508,"0")+IFERROR(X509/H509,"0")+IFERROR(X510/H510,"0")</f>
        <v>22.727272727272727</v>
      </c>
      <c r="Y511" s="43">
        <f>IFERROR(Y508/H508,"0")+IFERROR(Y509/H509,"0")+IFERROR(Y510/H510,"0")</f>
        <v>23</v>
      </c>
      <c r="Z511" s="43">
        <f>IFERROR(IF(Z508="",0,Z508),"0")+IFERROR(IF(Z509="",0,Z509),"0")+IFERROR(IF(Z510="",0,Z510),"0")</f>
        <v>0.27507999999999999</v>
      </c>
      <c r="AA511" s="67"/>
      <c r="AB511" s="67"/>
      <c r="AC511" s="67"/>
    </row>
    <row r="512" spans="1:68" x14ac:dyDescent="0.2">
      <c r="A512" s="645"/>
      <c r="B512" s="645"/>
      <c r="C512" s="645"/>
      <c r="D512" s="645"/>
      <c r="E512" s="645"/>
      <c r="F512" s="645"/>
      <c r="G512" s="645"/>
      <c r="H512" s="645"/>
      <c r="I512" s="645"/>
      <c r="J512" s="645"/>
      <c r="K512" s="645"/>
      <c r="L512" s="645"/>
      <c r="M512" s="645"/>
      <c r="N512" s="645"/>
      <c r="O512" s="646"/>
      <c r="P512" s="642" t="s">
        <v>40</v>
      </c>
      <c r="Q512" s="643"/>
      <c r="R512" s="643"/>
      <c r="S512" s="643"/>
      <c r="T512" s="643"/>
      <c r="U512" s="643"/>
      <c r="V512" s="644"/>
      <c r="W512" s="42" t="s">
        <v>0</v>
      </c>
      <c r="X512" s="43">
        <f>IFERROR(SUM(X508:X510),"0")</f>
        <v>120</v>
      </c>
      <c r="Y512" s="43">
        <f>IFERROR(SUM(Y508:Y510),"0")</f>
        <v>121.44000000000001</v>
      </c>
      <c r="Z512" s="42"/>
      <c r="AA512" s="67"/>
      <c r="AB512" s="67"/>
      <c r="AC512" s="67"/>
    </row>
    <row r="513" spans="1:68" ht="14.25" hidden="1" customHeight="1" x14ac:dyDescent="0.25">
      <c r="A513" s="656" t="s">
        <v>77</v>
      </c>
      <c r="B513" s="656"/>
      <c r="C513" s="656"/>
      <c r="D513" s="656"/>
      <c r="E513" s="656"/>
      <c r="F513" s="656"/>
      <c r="G513" s="656"/>
      <c r="H513" s="656"/>
      <c r="I513" s="656"/>
      <c r="J513" s="656"/>
      <c r="K513" s="656"/>
      <c r="L513" s="656"/>
      <c r="M513" s="656"/>
      <c r="N513" s="656"/>
      <c r="O513" s="656"/>
      <c r="P513" s="656"/>
      <c r="Q513" s="656"/>
      <c r="R513" s="656"/>
      <c r="S513" s="656"/>
      <c r="T513" s="656"/>
      <c r="U513" s="656"/>
      <c r="V513" s="656"/>
      <c r="W513" s="656"/>
      <c r="X513" s="656"/>
      <c r="Y513" s="656"/>
      <c r="Z513" s="656"/>
      <c r="AA513" s="66"/>
      <c r="AB513" s="66"/>
      <c r="AC513" s="80"/>
    </row>
    <row r="514" spans="1:68" ht="27" customHeight="1" x14ac:dyDescent="0.25">
      <c r="A514" s="63" t="s">
        <v>830</v>
      </c>
      <c r="B514" s="63" t="s">
        <v>831</v>
      </c>
      <c r="C514" s="36">
        <v>4301031349</v>
      </c>
      <c r="D514" s="651">
        <v>4680115883116</v>
      </c>
      <c r="E514" s="651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6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53"/>
      <c r="R514" s="653"/>
      <c r="S514" s="653"/>
      <c r="T514" s="654"/>
      <c r="U514" s="39" t="s">
        <v>46</v>
      </c>
      <c r="V514" s="39" t="s">
        <v>46</v>
      </c>
      <c r="W514" s="40" t="s">
        <v>0</v>
      </c>
      <c r="X514" s="58">
        <v>30</v>
      </c>
      <c r="Y514" s="55">
        <f t="shared" ref="Y514:Y520" si="68">IFERROR(IF(X514="",0,CEILING((X514/$H514),1)*$H514),"")</f>
        <v>31.68</v>
      </c>
      <c r="Z514" s="41">
        <f>IFERROR(IF(Y514=0,"",ROUNDUP(Y514/H514,0)*0.01196),"")</f>
        <v>7.1760000000000004E-2</v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31.988636363636363</v>
      </c>
      <c r="BN514" s="78">
        <f t="shared" ref="BN514:BN520" si="70">IFERROR(Y514*I514/H514,"0")</f>
        <v>33.779999999999994</v>
      </c>
      <c r="BO514" s="78">
        <f t="shared" ref="BO514:BO520" si="71">IFERROR(1/J514*(X514/H514),"0")</f>
        <v>5.4632867132867136E-2</v>
      </c>
      <c r="BP514" s="78">
        <f t="shared" ref="BP514:BP520" si="72">IFERROR(1/J514*(Y514/H514),"0")</f>
        <v>5.7692307692307696E-2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651">
        <v>4680115883093</v>
      </c>
      <c r="E515" s="651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53"/>
      <c r="R515" s="653"/>
      <c r="S515" s="653"/>
      <c r="T515" s="654"/>
      <c r="U515" s="39" t="s">
        <v>46</v>
      </c>
      <c r="V515" s="39" t="s">
        <v>46</v>
      </c>
      <c r="W515" s="40" t="s">
        <v>0</v>
      </c>
      <c r="X515" s="58">
        <v>40</v>
      </c>
      <c r="Y515" s="55">
        <f t="shared" si="68"/>
        <v>42.24</v>
      </c>
      <c r="Z515" s="41">
        <f>IFERROR(IF(Y515=0,"",ROUNDUP(Y515/H515,0)*0.01196),"")</f>
        <v>9.5680000000000001E-2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42.651515151515149</v>
      </c>
      <c r="BN515" s="78">
        <f t="shared" si="70"/>
        <v>45.04</v>
      </c>
      <c r="BO515" s="78">
        <f t="shared" si="71"/>
        <v>7.2843822843822847E-2</v>
      </c>
      <c r="BP515" s="78">
        <f t="shared" si="72"/>
        <v>7.6923076923076927E-2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651">
        <v>4680115883109</v>
      </c>
      <c r="E516" s="65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53"/>
      <c r="R516" s="653"/>
      <c r="S516" s="653"/>
      <c r="T516" s="654"/>
      <c r="U516" s="39" t="s">
        <v>46</v>
      </c>
      <c r="V516" s="39" t="s">
        <v>46</v>
      </c>
      <c r="W516" s="40" t="s">
        <v>0</v>
      </c>
      <c r="X516" s="58">
        <v>30</v>
      </c>
      <c r="Y516" s="55">
        <f t="shared" si="68"/>
        <v>31.68</v>
      </c>
      <c r="Z516" s="41">
        <f>IFERROR(IF(Y516=0,"",ROUNDUP(Y516/H516,0)*0.01196),"")</f>
        <v>7.1760000000000004E-2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31.988636363636363</v>
      </c>
      <c r="BN516" s="78">
        <f t="shared" si="70"/>
        <v>33.779999999999994</v>
      </c>
      <c r="BO516" s="78">
        <f t="shared" si="71"/>
        <v>5.4632867132867136E-2</v>
      </c>
      <c r="BP516" s="78">
        <f t="shared" si="72"/>
        <v>5.7692307692307696E-2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651">
        <v>4680115882072</v>
      </c>
      <c r="E517" s="651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66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53"/>
      <c r="R517" s="653"/>
      <c r="S517" s="653"/>
      <c r="T517" s="654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651">
        <v>4680115882102</v>
      </c>
      <c r="E518" s="651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66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53"/>
      <c r="R518" s="653"/>
      <c r="S518" s="653"/>
      <c r="T518" s="654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651">
        <v>4680115882102</v>
      </c>
      <c r="E519" s="651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66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53"/>
      <c r="R519" s="653"/>
      <c r="S519" s="653"/>
      <c r="T519" s="65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651">
        <v>4680115882096</v>
      </c>
      <c r="E520" s="651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53"/>
      <c r="R520" s="653"/>
      <c r="S520" s="653"/>
      <c r="T520" s="65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645"/>
      <c r="B521" s="645"/>
      <c r="C521" s="645"/>
      <c r="D521" s="645"/>
      <c r="E521" s="645"/>
      <c r="F521" s="645"/>
      <c r="G521" s="645"/>
      <c r="H521" s="645"/>
      <c r="I521" s="645"/>
      <c r="J521" s="645"/>
      <c r="K521" s="645"/>
      <c r="L521" s="645"/>
      <c r="M521" s="645"/>
      <c r="N521" s="645"/>
      <c r="O521" s="646"/>
      <c r="P521" s="642" t="s">
        <v>40</v>
      </c>
      <c r="Q521" s="643"/>
      <c r="R521" s="643"/>
      <c r="S521" s="643"/>
      <c r="T521" s="643"/>
      <c r="U521" s="643"/>
      <c r="V521" s="644"/>
      <c r="W521" s="42" t="s">
        <v>39</v>
      </c>
      <c r="X521" s="43">
        <f>IFERROR(X514/H514,"0")+IFERROR(X515/H515,"0")+IFERROR(X516/H516,"0")+IFERROR(X517/H517,"0")+IFERROR(X518/H518,"0")+IFERROR(X519/H519,"0")+IFERROR(X520/H520,"0")</f>
        <v>18.939393939393938</v>
      </c>
      <c r="Y521" s="43">
        <f>IFERROR(Y514/H514,"0")+IFERROR(Y515/H515,"0")+IFERROR(Y516/H516,"0")+IFERROR(Y517/H517,"0")+IFERROR(Y518/H518,"0")+IFERROR(Y519/H519,"0")+IFERROR(Y520/H520,"0")</f>
        <v>20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0.23920000000000002</v>
      </c>
      <c r="AA521" s="67"/>
      <c r="AB521" s="67"/>
      <c r="AC521" s="67"/>
    </row>
    <row r="522" spans="1:68" x14ac:dyDescent="0.2">
      <c r="A522" s="645"/>
      <c r="B522" s="645"/>
      <c r="C522" s="645"/>
      <c r="D522" s="645"/>
      <c r="E522" s="645"/>
      <c r="F522" s="645"/>
      <c r="G522" s="645"/>
      <c r="H522" s="645"/>
      <c r="I522" s="645"/>
      <c r="J522" s="645"/>
      <c r="K522" s="645"/>
      <c r="L522" s="645"/>
      <c r="M522" s="645"/>
      <c r="N522" s="645"/>
      <c r="O522" s="646"/>
      <c r="P522" s="642" t="s">
        <v>40</v>
      </c>
      <c r="Q522" s="643"/>
      <c r="R522" s="643"/>
      <c r="S522" s="643"/>
      <c r="T522" s="643"/>
      <c r="U522" s="643"/>
      <c r="V522" s="644"/>
      <c r="W522" s="42" t="s">
        <v>0</v>
      </c>
      <c r="X522" s="43">
        <f>IFERROR(SUM(X514:X520),"0")</f>
        <v>100</v>
      </c>
      <c r="Y522" s="43">
        <f>IFERROR(SUM(Y514:Y520),"0")</f>
        <v>105.6</v>
      </c>
      <c r="Z522" s="42"/>
      <c r="AA522" s="67"/>
      <c r="AB522" s="67"/>
      <c r="AC522" s="67"/>
    </row>
    <row r="523" spans="1:68" ht="27.75" hidden="1" customHeight="1" x14ac:dyDescent="0.2">
      <c r="A523" s="662" t="s">
        <v>846</v>
      </c>
      <c r="B523" s="662"/>
      <c r="C523" s="662"/>
      <c r="D523" s="662"/>
      <c r="E523" s="662"/>
      <c r="F523" s="662"/>
      <c r="G523" s="662"/>
      <c r="H523" s="662"/>
      <c r="I523" s="662"/>
      <c r="J523" s="662"/>
      <c r="K523" s="662"/>
      <c r="L523" s="662"/>
      <c r="M523" s="662"/>
      <c r="N523" s="662"/>
      <c r="O523" s="662"/>
      <c r="P523" s="662"/>
      <c r="Q523" s="662"/>
      <c r="R523" s="662"/>
      <c r="S523" s="662"/>
      <c r="T523" s="662"/>
      <c r="U523" s="662"/>
      <c r="V523" s="662"/>
      <c r="W523" s="662"/>
      <c r="X523" s="662"/>
      <c r="Y523" s="662"/>
      <c r="Z523" s="662"/>
      <c r="AA523" s="54"/>
      <c r="AB523" s="54"/>
      <c r="AC523" s="54"/>
    </row>
    <row r="524" spans="1:68" ht="16.5" hidden="1" customHeight="1" x14ac:dyDescent="0.25">
      <c r="A524" s="655" t="s">
        <v>846</v>
      </c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5"/>
      <c r="P524" s="655"/>
      <c r="Q524" s="655"/>
      <c r="R524" s="655"/>
      <c r="S524" s="655"/>
      <c r="T524" s="655"/>
      <c r="U524" s="655"/>
      <c r="V524" s="655"/>
      <c r="W524" s="655"/>
      <c r="X524" s="655"/>
      <c r="Y524" s="655"/>
      <c r="Z524" s="655"/>
      <c r="AA524" s="65"/>
      <c r="AB524" s="65"/>
      <c r="AC524" s="79"/>
    </row>
    <row r="525" spans="1:68" ht="14.25" hidden="1" customHeight="1" x14ac:dyDescent="0.25">
      <c r="A525" s="656" t="s">
        <v>128</v>
      </c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6"/>
      <c r="P525" s="656"/>
      <c r="Q525" s="656"/>
      <c r="R525" s="656"/>
      <c r="S525" s="656"/>
      <c r="T525" s="656"/>
      <c r="U525" s="656"/>
      <c r="V525" s="656"/>
      <c r="W525" s="656"/>
      <c r="X525" s="656"/>
      <c r="Y525" s="656"/>
      <c r="Z525" s="656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651">
        <v>4640242180564</v>
      </c>
      <c r="E526" s="651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66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53"/>
      <c r="R526" s="653"/>
      <c r="S526" s="653"/>
      <c r="T526" s="654"/>
      <c r="U526" s="39" t="s">
        <v>46</v>
      </c>
      <c r="V526" s="39" t="s">
        <v>46</v>
      </c>
      <c r="W526" s="40" t="s">
        <v>0</v>
      </c>
      <c r="X526" s="58">
        <v>100</v>
      </c>
      <c r="Y526" s="55">
        <f>IFERROR(IF(X526="",0,CEILING((X526/$H526),1)*$H526),"")</f>
        <v>108</v>
      </c>
      <c r="Z526" s="41">
        <f>IFERROR(IF(Y526=0,"",ROUNDUP(Y526/H526,0)*0.01898),"")</f>
        <v>0.17082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103.41666666666667</v>
      </c>
      <c r="BN526" s="78">
        <f>IFERROR(Y526*I526/H526,"0")</f>
        <v>111.69</v>
      </c>
      <c r="BO526" s="78">
        <f>IFERROR(1/J526*(X526/H526),"0")</f>
        <v>0.13020833333333334</v>
      </c>
      <c r="BP526" s="78">
        <f>IFERROR(1/J526*(Y526/H526),"0")</f>
        <v>0.140625</v>
      </c>
    </row>
    <row r="527" spans="1:68" x14ac:dyDescent="0.2">
      <c r="A527" s="645"/>
      <c r="B527" s="645"/>
      <c r="C527" s="645"/>
      <c r="D527" s="645"/>
      <c r="E527" s="645"/>
      <c r="F527" s="645"/>
      <c r="G527" s="645"/>
      <c r="H527" s="645"/>
      <c r="I527" s="645"/>
      <c r="J527" s="645"/>
      <c r="K527" s="645"/>
      <c r="L527" s="645"/>
      <c r="M527" s="645"/>
      <c r="N527" s="645"/>
      <c r="O527" s="646"/>
      <c r="P527" s="642" t="s">
        <v>40</v>
      </c>
      <c r="Q527" s="643"/>
      <c r="R527" s="643"/>
      <c r="S527" s="643"/>
      <c r="T527" s="643"/>
      <c r="U527" s="643"/>
      <c r="V527" s="644"/>
      <c r="W527" s="42" t="s">
        <v>39</v>
      </c>
      <c r="X527" s="43">
        <f>IFERROR(X526/H526,"0")</f>
        <v>8.3333333333333339</v>
      </c>
      <c r="Y527" s="43">
        <f>IFERROR(Y526/H526,"0")</f>
        <v>9</v>
      </c>
      <c r="Z527" s="43">
        <f>IFERROR(IF(Z526="",0,Z526),"0")</f>
        <v>0.17082</v>
      </c>
      <c r="AA527" s="67"/>
      <c r="AB527" s="67"/>
      <c r="AC527" s="67"/>
    </row>
    <row r="528" spans="1:68" x14ac:dyDescent="0.2">
      <c r="A528" s="645"/>
      <c r="B528" s="645"/>
      <c r="C528" s="645"/>
      <c r="D528" s="645"/>
      <c r="E528" s="645"/>
      <c r="F528" s="645"/>
      <c r="G528" s="645"/>
      <c r="H528" s="645"/>
      <c r="I528" s="645"/>
      <c r="J528" s="645"/>
      <c r="K528" s="645"/>
      <c r="L528" s="645"/>
      <c r="M528" s="645"/>
      <c r="N528" s="645"/>
      <c r="O528" s="646"/>
      <c r="P528" s="642" t="s">
        <v>40</v>
      </c>
      <c r="Q528" s="643"/>
      <c r="R528" s="643"/>
      <c r="S528" s="643"/>
      <c r="T528" s="643"/>
      <c r="U528" s="643"/>
      <c r="V528" s="644"/>
      <c r="W528" s="42" t="s">
        <v>0</v>
      </c>
      <c r="X528" s="43">
        <f>IFERROR(SUM(X526:X526),"0")</f>
        <v>100</v>
      </c>
      <c r="Y528" s="43">
        <f>IFERROR(SUM(Y526:Y526),"0")</f>
        <v>108</v>
      </c>
      <c r="Z528" s="42"/>
      <c r="AA528" s="67"/>
      <c r="AB528" s="67"/>
      <c r="AC528" s="67"/>
    </row>
    <row r="529" spans="1:68" ht="14.25" hidden="1" customHeight="1" x14ac:dyDescent="0.25">
      <c r="A529" s="656" t="s">
        <v>164</v>
      </c>
      <c r="B529" s="656"/>
      <c r="C529" s="656"/>
      <c r="D529" s="656"/>
      <c r="E529" s="656"/>
      <c r="F529" s="656"/>
      <c r="G529" s="656"/>
      <c r="H529" s="656"/>
      <c r="I529" s="656"/>
      <c r="J529" s="656"/>
      <c r="K529" s="656"/>
      <c r="L529" s="656"/>
      <c r="M529" s="656"/>
      <c r="N529" s="656"/>
      <c r="O529" s="656"/>
      <c r="P529" s="656"/>
      <c r="Q529" s="656"/>
      <c r="R529" s="656"/>
      <c r="S529" s="656"/>
      <c r="T529" s="656"/>
      <c r="U529" s="656"/>
      <c r="V529" s="656"/>
      <c r="W529" s="656"/>
      <c r="X529" s="656"/>
      <c r="Y529" s="656"/>
      <c r="Z529" s="656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651">
        <v>4640242180519</v>
      </c>
      <c r="E530" s="651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66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53"/>
      <c r="R530" s="653"/>
      <c r="S530" s="653"/>
      <c r="T530" s="654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645"/>
      <c r="B531" s="645"/>
      <c r="C531" s="645"/>
      <c r="D531" s="645"/>
      <c r="E531" s="645"/>
      <c r="F531" s="645"/>
      <c r="G531" s="645"/>
      <c r="H531" s="645"/>
      <c r="I531" s="645"/>
      <c r="J531" s="645"/>
      <c r="K531" s="645"/>
      <c r="L531" s="645"/>
      <c r="M531" s="645"/>
      <c r="N531" s="645"/>
      <c r="O531" s="646"/>
      <c r="P531" s="642" t="s">
        <v>40</v>
      </c>
      <c r="Q531" s="643"/>
      <c r="R531" s="643"/>
      <c r="S531" s="643"/>
      <c r="T531" s="643"/>
      <c r="U531" s="643"/>
      <c r="V531" s="644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645"/>
      <c r="B532" s="645"/>
      <c r="C532" s="645"/>
      <c r="D532" s="645"/>
      <c r="E532" s="645"/>
      <c r="F532" s="645"/>
      <c r="G532" s="645"/>
      <c r="H532" s="645"/>
      <c r="I532" s="645"/>
      <c r="J532" s="645"/>
      <c r="K532" s="645"/>
      <c r="L532" s="645"/>
      <c r="M532" s="645"/>
      <c r="N532" s="645"/>
      <c r="O532" s="646"/>
      <c r="P532" s="642" t="s">
        <v>40</v>
      </c>
      <c r="Q532" s="643"/>
      <c r="R532" s="643"/>
      <c r="S532" s="643"/>
      <c r="T532" s="643"/>
      <c r="U532" s="643"/>
      <c r="V532" s="644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656" t="s">
        <v>77</v>
      </c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6"/>
      <c r="P533" s="656"/>
      <c r="Q533" s="656"/>
      <c r="R533" s="656"/>
      <c r="S533" s="656"/>
      <c r="T533" s="656"/>
      <c r="U533" s="656"/>
      <c r="V533" s="656"/>
      <c r="W533" s="656"/>
      <c r="X533" s="656"/>
      <c r="Y533" s="656"/>
      <c r="Z533" s="656"/>
      <c r="AA533" s="66"/>
      <c r="AB533" s="66"/>
      <c r="AC533" s="80"/>
    </row>
    <row r="534" spans="1:68" ht="27" customHeight="1" x14ac:dyDescent="0.25">
      <c r="A534" s="63" t="s">
        <v>853</v>
      </c>
      <c r="B534" s="63" t="s">
        <v>854</v>
      </c>
      <c r="C534" s="36">
        <v>4301031500</v>
      </c>
      <c r="D534" s="651">
        <v>4640242180595</v>
      </c>
      <c r="E534" s="651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66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53"/>
      <c r="R534" s="653"/>
      <c r="S534" s="653"/>
      <c r="T534" s="654"/>
      <c r="U534" s="39" t="s">
        <v>46</v>
      </c>
      <c r="V534" s="39" t="s">
        <v>46</v>
      </c>
      <c r="W534" s="40" t="s">
        <v>0</v>
      </c>
      <c r="X534" s="58">
        <v>50</v>
      </c>
      <c r="Y534" s="55">
        <f>IFERROR(IF(X534="",0,CEILING((X534/$H534),1)*$H534),"")</f>
        <v>50.400000000000006</v>
      </c>
      <c r="Z534" s="41">
        <f>IFERROR(IF(Y534=0,"",ROUNDUP(Y534/H534,0)*0.00902),"")</f>
        <v>0.10824</v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52.976190476190474</v>
      </c>
      <c r="BN534" s="78">
        <f>IFERROR(Y534*I534/H534,"0")</f>
        <v>53.400000000000006</v>
      </c>
      <c r="BO534" s="78">
        <f>IFERROR(1/J534*(X534/H534),"0")</f>
        <v>9.0187590187590191E-2</v>
      </c>
      <c r="BP534" s="78">
        <f>IFERROR(1/J534*(Y534/H534),"0")</f>
        <v>9.0909090909090912E-2</v>
      </c>
    </row>
    <row r="535" spans="1:68" x14ac:dyDescent="0.2">
      <c r="A535" s="645"/>
      <c r="B535" s="645"/>
      <c r="C535" s="645"/>
      <c r="D535" s="645"/>
      <c r="E535" s="645"/>
      <c r="F535" s="645"/>
      <c r="G535" s="645"/>
      <c r="H535" s="645"/>
      <c r="I535" s="645"/>
      <c r="J535" s="645"/>
      <c r="K535" s="645"/>
      <c r="L535" s="645"/>
      <c r="M535" s="645"/>
      <c r="N535" s="645"/>
      <c r="O535" s="646"/>
      <c r="P535" s="642" t="s">
        <v>40</v>
      </c>
      <c r="Q535" s="643"/>
      <c r="R535" s="643"/>
      <c r="S535" s="643"/>
      <c r="T535" s="643"/>
      <c r="U535" s="643"/>
      <c r="V535" s="644"/>
      <c r="W535" s="42" t="s">
        <v>39</v>
      </c>
      <c r="X535" s="43">
        <f>IFERROR(X534/H534,"0")</f>
        <v>11.904761904761905</v>
      </c>
      <c r="Y535" s="43">
        <f>IFERROR(Y534/H534,"0")</f>
        <v>12</v>
      </c>
      <c r="Z535" s="43">
        <f>IFERROR(IF(Z534="",0,Z534),"0")</f>
        <v>0.10824</v>
      </c>
      <c r="AA535" s="67"/>
      <c r="AB535" s="67"/>
      <c r="AC535" s="67"/>
    </row>
    <row r="536" spans="1:68" x14ac:dyDescent="0.2">
      <c r="A536" s="645"/>
      <c r="B536" s="645"/>
      <c r="C536" s="645"/>
      <c r="D536" s="645"/>
      <c r="E536" s="645"/>
      <c r="F536" s="645"/>
      <c r="G536" s="645"/>
      <c r="H536" s="645"/>
      <c r="I536" s="645"/>
      <c r="J536" s="645"/>
      <c r="K536" s="645"/>
      <c r="L536" s="645"/>
      <c r="M536" s="645"/>
      <c r="N536" s="645"/>
      <c r="O536" s="646"/>
      <c r="P536" s="642" t="s">
        <v>40</v>
      </c>
      <c r="Q536" s="643"/>
      <c r="R536" s="643"/>
      <c r="S536" s="643"/>
      <c r="T536" s="643"/>
      <c r="U536" s="643"/>
      <c r="V536" s="644"/>
      <c r="W536" s="42" t="s">
        <v>0</v>
      </c>
      <c r="X536" s="43">
        <f>IFERROR(SUM(X534:X534),"0")</f>
        <v>50</v>
      </c>
      <c r="Y536" s="43">
        <f>IFERROR(SUM(Y534:Y534),"0")</f>
        <v>50.400000000000006</v>
      </c>
      <c r="Z536" s="42"/>
      <c r="AA536" s="67"/>
      <c r="AB536" s="67"/>
      <c r="AC536" s="67"/>
    </row>
    <row r="537" spans="1:68" ht="14.25" hidden="1" customHeight="1" x14ac:dyDescent="0.25">
      <c r="A537" s="656" t="s">
        <v>86</v>
      </c>
      <c r="B537" s="656"/>
      <c r="C537" s="656"/>
      <c r="D537" s="656"/>
      <c r="E537" s="656"/>
      <c r="F537" s="656"/>
      <c r="G537" s="656"/>
      <c r="H537" s="656"/>
      <c r="I537" s="656"/>
      <c r="J537" s="656"/>
      <c r="K537" s="656"/>
      <c r="L537" s="656"/>
      <c r="M537" s="656"/>
      <c r="N537" s="656"/>
      <c r="O537" s="656"/>
      <c r="P537" s="656"/>
      <c r="Q537" s="656"/>
      <c r="R537" s="656"/>
      <c r="S537" s="656"/>
      <c r="T537" s="656"/>
      <c r="U537" s="656"/>
      <c r="V537" s="656"/>
      <c r="W537" s="656"/>
      <c r="X537" s="656"/>
      <c r="Y537" s="656"/>
      <c r="Z537" s="656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651">
        <v>4640242180533</v>
      </c>
      <c r="E538" s="651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65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53"/>
      <c r="R538" s="653"/>
      <c r="S538" s="653"/>
      <c r="T538" s="654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45"/>
      <c r="B539" s="645"/>
      <c r="C539" s="645"/>
      <c r="D539" s="645"/>
      <c r="E539" s="645"/>
      <c r="F539" s="645"/>
      <c r="G539" s="645"/>
      <c r="H539" s="645"/>
      <c r="I539" s="645"/>
      <c r="J539" s="645"/>
      <c r="K539" s="645"/>
      <c r="L539" s="645"/>
      <c r="M539" s="645"/>
      <c r="N539" s="645"/>
      <c r="O539" s="646"/>
      <c r="P539" s="642" t="s">
        <v>40</v>
      </c>
      <c r="Q539" s="643"/>
      <c r="R539" s="643"/>
      <c r="S539" s="643"/>
      <c r="T539" s="643"/>
      <c r="U539" s="643"/>
      <c r="V539" s="644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645"/>
      <c r="B540" s="645"/>
      <c r="C540" s="645"/>
      <c r="D540" s="645"/>
      <c r="E540" s="645"/>
      <c r="F540" s="645"/>
      <c r="G540" s="645"/>
      <c r="H540" s="645"/>
      <c r="I540" s="645"/>
      <c r="J540" s="645"/>
      <c r="K540" s="645"/>
      <c r="L540" s="645"/>
      <c r="M540" s="645"/>
      <c r="N540" s="645"/>
      <c r="O540" s="646"/>
      <c r="P540" s="642" t="s">
        <v>40</v>
      </c>
      <c r="Q540" s="643"/>
      <c r="R540" s="643"/>
      <c r="S540" s="643"/>
      <c r="T540" s="643"/>
      <c r="U540" s="643"/>
      <c r="V540" s="644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656" t="s">
        <v>181</v>
      </c>
      <c r="B541" s="656"/>
      <c r="C541" s="656"/>
      <c r="D541" s="656"/>
      <c r="E541" s="656"/>
      <c r="F541" s="656"/>
      <c r="G541" s="656"/>
      <c r="H541" s="656"/>
      <c r="I541" s="656"/>
      <c r="J541" s="656"/>
      <c r="K541" s="656"/>
      <c r="L541" s="656"/>
      <c r="M541" s="656"/>
      <c r="N541" s="656"/>
      <c r="O541" s="656"/>
      <c r="P541" s="656"/>
      <c r="Q541" s="656"/>
      <c r="R541" s="656"/>
      <c r="S541" s="656"/>
      <c r="T541" s="656"/>
      <c r="U541" s="656"/>
      <c r="V541" s="656"/>
      <c r="W541" s="656"/>
      <c r="X541" s="656"/>
      <c r="Y541" s="656"/>
      <c r="Z541" s="656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651">
        <v>4640242180120</v>
      </c>
      <c r="E542" s="651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659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53"/>
      <c r="R542" s="653"/>
      <c r="S542" s="653"/>
      <c r="T542" s="654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651">
        <v>4640242180137</v>
      </c>
      <c r="E543" s="651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652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53"/>
      <c r="R543" s="653"/>
      <c r="S543" s="653"/>
      <c r="T543" s="654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45"/>
      <c r="B544" s="645"/>
      <c r="C544" s="645"/>
      <c r="D544" s="645"/>
      <c r="E544" s="645"/>
      <c r="F544" s="645"/>
      <c r="G544" s="645"/>
      <c r="H544" s="645"/>
      <c r="I544" s="645"/>
      <c r="J544" s="645"/>
      <c r="K544" s="645"/>
      <c r="L544" s="645"/>
      <c r="M544" s="645"/>
      <c r="N544" s="645"/>
      <c r="O544" s="646"/>
      <c r="P544" s="642" t="s">
        <v>40</v>
      </c>
      <c r="Q544" s="643"/>
      <c r="R544" s="643"/>
      <c r="S544" s="643"/>
      <c r="T544" s="643"/>
      <c r="U544" s="643"/>
      <c r="V544" s="644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645"/>
      <c r="B545" s="645"/>
      <c r="C545" s="645"/>
      <c r="D545" s="645"/>
      <c r="E545" s="645"/>
      <c r="F545" s="645"/>
      <c r="G545" s="645"/>
      <c r="H545" s="645"/>
      <c r="I545" s="645"/>
      <c r="J545" s="645"/>
      <c r="K545" s="645"/>
      <c r="L545" s="645"/>
      <c r="M545" s="645"/>
      <c r="N545" s="645"/>
      <c r="O545" s="646"/>
      <c r="P545" s="642" t="s">
        <v>40</v>
      </c>
      <c r="Q545" s="643"/>
      <c r="R545" s="643"/>
      <c r="S545" s="643"/>
      <c r="T545" s="643"/>
      <c r="U545" s="643"/>
      <c r="V545" s="644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655" t="s">
        <v>865</v>
      </c>
      <c r="B546" s="655"/>
      <c r="C546" s="655"/>
      <c r="D546" s="655"/>
      <c r="E546" s="655"/>
      <c r="F546" s="655"/>
      <c r="G546" s="655"/>
      <c r="H546" s="655"/>
      <c r="I546" s="655"/>
      <c r="J546" s="655"/>
      <c r="K546" s="655"/>
      <c r="L546" s="655"/>
      <c r="M546" s="655"/>
      <c r="N546" s="655"/>
      <c r="O546" s="655"/>
      <c r="P546" s="655"/>
      <c r="Q546" s="655"/>
      <c r="R546" s="655"/>
      <c r="S546" s="655"/>
      <c r="T546" s="655"/>
      <c r="U546" s="655"/>
      <c r="V546" s="655"/>
      <c r="W546" s="655"/>
      <c r="X546" s="655"/>
      <c r="Y546" s="655"/>
      <c r="Z546" s="655"/>
      <c r="AA546" s="65"/>
      <c r="AB546" s="65"/>
      <c r="AC546" s="79"/>
    </row>
    <row r="547" spans="1:68" ht="14.25" hidden="1" customHeight="1" x14ac:dyDescent="0.25">
      <c r="A547" s="656" t="s">
        <v>164</v>
      </c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6"/>
      <c r="P547" s="656"/>
      <c r="Q547" s="656"/>
      <c r="R547" s="656"/>
      <c r="S547" s="656"/>
      <c r="T547" s="656"/>
      <c r="U547" s="656"/>
      <c r="V547" s="656"/>
      <c r="W547" s="656"/>
      <c r="X547" s="656"/>
      <c r="Y547" s="656"/>
      <c r="Z547" s="656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651">
        <v>4640242180090</v>
      </c>
      <c r="E548" s="651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657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53"/>
      <c r="R548" s="653"/>
      <c r="S548" s="653"/>
      <c r="T548" s="654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5"/>
      <c r="B549" s="645"/>
      <c r="C549" s="645"/>
      <c r="D549" s="645"/>
      <c r="E549" s="645"/>
      <c r="F549" s="645"/>
      <c r="G549" s="645"/>
      <c r="H549" s="645"/>
      <c r="I549" s="645"/>
      <c r="J549" s="645"/>
      <c r="K549" s="645"/>
      <c r="L549" s="645"/>
      <c r="M549" s="645"/>
      <c r="N549" s="645"/>
      <c r="O549" s="646"/>
      <c r="P549" s="642" t="s">
        <v>40</v>
      </c>
      <c r="Q549" s="643"/>
      <c r="R549" s="643"/>
      <c r="S549" s="643"/>
      <c r="T549" s="643"/>
      <c r="U549" s="643"/>
      <c r="V549" s="64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5"/>
      <c r="B550" s="645"/>
      <c r="C550" s="645"/>
      <c r="D550" s="645"/>
      <c r="E550" s="645"/>
      <c r="F550" s="645"/>
      <c r="G550" s="645"/>
      <c r="H550" s="645"/>
      <c r="I550" s="645"/>
      <c r="J550" s="645"/>
      <c r="K550" s="645"/>
      <c r="L550" s="645"/>
      <c r="M550" s="645"/>
      <c r="N550" s="645"/>
      <c r="O550" s="646"/>
      <c r="P550" s="642" t="s">
        <v>40</v>
      </c>
      <c r="Q550" s="643"/>
      <c r="R550" s="643"/>
      <c r="S550" s="643"/>
      <c r="T550" s="643"/>
      <c r="U550" s="643"/>
      <c r="V550" s="64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645"/>
      <c r="B551" s="645"/>
      <c r="C551" s="645"/>
      <c r="D551" s="645"/>
      <c r="E551" s="645"/>
      <c r="F551" s="645"/>
      <c r="G551" s="645"/>
      <c r="H551" s="645"/>
      <c r="I551" s="645"/>
      <c r="J551" s="645"/>
      <c r="K551" s="645"/>
      <c r="L551" s="645"/>
      <c r="M551" s="645"/>
      <c r="N551" s="645"/>
      <c r="O551" s="650"/>
      <c r="P551" s="647" t="s">
        <v>33</v>
      </c>
      <c r="Q551" s="648"/>
      <c r="R551" s="648"/>
      <c r="S551" s="648"/>
      <c r="T551" s="648"/>
      <c r="U551" s="648"/>
      <c r="V551" s="649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11100.36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11182.340000000002</v>
      </c>
      <c r="Z551" s="42"/>
      <c r="AA551" s="67"/>
      <c r="AB551" s="67"/>
      <c r="AC551" s="67"/>
    </row>
    <row r="552" spans="1:68" x14ac:dyDescent="0.2">
      <c r="A552" s="645"/>
      <c r="B552" s="645"/>
      <c r="C552" s="645"/>
      <c r="D552" s="645"/>
      <c r="E552" s="645"/>
      <c r="F552" s="645"/>
      <c r="G552" s="645"/>
      <c r="H552" s="645"/>
      <c r="I552" s="645"/>
      <c r="J552" s="645"/>
      <c r="K552" s="645"/>
      <c r="L552" s="645"/>
      <c r="M552" s="645"/>
      <c r="N552" s="645"/>
      <c r="O552" s="650"/>
      <c r="P552" s="647" t="s">
        <v>34</v>
      </c>
      <c r="Q552" s="648"/>
      <c r="R552" s="648"/>
      <c r="S552" s="648"/>
      <c r="T552" s="648"/>
      <c r="U552" s="648"/>
      <c r="V552" s="649"/>
      <c r="W552" s="42" t="s">
        <v>0</v>
      </c>
      <c r="X552" s="43">
        <f>IFERROR(SUM(BM22:BM548),"0")</f>
        <v>11650.772746426415</v>
      </c>
      <c r="Y552" s="43">
        <f>IFERROR(SUM(BN22:BN548),"0")</f>
        <v>11736.624000000002</v>
      </c>
      <c r="Z552" s="42"/>
      <c r="AA552" s="67"/>
      <c r="AB552" s="67"/>
      <c r="AC552" s="67"/>
    </row>
    <row r="553" spans="1:68" x14ac:dyDescent="0.2">
      <c r="A553" s="645"/>
      <c r="B553" s="645"/>
      <c r="C553" s="645"/>
      <c r="D553" s="645"/>
      <c r="E553" s="645"/>
      <c r="F553" s="645"/>
      <c r="G553" s="645"/>
      <c r="H553" s="645"/>
      <c r="I553" s="645"/>
      <c r="J553" s="645"/>
      <c r="K553" s="645"/>
      <c r="L553" s="645"/>
      <c r="M553" s="645"/>
      <c r="N553" s="645"/>
      <c r="O553" s="650"/>
      <c r="P553" s="647" t="s">
        <v>35</v>
      </c>
      <c r="Q553" s="648"/>
      <c r="R553" s="648"/>
      <c r="S553" s="648"/>
      <c r="T553" s="648"/>
      <c r="U553" s="648"/>
      <c r="V553" s="649"/>
      <c r="W553" s="42" t="s">
        <v>20</v>
      </c>
      <c r="X553" s="44">
        <f>ROUNDUP(SUM(BO22:BO548),0)</f>
        <v>20</v>
      </c>
      <c r="Y553" s="44">
        <f>ROUNDUP(SUM(BP22:BP548),0)</f>
        <v>20</v>
      </c>
      <c r="Z553" s="42"/>
      <c r="AA553" s="67"/>
      <c r="AB553" s="67"/>
      <c r="AC553" s="67"/>
    </row>
    <row r="554" spans="1:68" x14ac:dyDescent="0.2">
      <c r="A554" s="645"/>
      <c r="B554" s="645"/>
      <c r="C554" s="645"/>
      <c r="D554" s="645"/>
      <c r="E554" s="645"/>
      <c r="F554" s="645"/>
      <c r="G554" s="645"/>
      <c r="H554" s="645"/>
      <c r="I554" s="645"/>
      <c r="J554" s="645"/>
      <c r="K554" s="645"/>
      <c r="L554" s="645"/>
      <c r="M554" s="645"/>
      <c r="N554" s="645"/>
      <c r="O554" s="650"/>
      <c r="P554" s="647" t="s">
        <v>36</v>
      </c>
      <c r="Q554" s="648"/>
      <c r="R554" s="648"/>
      <c r="S554" s="648"/>
      <c r="T554" s="648"/>
      <c r="U554" s="648"/>
      <c r="V554" s="649"/>
      <c r="W554" s="42" t="s">
        <v>0</v>
      </c>
      <c r="X554" s="43">
        <f>GrossWeightTotal+PalletQtyTotal*25</f>
        <v>12150.772746426415</v>
      </c>
      <c r="Y554" s="43">
        <f>GrossWeightTotalR+PalletQtyTotalR*25</f>
        <v>12236.624000000002</v>
      </c>
      <c r="Z554" s="42"/>
      <c r="AA554" s="67"/>
      <c r="AB554" s="67"/>
      <c r="AC554" s="67"/>
    </row>
    <row r="555" spans="1:68" x14ac:dyDescent="0.2">
      <c r="A555" s="645"/>
      <c r="B555" s="645"/>
      <c r="C555" s="645"/>
      <c r="D555" s="645"/>
      <c r="E555" s="645"/>
      <c r="F555" s="645"/>
      <c r="G555" s="645"/>
      <c r="H555" s="645"/>
      <c r="I555" s="645"/>
      <c r="J555" s="645"/>
      <c r="K555" s="645"/>
      <c r="L555" s="645"/>
      <c r="M555" s="645"/>
      <c r="N555" s="645"/>
      <c r="O555" s="650"/>
      <c r="P555" s="647" t="s">
        <v>37</v>
      </c>
      <c r="Q555" s="648"/>
      <c r="R555" s="648"/>
      <c r="S555" s="648"/>
      <c r="T555" s="648"/>
      <c r="U555" s="648"/>
      <c r="V555" s="649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1276.7579765913099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1287</v>
      </c>
      <c r="Z555" s="42"/>
      <c r="AA555" s="67"/>
      <c r="AB555" s="67"/>
      <c r="AC555" s="67"/>
    </row>
    <row r="556" spans="1:68" ht="14.25" hidden="1" x14ac:dyDescent="0.2">
      <c r="A556" s="645"/>
      <c r="B556" s="645"/>
      <c r="C556" s="645"/>
      <c r="D556" s="645"/>
      <c r="E556" s="645"/>
      <c r="F556" s="645"/>
      <c r="G556" s="645"/>
      <c r="H556" s="645"/>
      <c r="I556" s="645"/>
      <c r="J556" s="645"/>
      <c r="K556" s="645"/>
      <c r="L556" s="645"/>
      <c r="M556" s="645"/>
      <c r="N556" s="645"/>
      <c r="O556" s="650"/>
      <c r="P556" s="647" t="s">
        <v>38</v>
      </c>
      <c r="Q556" s="648"/>
      <c r="R556" s="648"/>
      <c r="S556" s="648"/>
      <c r="T556" s="648"/>
      <c r="U556" s="648"/>
      <c r="V556" s="649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22.531639999999992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638" t="s">
        <v>126</v>
      </c>
      <c r="E558" s="638" t="s">
        <v>126</v>
      </c>
      <c r="F558" s="638" t="s">
        <v>126</v>
      </c>
      <c r="G558" s="638" t="s">
        <v>126</v>
      </c>
      <c r="H558" s="638" t="s">
        <v>126</v>
      </c>
      <c r="I558" s="638" t="s">
        <v>126</v>
      </c>
      <c r="J558" s="638" t="s">
        <v>126</v>
      </c>
      <c r="K558" s="638" t="s">
        <v>358</v>
      </c>
      <c r="L558" s="638" t="s">
        <v>358</v>
      </c>
      <c r="M558" s="638" t="s">
        <v>358</v>
      </c>
      <c r="N558" s="639"/>
      <c r="O558" s="638" t="s">
        <v>358</v>
      </c>
      <c r="P558" s="638" t="s">
        <v>358</v>
      </c>
      <c r="Q558" s="638" t="s">
        <v>358</v>
      </c>
      <c r="R558" s="638" t="s">
        <v>358</v>
      </c>
      <c r="S558" s="638" t="s">
        <v>358</v>
      </c>
      <c r="T558" s="638" t="s">
        <v>358</v>
      </c>
      <c r="U558" s="638" t="s">
        <v>358</v>
      </c>
      <c r="V558" s="638" t="s">
        <v>697</v>
      </c>
      <c r="W558" s="638" t="s">
        <v>697</v>
      </c>
      <c r="X558" s="638" t="s">
        <v>763</v>
      </c>
      <c r="Y558" s="638" t="s">
        <v>763</v>
      </c>
      <c r="Z558" s="85" t="s">
        <v>799</v>
      </c>
      <c r="AA558" s="638" t="s">
        <v>846</v>
      </c>
      <c r="AB558" s="638" t="s">
        <v>846</v>
      </c>
      <c r="AC558" s="60"/>
      <c r="AF558" s="1"/>
    </row>
    <row r="559" spans="1:68" ht="14.25" customHeight="1" thickTop="1" x14ac:dyDescent="0.2">
      <c r="A559" s="640" t="s">
        <v>10</v>
      </c>
      <c r="B559" s="638" t="s">
        <v>76</v>
      </c>
      <c r="C559" s="638" t="s">
        <v>110</v>
      </c>
      <c r="D559" s="638" t="s">
        <v>127</v>
      </c>
      <c r="E559" s="638" t="s">
        <v>143</v>
      </c>
      <c r="F559" s="638" t="s">
        <v>188</v>
      </c>
      <c r="G559" s="638" t="s">
        <v>209</v>
      </c>
      <c r="H559" s="638" t="s">
        <v>248</v>
      </c>
      <c r="I559" s="638" t="s">
        <v>276</v>
      </c>
      <c r="J559" s="638" t="s">
        <v>126</v>
      </c>
      <c r="K559" s="638" t="s">
        <v>359</v>
      </c>
      <c r="L559" s="638" t="s">
        <v>380</v>
      </c>
      <c r="M559" s="638" t="s">
        <v>447</v>
      </c>
      <c r="N559" s="1"/>
      <c r="O559" s="638" t="s">
        <v>515</v>
      </c>
      <c r="P559" s="638" t="s">
        <v>548</v>
      </c>
      <c r="Q559" s="638" t="s">
        <v>564</v>
      </c>
      <c r="R559" s="638" t="s">
        <v>573</v>
      </c>
      <c r="S559" s="638" t="s">
        <v>594</v>
      </c>
      <c r="T559" s="638" t="s">
        <v>603</v>
      </c>
      <c r="U559" s="638" t="s">
        <v>687</v>
      </c>
      <c r="V559" s="638" t="s">
        <v>698</v>
      </c>
      <c r="W559" s="638" t="s">
        <v>747</v>
      </c>
      <c r="X559" s="638" t="s">
        <v>764</v>
      </c>
      <c r="Y559" s="638" t="s">
        <v>787</v>
      </c>
      <c r="Z559" s="638" t="s">
        <v>799</v>
      </c>
      <c r="AA559" s="638" t="s">
        <v>846</v>
      </c>
      <c r="AB559" s="638" t="s">
        <v>865</v>
      </c>
      <c r="AC559" s="60"/>
      <c r="AF559" s="1"/>
    </row>
    <row r="560" spans="1:68" ht="13.5" thickBot="1" x14ac:dyDescent="0.25">
      <c r="A560" s="641"/>
      <c r="B560" s="638"/>
      <c r="C560" s="638"/>
      <c r="D560" s="638"/>
      <c r="E560" s="638"/>
      <c r="F560" s="638"/>
      <c r="G560" s="638"/>
      <c r="H560" s="638"/>
      <c r="I560" s="638"/>
      <c r="J560" s="638"/>
      <c r="K560" s="638"/>
      <c r="L560" s="638"/>
      <c r="M560" s="638"/>
      <c r="N560" s="1"/>
      <c r="O560" s="638"/>
      <c r="P560" s="638"/>
      <c r="Q560" s="638"/>
      <c r="R560" s="638"/>
      <c r="S560" s="638"/>
      <c r="T560" s="638"/>
      <c r="U560" s="638"/>
      <c r="V560" s="638"/>
      <c r="W560" s="638"/>
      <c r="X560" s="638"/>
      <c r="Y560" s="638"/>
      <c r="Z560" s="638"/>
      <c r="AA560" s="638"/>
      <c r="AB560" s="638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98.4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419.40000000000003</v>
      </c>
      <c r="F561" s="52">
        <f>IFERROR(Y88*1,"0")+IFERROR(Y89*1,"0")+IFERROR(Y90*1,"0")+IFERROR(Y91*1,"0")+IFERROR(Y95*1,"0")+IFERROR(Y96*1,"0")+IFERROR(Y97*1,"0")+IFERROR(Y98*1,"0")</f>
        <v>3.96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56.699999999999996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8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100.80000000000001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75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6160.7999999999993</v>
      </c>
      <c r="U561" s="52">
        <f>IFERROR(Y415*1,"0")+IFERROR(Y416*1,"0")+IFERROR(Y417*1,"0")</f>
        <v>12.600000000000001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3570</v>
      </c>
      <c r="W561" s="52">
        <f>IFERROR(Y452*1,"0")+IFERROR(Y453*1,"0")+IFERROR(Y457*1,"0")+IFERROR(Y461*1,"0")+IFERROR(Y462*1,"0")+IFERROR(Y463*1,"0")</f>
        <v>153</v>
      </c>
      <c r="X561" s="52">
        <f>IFERROR(Y469*1,"0")+IFERROR(Y470*1,"0")+IFERROR(Y471*1,"0")+IFERROR(Y472*1,"0")+IFERROR(Y473*1,"0")+IFERROR(Y474*1,"0")+IFERROR(Y478*1,"0")+IFERROR(Y479*1,"0")</f>
        <v>21.6</v>
      </c>
      <c r="Y561" s="52">
        <f>IFERROR(Y484*1,"0")+IFERROR(Y488*1,"0")+IFERROR(Y489*1,"0")+IFERROR(Y490*1,"0")</f>
        <v>21.6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322.08000000000004</v>
      </c>
      <c r="AA561" s="52">
        <f>IFERROR(Y526*1,"0")+IFERROR(Y530*1,"0")+IFERROR(Y534*1,"0")+IFERROR(Y538*1,"0")+IFERROR(Y542*1,"0")+IFERROR(Y543*1,"0")</f>
        <v>158.4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76,76"/>
        <filter val="1 560,00"/>
        <filter val="10,41"/>
        <filter val="100,00"/>
        <filter val="104,00"/>
        <filter val="11 100,36"/>
        <filter val="11 650,77"/>
        <filter val="11,90"/>
        <filter val="12 150,77"/>
        <filter val="12,00"/>
        <filter val="12,60"/>
        <filter val="12,96"/>
        <filter val="120,00"/>
        <filter val="133,33"/>
        <filter val="135,71"/>
        <filter val="150,00"/>
        <filter val="16,67"/>
        <filter val="17,05"/>
        <filter val="18,94"/>
        <filter val="2 000,00"/>
        <filter val="2,00"/>
        <filter val="20"/>
        <filter val="20,00"/>
        <filter val="210,00"/>
        <filter val="22,73"/>
        <filter val="23,81"/>
        <filter val="3,70"/>
        <filter val="3,96"/>
        <filter val="30,00"/>
        <filter val="32,41"/>
        <filter val="350,00"/>
        <filter val="4,80"/>
        <filter val="40,00"/>
        <filter val="46,30"/>
        <filter val="5 000,00"/>
        <filter val="50,00"/>
        <filter val="500,00"/>
        <filter val="570,00"/>
        <filter val="59,00"/>
        <filter val="6,00"/>
        <filter val="6,17"/>
        <filter val="6,63"/>
        <filter val="641,03"/>
        <filter val="70,00"/>
        <filter val="8,00"/>
        <filter val="8,33"/>
        <filter val="8,97"/>
        <filter val="80,00"/>
        <filter val="9,00"/>
        <filter val="90,00"/>
        <filter val="92,00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2026-08-04T08:55:02Z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