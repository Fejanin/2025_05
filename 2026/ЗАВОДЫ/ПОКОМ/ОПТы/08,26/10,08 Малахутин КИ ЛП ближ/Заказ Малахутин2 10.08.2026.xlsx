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B6106C8-80E6-450C-8294-C43ADA663D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5" i="1" l="1"/>
  <c r="X554" i="1"/>
  <c r="Y553" i="1"/>
  <c r="X553" i="1"/>
  <c r="BP552" i="1"/>
  <c r="BO552" i="1"/>
  <c r="BN552" i="1"/>
  <c r="BM552" i="1"/>
  <c r="Z552" i="1"/>
  <c r="Z553" i="1" s="1"/>
  <c r="Y552" i="1"/>
  <c r="AC565" i="1" s="1"/>
  <c r="P552" i="1"/>
  <c r="X549" i="1"/>
  <c r="Y548" i="1"/>
  <c r="X548" i="1"/>
  <c r="BP547" i="1"/>
  <c r="BO547" i="1"/>
  <c r="BN547" i="1"/>
  <c r="BM547" i="1"/>
  <c r="Z547" i="1"/>
  <c r="Y547" i="1"/>
  <c r="P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2" i="1"/>
  <c r="X531" i="1"/>
  <c r="BO530" i="1"/>
  <c r="BM530" i="1"/>
  <c r="Y530" i="1"/>
  <c r="P530" i="1"/>
  <c r="X526" i="1"/>
  <c r="X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X459" i="1"/>
  <c r="X458" i="1"/>
  <c r="BO457" i="1"/>
  <c r="BM457" i="1"/>
  <c r="Y457" i="1"/>
  <c r="P457" i="1"/>
  <c r="BP456" i="1"/>
  <c r="BO456" i="1"/>
  <c r="BN456" i="1"/>
  <c r="BM456" i="1"/>
  <c r="Z456" i="1"/>
  <c r="Y456" i="1"/>
  <c r="P456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BP419" i="1"/>
  <c r="BO419" i="1"/>
  <c r="BN419" i="1"/>
  <c r="BM419" i="1"/>
  <c r="Z419" i="1"/>
  <c r="Y419" i="1"/>
  <c r="P419" i="1"/>
  <c r="X416" i="1"/>
  <c r="Y415" i="1"/>
  <c r="X415" i="1"/>
  <c r="BP414" i="1"/>
  <c r="BO414" i="1"/>
  <c r="BN414" i="1"/>
  <c r="BM414" i="1"/>
  <c r="Z414" i="1"/>
  <c r="Y414" i="1"/>
  <c r="BP413" i="1"/>
  <c r="BO413" i="1"/>
  <c r="BN413" i="1"/>
  <c r="BM413" i="1"/>
  <c r="Z413" i="1"/>
  <c r="Z415" i="1" s="1"/>
  <c r="Y413" i="1"/>
  <c r="U565" i="1" s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Y397" i="1" s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Y350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X260" i="1"/>
  <c r="Y259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J565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I565" i="1" s="1"/>
  <c r="P149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Y139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G565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F565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5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5" i="1" s="1"/>
  <c r="X24" i="1"/>
  <c r="X559" i="1" s="1"/>
  <c r="BP23" i="1"/>
  <c r="BO23" i="1"/>
  <c r="BN23" i="1"/>
  <c r="BM23" i="1"/>
  <c r="Z23" i="1"/>
  <c r="Y23" i="1"/>
  <c r="P23" i="1"/>
  <c r="BO22" i="1"/>
  <c r="X557" i="1" s="1"/>
  <c r="BM22" i="1"/>
  <c r="X556" i="1" s="1"/>
  <c r="X558" i="1" s="1"/>
  <c r="Y22" i="1"/>
  <c r="B565" i="1" s="1"/>
  <c r="P22" i="1"/>
  <c r="H10" i="1"/>
  <c r="A9" i="1"/>
  <c r="F10" i="1" s="1"/>
  <c r="D7" i="1"/>
  <c r="Q6" i="1"/>
  <c r="P2" i="1"/>
  <c r="Z264" i="1" l="1"/>
  <c r="Z132" i="1"/>
  <c r="H9" i="1"/>
  <c r="A10" i="1"/>
  <c r="Y24" i="1"/>
  <c r="Y32" i="1"/>
  <c r="Y42" i="1"/>
  <c r="Y52" i="1"/>
  <c r="Y63" i="1"/>
  <c r="Y71" i="1"/>
  <c r="Y75" i="1"/>
  <c r="Y81" i="1"/>
  <c r="Y88" i="1"/>
  <c r="Y96" i="1"/>
  <c r="Y107" i="1"/>
  <c r="Y115" i="1"/>
  <c r="Y121" i="1"/>
  <c r="Y132" i="1"/>
  <c r="Y140" i="1"/>
  <c r="Y146" i="1"/>
  <c r="Y157" i="1"/>
  <c r="Y161" i="1"/>
  <c r="Y168" i="1"/>
  <c r="Y173" i="1"/>
  <c r="Y186" i="1"/>
  <c r="BP175" i="1"/>
  <c r="BN175" i="1"/>
  <c r="Z175" i="1"/>
  <c r="BP179" i="1"/>
  <c r="BN179" i="1"/>
  <c r="Z179" i="1"/>
  <c r="BP183" i="1"/>
  <c r="BN183" i="1"/>
  <c r="Z183" i="1"/>
  <c r="BP191" i="1"/>
  <c r="BN191" i="1"/>
  <c r="Z191" i="1"/>
  <c r="Y193" i="1"/>
  <c r="Y198" i="1"/>
  <c r="BP195" i="1"/>
  <c r="BN195" i="1"/>
  <c r="Z195" i="1"/>
  <c r="Z197" i="1" s="1"/>
  <c r="BP209" i="1"/>
  <c r="BN209" i="1"/>
  <c r="Z209" i="1"/>
  <c r="Y213" i="1"/>
  <c r="BP222" i="1"/>
  <c r="BN222" i="1"/>
  <c r="Z222" i="1"/>
  <c r="Z235" i="1" s="1"/>
  <c r="BP226" i="1"/>
  <c r="BN226" i="1"/>
  <c r="Z226" i="1"/>
  <c r="BP230" i="1"/>
  <c r="BN230" i="1"/>
  <c r="Z230" i="1"/>
  <c r="BP234" i="1"/>
  <c r="BN234" i="1"/>
  <c r="Z234" i="1"/>
  <c r="Y236" i="1"/>
  <c r="Y243" i="1"/>
  <c r="BP238" i="1"/>
  <c r="BN238" i="1"/>
  <c r="Z238" i="1"/>
  <c r="Z243" i="1" s="1"/>
  <c r="BP242" i="1"/>
  <c r="BN242" i="1"/>
  <c r="Z242" i="1"/>
  <c r="Y244" i="1"/>
  <c r="Y249" i="1"/>
  <c r="BP246" i="1"/>
  <c r="BN246" i="1"/>
  <c r="Z246" i="1"/>
  <c r="BP263" i="1"/>
  <c r="BN263" i="1"/>
  <c r="Z263" i="1"/>
  <c r="Y265" i="1"/>
  <c r="Y276" i="1"/>
  <c r="BP267" i="1"/>
  <c r="BN267" i="1"/>
  <c r="Z267" i="1"/>
  <c r="BP271" i="1"/>
  <c r="BN271" i="1"/>
  <c r="Z271" i="1"/>
  <c r="Y275" i="1"/>
  <c r="BP279" i="1"/>
  <c r="BN279" i="1"/>
  <c r="Z279" i="1"/>
  <c r="Z290" i="1" s="1"/>
  <c r="BP286" i="1"/>
  <c r="BN286" i="1"/>
  <c r="Z286" i="1"/>
  <c r="Y290" i="1"/>
  <c r="BP294" i="1"/>
  <c r="BN294" i="1"/>
  <c r="Z294" i="1"/>
  <c r="Z295" i="1" s="1"/>
  <c r="Y296" i="1"/>
  <c r="O565" i="1"/>
  <c r="Y306" i="1"/>
  <c r="BP299" i="1"/>
  <c r="BN299" i="1"/>
  <c r="Z299" i="1"/>
  <c r="Y307" i="1"/>
  <c r="BP303" i="1"/>
  <c r="BN303" i="1"/>
  <c r="Z303" i="1"/>
  <c r="BP319" i="1"/>
  <c r="BN319" i="1"/>
  <c r="Z319" i="1"/>
  <c r="Y321" i="1"/>
  <c r="Y329" i="1"/>
  <c r="BP324" i="1"/>
  <c r="BN324" i="1"/>
  <c r="Z324" i="1"/>
  <c r="BP328" i="1"/>
  <c r="BN328" i="1"/>
  <c r="Z328" i="1"/>
  <c r="Y330" i="1"/>
  <c r="Q565" i="1"/>
  <c r="Y336" i="1"/>
  <c r="BP333" i="1"/>
  <c r="BN333" i="1"/>
  <c r="Z333" i="1"/>
  <c r="Y337" i="1"/>
  <c r="BP342" i="1"/>
  <c r="BN342" i="1"/>
  <c r="Z342" i="1"/>
  <c r="BP355" i="1"/>
  <c r="BN355" i="1"/>
  <c r="Z355" i="1"/>
  <c r="Z357" i="1" s="1"/>
  <c r="Y357" i="1"/>
  <c r="BP396" i="1"/>
  <c r="BN396" i="1"/>
  <c r="Z396" i="1"/>
  <c r="Y398" i="1"/>
  <c r="Y403" i="1"/>
  <c r="BP400" i="1"/>
  <c r="BN400" i="1"/>
  <c r="Z400" i="1"/>
  <c r="Y404" i="1"/>
  <c r="BP408" i="1"/>
  <c r="BN408" i="1"/>
  <c r="Z408" i="1"/>
  <c r="Y410" i="1"/>
  <c r="Z422" i="1"/>
  <c r="BP420" i="1"/>
  <c r="BN420" i="1"/>
  <c r="Z420" i="1"/>
  <c r="Y422" i="1"/>
  <c r="P565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5" i="1"/>
  <c r="Z38" i="1"/>
  <c r="Z42" i="1" s="1"/>
  <c r="BN38" i="1"/>
  <c r="Z40" i="1"/>
  <c r="BN40" i="1"/>
  <c r="Y43" i="1"/>
  <c r="D565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Z70" i="1" s="1"/>
  <c r="BN67" i="1"/>
  <c r="Z69" i="1"/>
  <c r="BN69" i="1"/>
  <c r="Z73" i="1"/>
  <c r="Z75" i="1" s="1"/>
  <c r="BN73" i="1"/>
  <c r="BP73" i="1"/>
  <c r="Z79" i="1"/>
  <c r="Z80" i="1" s="1"/>
  <c r="BN79" i="1"/>
  <c r="Z84" i="1"/>
  <c r="Z88" i="1" s="1"/>
  <c r="BN84" i="1"/>
  <c r="BP84" i="1"/>
  <c r="Z86" i="1"/>
  <c r="BN86" i="1"/>
  <c r="Y89" i="1"/>
  <c r="Z92" i="1"/>
  <c r="Z95" i="1" s="1"/>
  <c r="BN92" i="1"/>
  <c r="Z94" i="1"/>
  <c r="BN94" i="1"/>
  <c r="Z99" i="1"/>
  <c r="Z106" i="1" s="1"/>
  <c r="BN99" i="1"/>
  <c r="BP99" i="1"/>
  <c r="Z101" i="1"/>
  <c r="BN101" i="1"/>
  <c r="Z103" i="1"/>
  <c r="BN103" i="1"/>
  <c r="Z105" i="1"/>
  <c r="BN105" i="1"/>
  <c r="Y106" i="1"/>
  <c r="Z109" i="1"/>
  <c r="Z114" i="1" s="1"/>
  <c r="BN109" i="1"/>
  <c r="BP109" i="1"/>
  <c r="Z111" i="1"/>
  <c r="BN111" i="1"/>
  <c r="Z113" i="1"/>
  <c r="BN113" i="1"/>
  <c r="Z117" i="1"/>
  <c r="BN117" i="1"/>
  <c r="BP117" i="1"/>
  <c r="Z119" i="1"/>
  <c r="BN119" i="1"/>
  <c r="H565" i="1"/>
  <c r="Z130" i="1"/>
  <c r="BN130" i="1"/>
  <c r="Y133" i="1"/>
  <c r="Z136" i="1"/>
  <c r="Z139" i="1" s="1"/>
  <c r="BN136" i="1"/>
  <c r="Z138" i="1"/>
  <c r="BN138" i="1"/>
  <c r="Z142" i="1"/>
  <c r="Z145" i="1" s="1"/>
  <c r="BN142" i="1"/>
  <c r="BP142" i="1"/>
  <c r="Z144" i="1"/>
  <c r="BN144" i="1"/>
  <c r="Z149" i="1"/>
  <c r="BN149" i="1"/>
  <c r="BP149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Z167" i="1" s="1"/>
  <c r="BN164" i="1"/>
  <c r="BP164" i="1"/>
  <c r="Z166" i="1"/>
  <c r="BN166" i="1"/>
  <c r="Y167" i="1"/>
  <c r="Z170" i="1"/>
  <c r="Z172" i="1" s="1"/>
  <c r="BN170" i="1"/>
  <c r="BP170" i="1"/>
  <c r="BP177" i="1"/>
  <c r="BN177" i="1"/>
  <c r="Z177" i="1"/>
  <c r="BP181" i="1"/>
  <c r="BN181" i="1"/>
  <c r="Z181" i="1"/>
  <c r="BP185" i="1"/>
  <c r="BN185" i="1"/>
  <c r="Z185" i="1"/>
  <c r="Y187" i="1"/>
  <c r="Y192" i="1"/>
  <c r="BP189" i="1"/>
  <c r="BN189" i="1"/>
  <c r="Z189" i="1"/>
  <c r="Z192" i="1" s="1"/>
  <c r="Y197" i="1"/>
  <c r="BP207" i="1"/>
  <c r="BN207" i="1"/>
  <c r="Z207" i="1"/>
  <c r="BP211" i="1"/>
  <c r="BN211" i="1"/>
  <c r="Z211" i="1"/>
  <c r="Z213" i="1" s="1"/>
  <c r="Y235" i="1"/>
  <c r="BP224" i="1"/>
  <c r="BN224" i="1"/>
  <c r="Z224" i="1"/>
  <c r="BP228" i="1"/>
  <c r="BN228" i="1"/>
  <c r="Z228" i="1"/>
  <c r="BP232" i="1"/>
  <c r="BN232" i="1"/>
  <c r="Z232" i="1"/>
  <c r="BP240" i="1"/>
  <c r="BN240" i="1"/>
  <c r="Z240" i="1"/>
  <c r="BP248" i="1"/>
  <c r="BN248" i="1"/>
  <c r="Z248" i="1"/>
  <c r="Y250" i="1"/>
  <c r="Y253" i="1"/>
  <c r="BP252" i="1"/>
  <c r="BN252" i="1"/>
  <c r="Z252" i="1"/>
  <c r="Z253" i="1" s="1"/>
  <c r="Y254" i="1"/>
  <c r="M565" i="1"/>
  <c r="Y260" i="1"/>
  <c r="BP257" i="1"/>
  <c r="BN257" i="1"/>
  <c r="Z257" i="1"/>
  <c r="Z259" i="1" s="1"/>
  <c r="Y264" i="1"/>
  <c r="BP269" i="1"/>
  <c r="BN269" i="1"/>
  <c r="Z269" i="1"/>
  <c r="BP273" i="1"/>
  <c r="BN273" i="1"/>
  <c r="Z273" i="1"/>
  <c r="BP281" i="1"/>
  <c r="BN281" i="1"/>
  <c r="Z281" i="1"/>
  <c r="T565" i="1"/>
  <c r="BP364" i="1"/>
  <c r="BN364" i="1"/>
  <c r="Z364" i="1"/>
  <c r="BP372" i="1"/>
  <c r="BN372" i="1"/>
  <c r="Z372" i="1"/>
  <c r="BP376" i="1"/>
  <c r="BN376" i="1"/>
  <c r="Z376" i="1"/>
  <c r="Y378" i="1"/>
  <c r="Y385" i="1"/>
  <c r="BP380" i="1"/>
  <c r="BN380" i="1"/>
  <c r="Z380" i="1"/>
  <c r="Y384" i="1"/>
  <c r="Z390" i="1"/>
  <c r="BP388" i="1"/>
  <c r="BN388" i="1"/>
  <c r="Z388" i="1"/>
  <c r="Y390" i="1"/>
  <c r="BP430" i="1"/>
  <c r="BN430" i="1"/>
  <c r="Z430" i="1"/>
  <c r="K565" i="1"/>
  <c r="Y214" i="1"/>
  <c r="L565" i="1"/>
  <c r="Y219" i="1"/>
  <c r="Y291" i="1"/>
  <c r="BP282" i="1"/>
  <c r="BN282" i="1"/>
  <c r="BP284" i="1"/>
  <c r="BN284" i="1"/>
  <c r="Z284" i="1"/>
  <c r="BP288" i="1"/>
  <c r="BN288" i="1"/>
  <c r="Z288" i="1"/>
  <c r="Y295" i="1"/>
  <c r="BP301" i="1"/>
  <c r="BN301" i="1"/>
  <c r="Z301" i="1"/>
  <c r="BP305" i="1"/>
  <c r="BN305" i="1"/>
  <c r="Z305" i="1"/>
  <c r="Y310" i="1"/>
  <c r="BP309" i="1"/>
  <c r="BN309" i="1"/>
  <c r="Z309" i="1"/>
  <c r="Z310" i="1" s="1"/>
  <c r="Y311" i="1"/>
  <c r="Y314" i="1"/>
  <c r="BP313" i="1"/>
  <c r="BN313" i="1"/>
  <c r="Z313" i="1"/>
  <c r="Z314" i="1" s="1"/>
  <c r="Y315" i="1"/>
  <c r="Y320" i="1"/>
  <c r="BP317" i="1"/>
  <c r="BN317" i="1"/>
  <c r="Z317" i="1"/>
  <c r="Z320" i="1" s="1"/>
  <c r="BP326" i="1"/>
  <c r="BN326" i="1"/>
  <c r="Z326" i="1"/>
  <c r="BP335" i="1"/>
  <c r="BN335" i="1"/>
  <c r="Z335" i="1"/>
  <c r="R565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BP362" i="1"/>
  <c r="BN362" i="1"/>
  <c r="Z362" i="1"/>
  <c r="Z367" i="1" s="1"/>
  <c r="BP366" i="1"/>
  <c r="BN366" i="1"/>
  <c r="Z366" i="1"/>
  <c r="Y368" i="1"/>
  <c r="Y377" i="1"/>
  <c r="BP370" i="1"/>
  <c r="BN370" i="1"/>
  <c r="Z370" i="1"/>
  <c r="Z377" i="1" s="1"/>
  <c r="BP374" i="1"/>
  <c r="BN374" i="1"/>
  <c r="Z374" i="1"/>
  <c r="BP382" i="1"/>
  <c r="BN382" i="1"/>
  <c r="Z382" i="1"/>
  <c r="Y391" i="1"/>
  <c r="BP394" i="1"/>
  <c r="BN394" i="1"/>
  <c r="Z394" i="1"/>
  <c r="Z397" i="1" s="1"/>
  <c r="BP402" i="1"/>
  <c r="BN402" i="1"/>
  <c r="Z402" i="1"/>
  <c r="Y409" i="1"/>
  <c r="BP406" i="1"/>
  <c r="BN406" i="1"/>
  <c r="Z406" i="1"/>
  <c r="Z409" i="1" s="1"/>
  <c r="BP428" i="1"/>
  <c r="BN428" i="1"/>
  <c r="Z428" i="1"/>
  <c r="BP432" i="1"/>
  <c r="BN432" i="1"/>
  <c r="Z432" i="1"/>
  <c r="Z435" i="1" s="1"/>
  <c r="BP440" i="1"/>
  <c r="BN440" i="1"/>
  <c r="Z440" i="1"/>
  <c r="Y442" i="1"/>
  <c r="Y447" i="1"/>
  <c r="BP444" i="1"/>
  <c r="BN444" i="1"/>
  <c r="Z444" i="1"/>
  <c r="Y448" i="1"/>
  <c r="BP457" i="1"/>
  <c r="BN457" i="1"/>
  <c r="Z457" i="1"/>
  <c r="Z458" i="1" s="1"/>
  <c r="Y45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Y479" i="1"/>
  <c r="BP483" i="1"/>
  <c r="BN483" i="1"/>
  <c r="Z483" i="1"/>
  <c r="Z484" i="1" s="1"/>
  <c r="Y485" i="1"/>
  <c r="Z565" i="1"/>
  <c r="Y489" i="1"/>
  <c r="BP488" i="1"/>
  <c r="BN488" i="1"/>
  <c r="Z488" i="1"/>
  <c r="Z489" i="1" s="1"/>
  <c r="Y490" i="1"/>
  <c r="Y495" i="1"/>
  <c r="BP492" i="1"/>
  <c r="BN492" i="1"/>
  <c r="Z492" i="1"/>
  <c r="Y496" i="1"/>
  <c r="BP502" i="1"/>
  <c r="BN502" i="1"/>
  <c r="Z502" i="1"/>
  <c r="BP506" i="1"/>
  <c r="BN506" i="1"/>
  <c r="Z506" i="1"/>
  <c r="BP514" i="1"/>
  <c r="BN514" i="1"/>
  <c r="Z514" i="1"/>
  <c r="Y516" i="1"/>
  <c r="Y525" i="1"/>
  <c r="BP518" i="1"/>
  <c r="BN518" i="1"/>
  <c r="Z518" i="1"/>
  <c r="Y526" i="1"/>
  <c r="BP522" i="1"/>
  <c r="BN522" i="1"/>
  <c r="Z522" i="1"/>
  <c r="X565" i="1"/>
  <c r="S565" i="1"/>
  <c r="Y358" i="1"/>
  <c r="Y367" i="1"/>
  <c r="Y416" i="1"/>
  <c r="V565" i="1"/>
  <c r="Y423" i="1"/>
  <c r="W565" i="1"/>
  <c r="Y435" i="1"/>
  <c r="BP434" i="1"/>
  <c r="BN434" i="1"/>
  <c r="Z434" i="1"/>
  <c r="Y436" i="1"/>
  <c r="Y441" i="1"/>
  <c r="BP438" i="1"/>
  <c r="BN438" i="1"/>
  <c r="Z438" i="1"/>
  <c r="Z441" i="1" s="1"/>
  <c r="BP446" i="1"/>
  <c r="BN446" i="1"/>
  <c r="Z446" i="1"/>
  <c r="Y453" i="1"/>
  <c r="BP450" i="1"/>
  <c r="BN450" i="1"/>
  <c r="Z450" i="1"/>
  <c r="Z452" i="1" s="1"/>
  <c r="Y458" i="1"/>
  <c r="BP467" i="1"/>
  <c r="BN467" i="1"/>
  <c r="Z467" i="1"/>
  <c r="Y565" i="1"/>
  <c r="Y480" i="1"/>
  <c r="BP473" i="1"/>
  <c r="BN473" i="1"/>
  <c r="Z473" i="1"/>
  <c r="BP477" i="1"/>
  <c r="BN477" i="1"/>
  <c r="Z477" i="1"/>
  <c r="Y484" i="1"/>
  <c r="BP494" i="1"/>
  <c r="BN494" i="1"/>
  <c r="Z494" i="1"/>
  <c r="AA565" i="1"/>
  <c r="Y509" i="1"/>
  <c r="BP500" i="1"/>
  <c r="BN500" i="1"/>
  <c r="Z500" i="1"/>
  <c r="BP504" i="1"/>
  <c r="BN504" i="1"/>
  <c r="Z504" i="1"/>
  <c r="BP508" i="1"/>
  <c r="BN508" i="1"/>
  <c r="Z508" i="1"/>
  <c r="Y510" i="1"/>
  <c r="Y515" i="1"/>
  <c r="BP512" i="1"/>
  <c r="BN512" i="1"/>
  <c r="Z512" i="1"/>
  <c r="Z515" i="1" s="1"/>
  <c r="BP520" i="1"/>
  <c r="BN520" i="1"/>
  <c r="Z520" i="1"/>
  <c r="BP524" i="1"/>
  <c r="BN524" i="1"/>
  <c r="Z524" i="1"/>
  <c r="Y531" i="1"/>
  <c r="BP530" i="1"/>
  <c r="BN530" i="1"/>
  <c r="Z530" i="1"/>
  <c r="Z531" i="1" s="1"/>
  <c r="Y532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9" i="1"/>
  <c r="BP546" i="1"/>
  <c r="BN546" i="1"/>
  <c r="Z546" i="1"/>
  <c r="Z548" i="1" s="1"/>
  <c r="Y554" i="1"/>
  <c r="Z468" i="1" l="1"/>
  <c r="Z447" i="1"/>
  <c r="Z384" i="1"/>
  <c r="Y555" i="1"/>
  <c r="Y556" i="1"/>
  <c r="Z403" i="1"/>
  <c r="Z336" i="1"/>
  <c r="Z275" i="1"/>
  <c r="Z249" i="1"/>
  <c r="Y559" i="1"/>
  <c r="Z525" i="1"/>
  <c r="Z509" i="1"/>
  <c r="Z479" i="1"/>
  <c r="Z495" i="1"/>
  <c r="Z345" i="1"/>
  <c r="Z156" i="1"/>
  <c r="Z121" i="1"/>
  <c r="Z560" i="1" s="1"/>
  <c r="Z63" i="1"/>
  <c r="Y557" i="1"/>
  <c r="Z329" i="1"/>
  <c r="Z306" i="1"/>
  <c r="Z186" i="1"/>
  <c r="Y558" i="1" l="1"/>
</calcChain>
</file>

<file path=xl/sharedStrings.xml><?xml version="1.0" encoding="utf-8"?>
<sst xmlns="http://schemas.openxmlformats.org/spreadsheetml/2006/main" count="2503" uniqueCount="899">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</sst>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4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9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2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58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6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0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1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6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8" customWidth="1"/>
    <col min="19" max="19" width="6.140625" style="6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8" customWidth="1"/>
    <col min="25" max="25" width="11" style="628" customWidth="1"/>
    <col min="26" max="26" width="10" style="628" customWidth="1"/>
    <col min="27" max="27" width="11.5703125" style="628" customWidth="1"/>
    <col min="28" max="28" width="10.42578125" style="628" customWidth="1"/>
    <col min="29" max="29" width="30" style="6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8" customWidth="1"/>
    <col min="34" max="34" width="9.140625" style="628" customWidth="1"/>
    <col min="35" max="16384" width="9.140625" style="628"/>
  </cols>
  <sheetData>
    <row r="1" spans="1:32" s="632" customFormat="1" ht="45" customHeight="1" x14ac:dyDescent="0.2">
      <c r="A1" s="41"/>
      <c r="B1" s="41"/>
      <c r="C1" s="41"/>
      <c r="D1" s="715" t="s">
        <v>0</v>
      </c>
      <c r="E1" s="672"/>
      <c r="F1" s="672"/>
      <c r="G1" s="12" t="s">
        <v>1</v>
      </c>
      <c r="H1" s="715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9"/>
      <c r="R2" s="649"/>
      <c r="S2" s="649"/>
      <c r="T2" s="649"/>
      <c r="U2" s="649"/>
      <c r="V2" s="649"/>
      <c r="W2" s="649"/>
      <c r="X2" s="16"/>
      <c r="Y2" s="16"/>
      <c r="Z2" s="16"/>
      <c r="AA2" s="16"/>
      <c r="AB2" s="51"/>
      <c r="AC2" s="51"/>
      <c r="AD2" s="51"/>
      <c r="AE2" s="51"/>
    </row>
    <row r="3" spans="1:32" s="63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9"/>
      <c r="Q3" s="649"/>
      <c r="R3" s="649"/>
      <c r="S3" s="649"/>
      <c r="T3" s="649"/>
      <c r="U3" s="649"/>
      <c r="V3" s="649"/>
      <c r="W3" s="649"/>
      <c r="X3" s="16"/>
      <c r="Y3" s="16"/>
      <c r="Z3" s="16"/>
      <c r="AA3" s="16"/>
      <c r="AB3" s="51"/>
      <c r="AC3" s="51"/>
      <c r="AD3" s="51"/>
      <c r="AE3" s="51"/>
    </row>
    <row r="4" spans="1:32" s="63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2" customFormat="1" ht="23.45" customHeight="1" x14ac:dyDescent="0.2">
      <c r="A5" s="773" t="s">
        <v>8</v>
      </c>
      <c r="B5" s="660"/>
      <c r="C5" s="661"/>
      <c r="D5" s="723"/>
      <c r="E5" s="724"/>
      <c r="F5" s="962" t="s">
        <v>9</v>
      </c>
      <c r="G5" s="661"/>
      <c r="H5" s="723"/>
      <c r="I5" s="900"/>
      <c r="J5" s="900"/>
      <c r="K5" s="900"/>
      <c r="L5" s="900"/>
      <c r="M5" s="724"/>
      <c r="N5" s="58"/>
      <c r="P5" s="24" t="s">
        <v>10</v>
      </c>
      <c r="Q5" s="975">
        <v>46247</v>
      </c>
      <c r="R5" s="771"/>
      <c r="T5" s="822" t="s">
        <v>11</v>
      </c>
      <c r="U5" s="823"/>
      <c r="V5" s="824" t="s">
        <v>12</v>
      </c>
      <c r="W5" s="771"/>
      <c r="AB5" s="51"/>
      <c r="AC5" s="51"/>
      <c r="AD5" s="51"/>
      <c r="AE5" s="51"/>
    </row>
    <row r="6" spans="1:32" s="632" customFormat="1" ht="24" customHeight="1" x14ac:dyDescent="0.2">
      <c r="A6" s="773" t="s">
        <v>13</v>
      </c>
      <c r="B6" s="660"/>
      <c r="C6" s="661"/>
      <c r="D6" s="903" t="s">
        <v>14</v>
      </c>
      <c r="E6" s="904"/>
      <c r="F6" s="904"/>
      <c r="G6" s="904"/>
      <c r="H6" s="904"/>
      <c r="I6" s="904"/>
      <c r="J6" s="904"/>
      <c r="K6" s="904"/>
      <c r="L6" s="904"/>
      <c r="M6" s="771"/>
      <c r="N6" s="59"/>
      <c r="P6" s="24" t="s">
        <v>15</v>
      </c>
      <c r="Q6" s="985" t="str">
        <f>IF(Q5=0," ",CHOOSE(WEEKDAY(Q5,2),"Понедельник","Вторник","Среда","Четверг","Пятница","Суббота","Воскресенье"))</f>
        <v>Четверг</v>
      </c>
      <c r="R6" s="643"/>
      <c r="T6" s="830" t="s">
        <v>16</v>
      </c>
      <c r="U6" s="823"/>
      <c r="V6" s="885" t="s">
        <v>17</v>
      </c>
      <c r="W6" s="687"/>
      <c r="AB6" s="51"/>
      <c r="AC6" s="51"/>
      <c r="AD6" s="51"/>
      <c r="AE6" s="51"/>
    </row>
    <row r="7" spans="1:32" s="632" customFormat="1" ht="21.75" hidden="1" customHeight="1" x14ac:dyDescent="0.2">
      <c r="A7" s="55"/>
      <c r="B7" s="55"/>
      <c r="C7" s="55"/>
      <c r="D7" s="697" t="str">
        <f>IFERROR(VLOOKUP(DeliveryAddress,Table,3,0),1)</f>
        <v>3</v>
      </c>
      <c r="E7" s="698"/>
      <c r="F7" s="698"/>
      <c r="G7" s="698"/>
      <c r="H7" s="698"/>
      <c r="I7" s="698"/>
      <c r="J7" s="698"/>
      <c r="K7" s="698"/>
      <c r="L7" s="698"/>
      <c r="M7" s="699"/>
      <c r="N7" s="60"/>
      <c r="P7" s="24"/>
      <c r="Q7" s="42"/>
      <c r="R7" s="42"/>
      <c r="T7" s="649"/>
      <c r="U7" s="823"/>
      <c r="V7" s="886"/>
      <c r="W7" s="887"/>
      <c r="AB7" s="51"/>
      <c r="AC7" s="51"/>
      <c r="AD7" s="51"/>
      <c r="AE7" s="51"/>
    </row>
    <row r="8" spans="1:32" s="632" customFormat="1" ht="25.5" customHeight="1" x14ac:dyDescent="0.2">
      <c r="A8" s="996" t="s">
        <v>18</v>
      </c>
      <c r="B8" s="654"/>
      <c r="C8" s="65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19</v>
      </c>
      <c r="Q8" s="780">
        <v>0.41666666666666669</v>
      </c>
      <c r="R8" s="699"/>
      <c r="T8" s="649"/>
      <c r="U8" s="823"/>
      <c r="V8" s="886"/>
      <c r="W8" s="887"/>
      <c r="AB8" s="51"/>
      <c r="AC8" s="51"/>
      <c r="AD8" s="51"/>
      <c r="AE8" s="51"/>
    </row>
    <row r="9" spans="1:32" s="632" customFormat="1" ht="39.950000000000003" customHeight="1" x14ac:dyDescent="0.2">
      <c r="A9" s="7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794"/>
      <c r="E9" s="657"/>
      <c r="F9" s="7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3"/>
      <c r="P9" s="26" t="s">
        <v>20</v>
      </c>
      <c r="Q9" s="767"/>
      <c r="R9" s="768"/>
      <c r="T9" s="649"/>
      <c r="U9" s="823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32" customFormat="1" ht="26.45" customHeight="1" x14ac:dyDescent="0.2">
      <c r="A10" s="7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794"/>
      <c r="E10" s="657"/>
      <c r="F10" s="7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876" t="str">
        <f>IFERROR(VLOOKUP($D$10,Proxy,2,FALSE),"")</f>
        <v/>
      </c>
      <c r="I10" s="649"/>
      <c r="J10" s="649"/>
      <c r="K10" s="649"/>
      <c r="L10" s="649"/>
      <c r="M10" s="649"/>
      <c r="N10" s="631"/>
      <c r="P10" s="26" t="s">
        <v>21</v>
      </c>
      <c r="Q10" s="831"/>
      <c r="R10" s="832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3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0"/>
      <c r="R11" s="771"/>
      <c r="U11" s="24" t="s">
        <v>26</v>
      </c>
      <c r="V11" s="926" t="s">
        <v>27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32" customFormat="1" ht="18.600000000000001" customHeight="1" x14ac:dyDescent="0.2">
      <c r="A12" s="817" t="s">
        <v>28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1"/>
      <c r="N12" s="62"/>
      <c r="P12" s="24" t="s">
        <v>29</v>
      </c>
      <c r="Q12" s="780"/>
      <c r="R12" s="699"/>
      <c r="S12" s="23"/>
      <c r="U12" s="24"/>
      <c r="V12" s="672"/>
      <c r="W12" s="649"/>
      <c r="AB12" s="51"/>
      <c r="AC12" s="51"/>
      <c r="AD12" s="51"/>
      <c r="AE12" s="51"/>
    </row>
    <row r="13" spans="1:32" s="632" customFormat="1" ht="23.25" customHeight="1" x14ac:dyDescent="0.2">
      <c r="A13" s="817" t="s">
        <v>30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1"/>
      <c r="N13" s="62"/>
      <c r="O13" s="26"/>
      <c r="P13" s="26" t="s">
        <v>31</v>
      </c>
      <c r="Q13" s="926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2" customFormat="1" ht="18.600000000000001" customHeight="1" x14ac:dyDescent="0.2">
      <c r="A14" s="817" t="s">
        <v>32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2" customFormat="1" ht="22.5" customHeight="1" x14ac:dyDescent="0.2">
      <c r="A15" s="844" t="s">
        <v>33</v>
      </c>
      <c r="B15" s="660"/>
      <c r="C15" s="660"/>
      <c r="D15" s="660"/>
      <c r="E15" s="660"/>
      <c r="F15" s="660"/>
      <c r="G15" s="660"/>
      <c r="H15" s="660"/>
      <c r="I15" s="660"/>
      <c r="J15" s="660"/>
      <c r="K15" s="660"/>
      <c r="L15" s="660"/>
      <c r="M15" s="661"/>
      <c r="N15" s="63"/>
      <c r="P15" s="805" t="s">
        <v>34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6"/>
      <c r="Q16" s="806"/>
      <c r="R16" s="806"/>
      <c r="S16" s="806"/>
      <c r="T16" s="8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788" t="s">
        <v>37</v>
      </c>
      <c r="D17" s="683" t="s">
        <v>38</v>
      </c>
      <c r="E17" s="747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46"/>
      <c r="R17" s="746"/>
      <c r="S17" s="746"/>
      <c r="T17" s="747"/>
      <c r="U17" s="993" t="s">
        <v>50</v>
      </c>
      <c r="V17" s="661"/>
      <c r="W17" s="683" t="s">
        <v>51</v>
      </c>
      <c r="X17" s="683" t="s">
        <v>52</v>
      </c>
      <c r="Y17" s="994" t="s">
        <v>53</v>
      </c>
      <c r="Z17" s="898" t="s">
        <v>54</v>
      </c>
      <c r="AA17" s="877" t="s">
        <v>55</v>
      </c>
      <c r="AB17" s="877" t="s">
        <v>56</v>
      </c>
      <c r="AC17" s="877" t="s">
        <v>57</v>
      </c>
      <c r="AD17" s="877" t="s">
        <v>58</v>
      </c>
      <c r="AE17" s="957"/>
      <c r="AF17" s="958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48"/>
      <c r="E18" s="750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48"/>
      <c r="Q18" s="749"/>
      <c r="R18" s="749"/>
      <c r="S18" s="749"/>
      <c r="T18" s="750"/>
      <c r="U18" s="67" t="s">
        <v>60</v>
      </c>
      <c r="V18" s="67" t="s">
        <v>61</v>
      </c>
      <c r="W18" s="684"/>
      <c r="X18" s="684"/>
      <c r="Y18" s="995"/>
      <c r="Z18" s="899"/>
      <c r="AA18" s="878"/>
      <c r="AB18" s="878"/>
      <c r="AC18" s="878"/>
      <c r="AD18" s="959"/>
      <c r="AE18" s="960"/>
      <c r="AF18" s="961"/>
      <c r="AG18" s="66"/>
      <c r="BD18" s="65"/>
    </row>
    <row r="19" spans="1:68" ht="27.75" customHeight="1" x14ac:dyDescent="0.2">
      <c r="A19" s="650" t="s">
        <v>62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648" t="s">
        <v>62</v>
      </c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  <c r="AA20" s="629"/>
      <c r="AB20" s="629"/>
      <c r="AC20" s="629"/>
    </row>
    <row r="21" spans="1:68" ht="14.25" customHeight="1" x14ac:dyDescent="0.25">
      <c r="A21" s="652" t="s">
        <v>63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0"/>
      <c r="AB21" s="630"/>
      <c r="AC21" s="630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642">
        <v>4680115886643</v>
      </c>
      <c r="E22" s="643"/>
      <c r="F22" s="634">
        <v>0.19</v>
      </c>
      <c r="G22" s="32">
        <v>10</v>
      </c>
      <c r="H22" s="634">
        <v>1.9</v>
      </c>
      <c r="I22" s="634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89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68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4301031508</v>
      </c>
      <c r="D23" s="642">
        <v>4680115889071</v>
      </c>
      <c r="E23" s="643"/>
      <c r="F23" s="634">
        <v>0.3</v>
      </c>
      <c r="G23" s="32">
        <v>6</v>
      </c>
      <c r="H23" s="634">
        <v>1.8</v>
      </c>
      <c r="I23" s="634">
        <v>1.93</v>
      </c>
      <c r="J23" s="32">
        <v>234</v>
      </c>
      <c r="K23" s="32" t="s">
        <v>66</v>
      </c>
      <c r="L23" s="32"/>
      <c r="M23" s="33" t="s">
        <v>67</v>
      </c>
      <c r="N23" s="33"/>
      <c r="O23" s="32">
        <v>40</v>
      </c>
      <c r="P23" s="8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68</v>
      </c>
      <c r="X23" s="635">
        <v>0</v>
      </c>
      <c r="Y23" s="63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5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66"/>
      <c r="P24" s="653" t="s">
        <v>73</v>
      </c>
      <c r="Q24" s="654"/>
      <c r="R24" s="654"/>
      <c r="S24" s="654"/>
      <c r="T24" s="654"/>
      <c r="U24" s="654"/>
      <c r="V24" s="655"/>
      <c r="W24" s="37" t="s">
        <v>74</v>
      </c>
      <c r="X24" s="637">
        <f>IFERROR(X22/H22,"0")+IFERROR(X23/H23,"0")</f>
        <v>0</v>
      </c>
      <c r="Y24" s="637">
        <f>IFERROR(Y22/H22,"0")+IFERROR(Y23/H23,"0")</f>
        <v>0</v>
      </c>
      <c r="Z24" s="637">
        <f>IFERROR(IF(Z22="",0,Z22),"0")+IFERROR(IF(Z23="",0,Z23),"0")</f>
        <v>0</v>
      </c>
      <c r="AA24" s="638"/>
      <c r="AB24" s="638"/>
      <c r="AC24" s="638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66"/>
      <c r="P25" s="653" t="s">
        <v>73</v>
      </c>
      <c r="Q25" s="654"/>
      <c r="R25" s="654"/>
      <c r="S25" s="654"/>
      <c r="T25" s="654"/>
      <c r="U25" s="654"/>
      <c r="V25" s="655"/>
      <c r="W25" s="37" t="s">
        <v>68</v>
      </c>
      <c r="X25" s="637">
        <f>IFERROR(SUM(X22:X23),"0")</f>
        <v>0</v>
      </c>
      <c r="Y25" s="637">
        <f>IFERROR(SUM(Y22:Y23),"0")</f>
        <v>0</v>
      </c>
      <c r="Z25" s="37"/>
      <c r="AA25" s="638"/>
      <c r="AB25" s="638"/>
      <c r="AC25" s="638"/>
    </row>
    <row r="26" spans="1:68" ht="14.25" customHeight="1" x14ac:dyDescent="0.25">
      <c r="A26" s="652" t="s">
        <v>75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0"/>
      <c r="AB26" s="630"/>
      <c r="AC26" s="630"/>
    </row>
    <row r="27" spans="1:68" ht="27" customHeight="1" x14ac:dyDescent="0.25">
      <c r="A27" s="54" t="s">
        <v>76</v>
      </c>
      <c r="B27" s="54" t="s">
        <v>77</v>
      </c>
      <c r="C27" s="31">
        <v>4301051866</v>
      </c>
      <c r="D27" s="642">
        <v>4680115885912</v>
      </c>
      <c r="E27" s="643"/>
      <c r="F27" s="634">
        <v>0.3</v>
      </c>
      <c r="G27" s="32">
        <v>6</v>
      </c>
      <c r="H27" s="634">
        <v>1.8</v>
      </c>
      <c r="I27" s="634">
        <v>3.18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68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4301051776</v>
      </c>
      <c r="D28" s="642">
        <v>4607091388237</v>
      </c>
      <c r="E28" s="643"/>
      <c r="F28" s="634">
        <v>0.42</v>
      </c>
      <c r="G28" s="32">
        <v>6</v>
      </c>
      <c r="H28" s="634">
        <v>2.52</v>
      </c>
      <c r="I28" s="634">
        <v>2.766</v>
      </c>
      <c r="J28" s="32">
        <v>182</v>
      </c>
      <c r="K28" s="32" t="s">
        <v>78</v>
      </c>
      <c r="L28" s="32"/>
      <c r="M28" s="33" t="s">
        <v>79</v>
      </c>
      <c r="N28" s="33"/>
      <c r="O28" s="32">
        <v>40</v>
      </c>
      <c r="P28" s="6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68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80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4301052063</v>
      </c>
      <c r="D29" s="642">
        <v>4680115887350</v>
      </c>
      <c r="E29" s="643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78</v>
      </c>
      <c r="L29" s="32"/>
      <c r="M29" s="33" t="s">
        <v>85</v>
      </c>
      <c r="N29" s="33"/>
      <c r="O29" s="32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68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87</v>
      </c>
      <c r="B30" s="54" t="s">
        <v>88</v>
      </c>
      <c r="C30" s="31">
        <v>4301051863</v>
      </c>
      <c r="D30" s="642">
        <v>4680115885905</v>
      </c>
      <c r="E30" s="643"/>
      <c r="F30" s="634">
        <v>0.3</v>
      </c>
      <c r="G30" s="32">
        <v>6</v>
      </c>
      <c r="H30" s="634">
        <v>1.8</v>
      </c>
      <c r="I30" s="634">
        <v>3.18</v>
      </c>
      <c r="J30" s="32">
        <v>182</v>
      </c>
      <c r="K30" s="32" t="s">
        <v>78</v>
      </c>
      <c r="L30" s="32"/>
      <c r="M30" s="33" t="s">
        <v>85</v>
      </c>
      <c r="N30" s="33"/>
      <c r="O30" s="32">
        <v>40</v>
      </c>
      <c r="P30" s="6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68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90</v>
      </c>
      <c r="B31" s="54" t="s">
        <v>91</v>
      </c>
      <c r="C31" s="31">
        <v>4301052071</v>
      </c>
      <c r="D31" s="642">
        <v>4680115887619</v>
      </c>
      <c r="E31" s="643"/>
      <c r="F31" s="634">
        <v>0.33</v>
      </c>
      <c r="G31" s="32">
        <v>6</v>
      </c>
      <c r="H31" s="634">
        <v>1.98</v>
      </c>
      <c r="I31" s="634">
        <v>2.16</v>
      </c>
      <c r="J31" s="32">
        <v>182</v>
      </c>
      <c r="K31" s="32" t="s">
        <v>78</v>
      </c>
      <c r="L31" s="32"/>
      <c r="M31" s="33" t="s">
        <v>79</v>
      </c>
      <c r="N31" s="33"/>
      <c r="O31" s="32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68</v>
      </c>
      <c r="X31" s="635">
        <v>0</v>
      </c>
      <c r="Y31" s="63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5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66"/>
      <c r="P32" s="653" t="s">
        <v>73</v>
      </c>
      <c r="Q32" s="654"/>
      <c r="R32" s="654"/>
      <c r="S32" s="654"/>
      <c r="T32" s="654"/>
      <c r="U32" s="654"/>
      <c r="V32" s="655"/>
      <c r="W32" s="37" t="s">
        <v>74</v>
      </c>
      <c r="X32" s="637">
        <f>IFERROR(X27/H27,"0")+IFERROR(X28/H28,"0")+IFERROR(X29/H29,"0")+IFERROR(X30/H30,"0")+IFERROR(X31/H31,"0")</f>
        <v>0</v>
      </c>
      <c r="Y32" s="637">
        <f>IFERROR(Y27/H27,"0")+IFERROR(Y28/H28,"0")+IFERROR(Y29/H29,"0")+IFERROR(Y30/H30,"0")+IFERROR(Y31/H31,"0")</f>
        <v>0</v>
      </c>
      <c r="Z32" s="637">
        <f>IFERROR(IF(Z27="",0,Z27),"0")+IFERROR(IF(Z28="",0,Z28),"0")+IFERROR(IF(Z29="",0,Z29),"0")+IFERROR(IF(Z30="",0,Z30),"0")+IFERROR(IF(Z31="",0,Z31),"0")</f>
        <v>0</v>
      </c>
      <c r="AA32" s="638"/>
      <c r="AB32" s="638"/>
      <c r="AC32" s="638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66"/>
      <c r="P33" s="653" t="s">
        <v>73</v>
      </c>
      <c r="Q33" s="654"/>
      <c r="R33" s="654"/>
      <c r="S33" s="654"/>
      <c r="T33" s="654"/>
      <c r="U33" s="654"/>
      <c r="V33" s="655"/>
      <c r="W33" s="37" t="s">
        <v>68</v>
      </c>
      <c r="X33" s="637">
        <f>IFERROR(SUM(X27:X31),"0")</f>
        <v>0</v>
      </c>
      <c r="Y33" s="637">
        <f>IFERROR(SUM(Y27:Y31),"0")</f>
        <v>0</v>
      </c>
      <c r="Z33" s="37"/>
      <c r="AA33" s="638"/>
      <c r="AB33" s="638"/>
      <c r="AC33" s="638"/>
    </row>
    <row r="34" spans="1:68" ht="27.75" customHeight="1" x14ac:dyDescent="0.2">
      <c r="A34" s="650" t="s">
        <v>93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48"/>
      <c r="AB34" s="48"/>
      <c r="AC34" s="48"/>
    </row>
    <row r="35" spans="1:68" ht="16.5" customHeight="1" x14ac:dyDescent="0.25">
      <c r="A35" s="648" t="s">
        <v>94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  <c r="AA35" s="629"/>
      <c r="AB35" s="629"/>
      <c r="AC35" s="629"/>
    </row>
    <row r="36" spans="1:68" ht="14.25" customHeight="1" x14ac:dyDescent="0.25">
      <c r="A36" s="652" t="s">
        <v>75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  <c r="AA36" s="630"/>
      <c r="AB36" s="630"/>
      <c r="AC36" s="630"/>
    </row>
    <row r="37" spans="1:68" ht="27" customHeight="1" x14ac:dyDescent="0.25">
      <c r="A37" s="54" t="s">
        <v>95</v>
      </c>
      <c r="B37" s="54" t="s">
        <v>96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78</v>
      </c>
      <c r="L37" s="32"/>
      <c r="M37" s="33" t="s">
        <v>85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68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97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98</v>
      </c>
      <c r="B38" s="54" t="s">
        <v>99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78</v>
      </c>
      <c r="L38" s="32"/>
      <c r="M38" s="33" t="s">
        <v>79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68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101</v>
      </c>
      <c r="B39" s="54" t="s">
        <v>102</v>
      </c>
      <c r="C39" s="31">
        <v>4301052202</v>
      </c>
      <c r="D39" s="642">
        <v>4680115888494</v>
      </c>
      <c r="E39" s="643"/>
      <c r="F39" s="634">
        <v>0.32</v>
      </c>
      <c r="G39" s="32">
        <v>6</v>
      </c>
      <c r="H39" s="634">
        <v>1.92</v>
      </c>
      <c r="I39" s="634">
        <v>2.1</v>
      </c>
      <c r="J39" s="32">
        <v>182</v>
      </c>
      <c r="K39" s="32" t="s">
        <v>78</v>
      </c>
      <c r="L39" s="32"/>
      <c r="M39" s="33" t="s">
        <v>79</v>
      </c>
      <c r="N39" s="33"/>
      <c r="O39" s="32">
        <v>40</v>
      </c>
      <c r="P39" s="7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68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78</v>
      </c>
      <c r="L40" s="32"/>
      <c r="M40" s="33" t="s">
        <v>79</v>
      </c>
      <c r="N40" s="33"/>
      <c r="O40" s="32">
        <v>40</v>
      </c>
      <c r="P40" s="8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68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106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78</v>
      </c>
      <c r="L41" s="32"/>
      <c r="M41" s="33" t="s">
        <v>79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68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109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5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66"/>
      <c r="P42" s="653" t="s">
        <v>73</v>
      </c>
      <c r="Q42" s="654"/>
      <c r="R42" s="654"/>
      <c r="S42" s="654"/>
      <c r="T42" s="654"/>
      <c r="U42" s="654"/>
      <c r="V42" s="655"/>
      <c r="W42" s="37" t="s">
        <v>74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66"/>
      <c r="P43" s="653" t="s">
        <v>73</v>
      </c>
      <c r="Q43" s="654"/>
      <c r="R43" s="654"/>
      <c r="S43" s="654"/>
      <c r="T43" s="654"/>
      <c r="U43" s="654"/>
      <c r="V43" s="655"/>
      <c r="W43" s="37" t="s">
        <v>68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customHeight="1" x14ac:dyDescent="0.2">
      <c r="A44" s="650" t="s">
        <v>110</v>
      </c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1"/>
      <c r="P44" s="651"/>
      <c r="Q44" s="651"/>
      <c r="R44" s="651"/>
      <c r="S44" s="651"/>
      <c r="T44" s="651"/>
      <c r="U44" s="651"/>
      <c r="V44" s="651"/>
      <c r="W44" s="651"/>
      <c r="X44" s="651"/>
      <c r="Y44" s="651"/>
      <c r="Z44" s="651"/>
      <c r="AA44" s="48"/>
      <c r="AB44" s="48"/>
      <c r="AC44" s="48"/>
    </row>
    <row r="45" spans="1:68" ht="16.5" customHeight="1" x14ac:dyDescent="0.25">
      <c r="A45" s="648" t="s">
        <v>111</v>
      </c>
      <c r="B45" s="649"/>
      <c r="C45" s="649"/>
      <c r="D45" s="649"/>
      <c r="E45" s="649"/>
      <c r="F45" s="649"/>
      <c r="G45" s="649"/>
      <c r="H45" s="649"/>
      <c r="I45" s="649"/>
      <c r="J45" s="649"/>
      <c r="K45" s="649"/>
      <c r="L45" s="649"/>
      <c r="M45" s="649"/>
      <c r="N45" s="649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  <c r="Z45" s="649"/>
      <c r="AA45" s="629"/>
      <c r="AB45" s="629"/>
      <c r="AC45" s="629"/>
    </row>
    <row r="46" spans="1:68" ht="14.25" customHeight="1" x14ac:dyDescent="0.25">
      <c r="A46" s="652" t="s">
        <v>112</v>
      </c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  <c r="Z46" s="649"/>
      <c r="AA46" s="630"/>
      <c r="AB46" s="630"/>
      <c r="AC46" s="630"/>
    </row>
    <row r="47" spans="1:68" ht="16.5" customHeight="1" x14ac:dyDescent="0.25">
      <c r="A47" s="54" t="s">
        <v>113</v>
      </c>
      <c r="B47" s="54" t="s">
        <v>114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115</v>
      </c>
      <c r="L47" s="32"/>
      <c r="M47" s="33" t="s">
        <v>116</v>
      </c>
      <c r="N47" s="33"/>
      <c r="O47" s="32">
        <v>50</v>
      </c>
      <c r="P47" s="7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68</v>
      </c>
      <c r="X47" s="635">
        <v>0</v>
      </c>
      <c r="Y47" s="636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120</v>
      </c>
      <c r="L48" s="32"/>
      <c r="M48" s="33" t="s">
        <v>67</v>
      </c>
      <c r="N48" s="33"/>
      <c r="O48" s="32">
        <v>30</v>
      </c>
      <c r="P48" s="9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68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121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122</v>
      </c>
      <c r="B49" s="54" t="s">
        <v>123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124</v>
      </c>
      <c r="L49" s="32"/>
      <c r="M49" s="33" t="s">
        <v>79</v>
      </c>
      <c r="N49" s="33"/>
      <c r="O49" s="32">
        <v>50</v>
      </c>
      <c r="P49" s="9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68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117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125</v>
      </c>
      <c r="B50" s="54" t="s">
        <v>126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124</v>
      </c>
      <c r="L50" s="32"/>
      <c r="M50" s="33" t="s">
        <v>79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68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5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66"/>
      <c r="P51" s="653" t="s">
        <v>73</v>
      </c>
      <c r="Q51" s="654"/>
      <c r="R51" s="654"/>
      <c r="S51" s="654"/>
      <c r="T51" s="654"/>
      <c r="U51" s="654"/>
      <c r="V51" s="655"/>
      <c r="W51" s="37" t="s">
        <v>74</v>
      </c>
      <c r="X51" s="637">
        <f>IFERROR(X47/H47,"0")+IFERROR(X48/H48,"0")+IFERROR(X49/H49,"0")+IFERROR(X50/H50,"0")</f>
        <v>0</v>
      </c>
      <c r="Y51" s="637">
        <f>IFERROR(Y47/H47,"0")+IFERROR(Y48/H48,"0")+IFERROR(Y49/H49,"0")+IFERROR(Y50/H50,"0")</f>
        <v>0</v>
      </c>
      <c r="Z51" s="637">
        <f>IFERROR(IF(Z47="",0,Z47),"0")+IFERROR(IF(Z48="",0,Z48),"0")+IFERROR(IF(Z49="",0,Z49),"0")+IFERROR(IF(Z50="",0,Z50),"0")</f>
        <v>0</v>
      </c>
      <c r="AA51" s="638"/>
      <c r="AB51" s="638"/>
      <c r="AC51" s="638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66"/>
      <c r="P52" s="653" t="s">
        <v>73</v>
      </c>
      <c r="Q52" s="654"/>
      <c r="R52" s="654"/>
      <c r="S52" s="654"/>
      <c r="T52" s="654"/>
      <c r="U52" s="654"/>
      <c r="V52" s="655"/>
      <c r="W52" s="37" t="s">
        <v>68</v>
      </c>
      <c r="X52" s="637">
        <f>IFERROR(SUM(X47:X50),"0")</f>
        <v>0</v>
      </c>
      <c r="Y52" s="637">
        <f>IFERROR(SUM(Y47:Y50),"0")</f>
        <v>0</v>
      </c>
      <c r="Z52" s="37"/>
      <c r="AA52" s="638"/>
      <c r="AB52" s="638"/>
      <c r="AC52" s="638"/>
    </row>
    <row r="53" spans="1:68" ht="16.5" customHeight="1" x14ac:dyDescent="0.25">
      <c r="A53" s="648" t="s">
        <v>127</v>
      </c>
      <c r="B53" s="649"/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  <c r="AA53" s="629"/>
      <c r="AB53" s="629"/>
      <c r="AC53" s="629"/>
    </row>
    <row r="54" spans="1:68" ht="14.25" customHeight="1" x14ac:dyDescent="0.25">
      <c r="A54" s="652" t="s">
        <v>112</v>
      </c>
      <c r="B54" s="649"/>
      <c r="C54" s="649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9"/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  <c r="Z54" s="649"/>
      <c r="AA54" s="630"/>
      <c r="AB54" s="630"/>
      <c r="AC54" s="630"/>
    </row>
    <row r="55" spans="1:68" ht="27" customHeight="1" x14ac:dyDescent="0.25">
      <c r="A55" s="54" t="s">
        <v>128</v>
      </c>
      <c r="B55" s="54" t="s">
        <v>129</v>
      </c>
      <c r="C55" s="31">
        <v>4301012030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115</v>
      </c>
      <c r="L55" s="32"/>
      <c r="M55" s="33" t="s">
        <v>79</v>
      </c>
      <c r="N55" s="33"/>
      <c r="O55" s="32">
        <v>50</v>
      </c>
      <c r="P55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68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130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128</v>
      </c>
      <c r="B56" s="54" t="s">
        <v>131</v>
      </c>
      <c r="C56" s="31">
        <v>4301012161</v>
      </c>
      <c r="D56" s="642">
        <v>4680115885882</v>
      </c>
      <c r="E56" s="643"/>
      <c r="F56" s="634">
        <v>1.4</v>
      </c>
      <c r="G56" s="32">
        <v>8</v>
      </c>
      <c r="H56" s="634">
        <v>11.2</v>
      </c>
      <c r="I56" s="634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68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4301011816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68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4301011386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68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136</v>
      </c>
      <c r="B59" s="54" t="s">
        <v>139</v>
      </c>
      <c r="C59" s="31">
        <v>4301012259</v>
      </c>
      <c r="D59" s="642">
        <v>4680115880283</v>
      </c>
      <c r="E59" s="643"/>
      <c r="F59" s="634">
        <v>0.6</v>
      </c>
      <c r="G59" s="32">
        <v>8</v>
      </c>
      <c r="H59" s="634">
        <v>4.8</v>
      </c>
      <c r="I59" s="634">
        <v>4.99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45</v>
      </c>
      <c r="P59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68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138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4301011806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124</v>
      </c>
      <c r="L60" s="32"/>
      <c r="M60" s="33" t="s">
        <v>116</v>
      </c>
      <c r="N60" s="33"/>
      <c r="O60" s="32">
        <v>50</v>
      </c>
      <c r="P60" s="9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68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142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143</v>
      </c>
      <c r="B61" s="54" t="s">
        <v>144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78</v>
      </c>
      <c r="L61" s="32"/>
      <c r="M61" s="33" t="s">
        <v>116</v>
      </c>
      <c r="N61" s="33"/>
      <c r="O61" s="32">
        <v>50</v>
      </c>
      <c r="P61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68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145</v>
      </c>
      <c r="B62" s="54" t="s">
        <v>146</v>
      </c>
      <c r="C62" s="31">
        <v>4301011801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124</v>
      </c>
      <c r="L62" s="32"/>
      <c r="M62" s="33" t="s">
        <v>116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68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147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5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66"/>
      <c r="P63" s="653" t="s">
        <v>73</v>
      </c>
      <c r="Q63" s="654"/>
      <c r="R63" s="654"/>
      <c r="S63" s="654"/>
      <c r="T63" s="654"/>
      <c r="U63" s="654"/>
      <c r="V63" s="655"/>
      <c r="W63" s="37" t="s">
        <v>74</v>
      </c>
      <c r="X63" s="637">
        <f>IFERROR(X55/H55,"0")+IFERROR(X56/H56,"0")+IFERROR(X57/H57,"0")+IFERROR(X58/H58,"0")+IFERROR(X59/H59,"0")+IFERROR(X60/H60,"0")+IFERROR(X61/H61,"0")+IFERROR(X62/H62,"0")</f>
        <v>0</v>
      </c>
      <c r="Y63" s="637">
        <f>IFERROR(Y55/H55,"0")+IFERROR(Y56/H56,"0")+IFERROR(Y57/H57,"0")+IFERROR(Y58/H58,"0")+IFERROR(Y59/H59,"0")+IFERROR(Y60/H60,"0")+IFERROR(Y61/H61,"0")+IFERROR(Y62/H62,"0")</f>
        <v>0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8"/>
      <c r="AB63" s="638"/>
      <c r="AC63" s="638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66"/>
      <c r="P64" s="653" t="s">
        <v>73</v>
      </c>
      <c r="Q64" s="654"/>
      <c r="R64" s="654"/>
      <c r="S64" s="654"/>
      <c r="T64" s="654"/>
      <c r="U64" s="654"/>
      <c r="V64" s="655"/>
      <c r="W64" s="37" t="s">
        <v>68</v>
      </c>
      <c r="X64" s="637">
        <f>IFERROR(SUM(X55:X62),"0")</f>
        <v>0</v>
      </c>
      <c r="Y64" s="637">
        <f>IFERROR(SUM(Y55:Y62),"0")</f>
        <v>0</v>
      </c>
      <c r="Z64" s="37"/>
      <c r="AA64" s="638"/>
      <c r="AB64" s="638"/>
      <c r="AC64" s="638"/>
    </row>
    <row r="65" spans="1:68" ht="14.25" customHeight="1" x14ac:dyDescent="0.25">
      <c r="A65" s="652" t="s">
        <v>148</v>
      </c>
      <c r="B65" s="649"/>
      <c r="C65" s="649"/>
      <c r="D65" s="649"/>
      <c r="E65" s="649"/>
      <c r="F65" s="649"/>
      <c r="G65" s="649"/>
      <c r="H65" s="649"/>
      <c r="I65" s="649"/>
      <c r="J65" s="649"/>
      <c r="K65" s="649"/>
      <c r="L65" s="649"/>
      <c r="M65" s="649"/>
      <c r="N65" s="649"/>
      <c r="O65" s="649"/>
      <c r="P65" s="649"/>
      <c r="Q65" s="649"/>
      <c r="R65" s="649"/>
      <c r="S65" s="649"/>
      <c r="T65" s="649"/>
      <c r="U65" s="649"/>
      <c r="V65" s="649"/>
      <c r="W65" s="649"/>
      <c r="X65" s="649"/>
      <c r="Y65" s="649"/>
      <c r="Z65" s="649"/>
      <c r="AA65" s="630"/>
      <c r="AB65" s="630"/>
      <c r="AC65" s="630"/>
    </row>
    <row r="66" spans="1:68" ht="16.5" customHeight="1" x14ac:dyDescent="0.25">
      <c r="A66" s="54" t="s">
        <v>149</v>
      </c>
      <c r="B66" s="54" t="s">
        <v>150</v>
      </c>
      <c r="C66" s="31">
        <v>4301020298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115</v>
      </c>
      <c r="L66" s="32"/>
      <c r="M66" s="33" t="s">
        <v>116</v>
      </c>
      <c r="N66" s="33"/>
      <c r="O66" s="32">
        <v>50</v>
      </c>
      <c r="P66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68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152</v>
      </c>
      <c r="B67" s="54" t="s">
        <v>153</v>
      </c>
      <c r="C67" s="31">
        <v>4301020358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78</v>
      </c>
      <c r="L67" s="32"/>
      <c r="M67" s="33" t="s">
        <v>79</v>
      </c>
      <c r="N67" s="33"/>
      <c r="O67" s="32">
        <v>50</v>
      </c>
      <c r="P67" s="9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68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154</v>
      </c>
      <c r="B68" s="54" t="s">
        <v>155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120</v>
      </c>
      <c r="L68" s="32"/>
      <c r="M68" s="33" t="s">
        <v>67</v>
      </c>
      <c r="N68" s="33"/>
      <c r="O68" s="32">
        <v>30</v>
      </c>
      <c r="P68" s="7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68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157</v>
      </c>
      <c r="B69" s="54" t="s">
        <v>158</v>
      </c>
      <c r="C69" s="31">
        <v>4301020296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78</v>
      </c>
      <c r="L69" s="32"/>
      <c r="M69" s="33" t="s">
        <v>116</v>
      </c>
      <c r="N69" s="33"/>
      <c r="O69" s="32">
        <v>50</v>
      </c>
      <c r="P69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68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5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66"/>
      <c r="P70" s="653" t="s">
        <v>73</v>
      </c>
      <c r="Q70" s="654"/>
      <c r="R70" s="654"/>
      <c r="S70" s="654"/>
      <c r="T70" s="654"/>
      <c r="U70" s="654"/>
      <c r="V70" s="655"/>
      <c r="W70" s="37" t="s">
        <v>74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66"/>
      <c r="P71" s="653" t="s">
        <v>73</v>
      </c>
      <c r="Q71" s="654"/>
      <c r="R71" s="654"/>
      <c r="S71" s="654"/>
      <c r="T71" s="654"/>
      <c r="U71" s="654"/>
      <c r="V71" s="655"/>
      <c r="W71" s="37" t="s">
        <v>68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customHeight="1" x14ac:dyDescent="0.25">
      <c r="A72" s="652" t="s">
        <v>75</v>
      </c>
      <c r="B72" s="649"/>
      <c r="C72" s="649"/>
      <c r="D72" s="649"/>
      <c r="E72" s="649"/>
      <c r="F72" s="649"/>
      <c r="G72" s="649"/>
      <c r="H72" s="649"/>
      <c r="I72" s="649"/>
      <c r="J72" s="649"/>
      <c r="K72" s="649"/>
      <c r="L72" s="649"/>
      <c r="M72" s="649"/>
      <c r="N72" s="649"/>
      <c r="O72" s="649"/>
      <c r="P72" s="649"/>
      <c r="Q72" s="649"/>
      <c r="R72" s="649"/>
      <c r="S72" s="649"/>
      <c r="T72" s="649"/>
      <c r="U72" s="649"/>
      <c r="V72" s="649"/>
      <c r="W72" s="649"/>
      <c r="X72" s="649"/>
      <c r="Y72" s="649"/>
      <c r="Z72" s="649"/>
      <c r="AA72" s="630"/>
      <c r="AB72" s="630"/>
      <c r="AC72" s="630"/>
    </row>
    <row r="73" spans="1:68" ht="16.5" customHeight="1" x14ac:dyDescent="0.25">
      <c r="A73" s="54" t="s">
        <v>159</v>
      </c>
      <c r="B73" s="54" t="s">
        <v>160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78</v>
      </c>
      <c r="L73" s="32"/>
      <c r="M73" s="33" t="s">
        <v>79</v>
      </c>
      <c r="N73" s="33"/>
      <c r="O73" s="32">
        <v>40</v>
      </c>
      <c r="P73" s="6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68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162</v>
      </c>
      <c r="B74" s="54" t="s">
        <v>163</v>
      </c>
      <c r="C74" s="31">
        <v>4301051929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78</v>
      </c>
      <c r="L74" s="32"/>
      <c r="M74" s="33" t="s">
        <v>79</v>
      </c>
      <c r="N74" s="33"/>
      <c r="O74" s="32">
        <v>40</v>
      </c>
      <c r="P74" s="8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68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164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5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66"/>
      <c r="P75" s="653" t="s">
        <v>73</v>
      </c>
      <c r="Q75" s="654"/>
      <c r="R75" s="654"/>
      <c r="S75" s="654"/>
      <c r="T75" s="654"/>
      <c r="U75" s="654"/>
      <c r="V75" s="655"/>
      <c r="W75" s="37" t="s">
        <v>74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66"/>
      <c r="P76" s="653" t="s">
        <v>73</v>
      </c>
      <c r="Q76" s="654"/>
      <c r="R76" s="654"/>
      <c r="S76" s="654"/>
      <c r="T76" s="654"/>
      <c r="U76" s="654"/>
      <c r="V76" s="655"/>
      <c r="W76" s="37" t="s">
        <v>68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customHeight="1" x14ac:dyDescent="0.25">
      <c r="A77" s="652" t="s">
        <v>165</v>
      </c>
      <c r="B77" s="649"/>
      <c r="C77" s="649"/>
      <c r="D77" s="649"/>
      <c r="E77" s="649"/>
      <c r="F77" s="649"/>
      <c r="G77" s="649"/>
      <c r="H77" s="649"/>
      <c r="I77" s="649"/>
      <c r="J77" s="649"/>
      <c r="K77" s="649"/>
      <c r="L77" s="649"/>
      <c r="M77" s="649"/>
      <c r="N77" s="649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  <c r="Z77" s="649"/>
      <c r="AA77" s="630"/>
      <c r="AB77" s="630"/>
      <c r="AC77" s="630"/>
    </row>
    <row r="78" spans="1:68" ht="27" customHeight="1" x14ac:dyDescent="0.25">
      <c r="A78" s="54" t="s">
        <v>166</v>
      </c>
      <c r="B78" s="54" t="s">
        <v>167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115</v>
      </c>
      <c r="L78" s="32"/>
      <c r="M78" s="33" t="s">
        <v>85</v>
      </c>
      <c r="N78" s="33"/>
      <c r="O78" s="32">
        <v>30</v>
      </c>
      <c r="P78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68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169</v>
      </c>
      <c r="B79" s="54" t="s">
        <v>170</v>
      </c>
      <c r="C79" s="31">
        <v>4301060351</v>
      </c>
      <c r="D79" s="642">
        <v>4680115881464</v>
      </c>
      <c r="E79" s="643"/>
      <c r="F79" s="634">
        <v>0.4</v>
      </c>
      <c r="G79" s="32">
        <v>6</v>
      </c>
      <c r="H79" s="634">
        <v>2.4</v>
      </c>
      <c r="I79" s="634">
        <v>2.59</v>
      </c>
      <c r="J79" s="32">
        <v>132</v>
      </c>
      <c r="K79" s="32" t="s">
        <v>124</v>
      </c>
      <c r="L79" s="32"/>
      <c r="M79" s="33" t="s">
        <v>79</v>
      </c>
      <c r="N79" s="33"/>
      <c r="O79" s="32">
        <v>30</v>
      </c>
      <c r="P79" s="63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68</v>
      </c>
      <c r="X79" s="635">
        <v>0</v>
      </c>
      <c r="Y79" s="63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5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66"/>
      <c r="P80" s="653" t="s">
        <v>73</v>
      </c>
      <c r="Q80" s="654"/>
      <c r="R80" s="654"/>
      <c r="S80" s="654"/>
      <c r="T80" s="654"/>
      <c r="U80" s="654"/>
      <c r="V80" s="655"/>
      <c r="W80" s="37" t="s">
        <v>74</v>
      </c>
      <c r="X80" s="637">
        <f>IFERROR(X78/H78,"0")+IFERROR(X79/H79,"0")</f>
        <v>0</v>
      </c>
      <c r="Y80" s="637">
        <f>IFERROR(Y78/H78,"0")+IFERROR(Y79/H79,"0")</f>
        <v>0</v>
      </c>
      <c r="Z80" s="637">
        <f>IFERROR(IF(Z78="",0,Z78),"0")+IFERROR(IF(Z79="",0,Z79),"0")</f>
        <v>0</v>
      </c>
      <c r="AA80" s="638"/>
      <c r="AB80" s="638"/>
      <c r="AC80" s="638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66"/>
      <c r="P81" s="653" t="s">
        <v>73</v>
      </c>
      <c r="Q81" s="654"/>
      <c r="R81" s="654"/>
      <c r="S81" s="654"/>
      <c r="T81" s="654"/>
      <c r="U81" s="654"/>
      <c r="V81" s="655"/>
      <c r="W81" s="37" t="s">
        <v>68</v>
      </c>
      <c r="X81" s="637">
        <f>IFERROR(SUM(X78:X79),"0")</f>
        <v>0</v>
      </c>
      <c r="Y81" s="637">
        <f>IFERROR(SUM(Y78:Y79),"0")</f>
        <v>0</v>
      </c>
      <c r="Z81" s="37"/>
      <c r="AA81" s="638"/>
      <c r="AB81" s="638"/>
      <c r="AC81" s="638"/>
    </row>
    <row r="82" spans="1:68" ht="16.5" customHeight="1" x14ac:dyDescent="0.25">
      <c r="A82" s="648" t="s">
        <v>172</v>
      </c>
      <c r="B82" s="649"/>
      <c r="C82" s="649"/>
      <c r="D82" s="649"/>
      <c r="E82" s="649"/>
      <c r="F82" s="649"/>
      <c r="G82" s="649"/>
      <c r="H82" s="649"/>
      <c r="I82" s="649"/>
      <c r="J82" s="649"/>
      <c r="K82" s="649"/>
      <c r="L82" s="649"/>
      <c r="M82" s="649"/>
      <c r="N82" s="649"/>
      <c r="O82" s="649"/>
      <c r="P82" s="649"/>
      <c r="Q82" s="649"/>
      <c r="R82" s="649"/>
      <c r="S82" s="649"/>
      <c r="T82" s="649"/>
      <c r="U82" s="649"/>
      <c r="V82" s="649"/>
      <c r="W82" s="649"/>
      <c r="X82" s="649"/>
      <c r="Y82" s="649"/>
      <c r="Z82" s="649"/>
      <c r="AA82" s="629"/>
      <c r="AB82" s="629"/>
      <c r="AC82" s="629"/>
    </row>
    <row r="83" spans="1:68" ht="14.25" customHeight="1" x14ac:dyDescent="0.25">
      <c r="A83" s="652" t="s">
        <v>112</v>
      </c>
      <c r="B83" s="649"/>
      <c r="C83" s="649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  <c r="AA83" s="630"/>
      <c r="AB83" s="630"/>
      <c r="AC83" s="630"/>
    </row>
    <row r="84" spans="1:68" ht="27" customHeight="1" x14ac:dyDescent="0.25">
      <c r="A84" s="54" t="s">
        <v>173</v>
      </c>
      <c r="B84" s="54" t="s">
        <v>174</v>
      </c>
      <c r="C84" s="31">
        <v>4301011468</v>
      </c>
      <c r="D84" s="642">
        <v>4680115881327</v>
      </c>
      <c r="E84" s="643"/>
      <c r="F84" s="634">
        <v>1.35</v>
      </c>
      <c r="G84" s="32">
        <v>8</v>
      </c>
      <c r="H84" s="634">
        <v>10.8</v>
      </c>
      <c r="I84" s="634">
        <v>11.21</v>
      </c>
      <c r="J84" s="32">
        <v>64</v>
      </c>
      <c r="K84" s="32" t="s">
        <v>115</v>
      </c>
      <c r="L84" s="32"/>
      <c r="M84" s="33" t="s">
        <v>85</v>
      </c>
      <c r="N84" s="33"/>
      <c r="O84" s="32">
        <v>50</v>
      </c>
      <c r="P84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68</v>
      </c>
      <c r="X84" s="635">
        <v>0</v>
      </c>
      <c r="Y84" s="63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4301011261</v>
      </c>
      <c r="D85" s="642">
        <v>4680115887732</v>
      </c>
      <c r="E85" s="643"/>
      <c r="F85" s="634">
        <v>0.17</v>
      </c>
      <c r="G85" s="32">
        <v>10</v>
      </c>
      <c r="H85" s="634">
        <v>1.7</v>
      </c>
      <c r="I85" s="634">
        <v>1.8</v>
      </c>
      <c r="J85" s="32">
        <v>192</v>
      </c>
      <c r="K85" s="32" t="s">
        <v>120</v>
      </c>
      <c r="L85" s="32"/>
      <c r="M85" s="33" t="s">
        <v>67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68</v>
      </c>
      <c r="X85" s="635">
        <v>0</v>
      </c>
      <c r="Y85" s="63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178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179</v>
      </c>
      <c r="B86" s="54" t="s">
        <v>180</v>
      </c>
      <c r="C86" s="31">
        <v>4301011476</v>
      </c>
      <c r="D86" s="642">
        <v>4680115881518</v>
      </c>
      <c r="E86" s="643"/>
      <c r="F86" s="634">
        <v>0.4</v>
      </c>
      <c r="G86" s="32">
        <v>10</v>
      </c>
      <c r="H86" s="634">
        <v>4</v>
      </c>
      <c r="I86" s="634">
        <v>4.1900000000000004</v>
      </c>
      <c r="J86" s="32">
        <v>132</v>
      </c>
      <c r="K86" s="32" t="s">
        <v>124</v>
      </c>
      <c r="L86" s="32"/>
      <c r="M86" s="33" t="s">
        <v>79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68</v>
      </c>
      <c r="X86" s="635">
        <v>0</v>
      </c>
      <c r="Y86" s="63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175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181</v>
      </c>
      <c r="B87" s="54" t="s">
        <v>182</v>
      </c>
      <c r="C87" s="31">
        <v>4301011443</v>
      </c>
      <c r="D87" s="642">
        <v>4680115881303</v>
      </c>
      <c r="E87" s="643"/>
      <c r="F87" s="634">
        <v>0.45</v>
      </c>
      <c r="G87" s="32">
        <v>10</v>
      </c>
      <c r="H87" s="634">
        <v>4.5</v>
      </c>
      <c r="I87" s="634">
        <v>4.6900000000000004</v>
      </c>
      <c r="J87" s="32">
        <v>132</v>
      </c>
      <c r="K87" s="32" t="s">
        <v>124</v>
      </c>
      <c r="L87" s="32"/>
      <c r="M87" s="33" t="s">
        <v>85</v>
      </c>
      <c r="N87" s="33"/>
      <c r="O87" s="32">
        <v>50</v>
      </c>
      <c r="P87" s="8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68</v>
      </c>
      <c r="X87" s="635">
        <v>0</v>
      </c>
      <c r="Y87" s="63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175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5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66"/>
      <c r="P88" s="653" t="s">
        <v>73</v>
      </c>
      <c r="Q88" s="654"/>
      <c r="R88" s="654"/>
      <c r="S88" s="654"/>
      <c r="T88" s="654"/>
      <c r="U88" s="654"/>
      <c r="V88" s="655"/>
      <c r="W88" s="37" t="s">
        <v>74</v>
      </c>
      <c r="X88" s="637">
        <f>IFERROR(X84/H84,"0")+IFERROR(X85/H85,"0")+IFERROR(X86/H86,"0")+IFERROR(X87/H87,"0")</f>
        <v>0</v>
      </c>
      <c r="Y88" s="637">
        <f>IFERROR(Y84/H84,"0")+IFERROR(Y85/H85,"0")+IFERROR(Y86/H86,"0")+IFERROR(Y87/H87,"0")</f>
        <v>0</v>
      </c>
      <c r="Z88" s="637">
        <f>IFERROR(IF(Z84="",0,Z84),"0")+IFERROR(IF(Z85="",0,Z85),"0")+IFERROR(IF(Z86="",0,Z86),"0")+IFERROR(IF(Z87="",0,Z87),"0")</f>
        <v>0</v>
      </c>
      <c r="AA88" s="638"/>
      <c r="AB88" s="638"/>
      <c r="AC88" s="638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66"/>
      <c r="P89" s="653" t="s">
        <v>73</v>
      </c>
      <c r="Q89" s="654"/>
      <c r="R89" s="654"/>
      <c r="S89" s="654"/>
      <c r="T89" s="654"/>
      <c r="U89" s="654"/>
      <c r="V89" s="655"/>
      <c r="W89" s="37" t="s">
        <v>68</v>
      </c>
      <c r="X89" s="637">
        <f>IFERROR(SUM(X84:X87),"0")</f>
        <v>0</v>
      </c>
      <c r="Y89" s="637">
        <f>IFERROR(SUM(Y84:Y87),"0")</f>
        <v>0</v>
      </c>
      <c r="Z89" s="37"/>
      <c r="AA89" s="638"/>
      <c r="AB89" s="638"/>
      <c r="AC89" s="638"/>
    </row>
    <row r="90" spans="1:68" ht="14.25" customHeight="1" x14ac:dyDescent="0.25">
      <c r="A90" s="652" t="s">
        <v>75</v>
      </c>
      <c r="B90" s="649"/>
      <c r="C90" s="649"/>
      <c r="D90" s="649"/>
      <c r="E90" s="649"/>
      <c r="F90" s="649"/>
      <c r="G90" s="649"/>
      <c r="H90" s="649"/>
      <c r="I90" s="649"/>
      <c r="J90" s="649"/>
      <c r="K90" s="649"/>
      <c r="L90" s="649"/>
      <c r="M90" s="649"/>
      <c r="N90" s="649"/>
      <c r="O90" s="649"/>
      <c r="P90" s="649"/>
      <c r="Q90" s="649"/>
      <c r="R90" s="649"/>
      <c r="S90" s="649"/>
      <c r="T90" s="649"/>
      <c r="U90" s="649"/>
      <c r="V90" s="649"/>
      <c r="W90" s="649"/>
      <c r="X90" s="649"/>
      <c r="Y90" s="649"/>
      <c r="Z90" s="649"/>
      <c r="AA90" s="630"/>
      <c r="AB90" s="630"/>
      <c r="AC90" s="630"/>
    </row>
    <row r="91" spans="1:68" ht="27" customHeight="1" x14ac:dyDescent="0.25">
      <c r="A91" s="54" t="s">
        <v>183</v>
      </c>
      <c r="B91" s="54" t="s">
        <v>184</v>
      </c>
      <c r="C91" s="31">
        <v>4301051712</v>
      </c>
      <c r="D91" s="642">
        <v>4607091386967</v>
      </c>
      <c r="E91" s="643"/>
      <c r="F91" s="634">
        <v>1.35</v>
      </c>
      <c r="G91" s="32">
        <v>6</v>
      </c>
      <c r="H91" s="634">
        <v>8.1</v>
      </c>
      <c r="I91" s="634">
        <v>8.5939999999999994</v>
      </c>
      <c r="J91" s="32">
        <v>64</v>
      </c>
      <c r="K91" s="32" t="s">
        <v>115</v>
      </c>
      <c r="L91" s="32"/>
      <c r="M91" s="33" t="s">
        <v>85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68</v>
      </c>
      <c r="X91" s="635">
        <v>0</v>
      </c>
      <c r="Y91" s="63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185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4301051788</v>
      </c>
      <c r="D92" s="642">
        <v>4680115884953</v>
      </c>
      <c r="E92" s="643"/>
      <c r="F92" s="634">
        <v>0.37</v>
      </c>
      <c r="G92" s="32">
        <v>6</v>
      </c>
      <c r="H92" s="634">
        <v>2.2200000000000002</v>
      </c>
      <c r="I92" s="634">
        <v>2.472</v>
      </c>
      <c r="J92" s="32">
        <v>182</v>
      </c>
      <c r="K92" s="32" t="s">
        <v>78</v>
      </c>
      <c r="L92" s="32"/>
      <c r="M92" s="33" t="s">
        <v>79</v>
      </c>
      <c r="N92" s="33"/>
      <c r="O92" s="32">
        <v>45</v>
      </c>
      <c r="P92" s="7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68</v>
      </c>
      <c r="X92" s="635">
        <v>0</v>
      </c>
      <c r="Y92" s="63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188</v>
      </c>
      <c r="B93" s="54" t="s">
        <v>189</v>
      </c>
      <c r="C93" s="31">
        <v>4301051718</v>
      </c>
      <c r="D93" s="642">
        <v>4607091385731</v>
      </c>
      <c r="E93" s="643"/>
      <c r="F93" s="634">
        <v>0.45</v>
      </c>
      <c r="G93" s="32">
        <v>6</v>
      </c>
      <c r="H93" s="634">
        <v>2.7</v>
      </c>
      <c r="I93" s="634">
        <v>2.952</v>
      </c>
      <c r="J93" s="32">
        <v>182</v>
      </c>
      <c r="K93" s="32" t="s">
        <v>78</v>
      </c>
      <c r="L93" s="32"/>
      <c r="M93" s="33" t="s">
        <v>85</v>
      </c>
      <c r="N93" s="33"/>
      <c r="O93" s="32">
        <v>45</v>
      </c>
      <c r="P93" s="91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68</v>
      </c>
      <c r="X93" s="635">
        <v>0</v>
      </c>
      <c r="Y93" s="63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185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190</v>
      </c>
      <c r="B94" s="54" t="s">
        <v>191</v>
      </c>
      <c r="C94" s="31">
        <v>4301052092</v>
      </c>
      <c r="D94" s="642">
        <v>4680115880894</v>
      </c>
      <c r="E94" s="643"/>
      <c r="F94" s="634">
        <v>0.33</v>
      </c>
      <c r="G94" s="32">
        <v>6</v>
      </c>
      <c r="H94" s="634">
        <v>1.98</v>
      </c>
      <c r="I94" s="634">
        <v>2.238</v>
      </c>
      <c r="J94" s="32">
        <v>182</v>
      </c>
      <c r="K94" s="32" t="s">
        <v>78</v>
      </c>
      <c r="L94" s="32"/>
      <c r="M94" s="33" t="s">
        <v>79</v>
      </c>
      <c r="N94" s="33"/>
      <c r="O94" s="32">
        <v>45</v>
      </c>
      <c r="P94" s="70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68</v>
      </c>
      <c r="X94" s="635">
        <v>0</v>
      </c>
      <c r="Y94" s="63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5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66"/>
      <c r="P95" s="653" t="s">
        <v>73</v>
      </c>
      <c r="Q95" s="654"/>
      <c r="R95" s="654"/>
      <c r="S95" s="654"/>
      <c r="T95" s="654"/>
      <c r="U95" s="654"/>
      <c r="V95" s="655"/>
      <c r="W95" s="37" t="s">
        <v>74</v>
      </c>
      <c r="X95" s="637">
        <f>IFERROR(X91/H91,"0")+IFERROR(X92/H92,"0")+IFERROR(X93/H93,"0")+IFERROR(X94/H94,"0")</f>
        <v>0</v>
      </c>
      <c r="Y95" s="637">
        <f>IFERROR(Y91/H91,"0")+IFERROR(Y92/H92,"0")+IFERROR(Y93/H93,"0")+IFERROR(Y94/H94,"0")</f>
        <v>0</v>
      </c>
      <c r="Z95" s="637">
        <f>IFERROR(IF(Z91="",0,Z91),"0")+IFERROR(IF(Z92="",0,Z92),"0")+IFERROR(IF(Z93="",0,Z93),"0")+IFERROR(IF(Z94="",0,Z94),"0")</f>
        <v>0</v>
      </c>
      <c r="AA95" s="638"/>
      <c r="AB95" s="638"/>
      <c r="AC95" s="638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66"/>
      <c r="P96" s="653" t="s">
        <v>73</v>
      </c>
      <c r="Q96" s="654"/>
      <c r="R96" s="654"/>
      <c r="S96" s="654"/>
      <c r="T96" s="654"/>
      <c r="U96" s="654"/>
      <c r="V96" s="655"/>
      <c r="W96" s="37" t="s">
        <v>68</v>
      </c>
      <c r="X96" s="637">
        <f>IFERROR(SUM(X91:X94),"0")</f>
        <v>0</v>
      </c>
      <c r="Y96" s="637">
        <f>IFERROR(SUM(Y91:Y94),"0")</f>
        <v>0</v>
      </c>
      <c r="Z96" s="37"/>
      <c r="AA96" s="638"/>
      <c r="AB96" s="638"/>
      <c r="AC96" s="638"/>
    </row>
    <row r="97" spans="1:68" ht="16.5" customHeight="1" x14ac:dyDescent="0.25">
      <c r="A97" s="648" t="s">
        <v>193</v>
      </c>
      <c r="B97" s="649"/>
      <c r="C97" s="649"/>
      <c r="D97" s="649"/>
      <c r="E97" s="649"/>
      <c r="F97" s="649"/>
      <c r="G97" s="649"/>
      <c r="H97" s="649"/>
      <c r="I97" s="649"/>
      <c r="J97" s="649"/>
      <c r="K97" s="649"/>
      <c r="L97" s="649"/>
      <c r="M97" s="649"/>
      <c r="N97" s="649"/>
      <c r="O97" s="649"/>
      <c r="P97" s="649"/>
      <c r="Q97" s="649"/>
      <c r="R97" s="649"/>
      <c r="S97" s="649"/>
      <c r="T97" s="649"/>
      <c r="U97" s="649"/>
      <c r="V97" s="649"/>
      <c r="W97" s="649"/>
      <c r="X97" s="649"/>
      <c r="Y97" s="649"/>
      <c r="Z97" s="649"/>
      <c r="AA97" s="629"/>
      <c r="AB97" s="629"/>
      <c r="AC97" s="629"/>
    </row>
    <row r="98" spans="1:68" ht="14.25" customHeight="1" x14ac:dyDescent="0.25">
      <c r="A98" s="652" t="s">
        <v>112</v>
      </c>
      <c r="B98" s="649"/>
      <c r="C98" s="649"/>
      <c r="D98" s="649"/>
      <c r="E98" s="649"/>
      <c r="F98" s="649"/>
      <c r="G98" s="649"/>
      <c r="H98" s="649"/>
      <c r="I98" s="649"/>
      <c r="J98" s="649"/>
      <c r="K98" s="649"/>
      <c r="L98" s="649"/>
      <c r="M98" s="649"/>
      <c r="N98" s="649"/>
      <c r="O98" s="649"/>
      <c r="P98" s="649"/>
      <c r="Q98" s="649"/>
      <c r="R98" s="649"/>
      <c r="S98" s="649"/>
      <c r="T98" s="649"/>
      <c r="U98" s="649"/>
      <c r="V98" s="649"/>
      <c r="W98" s="649"/>
      <c r="X98" s="649"/>
      <c r="Y98" s="649"/>
      <c r="Z98" s="649"/>
      <c r="AA98" s="630"/>
      <c r="AB98" s="630"/>
      <c r="AC98" s="630"/>
    </row>
    <row r="99" spans="1:68" ht="37.5" customHeight="1" x14ac:dyDescent="0.25">
      <c r="A99" s="54" t="s">
        <v>194</v>
      </c>
      <c r="B99" s="54" t="s">
        <v>195</v>
      </c>
      <c r="C99" s="31">
        <v>4301011514</v>
      </c>
      <c r="D99" s="642">
        <v>4680115882133</v>
      </c>
      <c r="E99" s="643"/>
      <c r="F99" s="634">
        <v>1.35</v>
      </c>
      <c r="G99" s="32">
        <v>8</v>
      </c>
      <c r="H99" s="634">
        <v>10.8</v>
      </c>
      <c r="I99" s="634">
        <v>11.21</v>
      </c>
      <c r="J99" s="32">
        <v>64</v>
      </c>
      <c r="K99" s="32" t="s">
        <v>115</v>
      </c>
      <c r="L99" s="32"/>
      <c r="M99" s="33" t="s">
        <v>116</v>
      </c>
      <c r="N99" s="33"/>
      <c r="O99" s="32">
        <v>50</v>
      </c>
      <c r="P99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68</v>
      </c>
      <c r="X99" s="635">
        <v>0</v>
      </c>
      <c r="Y99" s="636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197</v>
      </c>
      <c r="B100" s="54" t="s">
        <v>198</v>
      </c>
      <c r="C100" s="31">
        <v>4301012051</v>
      </c>
      <c r="D100" s="642">
        <v>4680115887718</v>
      </c>
      <c r="E100" s="643"/>
      <c r="F100" s="634">
        <v>0.11</v>
      </c>
      <c r="G100" s="32">
        <v>10</v>
      </c>
      <c r="H100" s="634">
        <v>1.1000000000000001</v>
      </c>
      <c r="I100" s="634">
        <v>1.31</v>
      </c>
      <c r="J100" s="32">
        <v>192</v>
      </c>
      <c r="K100" s="32" t="s">
        <v>120</v>
      </c>
      <c r="L100" s="32"/>
      <c r="M100" s="33" t="s">
        <v>67</v>
      </c>
      <c r="N100" s="33"/>
      <c r="O100" s="32">
        <v>30</v>
      </c>
      <c r="P100" s="7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68</v>
      </c>
      <c r="X100" s="635">
        <v>0</v>
      </c>
      <c r="Y100" s="636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199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197</v>
      </c>
      <c r="B101" s="54" t="s">
        <v>200</v>
      </c>
      <c r="C101" s="31">
        <v>4301012334</v>
      </c>
      <c r="D101" s="642">
        <v>4680115887718</v>
      </c>
      <c r="E101" s="643"/>
      <c r="F101" s="634">
        <v>0.11</v>
      </c>
      <c r="G101" s="32">
        <v>8</v>
      </c>
      <c r="H101" s="634">
        <v>0.88</v>
      </c>
      <c r="I101" s="634">
        <v>1.0680000000000001</v>
      </c>
      <c r="J101" s="32">
        <v>192</v>
      </c>
      <c r="K101" s="32" t="s">
        <v>120</v>
      </c>
      <c r="L101" s="32"/>
      <c r="M101" s="33" t="s">
        <v>67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68</v>
      </c>
      <c r="X101" s="635">
        <v>0</v>
      </c>
      <c r="Y101" s="636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199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197</v>
      </c>
      <c r="B102" s="54" t="s">
        <v>201</v>
      </c>
      <c r="C102" s="31">
        <v>4301012379</v>
      </c>
      <c r="D102" s="642">
        <v>4680115887718</v>
      </c>
      <c r="E102" s="643"/>
      <c r="F102" s="634">
        <v>0.11</v>
      </c>
      <c r="G102" s="32">
        <v>6</v>
      </c>
      <c r="H102" s="634">
        <v>0.66</v>
      </c>
      <c r="I102" s="634">
        <v>0.82599999999999996</v>
      </c>
      <c r="J102" s="32">
        <v>192</v>
      </c>
      <c r="K102" s="32" t="s">
        <v>120</v>
      </c>
      <c r="L102" s="32"/>
      <c r="M102" s="33" t="s">
        <v>67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68</v>
      </c>
      <c r="X102" s="635">
        <v>0</v>
      </c>
      <c r="Y102" s="636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4301011417</v>
      </c>
      <c r="D103" s="642">
        <v>4680115880269</v>
      </c>
      <c r="E103" s="643"/>
      <c r="F103" s="634">
        <v>0.375</v>
      </c>
      <c r="G103" s="32">
        <v>10</v>
      </c>
      <c r="H103" s="634">
        <v>3.75</v>
      </c>
      <c r="I103" s="634">
        <v>3.94</v>
      </c>
      <c r="J103" s="32">
        <v>132</v>
      </c>
      <c r="K103" s="32" t="s">
        <v>124</v>
      </c>
      <c r="L103" s="32"/>
      <c r="M103" s="33" t="s">
        <v>79</v>
      </c>
      <c r="N103" s="33"/>
      <c r="O103" s="32">
        <v>50</v>
      </c>
      <c r="P103" s="7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68</v>
      </c>
      <c r="X103" s="635">
        <v>0</v>
      </c>
      <c r="Y103" s="636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196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4301011415</v>
      </c>
      <c r="D104" s="642">
        <v>4680115880429</v>
      </c>
      <c r="E104" s="643"/>
      <c r="F104" s="634">
        <v>0.45</v>
      </c>
      <c r="G104" s="32">
        <v>10</v>
      </c>
      <c r="H104" s="634">
        <v>4.5</v>
      </c>
      <c r="I104" s="634">
        <v>4.6900000000000004</v>
      </c>
      <c r="J104" s="32">
        <v>132</v>
      </c>
      <c r="K104" s="32" t="s">
        <v>124</v>
      </c>
      <c r="L104" s="32"/>
      <c r="M104" s="33" t="s">
        <v>79</v>
      </c>
      <c r="N104" s="33"/>
      <c r="O104" s="32">
        <v>50</v>
      </c>
      <c r="P104" s="6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68</v>
      </c>
      <c r="X104" s="635">
        <v>0</v>
      </c>
      <c r="Y104" s="636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196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206</v>
      </c>
      <c r="B105" s="54" t="s">
        <v>207</v>
      </c>
      <c r="C105" s="31">
        <v>4301011462</v>
      </c>
      <c r="D105" s="642">
        <v>4680115881457</v>
      </c>
      <c r="E105" s="643"/>
      <c r="F105" s="634">
        <v>0.75</v>
      </c>
      <c r="G105" s="32">
        <v>6</v>
      </c>
      <c r="H105" s="634">
        <v>4.5</v>
      </c>
      <c r="I105" s="634">
        <v>4.6900000000000004</v>
      </c>
      <c r="J105" s="32">
        <v>132</v>
      </c>
      <c r="K105" s="32" t="s">
        <v>124</v>
      </c>
      <c r="L105" s="32"/>
      <c r="M105" s="33" t="s">
        <v>79</v>
      </c>
      <c r="N105" s="33"/>
      <c r="O105" s="32">
        <v>50</v>
      </c>
      <c r="P105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68</v>
      </c>
      <c r="X105" s="635">
        <v>0</v>
      </c>
      <c r="Y105" s="636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5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66"/>
      <c r="P106" s="653" t="s">
        <v>73</v>
      </c>
      <c r="Q106" s="654"/>
      <c r="R106" s="654"/>
      <c r="S106" s="654"/>
      <c r="T106" s="654"/>
      <c r="U106" s="654"/>
      <c r="V106" s="655"/>
      <c r="W106" s="37" t="s">
        <v>74</v>
      </c>
      <c r="X106" s="637">
        <f>IFERROR(X99/H99,"0")+IFERROR(X100/H100,"0")+IFERROR(X101/H101,"0")+IFERROR(X102/H102,"0")+IFERROR(X103/H103,"0")+IFERROR(X104/H104,"0")+IFERROR(X105/H105,"0")</f>
        <v>0</v>
      </c>
      <c r="Y106" s="637">
        <f>IFERROR(Y99/H99,"0")+IFERROR(Y100/H100,"0")+IFERROR(Y101/H101,"0")+IFERROR(Y102/H102,"0")+IFERROR(Y103/H103,"0")+IFERROR(Y104/H104,"0")+IFERROR(Y105/H105,"0")</f>
        <v>0</v>
      </c>
      <c r="Z106" s="637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8"/>
      <c r="AB106" s="638"/>
      <c r="AC106" s="638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66"/>
      <c r="P107" s="653" t="s">
        <v>73</v>
      </c>
      <c r="Q107" s="654"/>
      <c r="R107" s="654"/>
      <c r="S107" s="654"/>
      <c r="T107" s="654"/>
      <c r="U107" s="654"/>
      <c r="V107" s="655"/>
      <c r="W107" s="37" t="s">
        <v>68</v>
      </c>
      <c r="X107" s="637">
        <f>IFERROR(SUM(X99:X105),"0")</f>
        <v>0</v>
      </c>
      <c r="Y107" s="637">
        <f>IFERROR(SUM(Y99:Y105),"0")</f>
        <v>0</v>
      </c>
      <c r="Z107" s="37"/>
      <c r="AA107" s="638"/>
      <c r="AB107" s="638"/>
      <c r="AC107" s="638"/>
    </row>
    <row r="108" spans="1:68" ht="14.25" customHeight="1" x14ac:dyDescent="0.25">
      <c r="A108" s="652" t="s">
        <v>148</v>
      </c>
      <c r="B108" s="649"/>
      <c r="C108" s="649"/>
      <c r="D108" s="649"/>
      <c r="E108" s="649"/>
      <c r="F108" s="649"/>
      <c r="G108" s="649"/>
      <c r="H108" s="649"/>
      <c r="I108" s="649"/>
      <c r="J108" s="649"/>
      <c r="K108" s="649"/>
      <c r="L108" s="649"/>
      <c r="M108" s="649"/>
      <c r="N108" s="649"/>
      <c r="O108" s="649"/>
      <c r="P108" s="649"/>
      <c r="Q108" s="649"/>
      <c r="R108" s="649"/>
      <c r="S108" s="649"/>
      <c r="T108" s="649"/>
      <c r="U108" s="649"/>
      <c r="V108" s="649"/>
      <c r="W108" s="649"/>
      <c r="X108" s="649"/>
      <c r="Y108" s="649"/>
      <c r="Z108" s="649"/>
      <c r="AA108" s="630"/>
      <c r="AB108" s="630"/>
      <c r="AC108" s="630"/>
    </row>
    <row r="109" spans="1:68" ht="27" customHeight="1" x14ac:dyDescent="0.25">
      <c r="A109" s="54" t="s">
        <v>208</v>
      </c>
      <c r="B109" s="54" t="s">
        <v>209</v>
      </c>
      <c r="C109" s="31">
        <v>4301020391</v>
      </c>
      <c r="D109" s="642">
        <v>4680115881488</v>
      </c>
      <c r="E109" s="643"/>
      <c r="F109" s="634">
        <v>1.35</v>
      </c>
      <c r="G109" s="32">
        <v>8</v>
      </c>
      <c r="H109" s="634">
        <v>10.8</v>
      </c>
      <c r="I109" s="634">
        <v>11.21</v>
      </c>
      <c r="J109" s="32">
        <v>64</v>
      </c>
      <c r="K109" s="32" t="s">
        <v>115</v>
      </c>
      <c r="L109" s="32"/>
      <c r="M109" s="33" t="s">
        <v>116</v>
      </c>
      <c r="N109" s="33"/>
      <c r="O109" s="32">
        <v>55</v>
      </c>
      <c r="P109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68</v>
      </c>
      <c r="X109" s="635">
        <v>0</v>
      </c>
      <c r="Y109" s="63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211</v>
      </c>
      <c r="B110" s="54" t="s">
        <v>212</v>
      </c>
      <c r="C110" s="31">
        <v>4301020186</v>
      </c>
      <c r="D110" s="642">
        <v>4680115887664</v>
      </c>
      <c r="E110" s="643"/>
      <c r="F110" s="634">
        <v>0.1</v>
      </c>
      <c r="G110" s="32">
        <v>10</v>
      </c>
      <c r="H110" s="634">
        <v>1</v>
      </c>
      <c r="I110" s="634">
        <v>1.21</v>
      </c>
      <c r="J110" s="32">
        <v>392</v>
      </c>
      <c r="K110" s="32" t="s">
        <v>213</v>
      </c>
      <c r="L110" s="32"/>
      <c r="M110" s="33" t="s">
        <v>67</v>
      </c>
      <c r="N110" s="33"/>
      <c r="O110" s="32">
        <v>30</v>
      </c>
      <c r="P110" s="9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68</v>
      </c>
      <c r="X110" s="635">
        <v>0</v>
      </c>
      <c r="Y110" s="63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214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211</v>
      </c>
      <c r="B111" s="54" t="s">
        <v>215</v>
      </c>
      <c r="C111" s="31">
        <v>4301020430</v>
      </c>
      <c r="D111" s="642">
        <v>4680115887664</v>
      </c>
      <c r="E111" s="643"/>
      <c r="F111" s="634">
        <v>0.1</v>
      </c>
      <c r="G111" s="32">
        <v>8</v>
      </c>
      <c r="H111" s="634">
        <v>0.8</v>
      </c>
      <c r="I111" s="634">
        <v>0.98799999999999999</v>
      </c>
      <c r="J111" s="32">
        <v>392</v>
      </c>
      <c r="K111" s="32" t="s">
        <v>213</v>
      </c>
      <c r="L111" s="32"/>
      <c r="M111" s="33" t="s">
        <v>67</v>
      </c>
      <c r="N111" s="33"/>
      <c r="O111" s="32">
        <v>30</v>
      </c>
      <c r="P111" s="92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68</v>
      </c>
      <c r="X111" s="635">
        <v>0</v>
      </c>
      <c r="Y111" s="636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214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216</v>
      </c>
      <c r="B112" s="54" t="s">
        <v>217</v>
      </c>
      <c r="C112" s="31">
        <v>4301020393</v>
      </c>
      <c r="D112" s="642">
        <v>4680115882775</v>
      </c>
      <c r="E112" s="643"/>
      <c r="F112" s="634">
        <v>0.3</v>
      </c>
      <c r="G112" s="32">
        <v>8</v>
      </c>
      <c r="H112" s="634">
        <v>2.4</v>
      </c>
      <c r="I112" s="634">
        <v>2.5</v>
      </c>
      <c r="J112" s="32">
        <v>234</v>
      </c>
      <c r="K112" s="32" t="s">
        <v>66</v>
      </c>
      <c r="L112" s="32"/>
      <c r="M112" s="33" t="s">
        <v>116</v>
      </c>
      <c r="N112" s="33"/>
      <c r="O112" s="32">
        <v>55</v>
      </c>
      <c r="P112" s="92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68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210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218</v>
      </c>
      <c r="B113" s="54" t="s">
        <v>219</v>
      </c>
      <c r="C113" s="31">
        <v>4301020392</v>
      </c>
      <c r="D113" s="642">
        <v>4680115880658</v>
      </c>
      <c r="E113" s="643"/>
      <c r="F113" s="634">
        <v>0.4</v>
      </c>
      <c r="G113" s="32">
        <v>6</v>
      </c>
      <c r="H113" s="634">
        <v>2.4</v>
      </c>
      <c r="I113" s="634">
        <v>2.58</v>
      </c>
      <c r="J113" s="32">
        <v>182</v>
      </c>
      <c r="K113" s="32" t="s">
        <v>78</v>
      </c>
      <c r="L113" s="32"/>
      <c r="M113" s="33" t="s">
        <v>116</v>
      </c>
      <c r="N113" s="33"/>
      <c r="O113" s="32">
        <v>55</v>
      </c>
      <c r="P113" s="7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68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210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5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66"/>
      <c r="P114" s="653" t="s">
        <v>73</v>
      </c>
      <c r="Q114" s="654"/>
      <c r="R114" s="654"/>
      <c r="S114" s="654"/>
      <c r="T114" s="654"/>
      <c r="U114" s="654"/>
      <c r="V114" s="655"/>
      <c r="W114" s="37" t="s">
        <v>74</v>
      </c>
      <c r="X114" s="637">
        <f>IFERROR(X109/H109,"0")+IFERROR(X110/H110,"0")+IFERROR(X111/H111,"0")+IFERROR(X112/H112,"0")+IFERROR(X113/H113,"0")</f>
        <v>0</v>
      </c>
      <c r="Y114" s="637">
        <f>IFERROR(Y109/H109,"0")+IFERROR(Y110/H110,"0")+IFERROR(Y111/H111,"0")+IFERROR(Y112/H112,"0")+IFERROR(Y113/H113,"0")</f>
        <v>0</v>
      </c>
      <c r="Z114" s="637">
        <f>IFERROR(IF(Z109="",0,Z109),"0")+IFERROR(IF(Z110="",0,Z110),"0")+IFERROR(IF(Z111="",0,Z111),"0")+IFERROR(IF(Z112="",0,Z112),"0")+IFERROR(IF(Z113="",0,Z113),"0")</f>
        <v>0</v>
      </c>
      <c r="AA114" s="638"/>
      <c r="AB114" s="638"/>
      <c r="AC114" s="638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66"/>
      <c r="P115" s="653" t="s">
        <v>73</v>
      </c>
      <c r="Q115" s="654"/>
      <c r="R115" s="654"/>
      <c r="S115" s="654"/>
      <c r="T115" s="654"/>
      <c r="U115" s="654"/>
      <c r="V115" s="655"/>
      <c r="W115" s="37" t="s">
        <v>68</v>
      </c>
      <c r="X115" s="637">
        <f>IFERROR(SUM(X109:X113),"0")</f>
        <v>0</v>
      </c>
      <c r="Y115" s="637">
        <f>IFERROR(SUM(Y109:Y113),"0")</f>
        <v>0</v>
      </c>
      <c r="Z115" s="37"/>
      <c r="AA115" s="638"/>
      <c r="AB115" s="638"/>
      <c r="AC115" s="638"/>
    </row>
    <row r="116" spans="1:68" ht="14.25" customHeight="1" x14ac:dyDescent="0.25">
      <c r="A116" s="652" t="s">
        <v>75</v>
      </c>
      <c r="B116" s="649"/>
      <c r="C116" s="649"/>
      <c r="D116" s="649"/>
      <c r="E116" s="649"/>
      <c r="F116" s="649"/>
      <c r="G116" s="649"/>
      <c r="H116" s="649"/>
      <c r="I116" s="649"/>
      <c r="J116" s="649"/>
      <c r="K116" s="649"/>
      <c r="L116" s="649"/>
      <c r="M116" s="649"/>
      <c r="N116" s="649"/>
      <c r="O116" s="649"/>
      <c r="P116" s="649"/>
      <c r="Q116" s="649"/>
      <c r="R116" s="649"/>
      <c r="S116" s="649"/>
      <c r="T116" s="649"/>
      <c r="U116" s="649"/>
      <c r="V116" s="649"/>
      <c r="W116" s="649"/>
      <c r="X116" s="649"/>
      <c r="Y116" s="649"/>
      <c r="Z116" s="649"/>
      <c r="AA116" s="630"/>
      <c r="AB116" s="630"/>
      <c r="AC116" s="630"/>
    </row>
    <row r="117" spans="1:68" ht="27" customHeight="1" x14ac:dyDescent="0.25">
      <c r="A117" s="54" t="s">
        <v>220</v>
      </c>
      <c r="B117" s="54" t="s">
        <v>221</v>
      </c>
      <c r="C117" s="31">
        <v>4301051724</v>
      </c>
      <c r="D117" s="642">
        <v>4607091385168</v>
      </c>
      <c r="E117" s="643"/>
      <c r="F117" s="634">
        <v>1.35</v>
      </c>
      <c r="G117" s="32">
        <v>6</v>
      </c>
      <c r="H117" s="634">
        <v>8.1</v>
      </c>
      <c r="I117" s="634">
        <v>8.5879999999999992</v>
      </c>
      <c r="J117" s="32">
        <v>64</v>
      </c>
      <c r="K117" s="32" t="s">
        <v>115</v>
      </c>
      <c r="L117" s="32"/>
      <c r="M117" s="33" t="s">
        <v>85</v>
      </c>
      <c r="N117" s="33"/>
      <c r="O117" s="32">
        <v>45</v>
      </c>
      <c r="P117" s="7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68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4301051730</v>
      </c>
      <c r="D118" s="642">
        <v>4607091383256</v>
      </c>
      <c r="E118" s="643"/>
      <c r="F118" s="634">
        <v>0.33</v>
      </c>
      <c r="G118" s="32">
        <v>6</v>
      </c>
      <c r="H118" s="634">
        <v>1.98</v>
      </c>
      <c r="I118" s="634">
        <v>2.226</v>
      </c>
      <c r="J118" s="32">
        <v>182</v>
      </c>
      <c r="K118" s="32" t="s">
        <v>78</v>
      </c>
      <c r="L118" s="32"/>
      <c r="M118" s="33" t="s">
        <v>85</v>
      </c>
      <c r="N118" s="33"/>
      <c r="O118" s="32">
        <v>45</v>
      </c>
      <c r="P118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68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225</v>
      </c>
      <c r="B119" s="54" t="s">
        <v>226</v>
      </c>
      <c r="C119" s="31">
        <v>4301051721</v>
      </c>
      <c r="D119" s="642">
        <v>4607091385748</v>
      </c>
      <c r="E119" s="643"/>
      <c r="F119" s="634">
        <v>0.45</v>
      </c>
      <c r="G119" s="32">
        <v>6</v>
      </c>
      <c r="H119" s="634">
        <v>2.7</v>
      </c>
      <c r="I119" s="634">
        <v>2.952</v>
      </c>
      <c r="J119" s="32">
        <v>182</v>
      </c>
      <c r="K119" s="32" t="s">
        <v>78</v>
      </c>
      <c r="L119" s="32"/>
      <c r="M119" s="33" t="s">
        <v>85</v>
      </c>
      <c r="N119" s="33"/>
      <c r="O119" s="32">
        <v>45</v>
      </c>
      <c r="P119" s="7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68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222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227</v>
      </c>
      <c r="B120" s="54" t="s">
        <v>228</v>
      </c>
      <c r="C120" s="31">
        <v>4301051740</v>
      </c>
      <c r="D120" s="642">
        <v>4680115884533</v>
      </c>
      <c r="E120" s="643"/>
      <c r="F120" s="634">
        <v>0.3</v>
      </c>
      <c r="G120" s="32">
        <v>6</v>
      </c>
      <c r="H120" s="634">
        <v>1.8</v>
      </c>
      <c r="I120" s="634">
        <v>1.98</v>
      </c>
      <c r="J120" s="32">
        <v>182</v>
      </c>
      <c r="K120" s="32" t="s">
        <v>78</v>
      </c>
      <c r="L120" s="32"/>
      <c r="M120" s="33" t="s">
        <v>79</v>
      </c>
      <c r="N120" s="33"/>
      <c r="O120" s="32">
        <v>45</v>
      </c>
      <c r="P120" s="71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68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229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5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66"/>
      <c r="P121" s="653" t="s">
        <v>73</v>
      </c>
      <c r="Q121" s="654"/>
      <c r="R121" s="654"/>
      <c r="S121" s="654"/>
      <c r="T121" s="654"/>
      <c r="U121" s="654"/>
      <c r="V121" s="655"/>
      <c r="W121" s="37" t="s">
        <v>74</v>
      </c>
      <c r="X121" s="637">
        <f>IFERROR(X117/H117,"0")+IFERROR(X118/H118,"0")+IFERROR(X119/H119,"0")+IFERROR(X120/H120,"0")</f>
        <v>0</v>
      </c>
      <c r="Y121" s="637">
        <f>IFERROR(Y117/H117,"0")+IFERROR(Y118/H118,"0")+IFERROR(Y119/H119,"0")+IFERROR(Y120/H120,"0")</f>
        <v>0</v>
      </c>
      <c r="Z121" s="637">
        <f>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66"/>
      <c r="P122" s="653" t="s">
        <v>73</v>
      </c>
      <c r="Q122" s="654"/>
      <c r="R122" s="654"/>
      <c r="S122" s="654"/>
      <c r="T122" s="654"/>
      <c r="U122" s="654"/>
      <c r="V122" s="655"/>
      <c r="W122" s="37" t="s">
        <v>68</v>
      </c>
      <c r="X122" s="637">
        <f>IFERROR(SUM(X117:X120),"0")</f>
        <v>0</v>
      </c>
      <c r="Y122" s="637">
        <f>IFERROR(SUM(Y117:Y120),"0")</f>
        <v>0</v>
      </c>
      <c r="Z122" s="37"/>
      <c r="AA122" s="638"/>
      <c r="AB122" s="638"/>
      <c r="AC122" s="638"/>
    </row>
    <row r="123" spans="1:68" ht="14.25" customHeight="1" x14ac:dyDescent="0.25">
      <c r="A123" s="652" t="s">
        <v>165</v>
      </c>
      <c r="B123" s="649"/>
      <c r="C123" s="649"/>
      <c r="D123" s="649"/>
      <c r="E123" s="649"/>
      <c r="F123" s="649"/>
      <c r="G123" s="649"/>
      <c r="H123" s="649"/>
      <c r="I123" s="649"/>
      <c r="J123" s="649"/>
      <c r="K123" s="649"/>
      <c r="L123" s="649"/>
      <c r="M123" s="649"/>
      <c r="N123" s="649"/>
      <c r="O123" s="649"/>
      <c r="P123" s="649"/>
      <c r="Q123" s="649"/>
      <c r="R123" s="649"/>
      <c r="S123" s="649"/>
      <c r="T123" s="649"/>
      <c r="U123" s="649"/>
      <c r="V123" s="649"/>
      <c r="W123" s="649"/>
      <c r="X123" s="649"/>
      <c r="Y123" s="649"/>
      <c r="Z123" s="649"/>
      <c r="AA123" s="630"/>
      <c r="AB123" s="630"/>
      <c r="AC123" s="630"/>
    </row>
    <row r="124" spans="1:68" ht="16.5" customHeight="1" x14ac:dyDescent="0.25">
      <c r="A124" s="54" t="s">
        <v>230</v>
      </c>
      <c r="B124" s="54" t="s">
        <v>231</v>
      </c>
      <c r="C124" s="31">
        <v>4301060317</v>
      </c>
      <c r="D124" s="642">
        <v>4680115880238</v>
      </c>
      <c r="E124" s="643"/>
      <c r="F124" s="634">
        <v>0.33</v>
      </c>
      <c r="G124" s="32">
        <v>6</v>
      </c>
      <c r="H124" s="634">
        <v>1.98</v>
      </c>
      <c r="I124" s="634">
        <v>2.238</v>
      </c>
      <c r="J124" s="32">
        <v>182</v>
      </c>
      <c r="K124" s="32" t="s">
        <v>78</v>
      </c>
      <c r="L124" s="32"/>
      <c r="M124" s="33" t="s">
        <v>79</v>
      </c>
      <c r="N124" s="33"/>
      <c r="O124" s="32">
        <v>40</v>
      </c>
      <c r="P124" s="9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68</v>
      </c>
      <c r="X124" s="635">
        <v>0</v>
      </c>
      <c r="Y124" s="63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232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5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66"/>
      <c r="P125" s="653" t="s">
        <v>73</v>
      </c>
      <c r="Q125" s="654"/>
      <c r="R125" s="654"/>
      <c r="S125" s="654"/>
      <c r="T125" s="654"/>
      <c r="U125" s="654"/>
      <c r="V125" s="655"/>
      <c r="W125" s="37" t="s">
        <v>74</v>
      </c>
      <c r="X125" s="637">
        <f>IFERROR(X124/H124,"0")</f>
        <v>0</v>
      </c>
      <c r="Y125" s="637">
        <f>IFERROR(Y124/H124,"0")</f>
        <v>0</v>
      </c>
      <c r="Z125" s="637">
        <f>IFERROR(IF(Z124="",0,Z124),"0")</f>
        <v>0</v>
      </c>
      <c r="AA125" s="638"/>
      <c r="AB125" s="638"/>
      <c r="AC125" s="638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66"/>
      <c r="P126" s="653" t="s">
        <v>73</v>
      </c>
      <c r="Q126" s="654"/>
      <c r="R126" s="654"/>
      <c r="S126" s="654"/>
      <c r="T126" s="654"/>
      <c r="U126" s="654"/>
      <c r="V126" s="655"/>
      <c r="W126" s="37" t="s">
        <v>68</v>
      </c>
      <c r="X126" s="637">
        <f>IFERROR(SUM(X124:X124),"0")</f>
        <v>0</v>
      </c>
      <c r="Y126" s="637">
        <f>IFERROR(SUM(Y124:Y124),"0")</f>
        <v>0</v>
      </c>
      <c r="Z126" s="37"/>
      <c r="AA126" s="638"/>
      <c r="AB126" s="638"/>
      <c r="AC126" s="638"/>
    </row>
    <row r="127" spans="1:68" ht="16.5" customHeight="1" x14ac:dyDescent="0.25">
      <c r="A127" s="648" t="s">
        <v>233</v>
      </c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49"/>
      <c r="P127" s="649"/>
      <c r="Q127" s="649"/>
      <c r="R127" s="649"/>
      <c r="S127" s="649"/>
      <c r="T127" s="649"/>
      <c r="U127" s="649"/>
      <c r="V127" s="649"/>
      <c r="W127" s="649"/>
      <c r="X127" s="649"/>
      <c r="Y127" s="649"/>
      <c r="Z127" s="649"/>
      <c r="AA127" s="629"/>
      <c r="AB127" s="629"/>
      <c r="AC127" s="629"/>
    </row>
    <row r="128" spans="1:68" ht="14.25" customHeight="1" x14ac:dyDescent="0.25">
      <c r="A128" s="652" t="s">
        <v>112</v>
      </c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49"/>
      <c r="P128" s="649"/>
      <c r="Q128" s="649"/>
      <c r="R128" s="649"/>
      <c r="S128" s="649"/>
      <c r="T128" s="649"/>
      <c r="U128" s="649"/>
      <c r="V128" s="649"/>
      <c r="W128" s="649"/>
      <c r="X128" s="649"/>
      <c r="Y128" s="649"/>
      <c r="Z128" s="649"/>
      <c r="AA128" s="630"/>
      <c r="AB128" s="630"/>
      <c r="AC128" s="630"/>
    </row>
    <row r="129" spans="1:68" ht="27" customHeight="1" x14ac:dyDescent="0.25">
      <c r="A129" s="54" t="s">
        <v>234</v>
      </c>
      <c r="B129" s="54" t="s">
        <v>235</v>
      </c>
      <c r="C129" s="31">
        <v>4301012347</v>
      </c>
      <c r="D129" s="642">
        <v>4680115888784</v>
      </c>
      <c r="E129" s="643"/>
      <c r="F129" s="634">
        <v>1</v>
      </c>
      <c r="G129" s="32">
        <v>6</v>
      </c>
      <c r="H129" s="634">
        <v>6</v>
      </c>
      <c r="I129" s="634">
        <v>6.38</v>
      </c>
      <c r="J129" s="32">
        <v>104</v>
      </c>
      <c r="K129" s="32" t="s">
        <v>115</v>
      </c>
      <c r="L129" s="32"/>
      <c r="M129" s="33" t="s">
        <v>236</v>
      </c>
      <c r="N129" s="33"/>
      <c r="O129" s="32">
        <v>90</v>
      </c>
      <c r="P129" s="75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68</v>
      </c>
      <c r="X129" s="635">
        <v>0</v>
      </c>
      <c r="Y129" s="636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237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238</v>
      </c>
      <c r="B130" s="54" t="s">
        <v>239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78</v>
      </c>
      <c r="L130" s="32"/>
      <c r="M130" s="33" t="s">
        <v>240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68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241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238</v>
      </c>
      <c r="B131" s="54" t="s">
        <v>242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78</v>
      </c>
      <c r="L131" s="32"/>
      <c r="M131" s="33" t="s">
        <v>240</v>
      </c>
      <c r="N131" s="33"/>
      <c r="O131" s="32">
        <v>90</v>
      </c>
      <c r="P131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68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5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66"/>
      <c r="P132" s="653" t="s">
        <v>73</v>
      </c>
      <c r="Q132" s="654"/>
      <c r="R132" s="654"/>
      <c r="S132" s="654"/>
      <c r="T132" s="654"/>
      <c r="U132" s="654"/>
      <c r="V132" s="655"/>
      <c r="W132" s="37" t="s">
        <v>74</v>
      </c>
      <c r="X132" s="637">
        <f>IFERROR(X129/H129,"0")+IFERROR(X130/H130,"0")+IFERROR(X131/H131,"0")</f>
        <v>0</v>
      </c>
      <c r="Y132" s="637">
        <f>IFERROR(Y129/H129,"0")+IFERROR(Y130/H130,"0")+IFERROR(Y131/H131,"0")</f>
        <v>0</v>
      </c>
      <c r="Z132" s="637">
        <f>IFERROR(IF(Z129="",0,Z129),"0")+IFERROR(IF(Z130="",0,Z130),"0")+IFERROR(IF(Z131="",0,Z131),"0")</f>
        <v>0</v>
      </c>
      <c r="AA132" s="638"/>
      <c r="AB132" s="638"/>
      <c r="AC132" s="638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66"/>
      <c r="P133" s="653" t="s">
        <v>73</v>
      </c>
      <c r="Q133" s="654"/>
      <c r="R133" s="654"/>
      <c r="S133" s="654"/>
      <c r="T133" s="654"/>
      <c r="U133" s="654"/>
      <c r="V133" s="655"/>
      <c r="W133" s="37" t="s">
        <v>68</v>
      </c>
      <c r="X133" s="637">
        <f>IFERROR(SUM(X129:X131),"0")</f>
        <v>0</v>
      </c>
      <c r="Y133" s="637">
        <f>IFERROR(SUM(Y129:Y131),"0")</f>
        <v>0</v>
      </c>
      <c r="Z133" s="37"/>
      <c r="AA133" s="638"/>
      <c r="AB133" s="638"/>
      <c r="AC133" s="638"/>
    </row>
    <row r="134" spans="1:68" ht="14.25" customHeight="1" x14ac:dyDescent="0.25">
      <c r="A134" s="652" t="s">
        <v>63</v>
      </c>
      <c r="B134" s="649"/>
      <c r="C134" s="649"/>
      <c r="D134" s="649"/>
      <c r="E134" s="649"/>
      <c r="F134" s="649"/>
      <c r="G134" s="649"/>
      <c r="H134" s="649"/>
      <c r="I134" s="649"/>
      <c r="J134" s="649"/>
      <c r="K134" s="649"/>
      <c r="L134" s="649"/>
      <c r="M134" s="649"/>
      <c r="N134" s="649"/>
      <c r="O134" s="649"/>
      <c r="P134" s="649"/>
      <c r="Q134" s="649"/>
      <c r="R134" s="649"/>
      <c r="S134" s="649"/>
      <c r="T134" s="649"/>
      <c r="U134" s="649"/>
      <c r="V134" s="649"/>
      <c r="W134" s="649"/>
      <c r="X134" s="649"/>
      <c r="Y134" s="649"/>
      <c r="Z134" s="649"/>
      <c r="AA134" s="630"/>
      <c r="AB134" s="630"/>
      <c r="AC134" s="630"/>
    </row>
    <row r="135" spans="1:68" ht="16.5" customHeight="1" x14ac:dyDescent="0.25">
      <c r="A135" s="54" t="s">
        <v>243</v>
      </c>
      <c r="B135" s="54" t="s">
        <v>244</v>
      </c>
      <c r="C135" s="31">
        <v>4301031506</v>
      </c>
      <c r="D135" s="642">
        <v>4680115888913</v>
      </c>
      <c r="E135" s="643"/>
      <c r="F135" s="634">
        <v>0.7</v>
      </c>
      <c r="G135" s="32">
        <v>6</v>
      </c>
      <c r="H135" s="634">
        <v>4.2</v>
      </c>
      <c r="I135" s="634">
        <v>4.58</v>
      </c>
      <c r="J135" s="32">
        <v>104</v>
      </c>
      <c r="K135" s="32" t="s">
        <v>115</v>
      </c>
      <c r="L135" s="32"/>
      <c r="M135" s="33" t="s">
        <v>236</v>
      </c>
      <c r="N135" s="33"/>
      <c r="O135" s="32">
        <v>90</v>
      </c>
      <c r="P135" s="95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68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246</v>
      </c>
      <c r="B136" s="54" t="s">
        <v>247</v>
      </c>
      <c r="C136" s="31">
        <v>4301031234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78</v>
      </c>
      <c r="L136" s="32"/>
      <c r="M136" s="33" t="s">
        <v>240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68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246</v>
      </c>
      <c r="B137" s="54" t="s">
        <v>249</v>
      </c>
      <c r="C137" s="31">
        <v>4301031235</v>
      </c>
      <c r="D137" s="642">
        <v>4680115883444</v>
      </c>
      <c r="E137" s="643"/>
      <c r="F137" s="634">
        <v>0.35</v>
      </c>
      <c r="G137" s="32">
        <v>8</v>
      </c>
      <c r="H137" s="634">
        <v>2.8</v>
      </c>
      <c r="I137" s="634">
        <v>3.0680000000000001</v>
      </c>
      <c r="J137" s="32">
        <v>182</v>
      </c>
      <c r="K137" s="32" t="s">
        <v>78</v>
      </c>
      <c r="L137" s="32"/>
      <c r="M137" s="33" t="s">
        <v>240</v>
      </c>
      <c r="N137" s="33"/>
      <c r="O137" s="32">
        <v>90</v>
      </c>
      <c r="P137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68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248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250</v>
      </c>
      <c r="B138" s="54" t="s">
        <v>251</v>
      </c>
      <c r="C138" s="31">
        <v>4301031504</v>
      </c>
      <c r="D138" s="642">
        <v>4680115888920</v>
      </c>
      <c r="E138" s="643"/>
      <c r="F138" s="634">
        <v>0.35</v>
      </c>
      <c r="G138" s="32">
        <v>8</v>
      </c>
      <c r="H138" s="634">
        <v>2.8</v>
      </c>
      <c r="I138" s="634">
        <v>2.94</v>
      </c>
      <c r="J138" s="32">
        <v>234</v>
      </c>
      <c r="K138" s="32" t="s">
        <v>66</v>
      </c>
      <c r="L138" s="32"/>
      <c r="M138" s="33" t="s">
        <v>236</v>
      </c>
      <c r="N138" s="33"/>
      <c r="O138" s="32">
        <v>90</v>
      </c>
      <c r="P138" s="82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68</v>
      </c>
      <c r="X138" s="635">
        <v>0</v>
      </c>
      <c r="Y138" s="636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245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5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66"/>
      <c r="P139" s="653" t="s">
        <v>73</v>
      </c>
      <c r="Q139" s="654"/>
      <c r="R139" s="654"/>
      <c r="S139" s="654"/>
      <c r="T139" s="654"/>
      <c r="U139" s="654"/>
      <c r="V139" s="655"/>
      <c r="W139" s="37" t="s">
        <v>74</v>
      </c>
      <c r="X139" s="637">
        <f>IFERROR(X135/H135,"0")+IFERROR(X136/H136,"0")+IFERROR(X137/H137,"0")+IFERROR(X138/H138,"0")</f>
        <v>0</v>
      </c>
      <c r="Y139" s="637">
        <f>IFERROR(Y135/H135,"0")+IFERROR(Y136/H136,"0")+IFERROR(Y137/H137,"0")+IFERROR(Y138/H138,"0")</f>
        <v>0</v>
      </c>
      <c r="Z139" s="637">
        <f>IFERROR(IF(Z135="",0,Z135),"0")+IFERROR(IF(Z136="",0,Z136),"0")+IFERROR(IF(Z137="",0,Z137),"0")+IFERROR(IF(Z138="",0,Z138),"0")</f>
        <v>0</v>
      </c>
      <c r="AA139" s="638"/>
      <c r="AB139" s="638"/>
      <c r="AC139" s="638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66"/>
      <c r="P140" s="653" t="s">
        <v>73</v>
      </c>
      <c r="Q140" s="654"/>
      <c r="R140" s="654"/>
      <c r="S140" s="654"/>
      <c r="T140" s="654"/>
      <c r="U140" s="654"/>
      <c r="V140" s="655"/>
      <c r="W140" s="37" t="s">
        <v>68</v>
      </c>
      <c r="X140" s="637">
        <f>IFERROR(SUM(X135:X138),"0")</f>
        <v>0</v>
      </c>
      <c r="Y140" s="637">
        <f>IFERROR(SUM(Y135:Y138),"0")</f>
        <v>0</v>
      </c>
      <c r="Z140" s="37"/>
      <c r="AA140" s="638"/>
      <c r="AB140" s="638"/>
      <c r="AC140" s="638"/>
    </row>
    <row r="141" spans="1:68" ht="14.25" customHeight="1" x14ac:dyDescent="0.25">
      <c r="A141" s="652" t="s">
        <v>75</v>
      </c>
      <c r="B141" s="649"/>
      <c r="C141" s="649"/>
      <c r="D141" s="649"/>
      <c r="E141" s="649"/>
      <c r="F141" s="649"/>
      <c r="G141" s="649"/>
      <c r="H141" s="649"/>
      <c r="I141" s="649"/>
      <c r="J141" s="649"/>
      <c r="K141" s="649"/>
      <c r="L141" s="649"/>
      <c r="M141" s="649"/>
      <c r="N141" s="649"/>
      <c r="O141" s="649"/>
      <c r="P141" s="649"/>
      <c r="Q141" s="649"/>
      <c r="R141" s="649"/>
      <c r="S141" s="649"/>
      <c r="T141" s="649"/>
      <c r="U141" s="649"/>
      <c r="V141" s="649"/>
      <c r="W141" s="649"/>
      <c r="X141" s="649"/>
      <c r="Y141" s="649"/>
      <c r="Z141" s="649"/>
      <c r="AA141" s="630"/>
      <c r="AB141" s="630"/>
      <c r="AC141" s="630"/>
    </row>
    <row r="142" spans="1:68" ht="16.5" customHeight="1" x14ac:dyDescent="0.25">
      <c r="A142" s="54" t="s">
        <v>252</v>
      </c>
      <c r="B142" s="54" t="s">
        <v>253</v>
      </c>
      <c r="C142" s="31">
        <v>4301052219</v>
      </c>
      <c r="D142" s="642">
        <v>4680115888944</v>
      </c>
      <c r="E142" s="643"/>
      <c r="F142" s="634">
        <v>0.33</v>
      </c>
      <c r="G142" s="32">
        <v>8</v>
      </c>
      <c r="H142" s="634">
        <v>2.64</v>
      </c>
      <c r="I142" s="634">
        <v>2.86</v>
      </c>
      <c r="J142" s="32">
        <v>182</v>
      </c>
      <c r="K142" s="32" t="s">
        <v>78</v>
      </c>
      <c r="L142" s="32"/>
      <c r="M142" s="33" t="s">
        <v>236</v>
      </c>
      <c r="N142" s="33"/>
      <c r="O142" s="32">
        <v>90</v>
      </c>
      <c r="P142" s="77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68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237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254</v>
      </c>
      <c r="B143" s="54" t="s">
        <v>255</v>
      </c>
      <c r="C143" s="31">
        <v>4301051476</v>
      </c>
      <c r="D143" s="642">
        <v>4680115882584</v>
      </c>
      <c r="E143" s="643"/>
      <c r="F143" s="634">
        <v>0.33</v>
      </c>
      <c r="G143" s="32">
        <v>8</v>
      </c>
      <c r="H143" s="634">
        <v>2.64</v>
      </c>
      <c r="I143" s="634">
        <v>2.9079999999999999</v>
      </c>
      <c r="J143" s="32">
        <v>182</v>
      </c>
      <c r="K143" s="32" t="s">
        <v>78</v>
      </c>
      <c r="L143" s="32"/>
      <c r="M143" s="33" t="s">
        <v>240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68</v>
      </c>
      <c r="X143" s="635">
        <v>0</v>
      </c>
      <c r="Y143" s="63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241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254</v>
      </c>
      <c r="B144" s="54" t="s">
        <v>256</v>
      </c>
      <c r="C144" s="31">
        <v>4301051477</v>
      </c>
      <c r="D144" s="642">
        <v>4680115882584</v>
      </c>
      <c r="E144" s="643"/>
      <c r="F144" s="634">
        <v>0.33</v>
      </c>
      <c r="G144" s="32">
        <v>8</v>
      </c>
      <c r="H144" s="634">
        <v>2.64</v>
      </c>
      <c r="I144" s="634">
        <v>2.9079999999999999</v>
      </c>
      <c r="J144" s="32">
        <v>182</v>
      </c>
      <c r="K144" s="32" t="s">
        <v>78</v>
      </c>
      <c r="L144" s="32"/>
      <c r="M144" s="33" t="s">
        <v>240</v>
      </c>
      <c r="N144" s="33"/>
      <c r="O144" s="32">
        <v>60</v>
      </c>
      <c r="P144" s="64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68</v>
      </c>
      <c r="X144" s="635">
        <v>0</v>
      </c>
      <c r="Y144" s="63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241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5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66"/>
      <c r="P145" s="653" t="s">
        <v>73</v>
      </c>
      <c r="Q145" s="654"/>
      <c r="R145" s="654"/>
      <c r="S145" s="654"/>
      <c r="T145" s="654"/>
      <c r="U145" s="654"/>
      <c r="V145" s="655"/>
      <c r="W145" s="37" t="s">
        <v>74</v>
      </c>
      <c r="X145" s="637">
        <f>IFERROR(X142/H142,"0")+IFERROR(X143/H143,"0")+IFERROR(X144/H144,"0")</f>
        <v>0</v>
      </c>
      <c r="Y145" s="637">
        <f>IFERROR(Y142/H142,"0")+IFERROR(Y143/H143,"0")+IFERROR(Y144/H144,"0")</f>
        <v>0</v>
      </c>
      <c r="Z145" s="637">
        <f>IFERROR(IF(Z142="",0,Z142),"0")+IFERROR(IF(Z143="",0,Z143),"0")+IFERROR(IF(Z144="",0,Z144),"0")</f>
        <v>0</v>
      </c>
      <c r="AA145" s="638"/>
      <c r="AB145" s="638"/>
      <c r="AC145" s="638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66"/>
      <c r="P146" s="653" t="s">
        <v>73</v>
      </c>
      <c r="Q146" s="654"/>
      <c r="R146" s="654"/>
      <c r="S146" s="654"/>
      <c r="T146" s="654"/>
      <c r="U146" s="654"/>
      <c r="V146" s="655"/>
      <c r="W146" s="37" t="s">
        <v>68</v>
      </c>
      <c r="X146" s="637">
        <f>IFERROR(SUM(X142:X144),"0")</f>
        <v>0</v>
      </c>
      <c r="Y146" s="637">
        <f>IFERROR(SUM(Y142:Y144),"0")</f>
        <v>0</v>
      </c>
      <c r="Z146" s="37"/>
      <c r="AA146" s="638"/>
      <c r="AB146" s="638"/>
      <c r="AC146" s="638"/>
    </row>
    <row r="147" spans="1:68" ht="16.5" customHeight="1" x14ac:dyDescent="0.25">
      <c r="A147" s="648" t="s">
        <v>257</v>
      </c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49"/>
      <c r="P147" s="649"/>
      <c r="Q147" s="649"/>
      <c r="R147" s="649"/>
      <c r="S147" s="649"/>
      <c r="T147" s="649"/>
      <c r="U147" s="649"/>
      <c r="V147" s="649"/>
      <c r="W147" s="649"/>
      <c r="X147" s="649"/>
      <c r="Y147" s="649"/>
      <c r="Z147" s="649"/>
      <c r="AA147" s="629"/>
      <c r="AB147" s="629"/>
      <c r="AC147" s="629"/>
    </row>
    <row r="148" spans="1:68" ht="14.25" customHeight="1" x14ac:dyDescent="0.25">
      <c r="A148" s="652" t="s">
        <v>75</v>
      </c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49"/>
      <c r="P148" s="649"/>
      <c r="Q148" s="649"/>
      <c r="R148" s="649"/>
      <c r="S148" s="649"/>
      <c r="T148" s="649"/>
      <c r="U148" s="649"/>
      <c r="V148" s="649"/>
      <c r="W148" s="649"/>
      <c r="X148" s="649"/>
      <c r="Y148" s="649"/>
      <c r="Z148" s="649"/>
      <c r="AA148" s="630"/>
      <c r="AB148" s="630"/>
      <c r="AC148" s="630"/>
    </row>
    <row r="149" spans="1:68" ht="27" customHeight="1" x14ac:dyDescent="0.25">
      <c r="A149" s="54" t="s">
        <v>258</v>
      </c>
      <c r="B149" s="54" t="s">
        <v>259</v>
      </c>
      <c r="C149" s="31">
        <v>4301052254</v>
      </c>
      <c r="D149" s="642">
        <v>4680115888203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78</v>
      </c>
      <c r="L149" s="32"/>
      <c r="M149" s="33" t="s">
        <v>85</v>
      </c>
      <c r="N149" s="33"/>
      <c r="O149" s="32">
        <v>40</v>
      </c>
      <c r="P149" s="99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68</v>
      </c>
      <c r="X149" s="635">
        <v>0</v>
      </c>
      <c r="Y149" s="636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261</v>
      </c>
      <c r="B150" s="54" t="s">
        <v>262</v>
      </c>
      <c r="C150" s="31">
        <v>4301052172</v>
      </c>
      <c r="D150" s="642">
        <v>4680115888180</v>
      </c>
      <c r="E150" s="643"/>
      <c r="F150" s="634">
        <v>0.22</v>
      </c>
      <c r="G150" s="32">
        <v>9</v>
      </c>
      <c r="H150" s="634">
        <v>1.98</v>
      </c>
      <c r="I150" s="634">
        <v>2.2589999999999999</v>
      </c>
      <c r="J150" s="32">
        <v>182</v>
      </c>
      <c r="K150" s="32" t="s">
        <v>78</v>
      </c>
      <c r="L150" s="32"/>
      <c r="M150" s="33" t="s">
        <v>85</v>
      </c>
      <c r="N150" s="33"/>
      <c r="O150" s="32">
        <v>40</v>
      </c>
      <c r="P150" s="6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68</v>
      </c>
      <c r="X150" s="635">
        <v>0</v>
      </c>
      <c r="Y150" s="636">
        <f t="shared" si="10"/>
        <v>0</v>
      </c>
      <c r="Z150" s="36" t="str">
        <f t="shared" si="11"/>
        <v/>
      </c>
      <c r="AA150" s="56"/>
      <c r="AB150" s="57"/>
      <c r="AC150" s="205" t="s">
        <v>263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261</v>
      </c>
      <c r="B151" s="54" t="s">
        <v>264</v>
      </c>
      <c r="C151" s="31">
        <v>4301052252</v>
      </c>
      <c r="D151" s="642">
        <v>4680115888180</v>
      </c>
      <c r="E151" s="643"/>
      <c r="F151" s="634">
        <v>0.22</v>
      </c>
      <c r="G151" s="32">
        <v>6</v>
      </c>
      <c r="H151" s="634">
        <v>1.32</v>
      </c>
      <c r="I151" s="634">
        <v>1.5660000000000001</v>
      </c>
      <c r="J151" s="32">
        <v>182</v>
      </c>
      <c r="K151" s="32" t="s">
        <v>78</v>
      </c>
      <c r="L151" s="32"/>
      <c r="M151" s="33" t="s">
        <v>85</v>
      </c>
      <c r="N151" s="33"/>
      <c r="O151" s="32">
        <v>40</v>
      </c>
      <c r="P151" s="99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68</v>
      </c>
      <c r="X151" s="635">
        <v>0</v>
      </c>
      <c r="Y151" s="636">
        <f t="shared" si="10"/>
        <v>0</v>
      </c>
      <c r="Z151" s="36" t="str">
        <f t="shared" si="11"/>
        <v/>
      </c>
      <c r="AA151" s="56"/>
      <c r="AB151" s="57"/>
      <c r="AC151" s="207" t="s">
        <v>263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265</v>
      </c>
      <c r="B152" s="54" t="s">
        <v>266</v>
      </c>
      <c r="C152" s="31">
        <v>4301052173</v>
      </c>
      <c r="D152" s="642">
        <v>4680115888197</v>
      </c>
      <c r="E152" s="643"/>
      <c r="F152" s="634">
        <v>0.22</v>
      </c>
      <c r="G152" s="32">
        <v>9</v>
      </c>
      <c r="H152" s="634">
        <v>1.98</v>
      </c>
      <c r="I152" s="634">
        <v>2.2589999999999999</v>
      </c>
      <c r="J152" s="32">
        <v>182</v>
      </c>
      <c r="K152" s="32" t="s">
        <v>78</v>
      </c>
      <c r="L152" s="32"/>
      <c r="M152" s="33" t="s">
        <v>85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68</v>
      </c>
      <c r="X152" s="635">
        <v>0</v>
      </c>
      <c r="Y152" s="636">
        <f t="shared" si="10"/>
        <v>0</v>
      </c>
      <c r="Z152" s="36" t="str">
        <f t="shared" si="11"/>
        <v/>
      </c>
      <c r="AA152" s="56"/>
      <c r="AB152" s="57"/>
      <c r="AC152" s="209" t="s">
        <v>267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265</v>
      </c>
      <c r="B153" s="54" t="s">
        <v>268</v>
      </c>
      <c r="C153" s="31">
        <v>4301052253</v>
      </c>
      <c r="D153" s="642">
        <v>4680115888197</v>
      </c>
      <c r="E153" s="643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78</v>
      </c>
      <c r="L153" s="32"/>
      <c r="M153" s="33" t="s">
        <v>85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68</v>
      </c>
      <c r="X153" s="635">
        <v>0</v>
      </c>
      <c r="Y153" s="636">
        <f t="shared" si="10"/>
        <v>0</v>
      </c>
      <c r="Z153" s="36" t="str">
        <f t="shared" si="11"/>
        <v/>
      </c>
      <c r="AA153" s="56"/>
      <c r="AB153" s="57"/>
      <c r="AC153" s="211" t="s">
        <v>267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269</v>
      </c>
      <c r="B154" s="54" t="s">
        <v>270</v>
      </c>
      <c r="C154" s="31">
        <v>4301052175</v>
      </c>
      <c r="D154" s="642">
        <v>4680115888210</v>
      </c>
      <c r="E154" s="643"/>
      <c r="F154" s="634">
        <v>0.22</v>
      </c>
      <c r="G154" s="32">
        <v>9</v>
      </c>
      <c r="H154" s="634">
        <v>1.98</v>
      </c>
      <c r="I154" s="634">
        <v>2.2589999999999999</v>
      </c>
      <c r="J154" s="32">
        <v>182</v>
      </c>
      <c r="K154" s="32" t="s">
        <v>78</v>
      </c>
      <c r="L154" s="32"/>
      <c r="M154" s="33" t="s">
        <v>85</v>
      </c>
      <c r="N154" s="33"/>
      <c r="O154" s="32">
        <v>40</v>
      </c>
      <c r="P154" s="8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68</v>
      </c>
      <c r="X154" s="635">
        <v>0</v>
      </c>
      <c r="Y154" s="636">
        <f t="shared" si="10"/>
        <v>0</v>
      </c>
      <c r="Z154" s="36" t="str">
        <f t="shared" si="11"/>
        <v/>
      </c>
      <c r="AA154" s="56"/>
      <c r="AB154" s="57"/>
      <c r="AC154" s="213" t="s">
        <v>271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269</v>
      </c>
      <c r="B155" s="54" t="s">
        <v>272</v>
      </c>
      <c r="C155" s="31">
        <v>4301052255</v>
      </c>
      <c r="D155" s="642">
        <v>4680115888210</v>
      </c>
      <c r="E155" s="643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78</v>
      </c>
      <c r="L155" s="32"/>
      <c r="M155" s="33" t="s">
        <v>85</v>
      </c>
      <c r="N155" s="33"/>
      <c r="O155" s="32">
        <v>40</v>
      </c>
      <c r="P155" s="66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68</v>
      </c>
      <c r="X155" s="635">
        <v>0</v>
      </c>
      <c r="Y155" s="636">
        <f t="shared" si="10"/>
        <v>0</v>
      </c>
      <c r="Z155" s="36" t="str">
        <f t="shared" si="11"/>
        <v/>
      </c>
      <c r="AA155" s="56"/>
      <c r="AB155" s="57"/>
      <c r="AC155" s="215" t="s">
        <v>271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5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66"/>
      <c r="P156" s="653" t="s">
        <v>73</v>
      </c>
      <c r="Q156" s="654"/>
      <c r="R156" s="654"/>
      <c r="S156" s="654"/>
      <c r="T156" s="654"/>
      <c r="U156" s="654"/>
      <c r="V156" s="655"/>
      <c r="W156" s="37" t="s">
        <v>74</v>
      </c>
      <c r="X156" s="637">
        <f>IFERROR(X149/H149,"0")+IFERROR(X150/H150,"0")+IFERROR(X151/H151,"0")+IFERROR(X152/H152,"0")+IFERROR(X153/H153,"0")+IFERROR(X154/H154,"0")+IFERROR(X155/H155,"0")</f>
        <v>0</v>
      </c>
      <c r="Y156" s="637">
        <f>IFERROR(Y149/H149,"0")+IFERROR(Y150/H150,"0")+IFERROR(Y151/H151,"0")+IFERROR(Y152/H152,"0")+IFERROR(Y153/H153,"0")+IFERROR(Y154/H154,"0")+IFERROR(Y155/H155,"0")</f>
        <v>0</v>
      </c>
      <c r="Z156" s="637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66"/>
      <c r="P157" s="653" t="s">
        <v>73</v>
      </c>
      <c r="Q157" s="654"/>
      <c r="R157" s="654"/>
      <c r="S157" s="654"/>
      <c r="T157" s="654"/>
      <c r="U157" s="654"/>
      <c r="V157" s="655"/>
      <c r="W157" s="37" t="s">
        <v>68</v>
      </c>
      <c r="X157" s="637">
        <f>IFERROR(SUM(X149:X155),"0")</f>
        <v>0</v>
      </c>
      <c r="Y157" s="637">
        <f>IFERROR(SUM(Y149:Y155),"0")</f>
        <v>0</v>
      </c>
      <c r="Z157" s="37"/>
      <c r="AA157" s="638"/>
      <c r="AB157" s="638"/>
      <c r="AC157" s="638"/>
    </row>
    <row r="158" spans="1:68" ht="14.25" customHeight="1" x14ac:dyDescent="0.25">
      <c r="A158" s="652" t="s">
        <v>273</v>
      </c>
      <c r="B158" s="649"/>
      <c r="C158" s="649"/>
      <c r="D158" s="649"/>
      <c r="E158" s="649"/>
      <c r="F158" s="649"/>
      <c r="G158" s="649"/>
      <c r="H158" s="649"/>
      <c r="I158" s="649"/>
      <c r="J158" s="649"/>
      <c r="K158" s="649"/>
      <c r="L158" s="649"/>
      <c r="M158" s="649"/>
      <c r="N158" s="649"/>
      <c r="O158" s="649"/>
      <c r="P158" s="649"/>
      <c r="Q158" s="649"/>
      <c r="R158" s="649"/>
      <c r="S158" s="649"/>
      <c r="T158" s="649"/>
      <c r="U158" s="649"/>
      <c r="V158" s="649"/>
      <c r="W158" s="649"/>
      <c r="X158" s="649"/>
      <c r="Y158" s="649"/>
      <c r="Z158" s="649"/>
      <c r="AA158" s="630"/>
      <c r="AB158" s="630"/>
      <c r="AC158" s="630"/>
    </row>
    <row r="159" spans="1:68" ht="27" customHeight="1" x14ac:dyDescent="0.25">
      <c r="A159" s="54" t="s">
        <v>274</v>
      </c>
      <c r="B159" s="54" t="s">
        <v>275</v>
      </c>
      <c r="C159" s="31">
        <v>4301032067</v>
      </c>
      <c r="D159" s="642">
        <v>4680115889132</v>
      </c>
      <c r="E159" s="643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276</v>
      </c>
      <c r="L159" s="32"/>
      <c r="M159" s="33" t="s">
        <v>277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68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278</v>
      </c>
      <c r="AG159" s="64"/>
      <c r="AJ159" s="68"/>
      <c r="AK159" s="68">
        <v>0</v>
      </c>
      <c r="BB159" s="218" t="s">
        <v>279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5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66"/>
      <c r="P160" s="653" t="s">
        <v>73</v>
      </c>
      <c r="Q160" s="654"/>
      <c r="R160" s="654"/>
      <c r="S160" s="654"/>
      <c r="T160" s="654"/>
      <c r="U160" s="654"/>
      <c r="V160" s="655"/>
      <c r="W160" s="37" t="s">
        <v>74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66"/>
      <c r="P161" s="653" t="s">
        <v>73</v>
      </c>
      <c r="Q161" s="654"/>
      <c r="R161" s="654"/>
      <c r="S161" s="654"/>
      <c r="T161" s="654"/>
      <c r="U161" s="654"/>
      <c r="V161" s="655"/>
      <c r="W161" s="37" t="s">
        <v>68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customHeight="1" x14ac:dyDescent="0.25">
      <c r="A162" s="648" t="s">
        <v>110</v>
      </c>
      <c r="B162" s="649"/>
      <c r="C162" s="649"/>
      <c r="D162" s="649"/>
      <c r="E162" s="649"/>
      <c r="F162" s="649"/>
      <c r="G162" s="649"/>
      <c r="H162" s="649"/>
      <c r="I162" s="649"/>
      <c r="J162" s="649"/>
      <c r="K162" s="649"/>
      <c r="L162" s="649"/>
      <c r="M162" s="649"/>
      <c r="N162" s="649"/>
      <c r="O162" s="649"/>
      <c r="P162" s="649"/>
      <c r="Q162" s="649"/>
      <c r="R162" s="649"/>
      <c r="S162" s="649"/>
      <c r="T162" s="649"/>
      <c r="U162" s="649"/>
      <c r="V162" s="649"/>
      <c r="W162" s="649"/>
      <c r="X162" s="649"/>
      <c r="Y162" s="649"/>
      <c r="Z162" s="649"/>
      <c r="AA162" s="629"/>
      <c r="AB162" s="629"/>
      <c r="AC162" s="629"/>
    </row>
    <row r="163" spans="1:68" ht="14.25" customHeight="1" x14ac:dyDescent="0.25">
      <c r="A163" s="652" t="s">
        <v>112</v>
      </c>
      <c r="B163" s="649"/>
      <c r="C163" s="649"/>
      <c r="D163" s="649"/>
      <c r="E163" s="649"/>
      <c r="F163" s="649"/>
      <c r="G163" s="649"/>
      <c r="H163" s="649"/>
      <c r="I163" s="649"/>
      <c r="J163" s="649"/>
      <c r="K163" s="649"/>
      <c r="L163" s="649"/>
      <c r="M163" s="649"/>
      <c r="N163" s="649"/>
      <c r="O163" s="649"/>
      <c r="P163" s="649"/>
      <c r="Q163" s="649"/>
      <c r="R163" s="649"/>
      <c r="S163" s="649"/>
      <c r="T163" s="649"/>
      <c r="U163" s="649"/>
      <c r="V163" s="649"/>
      <c r="W163" s="649"/>
      <c r="X163" s="649"/>
      <c r="Y163" s="649"/>
      <c r="Z163" s="649"/>
      <c r="AA163" s="630"/>
      <c r="AB163" s="630"/>
      <c r="AC163" s="630"/>
    </row>
    <row r="164" spans="1:68" ht="27" customHeight="1" x14ac:dyDescent="0.25">
      <c r="A164" s="54" t="s">
        <v>280</v>
      </c>
      <c r="B164" s="54" t="s">
        <v>281</v>
      </c>
      <c r="C164" s="31">
        <v>4301012338</v>
      </c>
      <c r="D164" s="642">
        <v>4680115887374</v>
      </c>
      <c r="E164" s="643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115</v>
      </c>
      <c r="L164" s="32"/>
      <c r="M164" s="33" t="s">
        <v>116</v>
      </c>
      <c r="N164" s="33"/>
      <c r="O164" s="32">
        <v>55</v>
      </c>
      <c r="P164" s="9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68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283</v>
      </c>
      <c r="B165" s="54" t="s">
        <v>284</v>
      </c>
      <c r="C165" s="31">
        <v>4301011705</v>
      </c>
      <c r="D165" s="642">
        <v>4607091384604</v>
      </c>
      <c r="E165" s="643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124</v>
      </c>
      <c r="L165" s="32"/>
      <c r="M165" s="33" t="s">
        <v>116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68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286</v>
      </c>
      <c r="B166" s="54" t="s">
        <v>287</v>
      </c>
      <c r="C166" s="31">
        <v>4301012344</v>
      </c>
      <c r="D166" s="642">
        <v>4680115888876</v>
      </c>
      <c r="E166" s="643"/>
      <c r="F166" s="634">
        <v>0.43</v>
      </c>
      <c r="G166" s="32">
        <v>6</v>
      </c>
      <c r="H166" s="634">
        <v>2.58</v>
      </c>
      <c r="I166" s="634">
        <v>2.76</v>
      </c>
      <c r="J166" s="32">
        <v>182</v>
      </c>
      <c r="K166" s="32" t="s">
        <v>78</v>
      </c>
      <c r="L166" s="32"/>
      <c r="M166" s="33" t="s">
        <v>79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68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5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66"/>
      <c r="P167" s="653" t="s">
        <v>73</v>
      </c>
      <c r="Q167" s="654"/>
      <c r="R167" s="654"/>
      <c r="S167" s="654"/>
      <c r="T167" s="654"/>
      <c r="U167" s="654"/>
      <c r="V167" s="655"/>
      <c r="W167" s="37" t="s">
        <v>74</v>
      </c>
      <c r="X167" s="637">
        <f>IFERROR(X164/H164,"0")+IFERROR(X165/H165,"0")+IFERROR(X166/H166,"0")</f>
        <v>0</v>
      </c>
      <c r="Y167" s="637">
        <f>IFERROR(Y164/H164,"0")+IFERROR(Y165/H165,"0")+IFERROR(Y166/H166,"0")</f>
        <v>0</v>
      </c>
      <c r="Z167" s="637">
        <f>IFERROR(IF(Z164="",0,Z164),"0")+IFERROR(IF(Z165="",0,Z165),"0")+IFERROR(IF(Z166="",0,Z166),"0")</f>
        <v>0</v>
      </c>
      <c r="AA167" s="638"/>
      <c r="AB167" s="638"/>
      <c r="AC167" s="638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66"/>
      <c r="P168" s="653" t="s">
        <v>73</v>
      </c>
      <c r="Q168" s="654"/>
      <c r="R168" s="654"/>
      <c r="S168" s="654"/>
      <c r="T168" s="654"/>
      <c r="U168" s="654"/>
      <c r="V168" s="655"/>
      <c r="W168" s="37" t="s">
        <v>68</v>
      </c>
      <c r="X168" s="637">
        <f>IFERROR(SUM(X164:X166),"0")</f>
        <v>0</v>
      </c>
      <c r="Y168" s="637">
        <f>IFERROR(SUM(Y164:Y166),"0")</f>
        <v>0</v>
      </c>
      <c r="Z168" s="37"/>
      <c r="AA168" s="638"/>
      <c r="AB168" s="638"/>
      <c r="AC168" s="638"/>
    </row>
    <row r="169" spans="1:68" ht="14.25" customHeight="1" x14ac:dyDescent="0.25">
      <c r="A169" s="652" t="s">
        <v>148</v>
      </c>
      <c r="B169" s="649"/>
      <c r="C169" s="649"/>
      <c r="D169" s="649"/>
      <c r="E169" s="649"/>
      <c r="F169" s="649"/>
      <c r="G169" s="649"/>
      <c r="H169" s="649"/>
      <c r="I169" s="649"/>
      <c r="J169" s="649"/>
      <c r="K169" s="649"/>
      <c r="L169" s="649"/>
      <c r="M169" s="649"/>
      <c r="N169" s="649"/>
      <c r="O169" s="649"/>
      <c r="P169" s="649"/>
      <c r="Q169" s="649"/>
      <c r="R169" s="649"/>
      <c r="S169" s="649"/>
      <c r="T169" s="649"/>
      <c r="U169" s="649"/>
      <c r="V169" s="649"/>
      <c r="W169" s="649"/>
      <c r="X169" s="649"/>
      <c r="Y169" s="649"/>
      <c r="Z169" s="649"/>
      <c r="AA169" s="630"/>
      <c r="AB169" s="630"/>
      <c r="AC169" s="630"/>
    </row>
    <row r="170" spans="1:68" ht="16.5" customHeight="1" x14ac:dyDescent="0.25">
      <c r="A170" s="54" t="s">
        <v>289</v>
      </c>
      <c r="B170" s="54" t="s">
        <v>290</v>
      </c>
      <c r="C170" s="31">
        <v>4301020410</v>
      </c>
      <c r="D170" s="642">
        <v>4680115887695</v>
      </c>
      <c r="E170" s="643"/>
      <c r="F170" s="634">
        <v>0.12</v>
      </c>
      <c r="G170" s="32">
        <v>6</v>
      </c>
      <c r="H170" s="634">
        <v>0.72</v>
      </c>
      <c r="I170" s="634">
        <v>0.85</v>
      </c>
      <c r="J170" s="32">
        <v>252</v>
      </c>
      <c r="K170" s="32" t="s">
        <v>66</v>
      </c>
      <c r="L170" s="32"/>
      <c r="M170" s="33" t="s">
        <v>67</v>
      </c>
      <c r="N170" s="33"/>
      <c r="O170" s="32">
        <v>30</v>
      </c>
      <c r="P170" s="6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68</v>
      </c>
      <c r="X170" s="635">
        <v>0</v>
      </c>
      <c r="Y170" s="636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292</v>
      </c>
      <c r="B171" s="54" t="s">
        <v>293</v>
      </c>
      <c r="C171" s="31">
        <v>4301020439</v>
      </c>
      <c r="D171" s="642">
        <v>4680115889491</v>
      </c>
      <c r="E171" s="643"/>
      <c r="F171" s="634">
        <v>0.3</v>
      </c>
      <c r="G171" s="32">
        <v>8</v>
      </c>
      <c r="H171" s="634">
        <v>2.4</v>
      </c>
      <c r="I171" s="634">
        <v>2.5</v>
      </c>
      <c r="J171" s="32">
        <v>234</v>
      </c>
      <c r="K171" s="32" t="s">
        <v>66</v>
      </c>
      <c r="L171" s="32"/>
      <c r="M171" s="33" t="s">
        <v>116</v>
      </c>
      <c r="N171" s="33"/>
      <c r="O171" s="32">
        <v>55</v>
      </c>
      <c r="P171" s="71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68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294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5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66"/>
      <c r="P172" s="653" t="s">
        <v>73</v>
      </c>
      <c r="Q172" s="654"/>
      <c r="R172" s="654"/>
      <c r="S172" s="654"/>
      <c r="T172" s="654"/>
      <c r="U172" s="654"/>
      <c r="V172" s="655"/>
      <c r="W172" s="37" t="s">
        <v>74</v>
      </c>
      <c r="X172" s="637">
        <f>IFERROR(X170/H170,"0")+IFERROR(X171/H171,"0")</f>
        <v>0</v>
      </c>
      <c r="Y172" s="637">
        <f>IFERROR(Y170/H170,"0")+IFERROR(Y171/H171,"0")</f>
        <v>0</v>
      </c>
      <c r="Z172" s="637">
        <f>IFERROR(IF(Z170="",0,Z170),"0")+IFERROR(IF(Z171="",0,Z171),"0")</f>
        <v>0</v>
      </c>
      <c r="AA172" s="638"/>
      <c r="AB172" s="638"/>
      <c r="AC172" s="638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66"/>
      <c r="P173" s="653" t="s">
        <v>73</v>
      </c>
      <c r="Q173" s="654"/>
      <c r="R173" s="654"/>
      <c r="S173" s="654"/>
      <c r="T173" s="654"/>
      <c r="U173" s="654"/>
      <c r="V173" s="655"/>
      <c r="W173" s="37" t="s">
        <v>68</v>
      </c>
      <c r="X173" s="637">
        <f>IFERROR(SUM(X170:X171),"0")</f>
        <v>0</v>
      </c>
      <c r="Y173" s="637">
        <f>IFERROR(SUM(Y170:Y171),"0")</f>
        <v>0</v>
      </c>
      <c r="Z173" s="37"/>
      <c r="AA173" s="638"/>
      <c r="AB173" s="638"/>
      <c r="AC173" s="638"/>
    </row>
    <row r="174" spans="1:68" ht="14.25" customHeight="1" x14ac:dyDescent="0.25">
      <c r="A174" s="652" t="s">
        <v>63</v>
      </c>
      <c r="B174" s="649"/>
      <c r="C174" s="649"/>
      <c r="D174" s="649"/>
      <c r="E174" s="649"/>
      <c r="F174" s="649"/>
      <c r="G174" s="649"/>
      <c r="H174" s="649"/>
      <c r="I174" s="649"/>
      <c r="J174" s="649"/>
      <c r="K174" s="649"/>
      <c r="L174" s="649"/>
      <c r="M174" s="649"/>
      <c r="N174" s="649"/>
      <c r="O174" s="649"/>
      <c r="P174" s="649"/>
      <c r="Q174" s="649"/>
      <c r="R174" s="649"/>
      <c r="S174" s="649"/>
      <c r="T174" s="649"/>
      <c r="U174" s="649"/>
      <c r="V174" s="649"/>
      <c r="W174" s="649"/>
      <c r="X174" s="649"/>
      <c r="Y174" s="649"/>
      <c r="Z174" s="649"/>
      <c r="AA174" s="630"/>
      <c r="AB174" s="630"/>
      <c r="AC174" s="630"/>
    </row>
    <row r="175" spans="1:68" ht="27" customHeight="1" x14ac:dyDescent="0.25">
      <c r="A175" s="54" t="s">
        <v>295</v>
      </c>
      <c r="B175" s="54" t="s">
        <v>296</v>
      </c>
      <c r="C175" s="31">
        <v>4301031496</v>
      </c>
      <c r="D175" s="642">
        <v>4680115887428</v>
      </c>
      <c r="E175" s="643"/>
      <c r="F175" s="634">
        <v>0.7</v>
      </c>
      <c r="G175" s="32">
        <v>5</v>
      </c>
      <c r="H175" s="634">
        <v>3.5</v>
      </c>
      <c r="I175" s="634">
        <v>3.69</v>
      </c>
      <c r="J175" s="32">
        <v>132</v>
      </c>
      <c r="K175" s="32" t="s">
        <v>124</v>
      </c>
      <c r="L175" s="32"/>
      <c r="M175" s="33" t="s">
        <v>67</v>
      </c>
      <c r="N175" s="33"/>
      <c r="O175" s="32">
        <v>40</v>
      </c>
      <c r="P175" s="9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68</v>
      </c>
      <c r="X175" s="635">
        <v>0</v>
      </c>
      <c r="Y175" s="636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4301031509</v>
      </c>
      <c r="D176" s="642">
        <v>4680115889170</v>
      </c>
      <c r="E176" s="643"/>
      <c r="F176" s="634">
        <v>0.7</v>
      </c>
      <c r="G176" s="32">
        <v>5</v>
      </c>
      <c r="H176" s="634">
        <v>3.5</v>
      </c>
      <c r="I176" s="634">
        <v>3.7650000000000001</v>
      </c>
      <c r="J176" s="32">
        <v>132</v>
      </c>
      <c r="K176" s="32" t="s">
        <v>124</v>
      </c>
      <c r="L176" s="32"/>
      <c r="M176" s="33" t="s">
        <v>67</v>
      </c>
      <c r="N176" s="33"/>
      <c r="O176" s="32">
        <v>45</v>
      </c>
      <c r="P176" s="92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68</v>
      </c>
      <c r="X176" s="635">
        <v>0</v>
      </c>
      <c r="Y176" s="636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4301031498</v>
      </c>
      <c r="D177" s="642">
        <v>4680115887398</v>
      </c>
      <c r="E177" s="643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124</v>
      </c>
      <c r="L177" s="32"/>
      <c r="M177" s="33" t="s">
        <v>67</v>
      </c>
      <c r="N177" s="33"/>
      <c r="O177" s="32">
        <v>40</v>
      </c>
      <c r="P177" s="9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68</v>
      </c>
      <c r="X177" s="635">
        <v>0</v>
      </c>
      <c r="Y177" s="636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4301031497</v>
      </c>
      <c r="D178" s="642">
        <v>4680115887336</v>
      </c>
      <c r="E178" s="643"/>
      <c r="F178" s="634">
        <v>0.7</v>
      </c>
      <c r="G178" s="32">
        <v>5</v>
      </c>
      <c r="H178" s="634">
        <v>3.5</v>
      </c>
      <c r="I178" s="634">
        <v>3.69</v>
      </c>
      <c r="J178" s="32">
        <v>132</v>
      </c>
      <c r="K178" s="32" t="s">
        <v>124</v>
      </c>
      <c r="L178" s="32"/>
      <c r="M178" s="33" t="s">
        <v>67</v>
      </c>
      <c r="N178" s="33"/>
      <c r="O178" s="32">
        <v>40</v>
      </c>
      <c r="P178" s="9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68</v>
      </c>
      <c r="X178" s="635">
        <v>0</v>
      </c>
      <c r="Y178" s="636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307</v>
      </c>
      <c r="B179" s="54" t="s">
        <v>308</v>
      </c>
      <c r="C179" s="31">
        <v>4301032049</v>
      </c>
      <c r="D179" s="642">
        <v>4680115887787</v>
      </c>
      <c r="E179" s="643"/>
      <c r="F179" s="634">
        <v>0.09</v>
      </c>
      <c r="G179" s="32">
        <v>10</v>
      </c>
      <c r="H179" s="634">
        <v>0.9</v>
      </c>
      <c r="I179" s="634">
        <v>1.1100000000000001</v>
      </c>
      <c r="J179" s="32">
        <v>336</v>
      </c>
      <c r="K179" s="32" t="s">
        <v>120</v>
      </c>
      <c r="L179" s="32"/>
      <c r="M179" s="33" t="s">
        <v>67</v>
      </c>
      <c r="N179" s="33"/>
      <c r="O179" s="32">
        <v>45</v>
      </c>
      <c r="P179" s="84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68</v>
      </c>
      <c r="X179" s="635">
        <v>0</v>
      </c>
      <c r="Y179" s="636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309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310</v>
      </c>
      <c r="B180" s="54" t="s">
        <v>311</v>
      </c>
      <c r="C180" s="31">
        <v>4301031448</v>
      </c>
      <c r="D180" s="642">
        <v>4680115887503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66</v>
      </c>
      <c r="L180" s="32"/>
      <c r="M180" s="33" t="s">
        <v>67</v>
      </c>
      <c r="N180" s="33"/>
      <c r="O180" s="32">
        <v>40</v>
      </c>
      <c r="P180" s="77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68</v>
      </c>
      <c r="X180" s="635">
        <v>0</v>
      </c>
      <c r="Y180" s="636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4301031389</v>
      </c>
      <c r="D181" s="642">
        <v>4680115887763</v>
      </c>
      <c r="E181" s="643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336</v>
      </c>
      <c r="K181" s="32" t="s">
        <v>120</v>
      </c>
      <c r="L181" s="32"/>
      <c r="M181" s="33" t="s">
        <v>67</v>
      </c>
      <c r="N181" s="33"/>
      <c r="O181" s="32">
        <v>45</v>
      </c>
      <c r="P181" s="9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68</v>
      </c>
      <c r="X181" s="635">
        <v>0</v>
      </c>
      <c r="Y181" s="636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314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312</v>
      </c>
      <c r="B182" s="54" t="s">
        <v>315</v>
      </c>
      <c r="C182" s="31">
        <v>4301031510</v>
      </c>
      <c r="D182" s="642">
        <v>4680115887763</v>
      </c>
      <c r="E182" s="643"/>
      <c r="F182" s="634">
        <v>0.09</v>
      </c>
      <c r="G182" s="32">
        <v>8</v>
      </c>
      <c r="H182" s="634">
        <v>0.72</v>
      </c>
      <c r="I182" s="634">
        <v>0.90800000000000003</v>
      </c>
      <c r="J182" s="32">
        <v>336</v>
      </c>
      <c r="K182" s="32" t="s">
        <v>120</v>
      </c>
      <c r="L182" s="32"/>
      <c r="M182" s="33" t="s">
        <v>67</v>
      </c>
      <c r="N182" s="33"/>
      <c r="O182" s="32">
        <v>45</v>
      </c>
      <c r="P182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68</v>
      </c>
      <c r="X182" s="635">
        <v>0</v>
      </c>
      <c r="Y182" s="636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314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4301031454</v>
      </c>
      <c r="D183" s="642">
        <v>4680115887480</v>
      </c>
      <c r="E183" s="643"/>
      <c r="F183" s="634">
        <v>0.28000000000000003</v>
      </c>
      <c r="G183" s="32">
        <v>6</v>
      </c>
      <c r="H183" s="634">
        <v>1.68</v>
      </c>
      <c r="I183" s="634">
        <v>1.78</v>
      </c>
      <c r="J183" s="32">
        <v>234</v>
      </c>
      <c r="K183" s="32" t="s">
        <v>66</v>
      </c>
      <c r="L183" s="32"/>
      <c r="M183" s="33" t="s">
        <v>67</v>
      </c>
      <c r="N183" s="33"/>
      <c r="O183" s="32">
        <v>40</v>
      </c>
      <c r="P183" s="9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68</v>
      </c>
      <c r="X183" s="635">
        <v>0</v>
      </c>
      <c r="Y183" s="636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303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4301031434</v>
      </c>
      <c r="D184" s="642">
        <v>4680115888067</v>
      </c>
      <c r="E184" s="643"/>
      <c r="F184" s="634">
        <v>0.09</v>
      </c>
      <c r="G184" s="32">
        <v>10</v>
      </c>
      <c r="H184" s="634">
        <v>0.9</v>
      </c>
      <c r="I184" s="634">
        <v>1</v>
      </c>
      <c r="J184" s="32">
        <v>336</v>
      </c>
      <c r="K184" s="32" t="s">
        <v>120</v>
      </c>
      <c r="L184" s="32"/>
      <c r="M184" s="33" t="s">
        <v>67</v>
      </c>
      <c r="N184" s="33"/>
      <c r="O184" s="32">
        <v>45</v>
      </c>
      <c r="P184" s="71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68</v>
      </c>
      <c r="X184" s="635">
        <v>0</v>
      </c>
      <c r="Y184" s="636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321</v>
      </c>
      <c r="B185" s="54" t="s">
        <v>322</v>
      </c>
      <c r="C185" s="31">
        <v>4301031451</v>
      </c>
      <c r="D185" s="642">
        <v>4680115887435</v>
      </c>
      <c r="E185" s="643"/>
      <c r="F185" s="634">
        <v>0.28000000000000003</v>
      </c>
      <c r="G185" s="32">
        <v>6</v>
      </c>
      <c r="H185" s="634">
        <v>1.68</v>
      </c>
      <c r="I185" s="634">
        <v>1.78</v>
      </c>
      <c r="J185" s="32">
        <v>234</v>
      </c>
      <c r="K185" s="32" t="s">
        <v>66</v>
      </c>
      <c r="L185" s="32"/>
      <c r="M185" s="33" t="s">
        <v>67</v>
      </c>
      <c r="N185" s="33"/>
      <c r="O185" s="32">
        <v>40</v>
      </c>
      <c r="P185" s="81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68</v>
      </c>
      <c r="X185" s="635">
        <v>0</v>
      </c>
      <c r="Y185" s="636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306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5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66"/>
      <c r="P186" s="653" t="s">
        <v>73</v>
      </c>
      <c r="Q186" s="654"/>
      <c r="R186" s="654"/>
      <c r="S186" s="654"/>
      <c r="T186" s="654"/>
      <c r="U186" s="654"/>
      <c r="V186" s="655"/>
      <c r="W186" s="37" t="s">
        <v>74</v>
      </c>
      <c r="X186" s="637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7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7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8"/>
      <c r="AB186" s="638"/>
      <c r="AC186" s="638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66"/>
      <c r="P187" s="653" t="s">
        <v>73</v>
      </c>
      <c r="Q187" s="654"/>
      <c r="R187" s="654"/>
      <c r="S187" s="654"/>
      <c r="T187" s="654"/>
      <c r="U187" s="654"/>
      <c r="V187" s="655"/>
      <c r="W187" s="37" t="s">
        <v>68</v>
      </c>
      <c r="X187" s="637">
        <f>IFERROR(SUM(X175:X185),"0")</f>
        <v>0</v>
      </c>
      <c r="Y187" s="637">
        <f>IFERROR(SUM(Y175:Y185),"0")</f>
        <v>0</v>
      </c>
      <c r="Z187" s="37"/>
      <c r="AA187" s="638"/>
      <c r="AB187" s="638"/>
      <c r="AC187" s="638"/>
    </row>
    <row r="188" spans="1:68" ht="14.25" customHeight="1" x14ac:dyDescent="0.25">
      <c r="A188" s="652" t="s">
        <v>75</v>
      </c>
      <c r="B188" s="649"/>
      <c r="C188" s="649"/>
      <c r="D188" s="649"/>
      <c r="E188" s="649"/>
      <c r="F188" s="649"/>
      <c r="G188" s="649"/>
      <c r="H188" s="649"/>
      <c r="I188" s="649"/>
      <c r="J188" s="649"/>
      <c r="K188" s="649"/>
      <c r="L188" s="649"/>
      <c r="M188" s="649"/>
      <c r="N188" s="649"/>
      <c r="O188" s="649"/>
      <c r="P188" s="649"/>
      <c r="Q188" s="649"/>
      <c r="R188" s="649"/>
      <c r="S188" s="649"/>
      <c r="T188" s="649"/>
      <c r="U188" s="649"/>
      <c r="V188" s="649"/>
      <c r="W188" s="649"/>
      <c r="X188" s="649"/>
      <c r="Y188" s="649"/>
      <c r="Z188" s="649"/>
      <c r="AA188" s="630"/>
      <c r="AB188" s="630"/>
      <c r="AC188" s="630"/>
    </row>
    <row r="189" spans="1:68" ht="16.5" customHeight="1" x14ac:dyDescent="0.25">
      <c r="A189" s="54" t="s">
        <v>323</v>
      </c>
      <c r="B189" s="54" t="s">
        <v>324</v>
      </c>
      <c r="C189" s="31">
        <v>4301052193</v>
      </c>
      <c r="D189" s="642">
        <v>4680115888395</v>
      </c>
      <c r="E189" s="643"/>
      <c r="F189" s="634">
        <v>0.42</v>
      </c>
      <c r="G189" s="32">
        <v>6</v>
      </c>
      <c r="H189" s="634">
        <v>2.52</v>
      </c>
      <c r="I189" s="634">
        <v>2.766</v>
      </c>
      <c r="J189" s="32">
        <v>182</v>
      </c>
      <c r="K189" s="32" t="s">
        <v>78</v>
      </c>
      <c r="L189" s="32"/>
      <c r="M189" s="33" t="s">
        <v>85</v>
      </c>
      <c r="N189" s="33"/>
      <c r="O189" s="32">
        <v>40</v>
      </c>
      <c r="P189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68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325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326</v>
      </c>
      <c r="B190" s="54" t="s">
        <v>327</v>
      </c>
      <c r="C190" s="31">
        <v>4301052191</v>
      </c>
      <c r="D190" s="642">
        <v>4680115888371</v>
      </c>
      <c r="E190" s="643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78</v>
      </c>
      <c r="L190" s="32"/>
      <c r="M190" s="33" t="s">
        <v>85</v>
      </c>
      <c r="N190" s="33"/>
      <c r="O190" s="32">
        <v>40</v>
      </c>
      <c r="P190" s="9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68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328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329</v>
      </c>
      <c r="B191" s="54" t="s">
        <v>330</v>
      </c>
      <c r="C191" s="31">
        <v>4301052064</v>
      </c>
      <c r="D191" s="642">
        <v>4680115887459</v>
      </c>
      <c r="E191" s="643"/>
      <c r="F191" s="634">
        <v>0.3</v>
      </c>
      <c r="G191" s="32">
        <v>6</v>
      </c>
      <c r="H191" s="634">
        <v>1.8</v>
      </c>
      <c r="I191" s="634">
        <v>2.0579999999999998</v>
      </c>
      <c r="J191" s="32">
        <v>182</v>
      </c>
      <c r="K191" s="32" t="s">
        <v>78</v>
      </c>
      <c r="L191" s="32"/>
      <c r="M191" s="33" t="s">
        <v>79</v>
      </c>
      <c r="N191" s="33"/>
      <c r="O191" s="32">
        <v>45</v>
      </c>
      <c r="P191" s="9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68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331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5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66"/>
      <c r="P192" s="653" t="s">
        <v>73</v>
      </c>
      <c r="Q192" s="654"/>
      <c r="R192" s="654"/>
      <c r="S192" s="654"/>
      <c r="T192" s="654"/>
      <c r="U192" s="654"/>
      <c r="V192" s="655"/>
      <c r="W192" s="37" t="s">
        <v>74</v>
      </c>
      <c r="X192" s="637">
        <f>IFERROR(X189/H189,"0")+IFERROR(X190/H190,"0")+IFERROR(X191/H191,"0")</f>
        <v>0</v>
      </c>
      <c r="Y192" s="637">
        <f>IFERROR(Y189/H189,"0")+IFERROR(Y190/H190,"0")+IFERROR(Y191/H191,"0")</f>
        <v>0</v>
      </c>
      <c r="Z192" s="637">
        <f>IFERROR(IF(Z189="",0,Z189),"0")+IFERROR(IF(Z190="",0,Z190),"0")+IFERROR(IF(Z191="",0,Z191),"0")</f>
        <v>0</v>
      </c>
      <c r="AA192" s="638"/>
      <c r="AB192" s="638"/>
      <c r="AC192" s="638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66"/>
      <c r="P193" s="653" t="s">
        <v>73</v>
      </c>
      <c r="Q193" s="654"/>
      <c r="R193" s="654"/>
      <c r="S193" s="654"/>
      <c r="T193" s="654"/>
      <c r="U193" s="654"/>
      <c r="V193" s="655"/>
      <c r="W193" s="37" t="s">
        <v>68</v>
      </c>
      <c r="X193" s="637">
        <f>IFERROR(SUM(X189:X191),"0")</f>
        <v>0</v>
      </c>
      <c r="Y193" s="637">
        <f>IFERROR(SUM(Y189:Y191),"0")</f>
        <v>0</v>
      </c>
      <c r="Z193" s="37"/>
      <c r="AA193" s="638"/>
      <c r="AB193" s="638"/>
      <c r="AC193" s="638"/>
    </row>
    <row r="194" spans="1:68" ht="14.25" customHeight="1" x14ac:dyDescent="0.25">
      <c r="A194" s="652" t="s">
        <v>273</v>
      </c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49"/>
      <c r="P194" s="649"/>
      <c r="Q194" s="649"/>
      <c r="R194" s="649"/>
      <c r="S194" s="649"/>
      <c r="T194" s="649"/>
      <c r="U194" s="649"/>
      <c r="V194" s="649"/>
      <c r="W194" s="649"/>
      <c r="X194" s="649"/>
      <c r="Y194" s="649"/>
      <c r="Z194" s="649"/>
      <c r="AA194" s="630"/>
      <c r="AB194" s="630"/>
      <c r="AC194" s="630"/>
    </row>
    <row r="195" spans="1:68" ht="16.5" customHeight="1" x14ac:dyDescent="0.25">
      <c r="A195" s="54" t="s">
        <v>332</v>
      </c>
      <c r="B195" s="54" t="s">
        <v>333</v>
      </c>
      <c r="C195" s="31">
        <v>4301032058</v>
      </c>
      <c r="D195" s="642">
        <v>4680115889026</v>
      </c>
      <c r="E195" s="643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334</v>
      </c>
      <c r="L195" s="32"/>
      <c r="M195" s="33" t="s">
        <v>277</v>
      </c>
      <c r="N195" s="33"/>
      <c r="O195" s="32">
        <v>60</v>
      </c>
      <c r="P195" s="78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68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335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336</v>
      </c>
      <c r="B196" s="54" t="s">
        <v>337</v>
      </c>
      <c r="C196" s="31">
        <v>4301032057</v>
      </c>
      <c r="D196" s="642">
        <v>4680115889088</v>
      </c>
      <c r="E196" s="643"/>
      <c r="F196" s="634">
        <v>0.06</v>
      </c>
      <c r="G196" s="32">
        <v>18</v>
      </c>
      <c r="H196" s="634">
        <v>1.08</v>
      </c>
      <c r="I196" s="634">
        <v>1.36</v>
      </c>
      <c r="J196" s="32">
        <v>216</v>
      </c>
      <c r="K196" s="32" t="s">
        <v>334</v>
      </c>
      <c r="L196" s="32"/>
      <c r="M196" s="33" t="s">
        <v>277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68</v>
      </c>
      <c r="X196" s="635">
        <v>0</v>
      </c>
      <c r="Y196" s="636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338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5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66"/>
      <c r="P197" s="653" t="s">
        <v>73</v>
      </c>
      <c r="Q197" s="654"/>
      <c r="R197" s="654"/>
      <c r="S197" s="654"/>
      <c r="T197" s="654"/>
      <c r="U197" s="654"/>
      <c r="V197" s="655"/>
      <c r="W197" s="37" t="s">
        <v>74</v>
      </c>
      <c r="X197" s="637">
        <f>IFERROR(X195/H195,"0")+IFERROR(X196/H196,"0")</f>
        <v>0</v>
      </c>
      <c r="Y197" s="637">
        <f>IFERROR(Y195/H195,"0")+IFERROR(Y196/H196,"0")</f>
        <v>0</v>
      </c>
      <c r="Z197" s="637">
        <f>IFERROR(IF(Z195="",0,Z195),"0")+IFERROR(IF(Z196="",0,Z196),"0")</f>
        <v>0</v>
      </c>
      <c r="AA197" s="638"/>
      <c r="AB197" s="638"/>
      <c r="AC197" s="638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66"/>
      <c r="P198" s="653" t="s">
        <v>73</v>
      </c>
      <c r="Q198" s="654"/>
      <c r="R198" s="654"/>
      <c r="S198" s="654"/>
      <c r="T198" s="654"/>
      <c r="U198" s="654"/>
      <c r="V198" s="655"/>
      <c r="W198" s="37" t="s">
        <v>68</v>
      </c>
      <c r="X198" s="637">
        <f>IFERROR(SUM(X195:X196),"0")</f>
        <v>0</v>
      </c>
      <c r="Y198" s="637">
        <f>IFERROR(SUM(Y195:Y196),"0")</f>
        <v>0</v>
      </c>
      <c r="Z198" s="37"/>
      <c r="AA198" s="638"/>
      <c r="AB198" s="638"/>
      <c r="AC198" s="638"/>
    </row>
    <row r="199" spans="1:68" ht="14.25" customHeight="1" x14ac:dyDescent="0.25">
      <c r="A199" s="652" t="s">
        <v>339</v>
      </c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49"/>
      <c r="P199" s="649"/>
      <c r="Q199" s="649"/>
      <c r="R199" s="649"/>
      <c r="S199" s="649"/>
      <c r="T199" s="649"/>
      <c r="U199" s="649"/>
      <c r="V199" s="649"/>
      <c r="W199" s="649"/>
      <c r="X199" s="649"/>
      <c r="Y199" s="649"/>
      <c r="Z199" s="649"/>
      <c r="AA199" s="630"/>
      <c r="AB199" s="630"/>
      <c r="AC199" s="630"/>
    </row>
    <row r="200" spans="1:68" ht="27" customHeight="1" x14ac:dyDescent="0.25">
      <c r="A200" s="54" t="s">
        <v>340</v>
      </c>
      <c r="B200" s="54" t="s">
        <v>341</v>
      </c>
      <c r="C200" s="31">
        <v>4301041009</v>
      </c>
      <c r="D200" s="642">
        <v>4680115889033</v>
      </c>
      <c r="E200" s="643"/>
      <c r="F200" s="634">
        <v>0.11</v>
      </c>
      <c r="G200" s="32">
        <v>15</v>
      </c>
      <c r="H200" s="634">
        <v>1.65</v>
      </c>
      <c r="I200" s="634">
        <v>1.9</v>
      </c>
      <c r="J200" s="32">
        <v>216</v>
      </c>
      <c r="K200" s="32" t="s">
        <v>334</v>
      </c>
      <c r="L200" s="32"/>
      <c r="M200" s="33" t="s">
        <v>277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68</v>
      </c>
      <c r="X200" s="635">
        <v>0</v>
      </c>
      <c r="Y200" s="636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342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5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66"/>
      <c r="P201" s="653" t="s">
        <v>73</v>
      </c>
      <c r="Q201" s="654"/>
      <c r="R201" s="654"/>
      <c r="S201" s="654"/>
      <c r="T201" s="654"/>
      <c r="U201" s="654"/>
      <c r="V201" s="655"/>
      <c r="W201" s="37" t="s">
        <v>74</v>
      </c>
      <c r="X201" s="637">
        <f>IFERROR(X200/H200,"0")</f>
        <v>0</v>
      </c>
      <c r="Y201" s="637">
        <f>IFERROR(Y200/H200,"0")</f>
        <v>0</v>
      </c>
      <c r="Z201" s="637">
        <f>IFERROR(IF(Z200="",0,Z200),"0")</f>
        <v>0</v>
      </c>
      <c r="AA201" s="638"/>
      <c r="AB201" s="638"/>
      <c r="AC201" s="638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66"/>
      <c r="P202" s="653" t="s">
        <v>73</v>
      </c>
      <c r="Q202" s="654"/>
      <c r="R202" s="654"/>
      <c r="S202" s="654"/>
      <c r="T202" s="654"/>
      <c r="U202" s="654"/>
      <c r="V202" s="655"/>
      <c r="W202" s="37" t="s">
        <v>68</v>
      </c>
      <c r="X202" s="637">
        <f>IFERROR(SUM(X200:X200),"0")</f>
        <v>0</v>
      </c>
      <c r="Y202" s="637">
        <f>IFERROR(SUM(Y200:Y200),"0")</f>
        <v>0</v>
      </c>
      <c r="Z202" s="37"/>
      <c r="AA202" s="638"/>
      <c r="AB202" s="638"/>
      <c r="AC202" s="638"/>
    </row>
    <row r="203" spans="1:68" ht="27.75" customHeight="1" x14ac:dyDescent="0.2">
      <c r="A203" s="650" t="s">
        <v>343</v>
      </c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1"/>
      <c r="P203" s="651"/>
      <c r="Q203" s="651"/>
      <c r="R203" s="651"/>
      <c r="S203" s="651"/>
      <c r="T203" s="651"/>
      <c r="U203" s="651"/>
      <c r="V203" s="651"/>
      <c r="W203" s="651"/>
      <c r="X203" s="651"/>
      <c r="Y203" s="651"/>
      <c r="Z203" s="651"/>
      <c r="AA203" s="48"/>
      <c r="AB203" s="48"/>
      <c r="AC203" s="48"/>
    </row>
    <row r="204" spans="1:68" ht="16.5" customHeight="1" x14ac:dyDescent="0.25">
      <c r="A204" s="648" t="s">
        <v>344</v>
      </c>
      <c r="B204" s="649"/>
      <c r="C204" s="649"/>
      <c r="D204" s="649"/>
      <c r="E204" s="649"/>
      <c r="F204" s="649"/>
      <c r="G204" s="649"/>
      <c r="H204" s="649"/>
      <c r="I204" s="649"/>
      <c r="J204" s="649"/>
      <c r="K204" s="649"/>
      <c r="L204" s="649"/>
      <c r="M204" s="649"/>
      <c r="N204" s="649"/>
      <c r="O204" s="649"/>
      <c r="P204" s="649"/>
      <c r="Q204" s="649"/>
      <c r="R204" s="649"/>
      <c r="S204" s="649"/>
      <c r="T204" s="649"/>
      <c r="U204" s="649"/>
      <c r="V204" s="649"/>
      <c r="W204" s="649"/>
      <c r="X204" s="649"/>
      <c r="Y204" s="649"/>
      <c r="Z204" s="649"/>
      <c r="AA204" s="629"/>
      <c r="AB204" s="629"/>
      <c r="AC204" s="629"/>
    </row>
    <row r="205" spans="1:68" ht="14.25" customHeight="1" x14ac:dyDescent="0.25">
      <c r="A205" s="652" t="s">
        <v>112</v>
      </c>
      <c r="B205" s="649"/>
      <c r="C205" s="649"/>
      <c r="D205" s="649"/>
      <c r="E205" s="649"/>
      <c r="F205" s="649"/>
      <c r="G205" s="649"/>
      <c r="H205" s="649"/>
      <c r="I205" s="649"/>
      <c r="J205" s="649"/>
      <c r="K205" s="649"/>
      <c r="L205" s="649"/>
      <c r="M205" s="649"/>
      <c r="N205" s="649"/>
      <c r="O205" s="649"/>
      <c r="P205" s="649"/>
      <c r="Q205" s="649"/>
      <c r="R205" s="649"/>
      <c r="S205" s="649"/>
      <c r="T205" s="649"/>
      <c r="U205" s="649"/>
      <c r="V205" s="649"/>
      <c r="W205" s="649"/>
      <c r="X205" s="649"/>
      <c r="Y205" s="649"/>
      <c r="Z205" s="649"/>
      <c r="AA205" s="630"/>
      <c r="AB205" s="630"/>
      <c r="AC205" s="630"/>
    </row>
    <row r="206" spans="1:68" ht="27" customHeight="1" x14ac:dyDescent="0.25">
      <c r="A206" s="54" t="s">
        <v>345</v>
      </c>
      <c r="B206" s="54" t="s">
        <v>346</v>
      </c>
      <c r="C206" s="31">
        <v>4301011223</v>
      </c>
      <c r="D206" s="642">
        <v>4607091383423</v>
      </c>
      <c r="E206" s="643"/>
      <c r="F206" s="634">
        <v>1.35</v>
      </c>
      <c r="G206" s="32">
        <v>8</v>
      </c>
      <c r="H206" s="634">
        <v>10.8</v>
      </c>
      <c r="I206" s="634">
        <v>11.305999999999999</v>
      </c>
      <c r="J206" s="32">
        <v>64</v>
      </c>
      <c r="K206" s="32" t="s">
        <v>115</v>
      </c>
      <c r="L206" s="32"/>
      <c r="M206" s="33" t="s">
        <v>79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68</v>
      </c>
      <c r="X206" s="635">
        <v>0</v>
      </c>
      <c r="Y206" s="636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117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4301012340</v>
      </c>
      <c r="D207" s="642">
        <v>4680115888760</v>
      </c>
      <c r="E207" s="643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115</v>
      </c>
      <c r="L207" s="32"/>
      <c r="M207" s="33" t="s">
        <v>79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68</v>
      </c>
      <c r="X207" s="635">
        <v>0</v>
      </c>
      <c r="Y207" s="636">
        <f t="shared" si="21"/>
        <v>0</v>
      </c>
      <c r="Z207" s="36" t="str">
        <f t="shared" si="22"/>
        <v/>
      </c>
      <c r="AA207" s="56"/>
      <c r="AB207" s="57"/>
      <c r="AC207" s="265" t="s">
        <v>349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4301012341</v>
      </c>
      <c r="D208" s="642">
        <v>4680115888807</v>
      </c>
      <c r="E208" s="643"/>
      <c r="F208" s="634">
        <v>1.4</v>
      </c>
      <c r="G208" s="32">
        <v>6</v>
      </c>
      <c r="H208" s="634">
        <v>8.4</v>
      </c>
      <c r="I208" s="634">
        <v>8.81</v>
      </c>
      <c r="J208" s="32">
        <v>64</v>
      </c>
      <c r="K208" s="32" t="s">
        <v>115</v>
      </c>
      <c r="L208" s="32"/>
      <c r="M208" s="33" t="s">
        <v>79</v>
      </c>
      <c r="N208" s="33"/>
      <c r="O208" s="32">
        <v>35</v>
      </c>
      <c r="P208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68</v>
      </c>
      <c r="X208" s="635">
        <v>0</v>
      </c>
      <c r="Y208" s="636">
        <f t="shared" si="21"/>
        <v>0</v>
      </c>
      <c r="Z208" s="36" t="str">
        <f t="shared" si="22"/>
        <v/>
      </c>
      <c r="AA208" s="56"/>
      <c r="AB208" s="57"/>
      <c r="AC208" s="267" t="s">
        <v>352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353</v>
      </c>
      <c r="B209" s="54" t="s">
        <v>354</v>
      </c>
      <c r="C209" s="31">
        <v>4301012342</v>
      </c>
      <c r="D209" s="642">
        <v>4680115888852</v>
      </c>
      <c r="E209" s="643"/>
      <c r="F209" s="634">
        <v>0.9</v>
      </c>
      <c r="G209" s="32">
        <v>6</v>
      </c>
      <c r="H209" s="634">
        <v>5.4</v>
      </c>
      <c r="I209" s="634">
        <v>5.81</v>
      </c>
      <c r="J209" s="32">
        <v>64</v>
      </c>
      <c r="K209" s="32" t="s">
        <v>115</v>
      </c>
      <c r="L209" s="32"/>
      <c r="M209" s="33" t="s">
        <v>79</v>
      </c>
      <c r="N209" s="33"/>
      <c r="O209" s="32">
        <v>35</v>
      </c>
      <c r="P209" s="69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68</v>
      </c>
      <c r="X209" s="635">
        <v>0</v>
      </c>
      <c r="Y209" s="636">
        <f t="shared" si="21"/>
        <v>0</v>
      </c>
      <c r="Z209" s="36" t="str">
        <f t="shared" si="22"/>
        <v/>
      </c>
      <c r="AA209" s="56"/>
      <c r="AB209" s="57"/>
      <c r="AC209" s="269" t="s">
        <v>355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356</v>
      </c>
      <c r="B210" s="54" t="s">
        <v>357</v>
      </c>
      <c r="C210" s="31">
        <v>4301012370</v>
      </c>
      <c r="D210" s="642">
        <v>4680115886957</v>
      </c>
      <c r="E210" s="643"/>
      <c r="F210" s="634">
        <v>1.35</v>
      </c>
      <c r="G210" s="32">
        <v>8</v>
      </c>
      <c r="H210" s="634">
        <v>10.8</v>
      </c>
      <c r="I210" s="634">
        <v>11.29</v>
      </c>
      <c r="J210" s="32">
        <v>64</v>
      </c>
      <c r="K210" s="32" t="s">
        <v>115</v>
      </c>
      <c r="L210" s="32"/>
      <c r="M210" s="33" t="s">
        <v>79</v>
      </c>
      <c r="N210" s="33"/>
      <c r="O210" s="32">
        <v>35</v>
      </c>
      <c r="P210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68</v>
      </c>
      <c r="X210" s="635">
        <v>0</v>
      </c>
      <c r="Y210" s="636">
        <f t="shared" si="21"/>
        <v>0</v>
      </c>
      <c r="Z210" s="36" t="str">
        <f t="shared" si="22"/>
        <v/>
      </c>
      <c r="AA210" s="56"/>
      <c r="AB210" s="57"/>
      <c r="AC210" s="271" t="s">
        <v>358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359</v>
      </c>
      <c r="B211" s="54" t="s">
        <v>360</v>
      </c>
      <c r="C211" s="31">
        <v>4301012098</v>
      </c>
      <c r="D211" s="642">
        <v>4680115885660</v>
      </c>
      <c r="E211" s="643"/>
      <c r="F211" s="634">
        <v>1.35</v>
      </c>
      <c r="G211" s="32">
        <v>8</v>
      </c>
      <c r="H211" s="634">
        <v>10.8</v>
      </c>
      <c r="I211" s="634">
        <v>11.21</v>
      </c>
      <c r="J211" s="32">
        <v>64</v>
      </c>
      <c r="K211" s="32" t="s">
        <v>115</v>
      </c>
      <c r="L211" s="32"/>
      <c r="M211" s="33" t="s">
        <v>79</v>
      </c>
      <c r="N211" s="33"/>
      <c r="O211" s="32">
        <v>35</v>
      </c>
      <c r="P211" s="83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68</v>
      </c>
      <c r="X211" s="635">
        <v>0</v>
      </c>
      <c r="Y211" s="636">
        <f t="shared" si="21"/>
        <v>0</v>
      </c>
      <c r="Z211" s="36" t="str">
        <f t="shared" si="22"/>
        <v/>
      </c>
      <c r="AA211" s="56"/>
      <c r="AB211" s="57"/>
      <c r="AC211" s="273" t="s">
        <v>361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362</v>
      </c>
      <c r="B212" s="54" t="s">
        <v>363</v>
      </c>
      <c r="C212" s="31">
        <v>4301012369</v>
      </c>
      <c r="D212" s="642">
        <v>4680115886773</v>
      </c>
      <c r="E212" s="643"/>
      <c r="F212" s="634">
        <v>0.9</v>
      </c>
      <c r="G212" s="32">
        <v>10</v>
      </c>
      <c r="H212" s="634">
        <v>9</v>
      </c>
      <c r="I212" s="634">
        <v>9.51</v>
      </c>
      <c r="J212" s="32">
        <v>64</v>
      </c>
      <c r="K212" s="32" t="s">
        <v>115</v>
      </c>
      <c r="L212" s="32"/>
      <c r="M212" s="33" t="s">
        <v>79</v>
      </c>
      <c r="N212" s="33"/>
      <c r="O212" s="32">
        <v>35</v>
      </c>
      <c r="P212" s="8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68</v>
      </c>
      <c r="X212" s="635">
        <v>0</v>
      </c>
      <c r="Y212" s="636">
        <f t="shared" si="21"/>
        <v>0</v>
      </c>
      <c r="Z212" s="36" t="str">
        <f t="shared" si="22"/>
        <v/>
      </c>
      <c r="AA212" s="56"/>
      <c r="AB212" s="57"/>
      <c r="AC212" s="275" t="s">
        <v>364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5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66"/>
      <c r="P213" s="653" t="s">
        <v>73</v>
      </c>
      <c r="Q213" s="654"/>
      <c r="R213" s="654"/>
      <c r="S213" s="654"/>
      <c r="T213" s="654"/>
      <c r="U213" s="654"/>
      <c r="V213" s="655"/>
      <c r="W213" s="37" t="s">
        <v>74</v>
      </c>
      <c r="X213" s="637">
        <f>IFERROR(X206/H206,"0")+IFERROR(X207/H207,"0")+IFERROR(X208/H208,"0")+IFERROR(X209/H209,"0")+IFERROR(X210/H210,"0")+IFERROR(X211/H211,"0")+IFERROR(X212/H212,"0")</f>
        <v>0</v>
      </c>
      <c r="Y213" s="637">
        <f>IFERROR(Y206/H206,"0")+IFERROR(Y207/H207,"0")+IFERROR(Y208/H208,"0")+IFERROR(Y209/H209,"0")+IFERROR(Y210/H210,"0")+IFERROR(Y211/H211,"0")+IFERROR(Y212/H212,"0")</f>
        <v>0</v>
      </c>
      <c r="Z213" s="637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8"/>
      <c r="AB213" s="638"/>
      <c r="AC213" s="638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66"/>
      <c r="P214" s="653" t="s">
        <v>73</v>
      </c>
      <c r="Q214" s="654"/>
      <c r="R214" s="654"/>
      <c r="S214" s="654"/>
      <c r="T214" s="654"/>
      <c r="U214" s="654"/>
      <c r="V214" s="655"/>
      <c r="W214" s="37" t="s">
        <v>68</v>
      </c>
      <c r="X214" s="637">
        <f>IFERROR(SUM(X206:X212),"0")</f>
        <v>0</v>
      </c>
      <c r="Y214" s="637">
        <f>IFERROR(SUM(Y206:Y212),"0")</f>
        <v>0</v>
      </c>
      <c r="Z214" s="37"/>
      <c r="AA214" s="638"/>
      <c r="AB214" s="638"/>
      <c r="AC214" s="638"/>
    </row>
    <row r="215" spans="1:68" ht="16.5" customHeight="1" x14ac:dyDescent="0.25">
      <c r="A215" s="648" t="s">
        <v>365</v>
      </c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49"/>
      <c r="P215" s="649"/>
      <c r="Q215" s="649"/>
      <c r="R215" s="649"/>
      <c r="S215" s="649"/>
      <c r="T215" s="649"/>
      <c r="U215" s="649"/>
      <c r="V215" s="649"/>
      <c r="W215" s="649"/>
      <c r="X215" s="649"/>
      <c r="Y215" s="649"/>
      <c r="Z215" s="649"/>
      <c r="AA215" s="629"/>
      <c r="AB215" s="629"/>
      <c r="AC215" s="629"/>
    </row>
    <row r="216" spans="1:68" ht="14.25" customHeight="1" x14ac:dyDescent="0.25">
      <c r="A216" s="652" t="s">
        <v>148</v>
      </c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49"/>
      <c r="P216" s="649"/>
      <c r="Q216" s="649"/>
      <c r="R216" s="649"/>
      <c r="S216" s="649"/>
      <c r="T216" s="649"/>
      <c r="U216" s="649"/>
      <c r="V216" s="649"/>
      <c r="W216" s="649"/>
      <c r="X216" s="649"/>
      <c r="Y216" s="649"/>
      <c r="Z216" s="649"/>
      <c r="AA216" s="630"/>
      <c r="AB216" s="630"/>
      <c r="AC216" s="630"/>
    </row>
    <row r="217" spans="1:68" ht="27" customHeight="1" x14ac:dyDescent="0.25">
      <c r="A217" s="54" t="s">
        <v>366</v>
      </c>
      <c r="B217" s="54" t="s">
        <v>367</v>
      </c>
      <c r="C217" s="31">
        <v>4301020323</v>
      </c>
      <c r="D217" s="642">
        <v>4680115886223</v>
      </c>
      <c r="E217" s="643"/>
      <c r="F217" s="634">
        <v>0.33</v>
      </c>
      <c r="G217" s="32">
        <v>6</v>
      </c>
      <c r="H217" s="634">
        <v>1.98</v>
      </c>
      <c r="I217" s="634">
        <v>2.08</v>
      </c>
      <c r="J217" s="32">
        <v>234</v>
      </c>
      <c r="K217" s="32" t="s">
        <v>66</v>
      </c>
      <c r="L217" s="32"/>
      <c r="M217" s="33" t="s">
        <v>67</v>
      </c>
      <c r="N217" s="33"/>
      <c r="O217" s="32">
        <v>40</v>
      </c>
      <c r="P217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68</v>
      </c>
      <c r="X217" s="635">
        <v>0</v>
      </c>
      <c r="Y217" s="636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368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5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66"/>
      <c r="P218" s="653" t="s">
        <v>73</v>
      </c>
      <c r="Q218" s="654"/>
      <c r="R218" s="654"/>
      <c r="S218" s="654"/>
      <c r="T218" s="654"/>
      <c r="U218" s="654"/>
      <c r="V218" s="655"/>
      <c r="W218" s="37" t="s">
        <v>74</v>
      </c>
      <c r="X218" s="637">
        <f>IFERROR(X217/H217,"0")</f>
        <v>0</v>
      </c>
      <c r="Y218" s="637">
        <f>IFERROR(Y217/H217,"0")</f>
        <v>0</v>
      </c>
      <c r="Z218" s="637">
        <f>IFERROR(IF(Z217="",0,Z217),"0")</f>
        <v>0</v>
      </c>
      <c r="AA218" s="638"/>
      <c r="AB218" s="638"/>
      <c r="AC218" s="638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66"/>
      <c r="P219" s="653" t="s">
        <v>73</v>
      </c>
      <c r="Q219" s="654"/>
      <c r="R219" s="654"/>
      <c r="S219" s="654"/>
      <c r="T219" s="654"/>
      <c r="U219" s="654"/>
      <c r="V219" s="655"/>
      <c r="W219" s="37" t="s">
        <v>68</v>
      </c>
      <c r="X219" s="637">
        <f>IFERROR(SUM(X217:X217),"0")</f>
        <v>0</v>
      </c>
      <c r="Y219" s="637">
        <f>IFERROR(SUM(Y217:Y217),"0")</f>
        <v>0</v>
      </c>
      <c r="Z219" s="37"/>
      <c r="AA219" s="638"/>
      <c r="AB219" s="638"/>
      <c r="AC219" s="638"/>
    </row>
    <row r="220" spans="1:68" ht="14.25" customHeight="1" x14ac:dyDescent="0.25">
      <c r="A220" s="652" t="s">
        <v>63</v>
      </c>
      <c r="B220" s="649"/>
      <c r="C220" s="649"/>
      <c r="D220" s="649"/>
      <c r="E220" s="649"/>
      <c r="F220" s="649"/>
      <c r="G220" s="649"/>
      <c r="H220" s="649"/>
      <c r="I220" s="649"/>
      <c r="J220" s="649"/>
      <c r="K220" s="649"/>
      <c r="L220" s="649"/>
      <c r="M220" s="649"/>
      <c r="N220" s="649"/>
      <c r="O220" s="649"/>
      <c r="P220" s="649"/>
      <c r="Q220" s="649"/>
      <c r="R220" s="649"/>
      <c r="S220" s="649"/>
      <c r="T220" s="649"/>
      <c r="U220" s="649"/>
      <c r="V220" s="649"/>
      <c r="W220" s="649"/>
      <c r="X220" s="649"/>
      <c r="Y220" s="649"/>
      <c r="Z220" s="649"/>
      <c r="AA220" s="630"/>
      <c r="AB220" s="630"/>
      <c r="AC220" s="630"/>
    </row>
    <row r="221" spans="1:68" ht="27" customHeight="1" x14ac:dyDescent="0.25">
      <c r="A221" s="54" t="s">
        <v>369</v>
      </c>
      <c r="B221" s="54" t="s">
        <v>370</v>
      </c>
      <c r="C221" s="31">
        <v>4301031191</v>
      </c>
      <c r="D221" s="642">
        <v>4680115880993</v>
      </c>
      <c r="E221" s="643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124</v>
      </c>
      <c r="L221" s="32"/>
      <c r="M221" s="33" t="s">
        <v>67</v>
      </c>
      <c r="N221" s="33"/>
      <c r="O221" s="32">
        <v>40</v>
      </c>
      <c r="P221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68</v>
      </c>
      <c r="X221" s="635">
        <v>0</v>
      </c>
      <c r="Y221" s="636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371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372</v>
      </c>
      <c r="B222" s="54" t="s">
        <v>373</v>
      </c>
      <c r="C222" s="31">
        <v>4301031204</v>
      </c>
      <c r="D222" s="642">
        <v>4680115881761</v>
      </c>
      <c r="E222" s="643"/>
      <c r="F222" s="634">
        <v>0.7</v>
      </c>
      <c r="G222" s="32">
        <v>6</v>
      </c>
      <c r="H222" s="634">
        <v>4.2</v>
      </c>
      <c r="I222" s="634">
        <v>4.45</v>
      </c>
      <c r="J222" s="32">
        <v>132</v>
      </c>
      <c r="K222" s="32" t="s">
        <v>124</v>
      </c>
      <c r="L222" s="32"/>
      <c r="M222" s="33" t="s">
        <v>67</v>
      </c>
      <c r="N222" s="33"/>
      <c r="O222" s="32">
        <v>40</v>
      </c>
      <c r="P222" s="8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68</v>
      </c>
      <c r="X222" s="635">
        <v>0</v>
      </c>
      <c r="Y222" s="636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374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375</v>
      </c>
      <c r="B223" s="54" t="s">
        <v>376</v>
      </c>
      <c r="C223" s="31">
        <v>4301031201</v>
      </c>
      <c r="D223" s="642">
        <v>4680115881563</v>
      </c>
      <c r="E223" s="643"/>
      <c r="F223" s="634">
        <v>0.7</v>
      </c>
      <c r="G223" s="32">
        <v>6</v>
      </c>
      <c r="H223" s="634">
        <v>4.2</v>
      </c>
      <c r="I223" s="634">
        <v>4.3899999999999997</v>
      </c>
      <c r="J223" s="32">
        <v>132</v>
      </c>
      <c r="K223" s="32" t="s">
        <v>124</v>
      </c>
      <c r="L223" s="32"/>
      <c r="M223" s="33" t="s">
        <v>67</v>
      </c>
      <c r="N223" s="33"/>
      <c r="O223" s="32">
        <v>40</v>
      </c>
      <c r="P223" s="7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68</v>
      </c>
      <c r="X223" s="635">
        <v>0</v>
      </c>
      <c r="Y223" s="636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377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378</v>
      </c>
      <c r="B224" s="54" t="s">
        <v>379</v>
      </c>
      <c r="C224" s="31">
        <v>4301031447</v>
      </c>
      <c r="D224" s="642">
        <v>4680115887565</v>
      </c>
      <c r="E224" s="643"/>
      <c r="F224" s="634">
        <v>0.08</v>
      </c>
      <c r="G224" s="32">
        <v>10</v>
      </c>
      <c r="H224" s="634">
        <v>0.8</v>
      </c>
      <c r="I224" s="634">
        <v>0.93</v>
      </c>
      <c r="J224" s="32">
        <v>252</v>
      </c>
      <c r="K224" s="32" t="s">
        <v>66</v>
      </c>
      <c r="L224" s="32"/>
      <c r="M224" s="33" t="s">
        <v>67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68</v>
      </c>
      <c r="X224" s="635">
        <v>0</v>
      </c>
      <c r="Y224" s="636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4301031199</v>
      </c>
      <c r="D225" s="642">
        <v>4680115880986</v>
      </c>
      <c r="E225" s="643"/>
      <c r="F225" s="634">
        <v>0.35</v>
      </c>
      <c r="G225" s="32">
        <v>6</v>
      </c>
      <c r="H225" s="634">
        <v>2.1</v>
      </c>
      <c r="I225" s="634">
        <v>2.23</v>
      </c>
      <c r="J225" s="32">
        <v>234</v>
      </c>
      <c r="K225" s="32" t="s">
        <v>66</v>
      </c>
      <c r="L225" s="32"/>
      <c r="M225" s="33" t="s">
        <v>67</v>
      </c>
      <c r="N225" s="33"/>
      <c r="O225" s="32">
        <v>40</v>
      </c>
      <c r="P225" s="9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68</v>
      </c>
      <c r="X225" s="635">
        <v>0</v>
      </c>
      <c r="Y225" s="636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371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4301031443</v>
      </c>
      <c r="D226" s="642">
        <v>4680115887213</v>
      </c>
      <c r="E226" s="643"/>
      <c r="F226" s="634">
        <v>0.3</v>
      </c>
      <c r="G226" s="32">
        <v>6</v>
      </c>
      <c r="H226" s="634">
        <v>1.8</v>
      </c>
      <c r="I226" s="634">
        <v>1.9</v>
      </c>
      <c r="J226" s="32">
        <v>234</v>
      </c>
      <c r="K226" s="32" t="s">
        <v>66</v>
      </c>
      <c r="L226" s="32"/>
      <c r="M226" s="33" t="s">
        <v>67</v>
      </c>
      <c r="N226" s="33"/>
      <c r="O226" s="32">
        <v>45</v>
      </c>
      <c r="P226" s="91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68</v>
      </c>
      <c r="X226" s="635">
        <v>0</v>
      </c>
      <c r="Y226" s="636">
        <f t="shared" si="27"/>
        <v>0</v>
      </c>
      <c r="Z226" s="36" t="str">
        <f t="shared" si="32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4301031205</v>
      </c>
      <c r="D227" s="642">
        <v>4680115881785</v>
      </c>
      <c r="E227" s="643"/>
      <c r="F227" s="634">
        <v>0.35</v>
      </c>
      <c r="G227" s="32">
        <v>6</v>
      </c>
      <c r="H227" s="634">
        <v>2.1</v>
      </c>
      <c r="I227" s="634">
        <v>2.23</v>
      </c>
      <c r="J227" s="32">
        <v>234</v>
      </c>
      <c r="K227" s="32" t="s">
        <v>66</v>
      </c>
      <c r="L227" s="32"/>
      <c r="M227" s="33" t="s">
        <v>67</v>
      </c>
      <c r="N227" s="33"/>
      <c r="O227" s="32">
        <v>40</v>
      </c>
      <c r="P227" s="9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68</v>
      </c>
      <c r="X227" s="635">
        <v>0</v>
      </c>
      <c r="Y227" s="636">
        <f t="shared" si="27"/>
        <v>0</v>
      </c>
      <c r="Z227" s="36" t="str">
        <f t="shared" si="32"/>
        <v/>
      </c>
      <c r="AA227" s="56"/>
      <c r="AB227" s="57"/>
      <c r="AC227" s="291" t="s">
        <v>374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388</v>
      </c>
      <c r="B228" s="54" t="s">
        <v>389</v>
      </c>
      <c r="C228" s="31">
        <v>4301031499</v>
      </c>
      <c r="D228" s="642">
        <v>4680115888432</v>
      </c>
      <c r="E228" s="643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66</v>
      </c>
      <c r="L228" s="32"/>
      <c r="M228" s="33" t="s">
        <v>67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68</v>
      </c>
      <c r="X228" s="635">
        <v>0</v>
      </c>
      <c r="Y228" s="636">
        <f t="shared" si="27"/>
        <v>0</v>
      </c>
      <c r="Z228" s="36" t="str">
        <f t="shared" si="32"/>
        <v/>
      </c>
      <c r="AA228" s="56"/>
      <c r="AB228" s="57"/>
      <c r="AC228" s="293" t="s">
        <v>390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391</v>
      </c>
      <c r="B229" s="54" t="s">
        <v>392</v>
      </c>
      <c r="C229" s="31">
        <v>4301031427</v>
      </c>
      <c r="D229" s="642">
        <v>4680115888104</v>
      </c>
      <c r="E229" s="643"/>
      <c r="F229" s="634">
        <v>0.35</v>
      </c>
      <c r="G229" s="32">
        <v>6</v>
      </c>
      <c r="H229" s="634">
        <v>2.1</v>
      </c>
      <c r="I229" s="634">
        <v>2.2000000000000002</v>
      </c>
      <c r="J229" s="32">
        <v>234</v>
      </c>
      <c r="K229" s="32" t="s">
        <v>66</v>
      </c>
      <c r="L229" s="32"/>
      <c r="M229" s="33" t="s">
        <v>67</v>
      </c>
      <c r="N229" s="33"/>
      <c r="O229" s="32">
        <v>45</v>
      </c>
      <c r="P229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68</v>
      </c>
      <c r="X229" s="635">
        <v>0</v>
      </c>
      <c r="Y229" s="636">
        <f t="shared" si="27"/>
        <v>0</v>
      </c>
      <c r="Z229" s="36" t="str">
        <f t="shared" si="32"/>
        <v/>
      </c>
      <c r="AA229" s="56"/>
      <c r="AB229" s="57"/>
      <c r="AC229" s="295" t="s">
        <v>393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394</v>
      </c>
      <c r="B230" s="54" t="s">
        <v>395</v>
      </c>
      <c r="C230" s="31">
        <v>4301031399</v>
      </c>
      <c r="D230" s="642">
        <v>4680115886537</v>
      </c>
      <c r="E230" s="643"/>
      <c r="F230" s="634">
        <v>0.3</v>
      </c>
      <c r="G230" s="32">
        <v>6</v>
      </c>
      <c r="H230" s="634">
        <v>1.8</v>
      </c>
      <c r="I230" s="634">
        <v>1.93</v>
      </c>
      <c r="J230" s="32">
        <v>234</v>
      </c>
      <c r="K230" s="32" t="s">
        <v>66</v>
      </c>
      <c r="L230" s="32"/>
      <c r="M230" s="33" t="s">
        <v>67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68</v>
      </c>
      <c r="X230" s="635">
        <v>0</v>
      </c>
      <c r="Y230" s="636">
        <f t="shared" si="27"/>
        <v>0</v>
      </c>
      <c r="Z230" s="36" t="str">
        <f t="shared" si="32"/>
        <v/>
      </c>
      <c r="AA230" s="56"/>
      <c r="AB230" s="57"/>
      <c r="AC230" s="297" t="s">
        <v>396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397</v>
      </c>
      <c r="B231" s="54" t="s">
        <v>398</v>
      </c>
      <c r="C231" s="31">
        <v>4301031279</v>
      </c>
      <c r="D231" s="642">
        <v>4680115887596</v>
      </c>
      <c r="E231" s="643"/>
      <c r="F231" s="634">
        <v>0.08</v>
      </c>
      <c r="G231" s="32">
        <v>10</v>
      </c>
      <c r="H231" s="634">
        <v>0.8</v>
      </c>
      <c r="I231" s="634">
        <v>1.01</v>
      </c>
      <c r="J231" s="32">
        <v>336</v>
      </c>
      <c r="K231" s="32" t="s">
        <v>120</v>
      </c>
      <c r="L231" s="32"/>
      <c r="M231" s="33" t="s">
        <v>67</v>
      </c>
      <c r="N231" s="33"/>
      <c r="O231" s="32">
        <v>45</v>
      </c>
      <c r="P231" s="6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68</v>
      </c>
      <c r="X231" s="635">
        <v>0</v>
      </c>
      <c r="Y231" s="636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399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400</v>
      </c>
      <c r="B232" s="54" t="s">
        <v>401</v>
      </c>
      <c r="C232" s="31">
        <v>4301031202</v>
      </c>
      <c r="D232" s="642">
        <v>4680115881679</v>
      </c>
      <c r="E232" s="643"/>
      <c r="F232" s="634">
        <v>0.35</v>
      </c>
      <c r="G232" s="32">
        <v>6</v>
      </c>
      <c r="H232" s="634">
        <v>2.1</v>
      </c>
      <c r="I232" s="634">
        <v>2.2000000000000002</v>
      </c>
      <c r="J232" s="32">
        <v>234</v>
      </c>
      <c r="K232" s="32" t="s">
        <v>66</v>
      </c>
      <c r="L232" s="32"/>
      <c r="M232" s="33" t="s">
        <v>67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68</v>
      </c>
      <c r="X232" s="635">
        <v>0</v>
      </c>
      <c r="Y232" s="636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377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402</v>
      </c>
      <c r="B233" s="54" t="s">
        <v>403</v>
      </c>
      <c r="C233" s="31">
        <v>4301031158</v>
      </c>
      <c r="D233" s="642">
        <v>4680115880191</v>
      </c>
      <c r="E233" s="643"/>
      <c r="F233" s="634">
        <v>0.4</v>
      </c>
      <c r="G233" s="32">
        <v>6</v>
      </c>
      <c r="H233" s="634">
        <v>2.4</v>
      </c>
      <c r="I233" s="634">
        <v>2.58</v>
      </c>
      <c r="J233" s="32">
        <v>182</v>
      </c>
      <c r="K233" s="32" t="s">
        <v>78</v>
      </c>
      <c r="L233" s="32"/>
      <c r="M233" s="33" t="s">
        <v>67</v>
      </c>
      <c r="N233" s="33"/>
      <c r="O233" s="32">
        <v>40</v>
      </c>
      <c r="P233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68</v>
      </c>
      <c r="X233" s="635">
        <v>0</v>
      </c>
      <c r="Y233" s="636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377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404</v>
      </c>
      <c r="B234" s="54" t="s">
        <v>405</v>
      </c>
      <c r="C234" s="31">
        <v>4301031245</v>
      </c>
      <c r="D234" s="642">
        <v>4680115883963</v>
      </c>
      <c r="E234" s="643"/>
      <c r="F234" s="634">
        <v>0.28000000000000003</v>
      </c>
      <c r="G234" s="32">
        <v>6</v>
      </c>
      <c r="H234" s="634">
        <v>1.68</v>
      </c>
      <c r="I234" s="634">
        <v>1.78</v>
      </c>
      <c r="J234" s="32">
        <v>234</v>
      </c>
      <c r="K234" s="32" t="s">
        <v>66</v>
      </c>
      <c r="L234" s="32"/>
      <c r="M234" s="33" t="s">
        <v>67</v>
      </c>
      <c r="N234" s="33"/>
      <c r="O234" s="32">
        <v>40</v>
      </c>
      <c r="P234" s="69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68</v>
      </c>
      <c r="X234" s="635">
        <v>0</v>
      </c>
      <c r="Y234" s="636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406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5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66"/>
      <c r="P235" s="653" t="s">
        <v>73</v>
      </c>
      <c r="Q235" s="654"/>
      <c r="R235" s="654"/>
      <c r="S235" s="654"/>
      <c r="T235" s="654"/>
      <c r="U235" s="654"/>
      <c r="V235" s="655"/>
      <c r="W235" s="37" t="s">
        <v>74</v>
      </c>
      <c r="X235" s="637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7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7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66"/>
      <c r="P236" s="653" t="s">
        <v>73</v>
      </c>
      <c r="Q236" s="654"/>
      <c r="R236" s="654"/>
      <c r="S236" s="654"/>
      <c r="T236" s="654"/>
      <c r="U236" s="654"/>
      <c r="V236" s="655"/>
      <c r="W236" s="37" t="s">
        <v>68</v>
      </c>
      <c r="X236" s="637">
        <f>IFERROR(SUM(X221:X234),"0")</f>
        <v>0</v>
      </c>
      <c r="Y236" s="637">
        <f>IFERROR(SUM(Y221:Y234),"0")</f>
        <v>0</v>
      </c>
      <c r="Z236" s="37"/>
      <c r="AA236" s="638"/>
      <c r="AB236" s="638"/>
      <c r="AC236" s="638"/>
    </row>
    <row r="237" spans="1:68" ht="14.25" customHeight="1" x14ac:dyDescent="0.25">
      <c r="A237" s="652" t="s">
        <v>75</v>
      </c>
      <c r="B237" s="649"/>
      <c r="C237" s="649"/>
      <c r="D237" s="649"/>
      <c r="E237" s="649"/>
      <c r="F237" s="649"/>
      <c r="G237" s="649"/>
      <c r="H237" s="649"/>
      <c r="I237" s="649"/>
      <c r="J237" s="649"/>
      <c r="K237" s="649"/>
      <c r="L237" s="649"/>
      <c r="M237" s="649"/>
      <c r="N237" s="649"/>
      <c r="O237" s="649"/>
      <c r="P237" s="649"/>
      <c r="Q237" s="649"/>
      <c r="R237" s="649"/>
      <c r="S237" s="649"/>
      <c r="T237" s="649"/>
      <c r="U237" s="649"/>
      <c r="V237" s="649"/>
      <c r="W237" s="649"/>
      <c r="X237" s="649"/>
      <c r="Y237" s="649"/>
      <c r="Z237" s="649"/>
      <c r="AA237" s="630"/>
      <c r="AB237" s="630"/>
      <c r="AC237" s="630"/>
    </row>
    <row r="238" spans="1:68" ht="16.5" customHeight="1" x14ac:dyDescent="0.25">
      <c r="A238" s="54" t="s">
        <v>407</v>
      </c>
      <c r="B238" s="54" t="s">
        <v>408</v>
      </c>
      <c r="C238" s="31">
        <v>4301052209</v>
      </c>
      <c r="D238" s="642">
        <v>4680115888692</v>
      </c>
      <c r="E238" s="643"/>
      <c r="F238" s="634">
        <v>0.8</v>
      </c>
      <c r="G238" s="32">
        <v>6</v>
      </c>
      <c r="H238" s="634">
        <v>4.8</v>
      </c>
      <c r="I238" s="634">
        <v>5.2220000000000004</v>
      </c>
      <c r="J238" s="32">
        <v>104</v>
      </c>
      <c r="K238" s="32" t="s">
        <v>115</v>
      </c>
      <c r="L238" s="32"/>
      <c r="M238" s="33" t="s">
        <v>85</v>
      </c>
      <c r="N238" s="33"/>
      <c r="O238" s="32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68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409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4301052213</v>
      </c>
      <c r="D239" s="642">
        <v>4680115888722</v>
      </c>
      <c r="E239" s="643"/>
      <c r="F239" s="634">
        <v>0.8</v>
      </c>
      <c r="G239" s="32">
        <v>6</v>
      </c>
      <c r="H239" s="634">
        <v>4.8</v>
      </c>
      <c r="I239" s="634">
        <v>5.2220000000000004</v>
      </c>
      <c r="J239" s="32">
        <v>104</v>
      </c>
      <c r="K239" s="32" t="s">
        <v>115</v>
      </c>
      <c r="L239" s="32"/>
      <c r="M239" s="33" t="s">
        <v>85</v>
      </c>
      <c r="N239" s="33"/>
      <c r="O239" s="32">
        <v>35</v>
      </c>
      <c r="P239" s="7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68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412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413</v>
      </c>
      <c r="B240" s="54" t="s">
        <v>414</v>
      </c>
      <c r="C240" s="31">
        <v>4301052177</v>
      </c>
      <c r="D240" s="642">
        <v>4680115888951</v>
      </c>
      <c r="E240" s="643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124</v>
      </c>
      <c r="L240" s="32"/>
      <c r="M240" s="33" t="s">
        <v>85</v>
      </c>
      <c r="N240" s="33"/>
      <c r="O240" s="32">
        <v>35</v>
      </c>
      <c r="P240" s="7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68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415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416</v>
      </c>
      <c r="B241" s="54" t="s">
        <v>417</v>
      </c>
      <c r="C241" s="31">
        <v>4301052178</v>
      </c>
      <c r="D241" s="642">
        <v>4680115888975</v>
      </c>
      <c r="E241" s="643"/>
      <c r="F241" s="634">
        <v>0.32</v>
      </c>
      <c r="G241" s="32">
        <v>6</v>
      </c>
      <c r="H241" s="634">
        <v>1.92</v>
      </c>
      <c r="I241" s="634">
        <v>2.1819999999999999</v>
      </c>
      <c r="J241" s="32">
        <v>132</v>
      </c>
      <c r="K241" s="32" t="s">
        <v>124</v>
      </c>
      <c r="L241" s="32"/>
      <c r="M241" s="33" t="s">
        <v>85</v>
      </c>
      <c r="N241" s="33"/>
      <c r="O241" s="32">
        <v>35</v>
      </c>
      <c r="P241" s="9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68</v>
      </c>
      <c r="X241" s="635">
        <v>0</v>
      </c>
      <c r="Y241" s="636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418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419</v>
      </c>
      <c r="B242" s="54" t="s">
        <v>420</v>
      </c>
      <c r="C242" s="31">
        <v>4301052176</v>
      </c>
      <c r="D242" s="642">
        <v>4680115888982</v>
      </c>
      <c r="E242" s="643"/>
      <c r="F242" s="634">
        <v>0.36</v>
      </c>
      <c r="G242" s="32">
        <v>6</v>
      </c>
      <c r="H242" s="634">
        <v>2.16</v>
      </c>
      <c r="I242" s="634">
        <v>2.4220000000000002</v>
      </c>
      <c r="J242" s="32">
        <v>132</v>
      </c>
      <c r="K242" s="32" t="s">
        <v>124</v>
      </c>
      <c r="L242" s="32"/>
      <c r="M242" s="33" t="s">
        <v>85</v>
      </c>
      <c r="N242" s="33"/>
      <c r="O242" s="32">
        <v>35</v>
      </c>
      <c r="P242" s="7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68</v>
      </c>
      <c r="X242" s="635">
        <v>0</v>
      </c>
      <c r="Y242" s="636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5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66"/>
      <c r="P243" s="653" t="s">
        <v>73</v>
      </c>
      <c r="Q243" s="654"/>
      <c r="R243" s="654"/>
      <c r="S243" s="654"/>
      <c r="T243" s="654"/>
      <c r="U243" s="654"/>
      <c r="V243" s="655"/>
      <c r="W243" s="37" t="s">
        <v>74</v>
      </c>
      <c r="X243" s="637">
        <f>IFERROR(X238/H238,"0")+IFERROR(X239/H239,"0")+IFERROR(X240/H240,"0")+IFERROR(X241/H241,"0")+IFERROR(X242/H242,"0")</f>
        <v>0</v>
      </c>
      <c r="Y243" s="637">
        <f>IFERROR(Y238/H238,"0")+IFERROR(Y239/H239,"0")+IFERROR(Y240/H240,"0")+IFERROR(Y241/H241,"0")+IFERROR(Y242/H242,"0")</f>
        <v>0</v>
      </c>
      <c r="Z243" s="637">
        <f>IFERROR(IF(Z238="",0,Z238),"0")+IFERROR(IF(Z239="",0,Z239),"0")+IFERROR(IF(Z240="",0,Z240),"0")+IFERROR(IF(Z241="",0,Z241),"0")+IFERROR(IF(Z242="",0,Z242),"0")</f>
        <v>0</v>
      </c>
      <c r="AA243" s="638"/>
      <c r="AB243" s="638"/>
      <c r="AC243" s="638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66"/>
      <c r="P244" s="653" t="s">
        <v>73</v>
      </c>
      <c r="Q244" s="654"/>
      <c r="R244" s="654"/>
      <c r="S244" s="654"/>
      <c r="T244" s="654"/>
      <c r="U244" s="654"/>
      <c r="V244" s="655"/>
      <c r="W244" s="37" t="s">
        <v>68</v>
      </c>
      <c r="X244" s="637">
        <f>IFERROR(SUM(X238:X242),"0")</f>
        <v>0</v>
      </c>
      <c r="Y244" s="637">
        <f>IFERROR(SUM(Y238:Y242),"0")</f>
        <v>0</v>
      </c>
      <c r="Z244" s="37"/>
      <c r="AA244" s="638"/>
      <c r="AB244" s="638"/>
      <c r="AC244" s="638"/>
    </row>
    <row r="245" spans="1:68" ht="14.25" customHeight="1" x14ac:dyDescent="0.25">
      <c r="A245" s="652" t="s">
        <v>273</v>
      </c>
      <c r="B245" s="649"/>
      <c r="C245" s="649"/>
      <c r="D245" s="649"/>
      <c r="E245" s="649"/>
      <c r="F245" s="649"/>
      <c r="G245" s="649"/>
      <c r="H245" s="649"/>
      <c r="I245" s="649"/>
      <c r="J245" s="649"/>
      <c r="K245" s="649"/>
      <c r="L245" s="649"/>
      <c r="M245" s="649"/>
      <c r="N245" s="649"/>
      <c r="O245" s="649"/>
      <c r="P245" s="649"/>
      <c r="Q245" s="649"/>
      <c r="R245" s="649"/>
      <c r="S245" s="649"/>
      <c r="T245" s="649"/>
      <c r="U245" s="649"/>
      <c r="V245" s="649"/>
      <c r="W245" s="649"/>
      <c r="X245" s="649"/>
      <c r="Y245" s="649"/>
      <c r="Z245" s="649"/>
      <c r="AA245" s="630"/>
      <c r="AB245" s="630"/>
      <c r="AC245" s="630"/>
    </row>
    <row r="246" spans="1:68" ht="27" customHeight="1" x14ac:dyDescent="0.25">
      <c r="A246" s="54" t="s">
        <v>421</v>
      </c>
      <c r="B246" s="54" t="s">
        <v>422</v>
      </c>
      <c r="C246" s="31">
        <v>4301032053</v>
      </c>
      <c r="D246" s="642">
        <v>4680115886780</v>
      </c>
      <c r="E246" s="643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334</v>
      </c>
      <c r="L246" s="32"/>
      <c r="M246" s="33" t="s">
        <v>277</v>
      </c>
      <c r="N246" s="33"/>
      <c r="O246" s="32">
        <v>60</v>
      </c>
      <c r="P246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68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423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424</v>
      </c>
      <c r="B247" s="54" t="s">
        <v>425</v>
      </c>
      <c r="C247" s="31">
        <v>4301032051</v>
      </c>
      <c r="D247" s="642">
        <v>4680115886742</v>
      </c>
      <c r="E247" s="643"/>
      <c r="F247" s="634">
        <v>7.0000000000000007E-2</v>
      </c>
      <c r="G247" s="32">
        <v>18</v>
      </c>
      <c r="H247" s="634">
        <v>1.26</v>
      </c>
      <c r="I247" s="634">
        <v>1.45</v>
      </c>
      <c r="J247" s="32">
        <v>216</v>
      </c>
      <c r="K247" s="32" t="s">
        <v>334</v>
      </c>
      <c r="L247" s="32"/>
      <c r="M247" s="33" t="s">
        <v>277</v>
      </c>
      <c r="N247" s="33"/>
      <c r="O247" s="32">
        <v>90</v>
      </c>
      <c r="P247" s="9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68</v>
      </c>
      <c r="X247" s="635">
        <v>0</v>
      </c>
      <c r="Y247" s="63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426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427</v>
      </c>
      <c r="B248" s="54" t="s">
        <v>428</v>
      </c>
      <c r="C248" s="31">
        <v>4301032052</v>
      </c>
      <c r="D248" s="642">
        <v>4680115886766</v>
      </c>
      <c r="E248" s="643"/>
      <c r="F248" s="634">
        <v>7.0000000000000007E-2</v>
      </c>
      <c r="G248" s="32">
        <v>18</v>
      </c>
      <c r="H248" s="634">
        <v>1.26</v>
      </c>
      <c r="I248" s="634">
        <v>1.45</v>
      </c>
      <c r="J248" s="32">
        <v>216</v>
      </c>
      <c r="K248" s="32" t="s">
        <v>334</v>
      </c>
      <c r="L248" s="32"/>
      <c r="M248" s="33" t="s">
        <v>277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68</v>
      </c>
      <c r="X248" s="635">
        <v>0</v>
      </c>
      <c r="Y248" s="63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426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5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66"/>
      <c r="P249" s="653" t="s">
        <v>73</v>
      </c>
      <c r="Q249" s="654"/>
      <c r="R249" s="654"/>
      <c r="S249" s="654"/>
      <c r="T249" s="654"/>
      <c r="U249" s="654"/>
      <c r="V249" s="655"/>
      <c r="W249" s="37" t="s">
        <v>74</v>
      </c>
      <c r="X249" s="637">
        <f>IFERROR(X246/H246,"0")+IFERROR(X247/H247,"0")+IFERROR(X248/H248,"0")</f>
        <v>0</v>
      </c>
      <c r="Y249" s="637">
        <f>IFERROR(Y246/H246,"0")+IFERROR(Y247/H247,"0")+IFERROR(Y248/H248,"0")</f>
        <v>0</v>
      </c>
      <c r="Z249" s="637">
        <f>IFERROR(IF(Z246="",0,Z246),"0")+IFERROR(IF(Z247="",0,Z247),"0")+IFERROR(IF(Z248="",0,Z248),"0")</f>
        <v>0</v>
      </c>
      <c r="AA249" s="638"/>
      <c r="AB249" s="638"/>
      <c r="AC249" s="638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66"/>
      <c r="P250" s="653" t="s">
        <v>73</v>
      </c>
      <c r="Q250" s="654"/>
      <c r="R250" s="654"/>
      <c r="S250" s="654"/>
      <c r="T250" s="654"/>
      <c r="U250" s="654"/>
      <c r="V250" s="655"/>
      <c r="W250" s="37" t="s">
        <v>68</v>
      </c>
      <c r="X250" s="637">
        <f>IFERROR(SUM(X246:X248),"0")</f>
        <v>0</v>
      </c>
      <c r="Y250" s="637">
        <f>IFERROR(SUM(Y246:Y248),"0")</f>
        <v>0</v>
      </c>
      <c r="Z250" s="37"/>
      <c r="AA250" s="638"/>
      <c r="AB250" s="638"/>
      <c r="AC250" s="638"/>
    </row>
    <row r="251" spans="1:68" ht="14.25" customHeight="1" x14ac:dyDescent="0.25">
      <c r="A251" s="652" t="s">
        <v>429</v>
      </c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49"/>
      <c r="P251" s="649"/>
      <c r="Q251" s="649"/>
      <c r="R251" s="649"/>
      <c r="S251" s="649"/>
      <c r="T251" s="649"/>
      <c r="U251" s="649"/>
      <c r="V251" s="649"/>
      <c r="W251" s="649"/>
      <c r="X251" s="649"/>
      <c r="Y251" s="649"/>
      <c r="Z251" s="649"/>
      <c r="AA251" s="630"/>
      <c r="AB251" s="630"/>
      <c r="AC251" s="630"/>
    </row>
    <row r="252" spans="1:68" ht="27" customHeight="1" x14ac:dyDescent="0.25">
      <c r="A252" s="54" t="s">
        <v>430</v>
      </c>
      <c r="B252" s="54" t="s">
        <v>431</v>
      </c>
      <c r="C252" s="31">
        <v>4301170013</v>
      </c>
      <c r="D252" s="642">
        <v>4680115886797</v>
      </c>
      <c r="E252" s="643"/>
      <c r="F252" s="634">
        <v>7.0000000000000007E-2</v>
      </c>
      <c r="G252" s="32">
        <v>18</v>
      </c>
      <c r="H252" s="634">
        <v>1.26</v>
      </c>
      <c r="I252" s="634">
        <v>1.45</v>
      </c>
      <c r="J252" s="32">
        <v>216</v>
      </c>
      <c r="K252" s="32" t="s">
        <v>334</v>
      </c>
      <c r="L252" s="32"/>
      <c r="M252" s="33" t="s">
        <v>277</v>
      </c>
      <c r="N252" s="33"/>
      <c r="O252" s="32">
        <v>90</v>
      </c>
      <c r="P252" s="6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68</v>
      </c>
      <c r="X252" s="635">
        <v>0</v>
      </c>
      <c r="Y252" s="63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426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5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66"/>
      <c r="P253" s="653" t="s">
        <v>73</v>
      </c>
      <c r="Q253" s="654"/>
      <c r="R253" s="654"/>
      <c r="S253" s="654"/>
      <c r="T253" s="654"/>
      <c r="U253" s="654"/>
      <c r="V253" s="655"/>
      <c r="W253" s="37" t="s">
        <v>74</v>
      </c>
      <c r="X253" s="637">
        <f>IFERROR(X252/H252,"0")</f>
        <v>0</v>
      </c>
      <c r="Y253" s="637">
        <f>IFERROR(Y252/H252,"0")</f>
        <v>0</v>
      </c>
      <c r="Z253" s="637">
        <f>IFERROR(IF(Z252="",0,Z252),"0")</f>
        <v>0</v>
      </c>
      <c r="AA253" s="638"/>
      <c r="AB253" s="638"/>
      <c r="AC253" s="638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66"/>
      <c r="P254" s="653" t="s">
        <v>73</v>
      </c>
      <c r="Q254" s="654"/>
      <c r="R254" s="654"/>
      <c r="S254" s="654"/>
      <c r="T254" s="654"/>
      <c r="U254" s="654"/>
      <c r="V254" s="655"/>
      <c r="W254" s="37" t="s">
        <v>68</v>
      </c>
      <c r="X254" s="637">
        <f>IFERROR(SUM(X252:X252),"0")</f>
        <v>0</v>
      </c>
      <c r="Y254" s="637">
        <f>IFERROR(SUM(Y252:Y252),"0")</f>
        <v>0</v>
      </c>
      <c r="Z254" s="37"/>
      <c r="AA254" s="638"/>
      <c r="AB254" s="638"/>
      <c r="AC254" s="638"/>
    </row>
    <row r="255" spans="1:68" ht="16.5" customHeight="1" x14ac:dyDescent="0.25">
      <c r="A255" s="648" t="s">
        <v>432</v>
      </c>
      <c r="B255" s="649"/>
      <c r="C255" s="649"/>
      <c r="D255" s="649"/>
      <c r="E255" s="649"/>
      <c r="F255" s="649"/>
      <c r="G255" s="649"/>
      <c r="H255" s="649"/>
      <c r="I255" s="649"/>
      <c r="J255" s="649"/>
      <c r="K255" s="649"/>
      <c r="L255" s="649"/>
      <c r="M255" s="649"/>
      <c r="N255" s="649"/>
      <c r="O255" s="649"/>
      <c r="P255" s="649"/>
      <c r="Q255" s="649"/>
      <c r="R255" s="649"/>
      <c r="S255" s="649"/>
      <c r="T255" s="649"/>
      <c r="U255" s="649"/>
      <c r="V255" s="649"/>
      <c r="W255" s="649"/>
      <c r="X255" s="649"/>
      <c r="Y255" s="649"/>
      <c r="Z255" s="649"/>
      <c r="AA255" s="629"/>
      <c r="AB255" s="629"/>
      <c r="AC255" s="629"/>
    </row>
    <row r="256" spans="1:68" ht="14.25" customHeight="1" x14ac:dyDescent="0.25">
      <c r="A256" s="652" t="s">
        <v>112</v>
      </c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49"/>
      <c r="P256" s="649"/>
      <c r="Q256" s="649"/>
      <c r="R256" s="649"/>
      <c r="S256" s="649"/>
      <c r="T256" s="649"/>
      <c r="U256" s="649"/>
      <c r="V256" s="649"/>
      <c r="W256" s="649"/>
      <c r="X256" s="649"/>
      <c r="Y256" s="649"/>
      <c r="Z256" s="649"/>
      <c r="AA256" s="630"/>
      <c r="AB256" s="630"/>
      <c r="AC256" s="630"/>
    </row>
    <row r="257" spans="1:68" ht="27" customHeight="1" x14ac:dyDescent="0.25">
      <c r="A257" s="54" t="s">
        <v>433</v>
      </c>
      <c r="B257" s="54" t="s">
        <v>434</v>
      </c>
      <c r="C257" s="31">
        <v>4301011450</v>
      </c>
      <c r="D257" s="642">
        <v>4680115881402</v>
      </c>
      <c r="E257" s="643"/>
      <c r="F257" s="634">
        <v>1.35</v>
      </c>
      <c r="G257" s="32">
        <v>8</v>
      </c>
      <c r="H257" s="634">
        <v>10.8</v>
      </c>
      <c r="I257" s="634">
        <v>11.21</v>
      </c>
      <c r="J257" s="32">
        <v>64</v>
      </c>
      <c r="K257" s="32" t="s">
        <v>115</v>
      </c>
      <c r="L257" s="32"/>
      <c r="M257" s="33" t="s">
        <v>116</v>
      </c>
      <c r="N257" s="33"/>
      <c r="O257" s="32">
        <v>55</v>
      </c>
      <c r="P257" s="8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68</v>
      </c>
      <c r="X257" s="635">
        <v>0</v>
      </c>
      <c r="Y257" s="63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435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436</v>
      </c>
      <c r="B258" s="54" t="s">
        <v>437</v>
      </c>
      <c r="C258" s="31">
        <v>4301011768</v>
      </c>
      <c r="D258" s="642">
        <v>4680115881396</v>
      </c>
      <c r="E258" s="643"/>
      <c r="F258" s="634">
        <v>0.45</v>
      </c>
      <c r="G258" s="32">
        <v>6</v>
      </c>
      <c r="H258" s="634">
        <v>2.7</v>
      </c>
      <c r="I258" s="634">
        <v>2.88</v>
      </c>
      <c r="J258" s="32">
        <v>182</v>
      </c>
      <c r="K258" s="32" t="s">
        <v>78</v>
      </c>
      <c r="L258" s="32"/>
      <c r="M258" s="33" t="s">
        <v>116</v>
      </c>
      <c r="N258" s="33"/>
      <c r="O258" s="32">
        <v>55</v>
      </c>
      <c r="P258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68</v>
      </c>
      <c r="X258" s="635">
        <v>0</v>
      </c>
      <c r="Y258" s="636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435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5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66"/>
      <c r="P259" s="653" t="s">
        <v>73</v>
      </c>
      <c r="Q259" s="654"/>
      <c r="R259" s="654"/>
      <c r="S259" s="654"/>
      <c r="T259" s="654"/>
      <c r="U259" s="654"/>
      <c r="V259" s="655"/>
      <c r="W259" s="37" t="s">
        <v>74</v>
      </c>
      <c r="X259" s="637">
        <f>IFERROR(X257/H257,"0")+IFERROR(X258/H258,"0")</f>
        <v>0</v>
      </c>
      <c r="Y259" s="637">
        <f>IFERROR(Y257/H257,"0")+IFERROR(Y258/H258,"0")</f>
        <v>0</v>
      </c>
      <c r="Z259" s="637">
        <f>IFERROR(IF(Z257="",0,Z257),"0")+IFERROR(IF(Z258="",0,Z258),"0")</f>
        <v>0</v>
      </c>
      <c r="AA259" s="638"/>
      <c r="AB259" s="638"/>
      <c r="AC259" s="638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66"/>
      <c r="P260" s="653" t="s">
        <v>73</v>
      </c>
      <c r="Q260" s="654"/>
      <c r="R260" s="654"/>
      <c r="S260" s="654"/>
      <c r="T260" s="654"/>
      <c r="U260" s="654"/>
      <c r="V260" s="655"/>
      <c r="W260" s="37" t="s">
        <v>68</v>
      </c>
      <c r="X260" s="637">
        <f>IFERROR(SUM(X257:X258),"0")</f>
        <v>0</v>
      </c>
      <c r="Y260" s="637">
        <f>IFERROR(SUM(Y257:Y258),"0")</f>
        <v>0</v>
      </c>
      <c r="Z260" s="37"/>
      <c r="AA260" s="638"/>
      <c r="AB260" s="638"/>
      <c r="AC260" s="638"/>
    </row>
    <row r="261" spans="1:68" ht="14.25" customHeight="1" x14ac:dyDescent="0.25">
      <c r="A261" s="652" t="s">
        <v>148</v>
      </c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49"/>
      <c r="P261" s="649"/>
      <c r="Q261" s="649"/>
      <c r="R261" s="649"/>
      <c r="S261" s="649"/>
      <c r="T261" s="649"/>
      <c r="U261" s="649"/>
      <c r="V261" s="649"/>
      <c r="W261" s="649"/>
      <c r="X261" s="649"/>
      <c r="Y261" s="649"/>
      <c r="Z261" s="649"/>
      <c r="AA261" s="630"/>
      <c r="AB261" s="630"/>
      <c r="AC261" s="630"/>
    </row>
    <row r="262" spans="1:68" ht="16.5" customHeight="1" x14ac:dyDescent="0.25">
      <c r="A262" s="54" t="s">
        <v>438</v>
      </c>
      <c r="B262" s="54" t="s">
        <v>439</v>
      </c>
      <c r="C262" s="31">
        <v>4301020261</v>
      </c>
      <c r="D262" s="642">
        <v>4680115882935</v>
      </c>
      <c r="E262" s="643"/>
      <c r="F262" s="634">
        <v>1.35</v>
      </c>
      <c r="G262" s="32">
        <v>8</v>
      </c>
      <c r="H262" s="634">
        <v>10.8</v>
      </c>
      <c r="I262" s="634">
        <v>11.21</v>
      </c>
      <c r="J262" s="32">
        <v>64</v>
      </c>
      <c r="K262" s="32" t="s">
        <v>115</v>
      </c>
      <c r="L262" s="32"/>
      <c r="M262" s="33" t="s">
        <v>116</v>
      </c>
      <c r="N262" s="33"/>
      <c r="O262" s="32">
        <v>50</v>
      </c>
      <c r="P262" s="9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68</v>
      </c>
      <c r="X262" s="635">
        <v>0</v>
      </c>
      <c r="Y262" s="63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440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441</v>
      </c>
      <c r="B263" s="54" t="s">
        <v>442</v>
      </c>
      <c r="C263" s="31">
        <v>4301020220</v>
      </c>
      <c r="D263" s="642">
        <v>4680115880764</v>
      </c>
      <c r="E263" s="643"/>
      <c r="F263" s="634">
        <v>0.35</v>
      </c>
      <c r="G263" s="32">
        <v>6</v>
      </c>
      <c r="H263" s="634">
        <v>2.1</v>
      </c>
      <c r="I263" s="634">
        <v>2.2799999999999998</v>
      </c>
      <c r="J263" s="32">
        <v>182</v>
      </c>
      <c r="K263" s="32" t="s">
        <v>78</v>
      </c>
      <c r="L263" s="32"/>
      <c r="M263" s="33" t="s">
        <v>116</v>
      </c>
      <c r="N263" s="33"/>
      <c r="O263" s="32">
        <v>50</v>
      </c>
      <c r="P263" s="97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68</v>
      </c>
      <c r="X263" s="635">
        <v>0</v>
      </c>
      <c r="Y263" s="636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440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5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66"/>
      <c r="P264" s="653" t="s">
        <v>73</v>
      </c>
      <c r="Q264" s="654"/>
      <c r="R264" s="654"/>
      <c r="S264" s="654"/>
      <c r="T264" s="654"/>
      <c r="U264" s="654"/>
      <c r="V264" s="655"/>
      <c r="W264" s="37" t="s">
        <v>74</v>
      </c>
      <c r="X264" s="637">
        <f>IFERROR(X262/H262,"0")+IFERROR(X263/H263,"0")</f>
        <v>0</v>
      </c>
      <c r="Y264" s="637">
        <f>IFERROR(Y262/H262,"0")+IFERROR(Y263/H263,"0")</f>
        <v>0</v>
      </c>
      <c r="Z264" s="637">
        <f>IFERROR(IF(Z262="",0,Z262),"0")+IFERROR(IF(Z263="",0,Z263),"0")</f>
        <v>0</v>
      </c>
      <c r="AA264" s="638"/>
      <c r="AB264" s="638"/>
      <c r="AC264" s="638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66"/>
      <c r="P265" s="653" t="s">
        <v>73</v>
      </c>
      <c r="Q265" s="654"/>
      <c r="R265" s="654"/>
      <c r="S265" s="654"/>
      <c r="T265" s="654"/>
      <c r="U265" s="654"/>
      <c r="V265" s="655"/>
      <c r="W265" s="37" t="s">
        <v>68</v>
      </c>
      <c r="X265" s="637">
        <f>IFERROR(SUM(X262:X263),"0")</f>
        <v>0</v>
      </c>
      <c r="Y265" s="637">
        <f>IFERROR(SUM(Y262:Y263),"0")</f>
        <v>0</v>
      </c>
      <c r="Z265" s="37"/>
      <c r="AA265" s="638"/>
      <c r="AB265" s="638"/>
      <c r="AC265" s="638"/>
    </row>
    <row r="266" spans="1:68" ht="14.25" customHeight="1" x14ac:dyDescent="0.25">
      <c r="A266" s="652" t="s">
        <v>63</v>
      </c>
      <c r="B266" s="649"/>
      <c r="C266" s="649"/>
      <c r="D266" s="649"/>
      <c r="E266" s="649"/>
      <c r="F266" s="649"/>
      <c r="G266" s="649"/>
      <c r="H266" s="649"/>
      <c r="I266" s="649"/>
      <c r="J266" s="649"/>
      <c r="K266" s="649"/>
      <c r="L266" s="649"/>
      <c r="M266" s="649"/>
      <c r="N266" s="649"/>
      <c r="O266" s="649"/>
      <c r="P266" s="649"/>
      <c r="Q266" s="649"/>
      <c r="R266" s="649"/>
      <c r="S266" s="649"/>
      <c r="T266" s="649"/>
      <c r="U266" s="649"/>
      <c r="V266" s="649"/>
      <c r="W266" s="649"/>
      <c r="X266" s="649"/>
      <c r="Y266" s="649"/>
      <c r="Z266" s="649"/>
      <c r="AA266" s="630"/>
      <c r="AB266" s="630"/>
      <c r="AC266" s="630"/>
    </row>
    <row r="267" spans="1:68" ht="27" customHeight="1" x14ac:dyDescent="0.25">
      <c r="A267" s="54" t="s">
        <v>443</v>
      </c>
      <c r="B267" s="54" t="s">
        <v>444</v>
      </c>
      <c r="C267" s="31">
        <v>4301031224</v>
      </c>
      <c r="D267" s="642">
        <v>4680115882683</v>
      </c>
      <c r="E267" s="643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124</v>
      </c>
      <c r="L267" s="32"/>
      <c r="M267" s="33" t="s">
        <v>67</v>
      </c>
      <c r="N267" s="33"/>
      <c r="O267" s="32">
        <v>40</v>
      </c>
      <c r="P267" s="8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68</v>
      </c>
      <c r="X267" s="635">
        <v>0</v>
      </c>
      <c r="Y267" s="636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445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446</v>
      </c>
      <c r="B268" s="54" t="s">
        <v>447</v>
      </c>
      <c r="C268" s="31">
        <v>4301031230</v>
      </c>
      <c r="D268" s="642">
        <v>4680115882690</v>
      </c>
      <c r="E268" s="643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124</v>
      </c>
      <c r="L268" s="32"/>
      <c r="M268" s="33" t="s">
        <v>67</v>
      </c>
      <c r="N268" s="33"/>
      <c r="O268" s="32">
        <v>40</v>
      </c>
      <c r="P268" s="7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68</v>
      </c>
      <c r="X268" s="635">
        <v>0</v>
      </c>
      <c r="Y268" s="636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448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449</v>
      </c>
      <c r="B269" s="54" t="s">
        <v>450</v>
      </c>
      <c r="C269" s="31">
        <v>4301031220</v>
      </c>
      <c r="D269" s="642">
        <v>4680115882669</v>
      </c>
      <c r="E269" s="643"/>
      <c r="F269" s="634">
        <v>0.9</v>
      </c>
      <c r="G269" s="32">
        <v>6</v>
      </c>
      <c r="H269" s="634">
        <v>5.4</v>
      </c>
      <c r="I269" s="634">
        <v>5.59</v>
      </c>
      <c r="J269" s="32">
        <v>132</v>
      </c>
      <c r="K269" s="32" t="s">
        <v>124</v>
      </c>
      <c r="L269" s="32"/>
      <c r="M269" s="33" t="s">
        <v>67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68</v>
      </c>
      <c r="X269" s="635">
        <v>0</v>
      </c>
      <c r="Y269" s="636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451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4301031221</v>
      </c>
      <c r="D270" s="642">
        <v>4680115882676</v>
      </c>
      <c r="E270" s="643"/>
      <c r="F270" s="634">
        <v>0.9</v>
      </c>
      <c r="G270" s="32">
        <v>6</v>
      </c>
      <c r="H270" s="634">
        <v>5.4</v>
      </c>
      <c r="I270" s="634">
        <v>5.59</v>
      </c>
      <c r="J270" s="32">
        <v>132</v>
      </c>
      <c r="K270" s="32" t="s">
        <v>124</v>
      </c>
      <c r="L270" s="32"/>
      <c r="M270" s="33" t="s">
        <v>67</v>
      </c>
      <c r="N270" s="33"/>
      <c r="O270" s="32">
        <v>40</v>
      </c>
      <c r="P270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68</v>
      </c>
      <c r="X270" s="635">
        <v>0</v>
      </c>
      <c r="Y270" s="636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454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455</v>
      </c>
      <c r="B271" s="54" t="s">
        <v>456</v>
      </c>
      <c r="C271" s="31">
        <v>4301031223</v>
      </c>
      <c r="D271" s="642">
        <v>4680115884014</v>
      </c>
      <c r="E271" s="643"/>
      <c r="F271" s="634">
        <v>0.3</v>
      </c>
      <c r="G271" s="32">
        <v>6</v>
      </c>
      <c r="H271" s="634">
        <v>1.8</v>
      </c>
      <c r="I271" s="634">
        <v>1.93</v>
      </c>
      <c r="J271" s="32">
        <v>234</v>
      </c>
      <c r="K271" s="32" t="s">
        <v>66</v>
      </c>
      <c r="L271" s="32"/>
      <c r="M271" s="33" t="s">
        <v>67</v>
      </c>
      <c r="N271" s="33"/>
      <c r="O271" s="32">
        <v>40</v>
      </c>
      <c r="P271" s="7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68</v>
      </c>
      <c r="X271" s="635">
        <v>0</v>
      </c>
      <c r="Y271" s="636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445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457</v>
      </c>
      <c r="B272" s="54" t="s">
        <v>458</v>
      </c>
      <c r="C272" s="31">
        <v>4301031222</v>
      </c>
      <c r="D272" s="642">
        <v>4680115884007</v>
      </c>
      <c r="E272" s="643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66</v>
      </c>
      <c r="L272" s="32"/>
      <c r="M272" s="33" t="s">
        <v>67</v>
      </c>
      <c r="N272" s="33"/>
      <c r="O272" s="32">
        <v>40</v>
      </c>
      <c r="P272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68</v>
      </c>
      <c r="X272" s="635">
        <v>0</v>
      </c>
      <c r="Y272" s="636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448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4301031229</v>
      </c>
      <c r="D273" s="642">
        <v>4680115884038</v>
      </c>
      <c r="E273" s="643"/>
      <c r="F273" s="634">
        <v>0.3</v>
      </c>
      <c r="G273" s="32">
        <v>6</v>
      </c>
      <c r="H273" s="634">
        <v>1.8</v>
      </c>
      <c r="I273" s="634">
        <v>1.9</v>
      </c>
      <c r="J273" s="32">
        <v>234</v>
      </c>
      <c r="K273" s="32" t="s">
        <v>66</v>
      </c>
      <c r="L273" s="32"/>
      <c r="M273" s="33" t="s">
        <v>67</v>
      </c>
      <c r="N273" s="33"/>
      <c r="O273" s="32">
        <v>40</v>
      </c>
      <c r="P273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68</v>
      </c>
      <c r="X273" s="635">
        <v>0</v>
      </c>
      <c r="Y273" s="636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451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4301031225</v>
      </c>
      <c r="D274" s="642">
        <v>4680115884021</v>
      </c>
      <c r="E274" s="643"/>
      <c r="F274" s="634">
        <v>0.3</v>
      </c>
      <c r="G274" s="32">
        <v>6</v>
      </c>
      <c r="H274" s="634">
        <v>1.8</v>
      </c>
      <c r="I274" s="634">
        <v>1.9</v>
      </c>
      <c r="J274" s="32">
        <v>234</v>
      </c>
      <c r="K274" s="32" t="s">
        <v>66</v>
      </c>
      <c r="L274" s="32"/>
      <c r="M274" s="33" t="s">
        <v>67</v>
      </c>
      <c r="N274" s="33"/>
      <c r="O274" s="32">
        <v>40</v>
      </c>
      <c r="P274" s="89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68</v>
      </c>
      <c r="X274" s="635">
        <v>0</v>
      </c>
      <c r="Y274" s="636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454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5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66"/>
      <c r="P275" s="653" t="s">
        <v>73</v>
      </c>
      <c r="Q275" s="654"/>
      <c r="R275" s="654"/>
      <c r="S275" s="654"/>
      <c r="T275" s="654"/>
      <c r="U275" s="654"/>
      <c r="V275" s="655"/>
      <c r="W275" s="37" t="s">
        <v>74</v>
      </c>
      <c r="X275" s="637">
        <f>IFERROR(X267/H267,"0")+IFERROR(X268/H268,"0")+IFERROR(X269/H269,"0")+IFERROR(X270/H270,"0")+IFERROR(X271/H271,"0")+IFERROR(X272/H272,"0")+IFERROR(X273/H273,"0")+IFERROR(X274/H274,"0")</f>
        <v>0</v>
      </c>
      <c r="Y275" s="637">
        <f>IFERROR(Y267/H267,"0")+IFERROR(Y268/H268,"0")+IFERROR(Y269/H269,"0")+IFERROR(Y270/H270,"0")+IFERROR(Y271/H271,"0")+IFERROR(Y272/H272,"0")+IFERROR(Y273/H273,"0")+IFERROR(Y274/H274,"0")</f>
        <v>0</v>
      </c>
      <c r="Z275" s="637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8"/>
      <c r="AB275" s="638"/>
      <c r="AC275" s="638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66"/>
      <c r="P276" s="653" t="s">
        <v>73</v>
      </c>
      <c r="Q276" s="654"/>
      <c r="R276" s="654"/>
      <c r="S276" s="654"/>
      <c r="T276" s="654"/>
      <c r="U276" s="654"/>
      <c r="V276" s="655"/>
      <c r="W276" s="37" t="s">
        <v>68</v>
      </c>
      <c r="X276" s="637">
        <f>IFERROR(SUM(X267:X274),"0")</f>
        <v>0</v>
      </c>
      <c r="Y276" s="637">
        <f>IFERROR(SUM(Y267:Y274),"0")</f>
        <v>0</v>
      </c>
      <c r="Z276" s="37"/>
      <c r="AA276" s="638"/>
      <c r="AB276" s="638"/>
      <c r="AC276" s="638"/>
    </row>
    <row r="277" spans="1:68" ht="14.25" customHeight="1" x14ac:dyDescent="0.25">
      <c r="A277" s="652" t="s">
        <v>75</v>
      </c>
      <c r="B277" s="649"/>
      <c r="C277" s="649"/>
      <c r="D277" s="649"/>
      <c r="E277" s="649"/>
      <c r="F277" s="649"/>
      <c r="G277" s="649"/>
      <c r="H277" s="649"/>
      <c r="I277" s="649"/>
      <c r="J277" s="649"/>
      <c r="K277" s="649"/>
      <c r="L277" s="649"/>
      <c r="M277" s="649"/>
      <c r="N277" s="649"/>
      <c r="O277" s="649"/>
      <c r="P277" s="649"/>
      <c r="Q277" s="649"/>
      <c r="R277" s="649"/>
      <c r="S277" s="649"/>
      <c r="T277" s="649"/>
      <c r="U277" s="649"/>
      <c r="V277" s="649"/>
      <c r="W277" s="649"/>
      <c r="X277" s="649"/>
      <c r="Y277" s="649"/>
      <c r="Z277" s="649"/>
      <c r="AA277" s="630"/>
      <c r="AB277" s="630"/>
      <c r="AC277" s="630"/>
    </row>
    <row r="278" spans="1:68" ht="27" customHeight="1" x14ac:dyDescent="0.25">
      <c r="A278" s="54" t="s">
        <v>463</v>
      </c>
      <c r="B278" s="54" t="s">
        <v>464</v>
      </c>
      <c r="C278" s="31">
        <v>4301051408</v>
      </c>
      <c r="D278" s="642">
        <v>4680115881594</v>
      </c>
      <c r="E278" s="643"/>
      <c r="F278" s="634">
        <v>1.35</v>
      </c>
      <c r="G278" s="32">
        <v>6</v>
      </c>
      <c r="H278" s="634">
        <v>8.1</v>
      </c>
      <c r="I278" s="634">
        <v>8.5939999999999994</v>
      </c>
      <c r="J278" s="32">
        <v>64</v>
      </c>
      <c r="K278" s="32" t="s">
        <v>115</v>
      </c>
      <c r="L278" s="32"/>
      <c r="M278" s="33" t="s">
        <v>79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68</v>
      </c>
      <c r="X278" s="635">
        <v>0</v>
      </c>
      <c r="Y278" s="636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465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466</v>
      </c>
      <c r="B279" s="54" t="s">
        <v>467</v>
      </c>
      <c r="C279" s="31">
        <v>4301051411</v>
      </c>
      <c r="D279" s="642">
        <v>4680115881617</v>
      </c>
      <c r="E279" s="643"/>
      <c r="F279" s="634">
        <v>1.35</v>
      </c>
      <c r="G279" s="32">
        <v>6</v>
      </c>
      <c r="H279" s="634">
        <v>8.1</v>
      </c>
      <c r="I279" s="634">
        <v>8.5760000000000005</v>
      </c>
      <c r="J279" s="32">
        <v>64</v>
      </c>
      <c r="K279" s="32" t="s">
        <v>115</v>
      </c>
      <c r="L279" s="32"/>
      <c r="M279" s="33" t="s">
        <v>79</v>
      </c>
      <c r="N279" s="33"/>
      <c r="O279" s="32">
        <v>40</v>
      </c>
      <c r="P279" s="8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68</v>
      </c>
      <c r="X279" s="635">
        <v>0</v>
      </c>
      <c r="Y279" s="636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468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469</v>
      </c>
      <c r="B280" s="54" t="s">
        <v>470</v>
      </c>
      <c r="C280" s="31">
        <v>4301051656</v>
      </c>
      <c r="D280" s="642">
        <v>4680115880573</v>
      </c>
      <c r="E280" s="643"/>
      <c r="F280" s="634">
        <v>1.45</v>
      </c>
      <c r="G280" s="32">
        <v>6</v>
      </c>
      <c r="H280" s="634">
        <v>8.6999999999999993</v>
      </c>
      <c r="I280" s="634">
        <v>9.1940000000000008</v>
      </c>
      <c r="J280" s="32">
        <v>64</v>
      </c>
      <c r="K280" s="32" t="s">
        <v>115</v>
      </c>
      <c r="L280" s="32"/>
      <c r="M280" s="33" t="s">
        <v>79</v>
      </c>
      <c r="N280" s="33"/>
      <c r="O280" s="32">
        <v>45</v>
      </c>
      <c r="P280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68</v>
      </c>
      <c r="X280" s="635">
        <v>0</v>
      </c>
      <c r="Y280" s="636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471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472</v>
      </c>
      <c r="B281" s="54" t="s">
        <v>473</v>
      </c>
      <c r="C281" s="31">
        <v>4301051407</v>
      </c>
      <c r="D281" s="642">
        <v>4680115882195</v>
      </c>
      <c r="E281" s="643"/>
      <c r="F281" s="634">
        <v>0.4</v>
      </c>
      <c r="G281" s="32">
        <v>6</v>
      </c>
      <c r="H281" s="634">
        <v>2.4</v>
      </c>
      <c r="I281" s="634">
        <v>2.67</v>
      </c>
      <c r="J281" s="32">
        <v>182</v>
      </c>
      <c r="K281" s="32" t="s">
        <v>78</v>
      </c>
      <c r="L281" s="32"/>
      <c r="M281" s="33" t="s">
        <v>79</v>
      </c>
      <c r="N281" s="33"/>
      <c r="O281" s="32">
        <v>40</v>
      </c>
      <c r="P281" s="7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68</v>
      </c>
      <c r="X281" s="635">
        <v>0</v>
      </c>
      <c r="Y281" s="636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4301051752</v>
      </c>
      <c r="D282" s="642">
        <v>4680115882607</v>
      </c>
      <c r="E282" s="643"/>
      <c r="F282" s="634">
        <v>0.3</v>
      </c>
      <c r="G282" s="32">
        <v>6</v>
      </c>
      <c r="H282" s="634">
        <v>1.8</v>
      </c>
      <c r="I282" s="634">
        <v>2.052</v>
      </c>
      <c r="J282" s="32">
        <v>182</v>
      </c>
      <c r="K282" s="32" t="s">
        <v>78</v>
      </c>
      <c r="L282" s="32"/>
      <c r="M282" s="33" t="s">
        <v>85</v>
      </c>
      <c r="N282" s="33"/>
      <c r="O282" s="32">
        <v>45</v>
      </c>
      <c r="P282" s="9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68</v>
      </c>
      <c r="X282" s="635">
        <v>0</v>
      </c>
      <c r="Y282" s="636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471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4301052143</v>
      </c>
      <c r="D283" s="642">
        <v>4680115882607</v>
      </c>
      <c r="E283" s="643"/>
      <c r="F283" s="634">
        <v>0.3</v>
      </c>
      <c r="G283" s="32">
        <v>6</v>
      </c>
      <c r="H283" s="634">
        <v>1.8</v>
      </c>
      <c r="I283" s="634">
        <v>2.0619999999999998</v>
      </c>
      <c r="J283" s="32">
        <v>132</v>
      </c>
      <c r="K283" s="32" t="s">
        <v>124</v>
      </c>
      <c r="L283" s="32"/>
      <c r="M283" s="33" t="s">
        <v>79</v>
      </c>
      <c r="N283" s="33"/>
      <c r="O283" s="32">
        <v>45</v>
      </c>
      <c r="P283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68</v>
      </c>
      <c r="X283" s="635">
        <v>0</v>
      </c>
      <c r="Y283" s="636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478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479</v>
      </c>
      <c r="B284" s="54" t="s">
        <v>480</v>
      </c>
      <c r="C284" s="31">
        <v>4301051666</v>
      </c>
      <c r="D284" s="642">
        <v>4680115880092</v>
      </c>
      <c r="E284" s="643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78</v>
      </c>
      <c r="L284" s="32"/>
      <c r="M284" s="33" t="s">
        <v>79</v>
      </c>
      <c r="N284" s="33"/>
      <c r="O284" s="32">
        <v>45</v>
      </c>
      <c r="P284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68</v>
      </c>
      <c r="X284" s="635">
        <v>0</v>
      </c>
      <c r="Y284" s="636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471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481</v>
      </c>
      <c r="B285" s="54" t="s">
        <v>482</v>
      </c>
      <c r="C285" s="31">
        <v>4301052214</v>
      </c>
      <c r="D285" s="642">
        <v>4680115889064</v>
      </c>
      <c r="E285" s="643"/>
      <c r="F285" s="634">
        <v>0.7</v>
      </c>
      <c r="G285" s="32">
        <v>6</v>
      </c>
      <c r="H285" s="634">
        <v>4.2</v>
      </c>
      <c r="I285" s="634">
        <v>4.6159999999999997</v>
      </c>
      <c r="J285" s="32">
        <v>104</v>
      </c>
      <c r="K285" s="32" t="s">
        <v>115</v>
      </c>
      <c r="L285" s="32"/>
      <c r="M285" s="33" t="s">
        <v>79</v>
      </c>
      <c r="N285" s="33"/>
      <c r="O285" s="32">
        <v>45</v>
      </c>
      <c r="P285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68</v>
      </c>
      <c r="X285" s="635">
        <v>0</v>
      </c>
      <c r="Y285" s="636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478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4301051668</v>
      </c>
      <c r="D286" s="642">
        <v>4680115880221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78</v>
      </c>
      <c r="L286" s="32"/>
      <c r="M286" s="33" t="s">
        <v>79</v>
      </c>
      <c r="N286" s="33"/>
      <c r="O286" s="32">
        <v>45</v>
      </c>
      <c r="P286" s="7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68</v>
      </c>
      <c r="X286" s="635">
        <v>0</v>
      </c>
      <c r="Y286" s="636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4301051945</v>
      </c>
      <c r="D287" s="642">
        <v>4680115880504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78</v>
      </c>
      <c r="L287" s="32"/>
      <c r="M287" s="33" t="s">
        <v>85</v>
      </c>
      <c r="N287" s="33"/>
      <c r="O287" s="32">
        <v>40</v>
      </c>
      <c r="P287" s="7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68</v>
      </c>
      <c r="X287" s="635">
        <v>0</v>
      </c>
      <c r="Y287" s="636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487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488</v>
      </c>
      <c r="B288" s="54" t="s">
        <v>489</v>
      </c>
      <c r="C288" s="31">
        <v>4301051410</v>
      </c>
      <c r="D288" s="642">
        <v>4680115882164</v>
      </c>
      <c r="E288" s="643"/>
      <c r="F288" s="634">
        <v>0.4</v>
      </c>
      <c r="G288" s="32">
        <v>6</v>
      </c>
      <c r="H288" s="634">
        <v>2.4</v>
      </c>
      <c r="I288" s="634">
        <v>2.6579999999999999</v>
      </c>
      <c r="J288" s="32">
        <v>182</v>
      </c>
      <c r="K288" s="32" t="s">
        <v>78</v>
      </c>
      <c r="L288" s="32"/>
      <c r="M288" s="33" t="s">
        <v>79</v>
      </c>
      <c r="N288" s="33"/>
      <c r="O288" s="32">
        <v>40</v>
      </c>
      <c r="P288" s="9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68</v>
      </c>
      <c r="X288" s="635">
        <v>0</v>
      </c>
      <c r="Y288" s="636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490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491</v>
      </c>
      <c r="B289" s="54" t="s">
        <v>492</v>
      </c>
      <c r="C289" s="31">
        <v>4301052180</v>
      </c>
      <c r="D289" s="642">
        <v>4680115888340</v>
      </c>
      <c r="E289" s="643"/>
      <c r="F289" s="634">
        <v>0.4</v>
      </c>
      <c r="G289" s="32">
        <v>6</v>
      </c>
      <c r="H289" s="634">
        <v>2.4</v>
      </c>
      <c r="I289" s="634">
        <v>2.6520000000000001</v>
      </c>
      <c r="J289" s="32">
        <v>182</v>
      </c>
      <c r="K289" s="32" t="s">
        <v>78</v>
      </c>
      <c r="L289" s="32"/>
      <c r="M289" s="33" t="s">
        <v>79</v>
      </c>
      <c r="N289" s="33"/>
      <c r="O289" s="32">
        <v>45</v>
      </c>
      <c r="P289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68</v>
      </c>
      <c r="X289" s="635">
        <v>0</v>
      </c>
      <c r="Y289" s="636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493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5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66"/>
      <c r="P290" s="653" t="s">
        <v>73</v>
      </c>
      <c r="Q290" s="654"/>
      <c r="R290" s="654"/>
      <c r="S290" s="654"/>
      <c r="T290" s="654"/>
      <c r="U290" s="654"/>
      <c r="V290" s="655"/>
      <c r="W290" s="37" t="s">
        <v>74</v>
      </c>
      <c r="X290" s="637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7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7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8"/>
      <c r="AB290" s="638"/>
      <c r="AC290" s="638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66"/>
      <c r="P291" s="653" t="s">
        <v>73</v>
      </c>
      <c r="Q291" s="654"/>
      <c r="R291" s="654"/>
      <c r="S291" s="654"/>
      <c r="T291" s="654"/>
      <c r="U291" s="654"/>
      <c r="V291" s="655"/>
      <c r="W291" s="37" t="s">
        <v>68</v>
      </c>
      <c r="X291" s="637">
        <f>IFERROR(SUM(X278:X289),"0")</f>
        <v>0</v>
      </c>
      <c r="Y291" s="637">
        <f>IFERROR(SUM(Y278:Y289),"0")</f>
        <v>0</v>
      </c>
      <c r="Z291" s="37"/>
      <c r="AA291" s="638"/>
      <c r="AB291" s="638"/>
      <c r="AC291" s="638"/>
    </row>
    <row r="292" spans="1:68" ht="14.25" customHeight="1" x14ac:dyDescent="0.25">
      <c r="A292" s="652" t="s">
        <v>165</v>
      </c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49"/>
      <c r="P292" s="649"/>
      <c r="Q292" s="649"/>
      <c r="R292" s="649"/>
      <c r="S292" s="649"/>
      <c r="T292" s="649"/>
      <c r="U292" s="649"/>
      <c r="V292" s="649"/>
      <c r="W292" s="649"/>
      <c r="X292" s="649"/>
      <c r="Y292" s="649"/>
      <c r="Z292" s="649"/>
      <c r="AA292" s="630"/>
      <c r="AB292" s="630"/>
      <c r="AC292" s="630"/>
    </row>
    <row r="293" spans="1:68" ht="27" customHeight="1" x14ac:dyDescent="0.25">
      <c r="A293" s="54" t="s">
        <v>494</v>
      </c>
      <c r="B293" s="54" t="s">
        <v>495</v>
      </c>
      <c r="C293" s="31">
        <v>4301060463</v>
      </c>
      <c r="D293" s="642">
        <v>4680115880818</v>
      </c>
      <c r="E293" s="643"/>
      <c r="F293" s="634">
        <v>0.4</v>
      </c>
      <c r="G293" s="32">
        <v>6</v>
      </c>
      <c r="H293" s="634">
        <v>2.4</v>
      </c>
      <c r="I293" s="634">
        <v>2.6520000000000001</v>
      </c>
      <c r="J293" s="32">
        <v>182</v>
      </c>
      <c r="K293" s="32" t="s">
        <v>78</v>
      </c>
      <c r="L293" s="32"/>
      <c r="M293" s="33" t="s">
        <v>85</v>
      </c>
      <c r="N293" s="33"/>
      <c r="O293" s="32">
        <v>40</v>
      </c>
      <c r="P293" s="9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68</v>
      </c>
      <c r="X293" s="635">
        <v>0</v>
      </c>
      <c r="Y293" s="636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496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497</v>
      </c>
      <c r="B294" s="54" t="s">
        <v>498</v>
      </c>
      <c r="C294" s="31">
        <v>4301060389</v>
      </c>
      <c r="D294" s="642">
        <v>4680115880801</v>
      </c>
      <c r="E294" s="643"/>
      <c r="F294" s="634">
        <v>0.4</v>
      </c>
      <c r="G294" s="32">
        <v>6</v>
      </c>
      <c r="H294" s="634">
        <v>2.4</v>
      </c>
      <c r="I294" s="634">
        <v>2.6520000000000001</v>
      </c>
      <c r="J294" s="32">
        <v>182</v>
      </c>
      <c r="K294" s="32" t="s">
        <v>78</v>
      </c>
      <c r="L294" s="32"/>
      <c r="M294" s="33" t="s">
        <v>79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68</v>
      </c>
      <c r="X294" s="635">
        <v>0</v>
      </c>
      <c r="Y294" s="636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499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5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66"/>
      <c r="P295" s="653" t="s">
        <v>73</v>
      </c>
      <c r="Q295" s="654"/>
      <c r="R295" s="654"/>
      <c r="S295" s="654"/>
      <c r="T295" s="654"/>
      <c r="U295" s="654"/>
      <c r="V295" s="655"/>
      <c r="W295" s="37" t="s">
        <v>74</v>
      </c>
      <c r="X295" s="637">
        <f>IFERROR(X293/H293,"0")+IFERROR(X294/H294,"0")</f>
        <v>0</v>
      </c>
      <c r="Y295" s="637">
        <f>IFERROR(Y293/H293,"0")+IFERROR(Y294/H294,"0")</f>
        <v>0</v>
      </c>
      <c r="Z295" s="637">
        <f>IFERROR(IF(Z293="",0,Z293),"0")+IFERROR(IF(Z294="",0,Z294),"0")</f>
        <v>0</v>
      </c>
      <c r="AA295" s="638"/>
      <c r="AB295" s="638"/>
      <c r="AC295" s="638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66"/>
      <c r="P296" s="653" t="s">
        <v>73</v>
      </c>
      <c r="Q296" s="654"/>
      <c r="R296" s="654"/>
      <c r="S296" s="654"/>
      <c r="T296" s="654"/>
      <c r="U296" s="654"/>
      <c r="V296" s="655"/>
      <c r="W296" s="37" t="s">
        <v>68</v>
      </c>
      <c r="X296" s="637">
        <f>IFERROR(SUM(X293:X294),"0")</f>
        <v>0</v>
      </c>
      <c r="Y296" s="637">
        <f>IFERROR(SUM(Y293:Y294),"0")</f>
        <v>0</v>
      </c>
      <c r="Z296" s="37"/>
      <c r="AA296" s="638"/>
      <c r="AB296" s="638"/>
      <c r="AC296" s="638"/>
    </row>
    <row r="297" spans="1:68" ht="16.5" customHeight="1" x14ac:dyDescent="0.25">
      <c r="A297" s="648" t="s">
        <v>500</v>
      </c>
      <c r="B297" s="649"/>
      <c r="C297" s="649"/>
      <c r="D297" s="649"/>
      <c r="E297" s="649"/>
      <c r="F297" s="649"/>
      <c r="G297" s="649"/>
      <c r="H297" s="649"/>
      <c r="I297" s="649"/>
      <c r="J297" s="649"/>
      <c r="K297" s="649"/>
      <c r="L297" s="649"/>
      <c r="M297" s="649"/>
      <c r="N297" s="649"/>
      <c r="O297" s="649"/>
      <c r="P297" s="649"/>
      <c r="Q297" s="649"/>
      <c r="R297" s="649"/>
      <c r="S297" s="649"/>
      <c r="T297" s="649"/>
      <c r="U297" s="649"/>
      <c r="V297" s="649"/>
      <c r="W297" s="649"/>
      <c r="X297" s="649"/>
      <c r="Y297" s="649"/>
      <c r="Z297" s="649"/>
      <c r="AA297" s="629"/>
      <c r="AB297" s="629"/>
      <c r="AC297" s="629"/>
    </row>
    <row r="298" spans="1:68" ht="14.25" customHeight="1" x14ac:dyDescent="0.25">
      <c r="A298" s="652" t="s">
        <v>112</v>
      </c>
      <c r="B298" s="649"/>
      <c r="C298" s="649"/>
      <c r="D298" s="649"/>
      <c r="E298" s="649"/>
      <c r="F298" s="649"/>
      <c r="G298" s="649"/>
      <c r="H298" s="649"/>
      <c r="I298" s="649"/>
      <c r="J298" s="649"/>
      <c r="K298" s="649"/>
      <c r="L298" s="649"/>
      <c r="M298" s="649"/>
      <c r="N298" s="649"/>
      <c r="O298" s="649"/>
      <c r="P298" s="649"/>
      <c r="Q298" s="649"/>
      <c r="R298" s="649"/>
      <c r="S298" s="649"/>
      <c r="T298" s="649"/>
      <c r="U298" s="649"/>
      <c r="V298" s="649"/>
      <c r="W298" s="649"/>
      <c r="X298" s="649"/>
      <c r="Y298" s="649"/>
      <c r="Z298" s="649"/>
      <c r="AA298" s="630"/>
      <c r="AB298" s="630"/>
      <c r="AC298" s="630"/>
    </row>
    <row r="299" spans="1:68" ht="27" customHeight="1" x14ac:dyDescent="0.25">
      <c r="A299" s="54" t="s">
        <v>501</v>
      </c>
      <c r="B299" s="54" t="s">
        <v>502</v>
      </c>
      <c r="C299" s="31">
        <v>4301011826</v>
      </c>
      <c r="D299" s="642">
        <v>4680115884137</v>
      </c>
      <c r="E299" s="643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68</v>
      </c>
      <c r="X299" s="635">
        <v>0</v>
      </c>
      <c r="Y299" s="636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503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4301011724</v>
      </c>
      <c r="D300" s="642">
        <v>4680115884236</v>
      </c>
      <c r="E300" s="643"/>
      <c r="F300" s="634">
        <v>1.45</v>
      </c>
      <c r="G300" s="32">
        <v>8</v>
      </c>
      <c r="H300" s="634">
        <v>11.6</v>
      </c>
      <c r="I300" s="634">
        <v>12.01</v>
      </c>
      <c r="J300" s="32">
        <v>64</v>
      </c>
      <c r="K300" s="32" t="s">
        <v>115</v>
      </c>
      <c r="L300" s="32"/>
      <c r="M300" s="33" t="s">
        <v>116</v>
      </c>
      <c r="N300" s="33"/>
      <c r="O300" s="32">
        <v>55</v>
      </c>
      <c r="P300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68</v>
      </c>
      <c r="X300" s="635">
        <v>0</v>
      </c>
      <c r="Y300" s="636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506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507</v>
      </c>
      <c r="B301" s="54" t="s">
        <v>508</v>
      </c>
      <c r="C301" s="31">
        <v>4301011721</v>
      </c>
      <c r="D301" s="642">
        <v>4680115884175</v>
      </c>
      <c r="E301" s="643"/>
      <c r="F301" s="634">
        <v>1.45</v>
      </c>
      <c r="G301" s="32">
        <v>8</v>
      </c>
      <c r="H301" s="634">
        <v>11.6</v>
      </c>
      <c r="I301" s="634">
        <v>12.01</v>
      </c>
      <c r="J301" s="32">
        <v>64</v>
      </c>
      <c r="K301" s="32" t="s">
        <v>115</v>
      </c>
      <c r="L301" s="32"/>
      <c r="M301" s="33" t="s">
        <v>116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68</v>
      </c>
      <c r="X301" s="635">
        <v>0</v>
      </c>
      <c r="Y301" s="636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361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4301011824</v>
      </c>
      <c r="D302" s="642">
        <v>4680115884144</v>
      </c>
      <c r="E302" s="643"/>
      <c r="F302" s="634">
        <v>0.4</v>
      </c>
      <c r="G302" s="32">
        <v>10</v>
      </c>
      <c r="H302" s="634">
        <v>4</v>
      </c>
      <c r="I302" s="634">
        <v>4.1900000000000004</v>
      </c>
      <c r="J302" s="32">
        <v>132</v>
      </c>
      <c r="K302" s="32" t="s">
        <v>124</v>
      </c>
      <c r="L302" s="32"/>
      <c r="M302" s="33" t="s">
        <v>116</v>
      </c>
      <c r="N302" s="33"/>
      <c r="O302" s="32">
        <v>55</v>
      </c>
      <c r="P302" s="6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68</v>
      </c>
      <c r="X302" s="635">
        <v>0</v>
      </c>
      <c r="Y302" s="636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4301012149</v>
      </c>
      <c r="D303" s="642">
        <v>4680115886551</v>
      </c>
      <c r="E303" s="643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68</v>
      </c>
      <c r="X303" s="635">
        <v>0</v>
      </c>
      <c r="Y303" s="636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513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514</v>
      </c>
      <c r="B304" s="54" t="s">
        <v>515</v>
      </c>
      <c r="C304" s="31">
        <v>4301012228</v>
      </c>
      <c r="D304" s="642">
        <v>4680115887282</v>
      </c>
      <c r="E304" s="643"/>
      <c r="F304" s="634">
        <v>0.4</v>
      </c>
      <c r="G304" s="32">
        <v>6</v>
      </c>
      <c r="H304" s="634">
        <v>2.4</v>
      </c>
      <c r="I304" s="634">
        <v>2.58</v>
      </c>
      <c r="J304" s="32">
        <v>182</v>
      </c>
      <c r="K304" s="32" t="s">
        <v>78</v>
      </c>
      <c r="L304" s="32"/>
      <c r="M304" s="33" t="s">
        <v>116</v>
      </c>
      <c r="N304" s="33"/>
      <c r="O304" s="32">
        <v>55</v>
      </c>
      <c r="P304" s="8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68</v>
      </c>
      <c r="X304" s="635">
        <v>0</v>
      </c>
      <c r="Y304" s="636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516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517</v>
      </c>
      <c r="B305" s="54" t="s">
        <v>518</v>
      </c>
      <c r="C305" s="31">
        <v>4301011722</v>
      </c>
      <c r="D305" s="642">
        <v>4680115884205</v>
      </c>
      <c r="E305" s="643"/>
      <c r="F305" s="634">
        <v>0.4</v>
      </c>
      <c r="G305" s="32">
        <v>10</v>
      </c>
      <c r="H305" s="634">
        <v>4</v>
      </c>
      <c r="I305" s="634">
        <v>4.1900000000000004</v>
      </c>
      <c r="J305" s="32">
        <v>132</v>
      </c>
      <c r="K305" s="32" t="s">
        <v>124</v>
      </c>
      <c r="L305" s="32"/>
      <c r="M305" s="33" t="s">
        <v>116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68</v>
      </c>
      <c r="X305" s="635">
        <v>0</v>
      </c>
      <c r="Y305" s="636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361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5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66"/>
      <c r="P306" s="653" t="s">
        <v>73</v>
      </c>
      <c r="Q306" s="654"/>
      <c r="R306" s="654"/>
      <c r="S306" s="654"/>
      <c r="T306" s="654"/>
      <c r="U306" s="654"/>
      <c r="V306" s="655"/>
      <c r="W306" s="37" t="s">
        <v>74</v>
      </c>
      <c r="X306" s="637">
        <f>IFERROR(X299/H299,"0")+IFERROR(X300/H300,"0")+IFERROR(X301/H301,"0")+IFERROR(X302/H302,"0")+IFERROR(X303/H303,"0")+IFERROR(X304/H304,"0")+IFERROR(X305/H305,"0")</f>
        <v>0</v>
      </c>
      <c r="Y306" s="637">
        <f>IFERROR(Y299/H299,"0")+IFERROR(Y300/H300,"0")+IFERROR(Y301/H301,"0")+IFERROR(Y302/H302,"0")+IFERROR(Y303/H303,"0")+IFERROR(Y304/H304,"0")+IFERROR(Y305/H305,"0")</f>
        <v>0</v>
      </c>
      <c r="Z306" s="637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8"/>
      <c r="AB306" s="638"/>
      <c r="AC306" s="638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66"/>
      <c r="P307" s="653" t="s">
        <v>73</v>
      </c>
      <c r="Q307" s="654"/>
      <c r="R307" s="654"/>
      <c r="S307" s="654"/>
      <c r="T307" s="654"/>
      <c r="U307" s="654"/>
      <c r="V307" s="655"/>
      <c r="W307" s="37" t="s">
        <v>68</v>
      </c>
      <c r="X307" s="637">
        <f>IFERROR(SUM(X299:X305),"0")</f>
        <v>0</v>
      </c>
      <c r="Y307" s="637">
        <f>IFERROR(SUM(Y299:Y305),"0")</f>
        <v>0</v>
      </c>
      <c r="Z307" s="37"/>
      <c r="AA307" s="638"/>
      <c r="AB307" s="638"/>
      <c r="AC307" s="638"/>
    </row>
    <row r="308" spans="1:68" ht="14.25" customHeight="1" x14ac:dyDescent="0.25">
      <c r="A308" s="652" t="s">
        <v>148</v>
      </c>
      <c r="B308" s="649"/>
      <c r="C308" s="649"/>
      <c r="D308" s="649"/>
      <c r="E308" s="649"/>
      <c r="F308" s="649"/>
      <c r="G308" s="649"/>
      <c r="H308" s="649"/>
      <c r="I308" s="649"/>
      <c r="J308" s="649"/>
      <c r="K308" s="649"/>
      <c r="L308" s="649"/>
      <c r="M308" s="649"/>
      <c r="N308" s="649"/>
      <c r="O308" s="649"/>
      <c r="P308" s="649"/>
      <c r="Q308" s="649"/>
      <c r="R308" s="649"/>
      <c r="S308" s="649"/>
      <c r="T308" s="649"/>
      <c r="U308" s="649"/>
      <c r="V308" s="649"/>
      <c r="W308" s="649"/>
      <c r="X308" s="649"/>
      <c r="Y308" s="649"/>
      <c r="Z308" s="649"/>
      <c r="AA308" s="630"/>
      <c r="AB308" s="630"/>
      <c r="AC308" s="630"/>
    </row>
    <row r="309" spans="1:68" ht="27" customHeight="1" x14ac:dyDescent="0.25">
      <c r="A309" s="54" t="s">
        <v>519</v>
      </c>
      <c r="B309" s="54" t="s">
        <v>520</v>
      </c>
      <c r="C309" s="31">
        <v>4301020377</v>
      </c>
      <c r="D309" s="642">
        <v>4680115885981</v>
      </c>
      <c r="E309" s="643"/>
      <c r="F309" s="634">
        <v>0.33</v>
      </c>
      <c r="G309" s="32">
        <v>6</v>
      </c>
      <c r="H309" s="634">
        <v>1.98</v>
      </c>
      <c r="I309" s="634">
        <v>2.08</v>
      </c>
      <c r="J309" s="32">
        <v>234</v>
      </c>
      <c r="K309" s="32" t="s">
        <v>66</v>
      </c>
      <c r="L309" s="32"/>
      <c r="M309" s="33" t="s">
        <v>79</v>
      </c>
      <c r="N309" s="33"/>
      <c r="O309" s="32">
        <v>50</v>
      </c>
      <c r="P309" s="8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68</v>
      </c>
      <c r="X309" s="635">
        <v>0</v>
      </c>
      <c r="Y309" s="63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521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5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66"/>
      <c r="P310" s="653" t="s">
        <v>73</v>
      </c>
      <c r="Q310" s="654"/>
      <c r="R310" s="654"/>
      <c r="S310" s="654"/>
      <c r="T310" s="654"/>
      <c r="U310" s="654"/>
      <c r="V310" s="655"/>
      <c r="W310" s="37" t="s">
        <v>74</v>
      </c>
      <c r="X310" s="637">
        <f>IFERROR(X309/H309,"0")</f>
        <v>0</v>
      </c>
      <c r="Y310" s="637">
        <f>IFERROR(Y309/H309,"0")</f>
        <v>0</v>
      </c>
      <c r="Z310" s="637">
        <f>IFERROR(IF(Z309="",0,Z309),"0")</f>
        <v>0</v>
      </c>
      <c r="AA310" s="638"/>
      <c r="AB310" s="638"/>
      <c r="AC310" s="638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66"/>
      <c r="P311" s="653" t="s">
        <v>73</v>
      </c>
      <c r="Q311" s="654"/>
      <c r="R311" s="654"/>
      <c r="S311" s="654"/>
      <c r="T311" s="654"/>
      <c r="U311" s="654"/>
      <c r="V311" s="655"/>
      <c r="W311" s="37" t="s">
        <v>68</v>
      </c>
      <c r="X311" s="637">
        <f>IFERROR(SUM(X309:X309),"0")</f>
        <v>0</v>
      </c>
      <c r="Y311" s="637">
        <f>IFERROR(SUM(Y309:Y309),"0")</f>
        <v>0</v>
      </c>
      <c r="Z311" s="37"/>
      <c r="AA311" s="638"/>
      <c r="AB311" s="638"/>
      <c r="AC311" s="638"/>
    </row>
    <row r="312" spans="1:68" ht="14.25" customHeight="1" x14ac:dyDescent="0.25">
      <c r="A312" s="652" t="s">
        <v>522</v>
      </c>
      <c r="B312" s="649"/>
      <c r="C312" s="649"/>
      <c r="D312" s="649"/>
      <c r="E312" s="649"/>
      <c r="F312" s="649"/>
      <c r="G312" s="649"/>
      <c r="H312" s="649"/>
      <c r="I312" s="649"/>
      <c r="J312" s="649"/>
      <c r="K312" s="649"/>
      <c r="L312" s="649"/>
      <c r="M312" s="649"/>
      <c r="N312" s="649"/>
      <c r="O312" s="649"/>
      <c r="P312" s="649"/>
      <c r="Q312" s="649"/>
      <c r="R312" s="649"/>
      <c r="S312" s="649"/>
      <c r="T312" s="649"/>
      <c r="U312" s="649"/>
      <c r="V312" s="649"/>
      <c r="W312" s="649"/>
      <c r="X312" s="649"/>
      <c r="Y312" s="649"/>
      <c r="Z312" s="649"/>
      <c r="AA312" s="630"/>
      <c r="AB312" s="630"/>
      <c r="AC312" s="630"/>
    </row>
    <row r="313" spans="1:68" ht="27" customHeight="1" x14ac:dyDescent="0.25">
      <c r="A313" s="54" t="s">
        <v>523</v>
      </c>
      <c r="B313" s="54" t="s">
        <v>524</v>
      </c>
      <c r="C313" s="31">
        <v>4301040362</v>
      </c>
      <c r="D313" s="642">
        <v>4680115886803</v>
      </c>
      <c r="E313" s="643"/>
      <c r="F313" s="634">
        <v>0.12</v>
      </c>
      <c r="G313" s="32">
        <v>15</v>
      </c>
      <c r="H313" s="634">
        <v>1.8</v>
      </c>
      <c r="I313" s="634">
        <v>1.9750000000000001</v>
      </c>
      <c r="J313" s="32">
        <v>216</v>
      </c>
      <c r="K313" s="32" t="s">
        <v>334</v>
      </c>
      <c r="L313" s="32"/>
      <c r="M313" s="33" t="s">
        <v>277</v>
      </c>
      <c r="N313" s="33"/>
      <c r="O313" s="32">
        <v>45</v>
      </c>
      <c r="P313" s="10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68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525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5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66"/>
      <c r="P314" s="653" t="s">
        <v>73</v>
      </c>
      <c r="Q314" s="654"/>
      <c r="R314" s="654"/>
      <c r="S314" s="654"/>
      <c r="T314" s="654"/>
      <c r="U314" s="654"/>
      <c r="V314" s="655"/>
      <c r="W314" s="37" t="s">
        <v>74</v>
      </c>
      <c r="X314" s="637">
        <f>IFERROR(X313/H313,"0")</f>
        <v>0</v>
      </c>
      <c r="Y314" s="637">
        <f>IFERROR(Y313/H313,"0")</f>
        <v>0</v>
      </c>
      <c r="Z314" s="637">
        <f>IFERROR(IF(Z313="",0,Z313),"0")</f>
        <v>0</v>
      </c>
      <c r="AA314" s="638"/>
      <c r="AB314" s="638"/>
      <c r="AC314" s="638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66"/>
      <c r="P315" s="653" t="s">
        <v>73</v>
      </c>
      <c r="Q315" s="654"/>
      <c r="R315" s="654"/>
      <c r="S315" s="654"/>
      <c r="T315" s="654"/>
      <c r="U315" s="654"/>
      <c r="V315" s="655"/>
      <c r="W315" s="37" t="s">
        <v>68</v>
      </c>
      <c r="X315" s="637">
        <f>IFERROR(SUM(X313:X313),"0")</f>
        <v>0</v>
      </c>
      <c r="Y315" s="637">
        <f>IFERROR(SUM(Y313:Y313),"0")</f>
        <v>0</v>
      </c>
      <c r="Z315" s="37"/>
      <c r="AA315" s="638"/>
      <c r="AB315" s="638"/>
      <c r="AC315" s="638"/>
    </row>
    <row r="316" spans="1:68" ht="14.25" customHeight="1" x14ac:dyDescent="0.25">
      <c r="A316" s="652" t="s">
        <v>339</v>
      </c>
      <c r="B316" s="649"/>
      <c r="C316" s="649"/>
      <c r="D316" s="649"/>
      <c r="E316" s="649"/>
      <c r="F316" s="649"/>
      <c r="G316" s="649"/>
      <c r="H316" s="649"/>
      <c r="I316" s="649"/>
      <c r="J316" s="649"/>
      <c r="K316" s="649"/>
      <c r="L316" s="649"/>
      <c r="M316" s="649"/>
      <c r="N316" s="649"/>
      <c r="O316" s="649"/>
      <c r="P316" s="649"/>
      <c r="Q316" s="649"/>
      <c r="R316" s="649"/>
      <c r="S316" s="649"/>
      <c r="T316" s="649"/>
      <c r="U316" s="649"/>
      <c r="V316" s="649"/>
      <c r="W316" s="649"/>
      <c r="X316" s="649"/>
      <c r="Y316" s="649"/>
      <c r="Z316" s="649"/>
      <c r="AA316" s="630"/>
      <c r="AB316" s="630"/>
      <c r="AC316" s="630"/>
    </row>
    <row r="317" spans="1:68" ht="27" customHeight="1" x14ac:dyDescent="0.25">
      <c r="A317" s="54" t="s">
        <v>526</v>
      </c>
      <c r="B317" s="54" t="s">
        <v>527</v>
      </c>
      <c r="C317" s="31">
        <v>4301041004</v>
      </c>
      <c r="D317" s="642">
        <v>4680115886704</v>
      </c>
      <c r="E317" s="643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334</v>
      </c>
      <c r="L317" s="32"/>
      <c r="M317" s="33" t="s">
        <v>277</v>
      </c>
      <c r="N317" s="33"/>
      <c r="O317" s="32">
        <v>90</v>
      </c>
      <c r="P317" s="96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68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528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529</v>
      </c>
      <c r="B318" s="54" t="s">
        <v>530</v>
      </c>
      <c r="C318" s="31">
        <v>4301041008</v>
      </c>
      <c r="D318" s="642">
        <v>4680115886681</v>
      </c>
      <c r="E318" s="643"/>
      <c r="F318" s="634">
        <v>0.12</v>
      </c>
      <c r="G318" s="32">
        <v>15</v>
      </c>
      <c r="H318" s="634">
        <v>1.8</v>
      </c>
      <c r="I318" s="634">
        <v>1.9750000000000001</v>
      </c>
      <c r="J318" s="32">
        <v>216</v>
      </c>
      <c r="K318" s="32" t="s">
        <v>334</v>
      </c>
      <c r="L318" s="32"/>
      <c r="M318" s="33" t="s">
        <v>277</v>
      </c>
      <c r="N318" s="33"/>
      <c r="O318" s="32">
        <v>90</v>
      </c>
      <c r="P318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68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528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531</v>
      </c>
      <c r="B319" s="54" t="s">
        <v>532</v>
      </c>
      <c r="C319" s="31">
        <v>4301041007</v>
      </c>
      <c r="D319" s="642">
        <v>4680115886735</v>
      </c>
      <c r="E319" s="643"/>
      <c r="F319" s="634">
        <v>0.05</v>
      </c>
      <c r="G319" s="32">
        <v>18</v>
      </c>
      <c r="H319" s="634">
        <v>0.9</v>
      </c>
      <c r="I319" s="634">
        <v>1.0900000000000001</v>
      </c>
      <c r="J319" s="32">
        <v>216</v>
      </c>
      <c r="K319" s="32" t="s">
        <v>334</v>
      </c>
      <c r="L319" s="32"/>
      <c r="M319" s="33" t="s">
        <v>277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68</v>
      </c>
      <c r="X319" s="635">
        <v>0</v>
      </c>
      <c r="Y319" s="636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528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5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66"/>
      <c r="P320" s="653" t="s">
        <v>73</v>
      </c>
      <c r="Q320" s="654"/>
      <c r="R320" s="654"/>
      <c r="S320" s="654"/>
      <c r="T320" s="654"/>
      <c r="U320" s="654"/>
      <c r="V320" s="655"/>
      <c r="W320" s="37" t="s">
        <v>74</v>
      </c>
      <c r="X320" s="637">
        <f>IFERROR(X317/H317,"0")+IFERROR(X318/H318,"0")+IFERROR(X319/H319,"0")</f>
        <v>0</v>
      </c>
      <c r="Y320" s="637">
        <f>IFERROR(Y317/H317,"0")+IFERROR(Y318/H318,"0")+IFERROR(Y319/H319,"0")</f>
        <v>0</v>
      </c>
      <c r="Z320" s="637">
        <f>IFERROR(IF(Z317="",0,Z317),"0")+IFERROR(IF(Z318="",0,Z318),"0")+IFERROR(IF(Z319="",0,Z319),"0")</f>
        <v>0</v>
      </c>
      <c r="AA320" s="638"/>
      <c r="AB320" s="638"/>
      <c r="AC320" s="638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66"/>
      <c r="P321" s="653" t="s">
        <v>73</v>
      </c>
      <c r="Q321" s="654"/>
      <c r="R321" s="654"/>
      <c r="S321" s="654"/>
      <c r="T321" s="654"/>
      <c r="U321" s="654"/>
      <c r="V321" s="655"/>
      <c r="W321" s="37" t="s">
        <v>68</v>
      </c>
      <c r="X321" s="637">
        <f>IFERROR(SUM(X317:X319),"0")</f>
        <v>0</v>
      </c>
      <c r="Y321" s="637">
        <f>IFERROR(SUM(Y317:Y319),"0")</f>
        <v>0</v>
      </c>
      <c r="Z321" s="37"/>
      <c r="AA321" s="638"/>
      <c r="AB321" s="638"/>
      <c r="AC321" s="638"/>
    </row>
    <row r="322" spans="1:68" ht="16.5" customHeight="1" x14ac:dyDescent="0.25">
      <c r="A322" s="648" t="s">
        <v>533</v>
      </c>
      <c r="B322" s="649"/>
      <c r="C322" s="649"/>
      <c r="D322" s="649"/>
      <c r="E322" s="649"/>
      <c r="F322" s="649"/>
      <c r="G322" s="649"/>
      <c r="H322" s="649"/>
      <c r="I322" s="649"/>
      <c r="J322" s="649"/>
      <c r="K322" s="649"/>
      <c r="L322" s="649"/>
      <c r="M322" s="649"/>
      <c r="N322" s="649"/>
      <c r="O322" s="649"/>
      <c r="P322" s="649"/>
      <c r="Q322" s="649"/>
      <c r="R322" s="649"/>
      <c r="S322" s="649"/>
      <c r="T322" s="649"/>
      <c r="U322" s="649"/>
      <c r="V322" s="649"/>
      <c r="W322" s="649"/>
      <c r="X322" s="649"/>
      <c r="Y322" s="649"/>
      <c r="Z322" s="649"/>
      <c r="AA322" s="629"/>
      <c r="AB322" s="629"/>
      <c r="AC322" s="629"/>
    </row>
    <row r="323" spans="1:68" ht="14.25" customHeight="1" x14ac:dyDescent="0.25">
      <c r="A323" s="652" t="s">
        <v>112</v>
      </c>
      <c r="B323" s="649"/>
      <c r="C323" s="649"/>
      <c r="D323" s="649"/>
      <c r="E323" s="649"/>
      <c r="F323" s="649"/>
      <c r="G323" s="649"/>
      <c r="H323" s="649"/>
      <c r="I323" s="649"/>
      <c r="J323" s="649"/>
      <c r="K323" s="649"/>
      <c r="L323" s="649"/>
      <c r="M323" s="649"/>
      <c r="N323" s="649"/>
      <c r="O323" s="649"/>
      <c r="P323" s="649"/>
      <c r="Q323" s="649"/>
      <c r="R323" s="649"/>
      <c r="S323" s="649"/>
      <c r="T323" s="649"/>
      <c r="U323" s="649"/>
      <c r="V323" s="649"/>
      <c r="W323" s="649"/>
      <c r="X323" s="649"/>
      <c r="Y323" s="649"/>
      <c r="Z323" s="649"/>
      <c r="AA323" s="630"/>
      <c r="AB323" s="630"/>
      <c r="AC323" s="630"/>
    </row>
    <row r="324" spans="1:68" ht="27" customHeight="1" x14ac:dyDescent="0.25">
      <c r="A324" s="54" t="s">
        <v>534</v>
      </c>
      <c r="B324" s="54" t="s">
        <v>535</v>
      </c>
      <c r="C324" s="31">
        <v>4301011855</v>
      </c>
      <c r="D324" s="642">
        <v>4680115885837</v>
      </c>
      <c r="E324" s="643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68</v>
      </c>
      <c r="X324" s="635">
        <v>0</v>
      </c>
      <c r="Y324" s="63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536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537</v>
      </c>
      <c r="B325" s="54" t="s">
        <v>538</v>
      </c>
      <c r="C325" s="31">
        <v>4301012234</v>
      </c>
      <c r="D325" s="642">
        <v>4680115887237</v>
      </c>
      <c r="E325" s="643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115</v>
      </c>
      <c r="L325" s="32"/>
      <c r="M325" s="33" t="s">
        <v>116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68</v>
      </c>
      <c r="X325" s="635">
        <v>0</v>
      </c>
      <c r="Y325" s="63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539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540</v>
      </c>
      <c r="B326" s="54" t="s">
        <v>541</v>
      </c>
      <c r="C326" s="31">
        <v>4301011850</v>
      </c>
      <c r="D326" s="642">
        <v>4680115885806</v>
      </c>
      <c r="E326" s="643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115</v>
      </c>
      <c r="L326" s="32"/>
      <c r="M326" s="33" t="s">
        <v>116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68</v>
      </c>
      <c r="X326" s="635">
        <v>0</v>
      </c>
      <c r="Y326" s="636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542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543</v>
      </c>
      <c r="B327" s="54" t="s">
        <v>544</v>
      </c>
      <c r="C327" s="31">
        <v>4301011852</v>
      </c>
      <c r="D327" s="642">
        <v>4680115885844</v>
      </c>
      <c r="E327" s="643"/>
      <c r="F327" s="634">
        <v>0.4</v>
      </c>
      <c r="G327" s="32">
        <v>10</v>
      </c>
      <c r="H327" s="634">
        <v>4</v>
      </c>
      <c r="I327" s="634">
        <v>4.1900000000000004</v>
      </c>
      <c r="J327" s="32">
        <v>132</v>
      </c>
      <c r="K327" s="32" t="s">
        <v>124</v>
      </c>
      <c r="L327" s="32"/>
      <c r="M327" s="33" t="s">
        <v>116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68</v>
      </c>
      <c r="X327" s="635">
        <v>0</v>
      </c>
      <c r="Y327" s="63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545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546</v>
      </c>
      <c r="B328" s="54" t="s">
        <v>547</v>
      </c>
      <c r="C328" s="31">
        <v>4301011851</v>
      </c>
      <c r="D328" s="642">
        <v>4680115885820</v>
      </c>
      <c r="E328" s="643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124</v>
      </c>
      <c r="L328" s="32"/>
      <c r="M328" s="33" t="s">
        <v>116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68</v>
      </c>
      <c r="X328" s="635">
        <v>0</v>
      </c>
      <c r="Y328" s="63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548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5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66"/>
      <c r="P329" s="653" t="s">
        <v>73</v>
      </c>
      <c r="Q329" s="654"/>
      <c r="R329" s="654"/>
      <c r="S329" s="654"/>
      <c r="T329" s="654"/>
      <c r="U329" s="654"/>
      <c r="V329" s="655"/>
      <c r="W329" s="37" t="s">
        <v>74</v>
      </c>
      <c r="X329" s="637">
        <f>IFERROR(X324/H324,"0")+IFERROR(X325/H325,"0")+IFERROR(X326/H326,"0")+IFERROR(X327/H327,"0")+IFERROR(X328/H328,"0")</f>
        <v>0</v>
      </c>
      <c r="Y329" s="637">
        <f>IFERROR(Y324/H324,"0")+IFERROR(Y325/H325,"0")+IFERROR(Y326/H326,"0")+IFERROR(Y327/H327,"0")+IFERROR(Y328/H328,"0")</f>
        <v>0</v>
      </c>
      <c r="Z329" s="637">
        <f>IFERROR(IF(Z324="",0,Z324),"0")+IFERROR(IF(Z325="",0,Z325),"0")+IFERROR(IF(Z326="",0,Z326),"0")+IFERROR(IF(Z327="",0,Z327),"0")+IFERROR(IF(Z328="",0,Z328),"0")</f>
        <v>0</v>
      </c>
      <c r="AA329" s="638"/>
      <c r="AB329" s="638"/>
      <c r="AC329" s="638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66"/>
      <c r="P330" s="653" t="s">
        <v>73</v>
      </c>
      <c r="Q330" s="654"/>
      <c r="R330" s="654"/>
      <c r="S330" s="654"/>
      <c r="T330" s="654"/>
      <c r="U330" s="654"/>
      <c r="V330" s="655"/>
      <c r="W330" s="37" t="s">
        <v>68</v>
      </c>
      <c r="X330" s="637">
        <f>IFERROR(SUM(X324:X328),"0")</f>
        <v>0</v>
      </c>
      <c r="Y330" s="637">
        <f>IFERROR(SUM(Y324:Y328),"0")</f>
        <v>0</v>
      </c>
      <c r="Z330" s="37"/>
      <c r="AA330" s="638"/>
      <c r="AB330" s="638"/>
      <c r="AC330" s="638"/>
    </row>
    <row r="331" spans="1:68" ht="16.5" customHeight="1" x14ac:dyDescent="0.25">
      <c r="A331" s="648" t="s">
        <v>549</v>
      </c>
      <c r="B331" s="649"/>
      <c r="C331" s="649"/>
      <c r="D331" s="649"/>
      <c r="E331" s="649"/>
      <c r="F331" s="649"/>
      <c r="G331" s="649"/>
      <c r="H331" s="649"/>
      <c r="I331" s="649"/>
      <c r="J331" s="649"/>
      <c r="K331" s="649"/>
      <c r="L331" s="649"/>
      <c r="M331" s="649"/>
      <c r="N331" s="649"/>
      <c r="O331" s="649"/>
      <c r="P331" s="649"/>
      <c r="Q331" s="649"/>
      <c r="R331" s="649"/>
      <c r="S331" s="649"/>
      <c r="T331" s="649"/>
      <c r="U331" s="649"/>
      <c r="V331" s="649"/>
      <c r="W331" s="649"/>
      <c r="X331" s="649"/>
      <c r="Y331" s="649"/>
      <c r="Z331" s="649"/>
      <c r="AA331" s="629"/>
      <c r="AB331" s="629"/>
      <c r="AC331" s="629"/>
    </row>
    <row r="332" spans="1:68" ht="14.25" customHeight="1" x14ac:dyDescent="0.25">
      <c r="A332" s="652" t="s">
        <v>75</v>
      </c>
      <c r="B332" s="649"/>
      <c r="C332" s="649"/>
      <c r="D332" s="649"/>
      <c r="E332" s="649"/>
      <c r="F332" s="649"/>
      <c r="G332" s="649"/>
      <c r="H332" s="649"/>
      <c r="I332" s="649"/>
      <c r="J332" s="649"/>
      <c r="K332" s="649"/>
      <c r="L332" s="649"/>
      <c r="M332" s="649"/>
      <c r="N332" s="649"/>
      <c r="O332" s="649"/>
      <c r="P332" s="649"/>
      <c r="Q332" s="649"/>
      <c r="R332" s="649"/>
      <c r="S332" s="649"/>
      <c r="T332" s="649"/>
      <c r="U332" s="649"/>
      <c r="V332" s="649"/>
      <c r="W332" s="649"/>
      <c r="X332" s="649"/>
      <c r="Y332" s="649"/>
      <c r="Z332" s="649"/>
      <c r="AA332" s="630"/>
      <c r="AB332" s="630"/>
      <c r="AC332" s="630"/>
    </row>
    <row r="333" spans="1:68" ht="27" customHeight="1" x14ac:dyDescent="0.25">
      <c r="A333" s="54" t="s">
        <v>550</v>
      </c>
      <c r="B333" s="54" t="s">
        <v>551</v>
      </c>
      <c r="C333" s="31">
        <v>4301051893</v>
      </c>
      <c r="D333" s="642">
        <v>4680115886186</v>
      </c>
      <c r="E333" s="643"/>
      <c r="F333" s="634">
        <v>0.3</v>
      </c>
      <c r="G333" s="32">
        <v>6</v>
      </c>
      <c r="H333" s="634">
        <v>1.8</v>
      </c>
      <c r="I333" s="634">
        <v>1.98</v>
      </c>
      <c r="J333" s="32">
        <v>182</v>
      </c>
      <c r="K333" s="32" t="s">
        <v>78</v>
      </c>
      <c r="L333" s="32"/>
      <c r="M333" s="33" t="s">
        <v>79</v>
      </c>
      <c r="N333" s="33"/>
      <c r="O333" s="32">
        <v>45</v>
      </c>
      <c r="P333" s="9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68</v>
      </c>
      <c r="X333" s="635">
        <v>0</v>
      </c>
      <c r="Y333" s="636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552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553</v>
      </c>
      <c r="B334" s="54" t="s">
        <v>554</v>
      </c>
      <c r="C334" s="31">
        <v>4301051795</v>
      </c>
      <c r="D334" s="642">
        <v>4680115881228</v>
      </c>
      <c r="E334" s="643"/>
      <c r="F334" s="634">
        <v>0.4</v>
      </c>
      <c r="G334" s="32">
        <v>6</v>
      </c>
      <c r="H334" s="634">
        <v>2.4</v>
      </c>
      <c r="I334" s="634">
        <v>2.6520000000000001</v>
      </c>
      <c r="J334" s="32">
        <v>182</v>
      </c>
      <c r="K334" s="32" t="s">
        <v>78</v>
      </c>
      <c r="L334" s="32"/>
      <c r="M334" s="33" t="s">
        <v>85</v>
      </c>
      <c r="N334" s="33"/>
      <c r="O334" s="32">
        <v>40</v>
      </c>
      <c r="P334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68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555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4301051388</v>
      </c>
      <c r="D335" s="642">
        <v>4680115881211</v>
      </c>
      <c r="E335" s="643"/>
      <c r="F335" s="634">
        <v>0.4</v>
      </c>
      <c r="G335" s="32">
        <v>6</v>
      </c>
      <c r="H335" s="634">
        <v>2.4</v>
      </c>
      <c r="I335" s="634">
        <v>2.58</v>
      </c>
      <c r="J335" s="32">
        <v>182</v>
      </c>
      <c r="K335" s="32" t="s">
        <v>78</v>
      </c>
      <c r="L335" s="32"/>
      <c r="M335" s="33" t="s">
        <v>79</v>
      </c>
      <c r="N335" s="33"/>
      <c r="O335" s="32">
        <v>45</v>
      </c>
      <c r="P335" s="9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68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552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5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66"/>
      <c r="P336" s="653" t="s">
        <v>73</v>
      </c>
      <c r="Q336" s="654"/>
      <c r="R336" s="654"/>
      <c r="S336" s="654"/>
      <c r="T336" s="654"/>
      <c r="U336" s="654"/>
      <c r="V336" s="655"/>
      <c r="W336" s="37" t="s">
        <v>74</v>
      </c>
      <c r="X336" s="637">
        <f>IFERROR(X333/H333,"0")+IFERROR(X334/H334,"0")+IFERROR(X335/H335,"0")</f>
        <v>0</v>
      </c>
      <c r="Y336" s="637">
        <f>IFERROR(Y333/H333,"0")+IFERROR(Y334/H334,"0")+IFERROR(Y335/H335,"0")</f>
        <v>0</v>
      </c>
      <c r="Z336" s="637">
        <f>IFERROR(IF(Z333="",0,Z333),"0")+IFERROR(IF(Z334="",0,Z334),"0")+IFERROR(IF(Z335="",0,Z335),"0")</f>
        <v>0</v>
      </c>
      <c r="AA336" s="638"/>
      <c r="AB336" s="638"/>
      <c r="AC336" s="638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66"/>
      <c r="P337" s="653" t="s">
        <v>73</v>
      </c>
      <c r="Q337" s="654"/>
      <c r="R337" s="654"/>
      <c r="S337" s="654"/>
      <c r="T337" s="654"/>
      <c r="U337" s="654"/>
      <c r="V337" s="655"/>
      <c r="W337" s="37" t="s">
        <v>68</v>
      </c>
      <c r="X337" s="637">
        <f>IFERROR(SUM(X333:X335),"0")</f>
        <v>0</v>
      </c>
      <c r="Y337" s="637">
        <f>IFERROR(SUM(Y333:Y335),"0")</f>
        <v>0</v>
      </c>
      <c r="Z337" s="37"/>
      <c r="AA337" s="638"/>
      <c r="AB337" s="638"/>
      <c r="AC337" s="638"/>
    </row>
    <row r="338" spans="1:68" ht="16.5" customHeight="1" x14ac:dyDescent="0.25">
      <c r="A338" s="648" t="s">
        <v>558</v>
      </c>
      <c r="B338" s="649"/>
      <c r="C338" s="649"/>
      <c r="D338" s="649"/>
      <c r="E338" s="649"/>
      <c r="F338" s="649"/>
      <c r="G338" s="649"/>
      <c r="H338" s="649"/>
      <c r="I338" s="649"/>
      <c r="J338" s="649"/>
      <c r="K338" s="649"/>
      <c r="L338" s="649"/>
      <c r="M338" s="649"/>
      <c r="N338" s="649"/>
      <c r="O338" s="649"/>
      <c r="P338" s="649"/>
      <c r="Q338" s="649"/>
      <c r="R338" s="649"/>
      <c r="S338" s="649"/>
      <c r="T338" s="649"/>
      <c r="U338" s="649"/>
      <c r="V338" s="649"/>
      <c r="W338" s="649"/>
      <c r="X338" s="649"/>
      <c r="Y338" s="649"/>
      <c r="Z338" s="649"/>
      <c r="AA338" s="629"/>
      <c r="AB338" s="629"/>
      <c r="AC338" s="629"/>
    </row>
    <row r="339" spans="1:68" ht="14.25" customHeight="1" x14ac:dyDescent="0.25">
      <c r="A339" s="652" t="s">
        <v>63</v>
      </c>
      <c r="B339" s="649"/>
      <c r="C339" s="649"/>
      <c r="D339" s="649"/>
      <c r="E339" s="649"/>
      <c r="F339" s="649"/>
      <c r="G339" s="649"/>
      <c r="H339" s="649"/>
      <c r="I339" s="649"/>
      <c r="J339" s="649"/>
      <c r="K339" s="649"/>
      <c r="L339" s="649"/>
      <c r="M339" s="649"/>
      <c r="N339" s="649"/>
      <c r="O339" s="649"/>
      <c r="P339" s="649"/>
      <c r="Q339" s="649"/>
      <c r="R339" s="649"/>
      <c r="S339" s="649"/>
      <c r="T339" s="649"/>
      <c r="U339" s="649"/>
      <c r="V339" s="649"/>
      <c r="W339" s="649"/>
      <c r="X339" s="649"/>
      <c r="Y339" s="649"/>
      <c r="Z339" s="649"/>
      <c r="AA339" s="630"/>
      <c r="AB339" s="630"/>
      <c r="AC339" s="630"/>
    </row>
    <row r="340" spans="1:68" ht="27" customHeight="1" x14ac:dyDescent="0.25">
      <c r="A340" s="54" t="s">
        <v>559</v>
      </c>
      <c r="B340" s="54" t="s">
        <v>560</v>
      </c>
      <c r="C340" s="31">
        <v>4301031445</v>
      </c>
      <c r="D340" s="642">
        <v>4680115888319</v>
      </c>
      <c r="E340" s="643"/>
      <c r="F340" s="634">
        <v>0.35</v>
      </c>
      <c r="G340" s="32">
        <v>6</v>
      </c>
      <c r="H340" s="634">
        <v>2.1</v>
      </c>
      <c r="I340" s="634">
        <v>2.23</v>
      </c>
      <c r="J340" s="32">
        <v>234</v>
      </c>
      <c r="K340" s="32" t="s">
        <v>66</v>
      </c>
      <c r="L340" s="32"/>
      <c r="M340" s="33" t="s">
        <v>67</v>
      </c>
      <c r="N340" s="33"/>
      <c r="O340" s="32">
        <v>45</v>
      </c>
      <c r="P340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68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393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561</v>
      </c>
      <c r="B341" s="54" t="s">
        <v>562</v>
      </c>
      <c r="C341" s="31">
        <v>4301031502</v>
      </c>
      <c r="D341" s="642">
        <v>4680115884700</v>
      </c>
      <c r="E341" s="643"/>
      <c r="F341" s="634">
        <v>0.57999999999999996</v>
      </c>
      <c r="G341" s="32">
        <v>4</v>
      </c>
      <c r="H341" s="634">
        <v>2.3199999999999998</v>
      </c>
      <c r="I341" s="634">
        <v>2.42</v>
      </c>
      <c r="J341" s="32">
        <v>234</v>
      </c>
      <c r="K341" s="32" t="s">
        <v>66</v>
      </c>
      <c r="L341" s="32"/>
      <c r="M341" s="33" t="s">
        <v>67</v>
      </c>
      <c r="N341" s="33"/>
      <c r="O341" s="32">
        <v>40</v>
      </c>
      <c r="P341" s="93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68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563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564</v>
      </c>
      <c r="B342" s="54" t="s">
        <v>565</v>
      </c>
      <c r="C342" s="31">
        <v>4301031307</v>
      </c>
      <c r="D342" s="642">
        <v>4680115880344</v>
      </c>
      <c r="E342" s="643"/>
      <c r="F342" s="634">
        <v>0.28000000000000003</v>
      </c>
      <c r="G342" s="32">
        <v>6</v>
      </c>
      <c r="H342" s="634">
        <v>1.68</v>
      </c>
      <c r="I342" s="634">
        <v>1.78</v>
      </c>
      <c r="J342" s="32">
        <v>234</v>
      </c>
      <c r="K342" s="32" t="s">
        <v>66</v>
      </c>
      <c r="L342" s="32"/>
      <c r="M342" s="33" t="s">
        <v>67</v>
      </c>
      <c r="N342" s="33"/>
      <c r="O342" s="32">
        <v>40</v>
      </c>
      <c r="P342" s="9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68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566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567</v>
      </c>
      <c r="B343" s="54" t="s">
        <v>568</v>
      </c>
      <c r="C343" s="31">
        <v>4301031501</v>
      </c>
      <c r="D343" s="642">
        <v>4680115886919</v>
      </c>
      <c r="E343" s="643"/>
      <c r="F343" s="634">
        <v>0.4</v>
      </c>
      <c r="G343" s="32">
        <v>6</v>
      </c>
      <c r="H343" s="634">
        <v>2.4</v>
      </c>
      <c r="I343" s="634">
        <v>2.58</v>
      </c>
      <c r="J343" s="32">
        <v>182</v>
      </c>
      <c r="K343" s="32" t="s">
        <v>78</v>
      </c>
      <c r="L343" s="32"/>
      <c r="M343" s="33" t="s">
        <v>67</v>
      </c>
      <c r="N343" s="33"/>
      <c r="O343" s="32">
        <v>40</v>
      </c>
      <c r="P343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68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569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570</v>
      </c>
      <c r="B344" s="54" t="s">
        <v>571</v>
      </c>
      <c r="C344" s="31">
        <v>4301031246</v>
      </c>
      <c r="D344" s="642">
        <v>4680115883970</v>
      </c>
      <c r="E344" s="643"/>
      <c r="F344" s="634">
        <v>0.28000000000000003</v>
      </c>
      <c r="G344" s="32">
        <v>6</v>
      </c>
      <c r="H344" s="634">
        <v>1.68</v>
      </c>
      <c r="I344" s="634">
        <v>2.5</v>
      </c>
      <c r="J344" s="32">
        <v>234</v>
      </c>
      <c r="K344" s="32" t="s">
        <v>66</v>
      </c>
      <c r="L344" s="32"/>
      <c r="M344" s="33" t="s">
        <v>67</v>
      </c>
      <c r="N344" s="33"/>
      <c r="O344" s="32">
        <v>40</v>
      </c>
      <c r="P344" s="9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68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572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5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66"/>
      <c r="P345" s="653" t="s">
        <v>73</v>
      </c>
      <c r="Q345" s="654"/>
      <c r="R345" s="654"/>
      <c r="S345" s="654"/>
      <c r="T345" s="654"/>
      <c r="U345" s="654"/>
      <c r="V345" s="655"/>
      <c r="W345" s="37" t="s">
        <v>74</v>
      </c>
      <c r="X345" s="637">
        <f>IFERROR(X340/H340,"0")+IFERROR(X341/H341,"0")+IFERROR(X342/H342,"0")+IFERROR(X343/H343,"0")+IFERROR(X344/H344,"0")</f>
        <v>0</v>
      </c>
      <c r="Y345" s="637">
        <f>IFERROR(Y340/H340,"0")+IFERROR(Y341/H341,"0")+IFERROR(Y342/H342,"0")+IFERROR(Y343/H343,"0")+IFERROR(Y344/H344,"0")</f>
        <v>0</v>
      </c>
      <c r="Z345" s="637">
        <f>IFERROR(IF(Z340="",0,Z340),"0")+IFERROR(IF(Z341="",0,Z341),"0")+IFERROR(IF(Z342="",0,Z342),"0")+IFERROR(IF(Z343="",0,Z343),"0")+IFERROR(IF(Z344="",0,Z344),"0")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66"/>
      <c r="P346" s="653" t="s">
        <v>73</v>
      </c>
      <c r="Q346" s="654"/>
      <c r="R346" s="654"/>
      <c r="S346" s="654"/>
      <c r="T346" s="654"/>
      <c r="U346" s="654"/>
      <c r="V346" s="655"/>
      <c r="W346" s="37" t="s">
        <v>68</v>
      </c>
      <c r="X346" s="637">
        <f>IFERROR(SUM(X340:X344),"0")</f>
        <v>0</v>
      </c>
      <c r="Y346" s="637">
        <f>IFERROR(SUM(Y340:Y344),"0")</f>
        <v>0</v>
      </c>
      <c r="Z346" s="37"/>
      <c r="AA346" s="638"/>
      <c r="AB346" s="638"/>
      <c r="AC346" s="638"/>
    </row>
    <row r="347" spans="1:68" ht="14.25" customHeight="1" x14ac:dyDescent="0.25">
      <c r="A347" s="652" t="s">
        <v>75</v>
      </c>
      <c r="B347" s="649"/>
      <c r="C347" s="649"/>
      <c r="D347" s="649"/>
      <c r="E347" s="649"/>
      <c r="F347" s="649"/>
      <c r="G347" s="649"/>
      <c r="H347" s="649"/>
      <c r="I347" s="649"/>
      <c r="J347" s="649"/>
      <c r="K347" s="649"/>
      <c r="L347" s="649"/>
      <c r="M347" s="649"/>
      <c r="N347" s="649"/>
      <c r="O347" s="649"/>
      <c r="P347" s="649"/>
      <c r="Q347" s="649"/>
      <c r="R347" s="649"/>
      <c r="S347" s="649"/>
      <c r="T347" s="649"/>
      <c r="U347" s="649"/>
      <c r="V347" s="649"/>
      <c r="W347" s="649"/>
      <c r="X347" s="649"/>
      <c r="Y347" s="649"/>
      <c r="Z347" s="649"/>
      <c r="AA347" s="630"/>
      <c r="AB347" s="630"/>
      <c r="AC347" s="630"/>
    </row>
    <row r="348" spans="1:68" ht="27" customHeight="1" x14ac:dyDescent="0.25">
      <c r="A348" s="54" t="s">
        <v>573</v>
      </c>
      <c r="B348" s="54" t="s">
        <v>574</v>
      </c>
      <c r="C348" s="31">
        <v>4301051782</v>
      </c>
      <c r="D348" s="642">
        <v>4680115884618</v>
      </c>
      <c r="E348" s="643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124</v>
      </c>
      <c r="L348" s="32"/>
      <c r="M348" s="33" t="s">
        <v>79</v>
      </c>
      <c r="N348" s="33"/>
      <c r="O348" s="32">
        <v>45</v>
      </c>
      <c r="P348" s="9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68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575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4301052057</v>
      </c>
      <c r="D349" s="642">
        <v>4680115887114</v>
      </c>
      <c r="E349" s="643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124</v>
      </c>
      <c r="L349" s="32"/>
      <c r="M349" s="33" t="s">
        <v>79</v>
      </c>
      <c r="N349" s="33"/>
      <c r="O349" s="32">
        <v>45</v>
      </c>
      <c r="P349" s="95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68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578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5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66"/>
      <c r="P350" s="653" t="s">
        <v>73</v>
      </c>
      <c r="Q350" s="654"/>
      <c r="R350" s="654"/>
      <c r="S350" s="654"/>
      <c r="T350" s="654"/>
      <c r="U350" s="654"/>
      <c r="V350" s="655"/>
      <c r="W350" s="37" t="s">
        <v>74</v>
      </c>
      <c r="X350" s="637">
        <f>IFERROR(X348/H348,"0")+IFERROR(X349/H349,"0")</f>
        <v>0</v>
      </c>
      <c r="Y350" s="637">
        <f>IFERROR(Y348/H348,"0")+IFERROR(Y349/H349,"0")</f>
        <v>0</v>
      </c>
      <c r="Z350" s="637">
        <f>IFERROR(IF(Z348="",0,Z348),"0")+IFERROR(IF(Z349="",0,Z349),"0")</f>
        <v>0</v>
      </c>
      <c r="AA350" s="638"/>
      <c r="AB350" s="638"/>
      <c r="AC350" s="638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66"/>
      <c r="P351" s="653" t="s">
        <v>73</v>
      </c>
      <c r="Q351" s="654"/>
      <c r="R351" s="654"/>
      <c r="S351" s="654"/>
      <c r="T351" s="654"/>
      <c r="U351" s="654"/>
      <c r="V351" s="655"/>
      <c r="W351" s="37" t="s">
        <v>68</v>
      </c>
      <c r="X351" s="637">
        <f>IFERROR(SUM(X348:X349),"0")</f>
        <v>0</v>
      </c>
      <c r="Y351" s="637">
        <f>IFERROR(SUM(Y348:Y349),"0")</f>
        <v>0</v>
      </c>
      <c r="Z351" s="37"/>
      <c r="AA351" s="638"/>
      <c r="AB351" s="638"/>
      <c r="AC351" s="638"/>
    </row>
    <row r="352" spans="1:68" ht="16.5" customHeight="1" x14ac:dyDescent="0.25">
      <c r="A352" s="648" t="s">
        <v>579</v>
      </c>
      <c r="B352" s="649"/>
      <c r="C352" s="649"/>
      <c r="D352" s="649"/>
      <c r="E352" s="649"/>
      <c r="F352" s="649"/>
      <c r="G352" s="649"/>
      <c r="H352" s="649"/>
      <c r="I352" s="649"/>
      <c r="J352" s="649"/>
      <c r="K352" s="649"/>
      <c r="L352" s="649"/>
      <c r="M352" s="649"/>
      <c r="N352" s="649"/>
      <c r="O352" s="649"/>
      <c r="P352" s="649"/>
      <c r="Q352" s="649"/>
      <c r="R352" s="649"/>
      <c r="S352" s="649"/>
      <c r="T352" s="649"/>
      <c r="U352" s="649"/>
      <c r="V352" s="649"/>
      <c r="W352" s="649"/>
      <c r="X352" s="649"/>
      <c r="Y352" s="649"/>
      <c r="Z352" s="649"/>
      <c r="AA352" s="629"/>
      <c r="AB352" s="629"/>
      <c r="AC352" s="629"/>
    </row>
    <row r="353" spans="1:68" ht="14.25" customHeight="1" x14ac:dyDescent="0.25">
      <c r="A353" s="652" t="s">
        <v>112</v>
      </c>
      <c r="B353" s="649"/>
      <c r="C353" s="649"/>
      <c r="D353" s="649"/>
      <c r="E353" s="649"/>
      <c r="F353" s="649"/>
      <c r="G353" s="649"/>
      <c r="H353" s="649"/>
      <c r="I353" s="649"/>
      <c r="J353" s="649"/>
      <c r="K353" s="649"/>
      <c r="L353" s="649"/>
      <c r="M353" s="649"/>
      <c r="N353" s="649"/>
      <c r="O353" s="649"/>
      <c r="P353" s="649"/>
      <c r="Q353" s="649"/>
      <c r="R353" s="649"/>
      <c r="S353" s="649"/>
      <c r="T353" s="649"/>
      <c r="U353" s="649"/>
      <c r="V353" s="649"/>
      <c r="W353" s="649"/>
      <c r="X353" s="649"/>
      <c r="Y353" s="649"/>
      <c r="Z353" s="649"/>
      <c r="AA353" s="630"/>
      <c r="AB353" s="630"/>
      <c r="AC353" s="630"/>
    </row>
    <row r="354" spans="1:68" ht="27" customHeight="1" x14ac:dyDescent="0.25">
      <c r="A354" s="54" t="s">
        <v>580</v>
      </c>
      <c r="B354" s="54" t="s">
        <v>581</v>
      </c>
      <c r="C354" s="31">
        <v>4301012324</v>
      </c>
      <c r="D354" s="642">
        <v>4680115887947</v>
      </c>
      <c r="E354" s="643"/>
      <c r="F354" s="634">
        <v>1.3</v>
      </c>
      <c r="G354" s="32">
        <v>6</v>
      </c>
      <c r="H354" s="634">
        <v>7.8</v>
      </c>
      <c r="I354" s="634">
        <v>8.2100000000000009</v>
      </c>
      <c r="J354" s="32">
        <v>64</v>
      </c>
      <c r="K354" s="32" t="s">
        <v>115</v>
      </c>
      <c r="L354" s="32"/>
      <c r="M354" s="33" t="s">
        <v>79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68</v>
      </c>
      <c r="X354" s="635">
        <v>0</v>
      </c>
      <c r="Y354" s="63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582</v>
      </c>
      <c r="B355" s="54" t="s">
        <v>583</v>
      </c>
      <c r="C355" s="31">
        <v>4301012325</v>
      </c>
      <c r="D355" s="642">
        <v>4680115887978</v>
      </c>
      <c r="E355" s="643"/>
      <c r="F355" s="634">
        <v>1.3</v>
      </c>
      <c r="G355" s="32">
        <v>6</v>
      </c>
      <c r="H355" s="634">
        <v>7.8</v>
      </c>
      <c r="I355" s="634">
        <v>8.2100000000000009</v>
      </c>
      <c r="J355" s="32">
        <v>64</v>
      </c>
      <c r="K355" s="32" t="s">
        <v>115</v>
      </c>
      <c r="L355" s="32"/>
      <c r="M355" s="33" t="s">
        <v>79</v>
      </c>
      <c r="N355" s="33"/>
      <c r="O355" s="32">
        <v>60</v>
      </c>
      <c r="P355" s="98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68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584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585</v>
      </c>
      <c r="B356" s="54" t="s">
        <v>586</v>
      </c>
      <c r="C356" s="31">
        <v>4301012327</v>
      </c>
      <c r="D356" s="642">
        <v>4680115887992</v>
      </c>
      <c r="E356" s="643"/>
      <c r="F356" s="634">
        <v>1.3</v>
      </c>
      <c r="G356" s="32">
        <v>6</v>
      </c>
      <c r="H356" s="634">
        <v>7.8</v>
      </c>
      <c r="I356" s="634">
        <v>8.2100000000000009</v>
      </c>
      <c r="J356" s="32">
        <v>64</v>
      </c>
      <c r="K356" s="32" t="s">
        <v>115</v>
      </c>
      <c r="L356" s="32"/>
      <c r="M356" s="33" t="s">
        <v>79</v>
      </c>
      <c r="N356" s="33"/>
      <c r="O356" s="32">
        <v>60</v>
      </c>
      <c r="P356" s="8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68</v>
      </c>
      <c r="X356" s="635">
        <v>0</v>
      </c>
      <c r="Y356" s="636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587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5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66"/>
      <c r="P357" s="653" t="s">
        <v>73</v>
      </c>
      <c r="Q357" s="654"/>
      <c r="R357" s="654"/>
      <c r="S357" s="654"/>
      <c r="T357" s="654"/>
      <c r="U357" s="654"/>
      <c r="V357" s="655"/>
      <c r="W357" s="37" t="s">
        <v>74</v>
      </c>
      <c r="X357" s="637">
        <f>IFERROR(X354/H354,"0")+IFERROR(X355/H355,"0")+IFERROR(X356/H356,"0")</f>
        <v>0</v>
      </c>
      <c r="Y357" s="637">
        <f>IFERROR(Y354/H354,"0")+IFERROR(Y355/H355,"0")+IFERROR(Y356/H356,"0")</f>
        <v>0</v>
      </c>
      <c r="Z357" s="637">
        <f>IFERROR(IF(Z354="",0,Z354),"0")+IFERROR(IF(Z355="",0,Z355),"0")+IFERROR(IF(Z356="",0,Z356),"0")</f>
        <v>0</v>
      </c>
      <c r="AA357" s="638"/>
      <c r="AB357" s="638"/>
      <c r="AC357" s="638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66"/>
      <c r="P358" s="653" t="s">
        <v>73</v>
      </c>
      <c r="Q358" s="654"/>
      <c r="R358" s="654"/>
      <c r="S358" s="654"/>
      <c r="T358" s="654"/>
      <c r="U358" s="654"/>
      <c r="V358" s="655"/>
      <c r="W358" s="37" t="s">
        <v>68</v>
      </c>
      <c r="X358" s="637">
        <f>IFERROR(SUM(X354:X356),"0")</f>
        <v>0</v>
      </c>
      <c r="Y358" s="637">
        <f>IFERROR(SUM(Y354:Y356),"0")</f>
        <v>0</v>
      </c>
      <c r="Z358" s="37"/>
      <c r="AA358" s="638"/>
      <c r="AB358" s="638"/>
      <c r="AC358" s="638"/>
    </row>
    <row r="359" spans="1:68" ht="16.5" customHeight="1" x14ac:dyDescent="0.25">
      <c r="A359" s="648" t="s">
        <v>588</v>
      </c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49"/>
      <c r="P359" s="649"/>
      <c r="Q359" s="649"/>
      <c r="R359" s="649"/>
      <c r="S359" s="649"/>
      <c r="T359" s="649"/>
      <c r="U359" s="649"/>
      <c r="V359" s="649"/>
      <c r="W359" s="649"/>
      <c r="X359" s="649"/>
      <c r="Y359" s="649"/>
      <c r="Z359" s="649"/>
      <c r="AA359" s="629"/>
      <c r="AB359" s="629"/>
      <c r="AC359" s="629"/>
    </row>
    <row r="360" spans="1:68" ht="14.25" customHeight="1" x14ac:dyDescent="0.25">
      <c r="A360" s="652" t="s">
        <v>112</v>
      </c>
      <c r="B360" s="649"/>
      <c r="C360" s="649"/>
      <c r="D360" s="649"/>
      <c r="E360" s="649"/>
      <c r="F360" s="649"/>
      <c r="G360" s="649"/>
      <c r="H360" s="649"/>
      <c r="I360" s="649"/>
      <c r="J360" s="649"/>
      <c r="K360" s="649"/>
      <c r="L360" s="649"/>
      <c r="M360" s="649"/>
      <c r="N360" s="649"/>
      <c r="O360" s="649"/>
      <c r="P360" s="649"/>
      <c r="Q360" s="649"/>
      <c r="R360" s="649"/>
      <c r="S360" s="649"/>
      <c r="T360" s="649"/>
      <c r="U360" s="649"/>
      <c r="V360" s="649"/>
      <c r="W360" s="649"/>
      <c r="X360" s="649"/>
      <c r="Y360" s="649"/>
      <c r="Z360" s="649"/>
      <c r="AA360" s="630"/>
      <c r="AB360" s="630"/>
      <c r="AC360" s="630"/>
    </row>
    <row r="361" spans="1:68" ht="27" customHeight="1" x14ac:dyDescent="0.25">
      <c r="A361" s="54" t="s">
        <v>589</v>
      </c>
      <c r="B361" s="54" t="s">
        <v>590</v>
      </c>
      <c r="C361" s="31">
        <v>4301012126</v>
      </c>
      <c r="D361" s="642">
        <v>4607091386004</v>
      </c>
      <c r="E361" s="643"/>
      <c r="F361" s="634">
        <v>1.35</v>
      </c>
      <c r="G361" s="32">
        <v>8</v>
      </c>
      <c r="H361" s="634">
        <v>10.8</v>
      </c>
      <c r="I361" s="634">
        <v>11.21</v>
      </c>
      <c r="J361" s="32">
        <v>64</v>
      </c>
      <c r="K361" s="32" t="s">
        <v>115</v>
      </c>
      <c r="L361" s="32"/>
      <c r="M361" s="33" t="s">
        <v>116</v>
      </c>
      <c r="N361" s="33"/>
      <c r="O361" s="32">
        <v>55</v>
      </c>
      <c r="P361" s="82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68</v>
      </c>
      <c r="X361" s="635">
        <v>0</v>
      </c>
      <c r="Y361" s="636">
        <f t="shared" ref="Y361:Y366" si="48"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591</v>
      </c>
      <c r="AG361" s="64"/>
      <c r="AJ361" s="68"/>
      <c r="AK361" s="68">
        <v>0</v>
      </c>
      <c r="BB361" s="438" t="s">
        <v>1</v>
      </c>
      <c r="BM361" s="64">
        <f t="shared" ref="BM361:BM366" si="49">IFERROR(X361*I361/H361,"0")</f>
        <v>0</v>
      </c>
      <c r="BN361" s="64">
        <f t="shared" ref="BN361:BN366" si="50">IFERROR(Y361*I361/H361,"0")</f>
        <v>0</v>
      </c>
      <c r="BO361" s="64">
        <f t="shared" ref="BO361:BO366" si="51">IFERROR(1/J361*(X361/H361),"0")</f>
        <v>0</v>
      </c>
      <c r="BP361" s="64">
        <f t="shared" ref="BP361:BP366" si="52">IFERROR(1/J361*(Y361/H361),"0")</f>
        <v>0</v>
      </c>
    </row>
    <row r="362" spans="1:68" ht="27" customHeight="1" x14ac:dyDescent="0.25">
      <c r="A362" s="54" t="s">
        <v>592</v>
      </c>
      <c r="B362" s="54" t="s">
        <v>593</v>
      </c>
      <c r="C362" s="31">
        <v>4301012235</v>
      </c>
      <c r="D362" s="642">
        <v>4680115887190</v>
      </c>
      <c r="E362" s="643"/>
      <c r="F362" s="634">
        <v>1.35</v>
      </c>
      <c r="G362" s="32">
        <v>8</v>
      </c>
      <c r="H362" s="634">
        <v>10.8</v>
      </c>
      <c r="I362" s="634">
        <v>11.21</v>
      </c>
      <c r="J362" s="32">
        <v>64</v>
      </c>
      <c r="K362" s="32" t="s">
        <v>115</v>
      </c>
      <c r="L362" s="32"/>
      <c r="M362" s="33" t="s">
        <v>116</v>
      </c>
      <c r="N362" s="33"/>
      <c r="O362" s="32">
        <v>55</v>
      </c>
      <c r="P362" s="9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68</v>
      </c>
      <c r="X362" s="635">
        <v>0</v>
      </c>
      <c r="Y362" s="636">
        <f t="shared" si="48"/>
        <v>0</v>
      </c>
      <c r="Z362" s="36" t="str">
        <f>IFERROR(IF(Y362=0,"",ROUNDUP(Y362/H362,0)*0.01898),"")</f>
        <v/>
      </c>
      <c r="AA362" s="56"/>
      <c r="AB362" s="57"/>
      <c r="AC362" s="439" t="s">
        <v>594</v>
      </c>
      <c r="AG362" s="64"/>
      <c r="AJ362" s="68"/>
      <c r="AK362" s="68">
        <v>0</v>
      </c>
      <c r="BB362" s="440" t="s">
        <v>1</v>
      </c>
      <c r="BM362" s="64">
        <f t="shared" si="49"/>
        <v>0</v>
      </c>
      <c r="BN362" s="64">
        <f t="shared" si="50"/>
        <v>0</v>
      </c>
      <c r="BO362" s="64">
        <f t="shared" si="51"/>
        <v>0</v>
      </c>
      <c r="BP362" s="64">
        <f t="shared" si="52"/>
        <v>0</v>
      </c>
    </row>
    <row r="363" spans="1:68" ht="37.5" customHeight="1" x14ac:dyDescent="0.25">
      <c r="A363" s="54" t="s">
        <v>595</v>
      </c>
      <c r="B363" s="54" t="s">
        <v>596</v>
      </c>
      <c r="C363" s="31">
        <v>4301012233</v>
      </c>
      <c r="D363" s="642">
        <v>4680115887138</v>
      </c>
      <c r="E363" s="643"/>
      <c r="F363" s="634">
        <v>1.35</v>
      </c>
      <c r="G363" s="32">
        <v>8</v>
      </c>
      <c r="H363" s="634">
        <v>10.8</v>
      </c>
      <c r="I363" s="634">
        <v>11.21</v>
      </c>
      <c r="J363" s="32">
        <v>64</v>
      </c>
      <c r="K363" s="32" t="s">
        <v>115</v>
      </c>
      <c r="L363" s="32"/>
      <c r="M363" s="33" t="s">
        <v>116</v>
      </c>
      <c r="N363" s="33"/>
      <c r="O363" s="32">
        <v>55</v>
      </c>
      <c r="P363" s="10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68</v>
      </c>
      <c r="X363" s="635">
        <v>0</v>
      </c>
      <c r="Y363" s="636">
        <f t="shared" si="48"/>
        <v>0</v>
      </c>
      <c r="Z363" s="36" t="str">
        <f>IFERROR(IF(Y363=0,"",ROUNDUP(Y363/H363,0)*0.01898),"")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 t="shared" si="49"/>
        <v>0</v>
      </c>
      <c r="BN363" s="64">
        <f t="shared" si="50"/>
        <v>0</v>
      </c>
      <c r="BO363" s="64">
        <f t="shared" si="51"/>
        <v>0</v>
      </c>
      <c r="BP363" s="64">
        <f t="shared" si="52"/>
        <v>0</v>
      </c>
    </row>
    <row r="364" spans="1:68" ht="27" customHeight="1" x14ac:dyDescent="0.25">
      <c r="A364" s="54" t="s">
        <v>598</v>
      </c>
      <c r="B364" s="54" t="s">
        <v>599</v>
      </c>
      <c r="C364" s="31">
        <v>4301012016</v>
      </c>
      <c r="D364" s="642">
        <v>4680115885554</v>
      </c>
      <c r="E364" s="643"/>
      <c r="F364" s="634">
        <v>1.35</v>
      </c>
      <c r="G364" s="32">
        <v>8</v>
      </c>
      <c r="H364" s="634">
        <v>10.8</v>
      </c>
      <c r="I364" s="634">
        <v>11.21</v>
      </c>
      <c r="J364" s="32">
        <v>64</v>
      </c>
      <c r="K364" s="32" t="s">
        <v>115</v>
      </c>
      <c r="L364" s="32"/>
      <c r="M364" s="33" t="s">
        <v>79</v>
      </c>
      <c r="N364" s="33"/>
      <c r="O364" s="32">
        <v>55</v>
      </c>
      <c r="P364" s="9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68</v>
      </c>
      <c r="X364" s="635">
        <v>0</v>
      </c>
      <c r="Y364" s="636">
        <f t="shared" si="48"/>
        <v>0</v>
      </c>
      <c r="Z364" s="36" t="str">
        <f>IFERROR(IF(Y364=0,"",ROUNDUP(Y364/H364,0)*0.01898),"")</f>
        <v/>
      </c>
      <c r="AA364" s="56"/>
      <c r="AB364" s="57"/>
      <c r="AC364" s="443" t="s">
        <v>600</v>
      </c>
      <c r="AG364" s="64"/>
      <c r="AJ364" s="68"/>
      <c r="AK364" s="68">
        <v>0</v>
      </c>
      <c r="BB364" s="444" t="s">
        <v>1</v>
      </c>
      <c r="BM364" s="64">
        <f t="shared" si="49"/>
        <v>0</v>
      </c>
      <c r="BN364" s="64">
        <f t="shared" si="50"/>
        <v>0</v>
      </c>
      <c r="BO364" s="64">
        <f t="shared" si="51"/>
        <v>0</v>
      </c>
      <c r="BP364" s="64">
        <f t="shared" si="52"/>
        <v>0</v>
      </c>
    </row>
    <row r="365" spans="1:68" ht="27" customHeight="1" x14ac:dyDescent="0.25">
      <c r="A365" s="54" t="s">
        <v>601</v>
      </c>
      <c r="B365" s="54" t="s">
        <v>602</v>
      </c>
      <c r="C365" s="31">
        <v>4301012236</v>
      </c>
      <c r="D365" s="642">
        <v>4680115887220</v>
      </c>
      <c r="E365" s="643"/>
      <c r="F365" s="634">
        <v>0.4</v>
      </c>
      <c r="G365" s="32">
        <v>10</v>
      </c>
      <c r="H365" s="634">
        <v>4</v>
      </c>
      <c r="I365" s="634">
        <v>4.1900000000000004</v>
      </c>
      <c r="J365" s="32">
        <v>132</v>
      </c>
      <c r="K365" s="32" t="s">
        <v>124</v>
      </c>
      <c r="L365" s="32"/>
      <c r="M365" s="33" t="s">
        <v>116</v>
      </c>
      <c r="N365" s="33"/>
      <c r="O365" s="32">
        <v>55</v>
      </c>
      <c r="P365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40"/>
      <c r="R365" s="640"/>
      <c r="S365" s="640"/>
      <c r="T365" s="641"/>
      <c r="U365" s="34"/>
      <c r="V365" s="34"/>
      <c r="W365" s="35" t="s">
        <v>68</v>
      </c>
      <c r="X365" s="635">
        <v>0</v>
      </c>
      <c r="Y365" s="636">
        <f t="shared" si="48"/>
        <v>0</v>
      </c>
      <c r="Z365" s="36" t="str">
        <f>IFERROR(IF(Y365=0,"",ROUNDUP(Y365/H365,0)*0.00902),"")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49"/>
        <v>0</v>
      </c>
      <c r="BN365" s="64">
        <f t="shared" si="50"/>
        <v>0</v>
      </c>
      <c r="BO365" s="64">
        <f t="shared" si="51"/>
        <v>0</v>
      </c>
      <c r="BP365" s="64">
        <f t="shared" si="52"/>
        <v>0</v>
      </c>
    </row>
    <row r="366" spans="1:68" ht="27" customHeight="1" x14ac:dyDescent="0.25">
      <c r="A366" s="54" t="s">
        <v>603</v>
      </c>
      <c r="B366" s="54" t="s">
        <v>604</v>
      </c>
      <c r="C366" s="31">
        <v>4301011859</v>
      </c>
      <c r="D366" s="642">
        <v>4680115885608</v>
      </c>
      <c r="E366" s="643"/>
      <c r="F366" s="634">
        <v>0.4</v>
      </c>
      <c r="G366" s="32">
        <v>10</v>
      </c>
      <c r="H366" s="634">
        <v>4</v>
      </c>
      <c r="I366" s="634">
        <v>4.1900000000000004</v>
      </c>
      <c r="J366" s="32">
        <v>132</v>
      </c>
      <c r="K366" s="32" t="s">
        <v>124</v>
      </c>
      <c r="L366" s="32"/>
      <c r="M366" s="33" t="s">
        <v>116</v>
      </c>
      <c r="N366" s="33"/>
      <c r="O366" s="32">
        <v>55</v>
      </c>
      <c r="P366" s="6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40"/>
      <c r="R366" s="640"/>
      <c r="S366" s="640"/>
      <c r="T366" s="641"/>
      <c r="U366" s="34"/>
      <c r="V366" s="34"/>
      <c r="W366" s="35" t="s">
        <v>68</v>
      </c>
      <c r="X366" s="635">
        <v>0</v>
      </c>
      <c r="Y366" s="636">
        <f t="shared" si="48"/>
        <v>0</v>
      </c>
      <c r="Z366" s="36" t="str">
        <f>IFERROR(IF(Y366=0,"",ROUNDUP(Y366/H366,0)*0.00902),"")</f>
        <v/>
      </c>
      <c r="AA366" s="56"/>
      <c r="AB366" s="57"/>
      <c r="AC366" s="447" t="s">
        <v>605</v>
      </c>
      <c r="AG366" s="64"/>
      <c r="AJ366" s="68"/>
      <c r="AK366" s="68">
        <v>0</v>
      </c>
      <c r="BB366" s="448" t="s">
        <v>1</v>
      </c>
      <c r="BM366" s="64">
        <f t="shared" si="49"/>
        <v>0</v>
      </c>
      <c r="BN366" s="64">
        <f t="shared" si="50"/>
        <v>0</v>
      </c>
      <c r="BO366" s="64">
        <f t="shared" si="51"/>
        <v>0</v>
      </c>
      <c r="BP366" s="64">
        <f t="shared" si="52"/>
        <v>0</v>
      </c>
    </row>
    <row r="367" spans="1:68" x14ac:dyDescent="0.2">
      <c r="A367" s="665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66"/>
      <c r="P367" s="653" t="s">
        <v>73</v>
      </c>
      <c r="Q367" s="654"/>
      <c r="R367" s="654"/>
      <c r="S367" s="654"/>
      <c r="T367" s="654"/>
      <c r="U367" s="654"/>
      <c r="V367" s="655"/>
      <c r="W367" s="37" t="s">
        <v>74</v>
      </c>
      <c r="X367" s="637">
        <f>IFERROR(X361/H361,"0")+IFERROR(X362/H362,"0")+IFERROR(X363/H363,"0")+IFERROR(X364/H364,"0")+IFERROR(X365/H365,"0")+IFERROR(X366/H366,"0")</f>
        <v>0</v>
      </c>
      <c r="Y367" s="637">
        <f>IFERROR(Y361/H361,"0")+IFERROR(Y362/H362,"0")+IFERROR(Y363/H363,"0")+IFERROR(Y364/H364,"0")+IFERROR(Y365/H365,"0")+IFERROR(Y366/H366,"0")</f>
        <v>0</v>
      </c>
      <c r="Z367" s="637">
        <f>IFERROR(IF(Z361="",0,Z361),"0")+IFERROR(IF(Z362="",0,Z362),"0")+IFERROR(IF(Z363="",0,Z363),"0")+IFERROR(IF(Z364="",0,Z364),"0")+IFERROR(IF(Z365="",0,Z365),"0")+IFERROR(IF(Z366="",0,Z366),"0")</f>
        <v>0</v>
      </c>
      <c r="AA367" s="638"/>
      <c r="AB367" s="638"/>
      <c r="AC367" s="638"/>
    </row>
    <row r="368" spans="1:68" x14ac:dyDescent="0.2">
      <c r="A368" s="649"/>
      <c r="B368" s="649"/>
      <c r="C368" s="649"/>
      <c r="D368" s="649"/>
      <c r="E368" s="649"/>
      <c r="F368" s="649"/>
      <c r="G368" s="649"/>
      <c r="H368" s="649"/>
      <c r="I368" s="649"/>
      <c r="J368" s="649"/>
      <c r="K368" s="649"/>
      <c r="L368" s="649"/>
      <c r="M368" s="649"/>
      <c r="N368" s="649"/>
      <c r="O368" s="666"/>
      <c r="P368" s="653" t="s">
        <v>73</v>
      </c>
      <c r="Q368" s="654"/>
      <c r="R368" s="654"/>
      <c r="S368" s="654"/>
      <c r="T368" s="654"/>
      <c r="U368" s="654"/>
      <c r="V368" s="655"/>
      <c r="W368" s="37" t="s">
        <v>68</v>
      </c>
      <c r="X368" s="637">
        <f>IFERROR(SUM(X361:X366),"0")</f>
        <v>0</v>
      </c>
      <c r="Y368" s="637">
        <f>IFERROR(SUM(Y361:Y366),"0")</f>
        <v>0</v>
      </c>
      <c r="Z368" s="37"/>
      <c r="AA368" s="638"/>
      <c r="AB368" s="638"/>
      <c r="AC368" s="638"/>
    </row>
    <row r="369" spans="1:68" ht="14.25" customHeight="1" x14ac:dyDescent="0.25">
      <c r="A369" s="652" t="s">
        <v>63</v>
      </c>
      <c r="B369" s="649"/>
      <c r="C369" s="649"/>
      <c r="D369" s="649"/>
      <c r="E369" s="649"/>
      <c r="F369" s="649"/>
      <c r="G369" s="649"/>
      <c r="H369" s="649"/>
      <c r="I369" s="649"/>
      <c r="J369" s="649"/>
      <c r="K369" s="649"/>
      <c r="L369" s="649"/>
      <c r="M369" s="649"/>
      <c r="N369" s="649"/>
      <c r="O369" s="649"/>
      <c r="P369" s="649"/>
      <c r="Q369" s="649"/>
      <c r="R369" s="649"/>
      <c r="S369" s="649"/>
      <c r="T369" s="649"/>
      <c r="U369" s="649"/>
      <c r="V369" s="649"/>
      <c r="W369" s="649"/>
      <c r="X369" s="649"/>
      <c r="Y369" s="649"/>
      <c r="Z369" s="649"/>
      <c r="AA369" s="630"/>
      <c r="AB369" s="630"/>
      <c r="AC369" s="630"/>
    </row>
    <row r="370" spans="1:68" ht="27" customHeight="1" x14ac:dyDescent="0.25">
      <c r="A370" s="54" t="s">
        <v>606</v>
      </c>
      <c r="B370" s="54" t="s">
        <v>607</v>
      </c>
      <c r="C370" s="31">
        <v>4301030878</v>
      </c>
      <c r="D370" s="642">
        <v>4607091387193</v>
      </c>
      <c r="E370" s="643"/>
      <c r="F370" s="634">
        <v>0.7</v>
      </c>
      <c r="G370" s="32">
        <v>6</v>
      </c>
      <c r="H370" s="634">
        <v>4.2</v>
      </c>
      <c r="I370" s="634">
        <v>4.45</v>
      </c>
      <c r="J370" s="32">
        <v>132</v>
      </c>
      <c r="K370" s="32" t="s">
        <v>124</v>
      </c>
      <c r="L370" s="32"/>
      <c r="M370" s="33" t="s">
        <v>67</v>
      </c>
      <c r="N370" s="33"/>
      <c r="O370" s="32">
        <v>35</v>
      </c>
      <c r="P370" s="97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68</v>
      </c>
      <c r="X370" s="635">
        <v>0</v>
      </c>
      <c r="Y370" s="636">
        <f t="shared" ref="Y370:Y376" si="53"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49" t="s">
        <v>608</v>
      </c>
      <c r="AG370" s="64"/>
      <c r="AJ370" s="68"/>
      <c r="AK370" s="68">
        <v>0</v>
      </c>
      <c r="BB370" s="450" t="s">
        <v>1</v>
      </c>
      <c r="BM370" s="64">
        <f t="shared" ref="BM370:BM376" si="54">IFERROR(X370*I370/H370,"0")</f>
        <v>0</v>
      </c>
      <c r="BN370" s="64">
        <f t="shared" ref="BN370:BN376" si="55">IFERROR(Y370*I370/H370,"0")</f>
        <v>0</v>
      </c>
      <c r="BO370" s="64">
        <f t="shared" ref="BO370:BO376" si="56">IFERROR(1/J370*(X370/H370),"0")</f>
        <v>0</v>
      </c>
      <c r="BP370" s="64">
        <f t="shared" ref="BP370:BP376" si="57">IFERROR(1/J370*(Y370/H370),"0")</f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4301031153</v>
      </c>
      <c r="D371" s="642">
        <v>4607091387230</v>
      </c>
      <c r="E371" s="643"/>
      <c r="F371" s="634">
        <v>0.7</v>
      </c>
      <c r="G371" s="32">
        <v>6</v>
      </c>
      <c r="H371" s="634">
        <v>4.2</v>
      </c>
      <c r="I371" s="634">
        <v>4.45</v>
      </c>
      <c r="J371" s="32">
        <v>132</v>
      </c>
      <c r="K371" s="32" t="s">
        <v>124</v>
      </c>
      <c r="L371" s="32"/>
      <c r="M371" s="33" t="s">
        <v>67</v>
      </c>
      <c r="N371" s="33"/>
      <c r="O371" s="32">
        <v>40</v>
      </c>
      <c r="P371" s="7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68</v>
      </c>
      <c r="X371" s="635">
        <v>0</v>
      </c>
      <c r="Y371" s="636">
        <f t="shared" si="53"/>
        <v>0</v>
      </c>
      <c r="Z371" s="36" t="str">
        <f>IFERROR(IF(Y371=0,"",ROUNDUP(Y371/H371,0)*0.00902),"")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4"/>
        <v>0</v>
      </c>
      <c r="BN371" s="64">
        <f t="shared" si="55"/>
        <v>0</v>
      </c>
      <c r="BO371" s="64">
        <f t="shared" si="56"/>
        <v>0</v>
      </c>
      <c r="BP371" s="64">
        <f t="shared" si="57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4301031154</v>
      </c>
      <c r="D372" s="642">
        <v>4607091387292</v>
      </c>
      <c r="E372" s="643"/>
      <c r="F372" s="634">
        <v>0.73</v>
      </c>
      <c r="G372" s="32">
        <v>6</v>
      </c>
      <c r="H372" s="634">
        <v>4.38</v>
      </c>
      <c r="I372" s="634">
        <v>4.63</v>
      </c>
      <c r="J372" s="32">
        <v>132</v>
      </c>
      <c r="K372" s="32" t="s">
        <v>124</v>
      </c>
      <c r="L372" s="32"/>
      <c r="M372" s="33" t="s">
        <v>67</v>
      </c>
      <c r="N372" s="33"/>
      <c r="O372" s="32">
        <v>45</v>
      </c>
      <c r="P372" s="8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40"/>
      <c r="R372" s="640"/>
      <c r="S372" s="640"/>
      <c r="T372" s="641"/>
      <c r="U372" s="34"/>
      <c r="V372" s="34"/>
      <c r="W372" s="35" t="s">
        <v>68</v>
      </c>
      <c r="X372" s="635">
        <v>0</v>
      </c>
      <c r="Y372" s="636">
        <f t="shared" si="53"/>
        <v>0</v>
      </c>
      <c r="Z372" s="36" t="str">
        <f>IFERROR(IF(Y372=0,"",ROUNDUP(Y372/H372,0)*0.00902),"")</f>
        <v/>
      </c>
      <c r="AA372" s="56"/>
      <c r="AB372" s="57"/>
      <c r="AC372" s="453" t="s">
        <v>614</v>
      </c>
      <c r="AG372" s="64"/>
      <c r="AJ372" s="68"/>
      <c r="AK372" s="68">
        <v>0</v>
      </c>
      <c r="BB372" s="454" t="s">
        <v>1</v>
      </c>
      <c r="BM372" s="64">
        <f t="shared" si="54"/>
        <v>0</v>
      </c>
      <c r="BN372" s="64">
        <f t="shared" si="55"/>
        <v>0</v>
      </c>
      <c r="BO372" s="64">
        <f t="shared" si="56"/>
        <v>0</v>
      </c>
      <c r="BP372" s="64">
        <f t="shared" si="57"/>
        <v>0</v>
      </c>
    </row>
    <row r="373" spans="1:68" ht="27" customHeight="1" x14ac:dyDescent="0.25">
      <c r="A373" s="54" t="s">
        <v>615</v>
      </c>
      <c r="B373" s="54" t="s">
        <v>616</v>
      </c>
      <c r="C373" s="31">
        <v>4301031152</v>
      </c>
      <c r="D373" s="642">
        <v>4607091387285</v>
      </c>
      <c r="E373" s="643"/>
      <c r="F373" s="634">
        <v>0.35</v>
      </c>
      <c r="G373" s="32">
        <v>6</v>
      </c>
      <c r="H373" s="634">
        <v>2.1</v>
      </c>
      <c r="I373" s="634">
        <v>2.23</v>
      </c>
      <c r="J373" s="32">
        <v>234</v>
      </c>
      <c r="K373" s="32" t="s">
        <v>66</v>
      </c>
      <c r="L373" s="32"/>
      <c r="M373" s="33" t="s">
        <v>67</v>
      </c>
      <c r="N373" s="33"/>
      <c r="O373" s="32">
        <v>40</v>
      </c>
      <c r="P373" s="10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68</v>
      </c>
      <c r="X373" s="635">
        <v>0</v>
      </c>
      <c r="Y373" s="636">
        <f t="shared" si="53"/>
        <v>0</v>
      </c>
      <c r="Z373" s="36" t="str">
        <f>IFERROR(IF(Y373=0,"",ROUNDUP(Y373/H373,0)*0.00502),"")</f>
        <v/>
      </c>
      <c r="AA373" s="56"/>
      <c r="AB373" s="57"/>
      <c r="AC373" s="455" t="s">
        <v>611</v>
      </c>
      <c r="AG373" s="64"/>
      <c r="AJ373" s="68"/>
      <c r="AK373" s="68">
        <v>0</v>
      </c>
      <c r="BB373" s="456" t="s">
        <v>1</v>
      </c>
      <c r="BM373" s="64">
        <f t="shared" si="54"/>
        <v>0</v>
      </c>
      <c r="BN373" s="64">
        <f t="shared" si="55"/>
        <v>0</v>
      </c>
      <c r="BO373" s="64">
        <f t="shared" si="56"/>
        <v>0</v>
      </c>
      <c r="BP373" s="64">
        <f t="shared" si="57"/>
        <v>0</v>
      </c>
    </row>
    <row r="374" spans="1:68" ht="27" customHeight="1" x14ac:dyDescent="0.25">
      <c r="A374" s="54" t="s">
        <v>617</v>
      </c>
      <c r="B374" s="54" t="s">
        <v>618</v>
      </c>
      <c r="C374" s="31">
        <v>4301031305</v>
      </c>
      <c r="D374" s="642">
        <v>4607091389845</v>
      </c>
      <c r="E374" s="643"/>
      <c r="F374" s="634">
        <v>0.35</v>
      </c>
      <c r="G374" s="32">
        <v>6</v>
      </c>
      <c r="H374" s="634">
        <v>2.1</v>
      </c>
      <c r="I374" s="634">
        <v>2.2000000000000002</v>
      </c>
      <c r="J374" s="32">
        <v>234</v>
      </c>
      <c r="K374" s="32" t="s">
        <v>66</v>
      </c>
      <c r="L374" s="32"/>
      <c r="M374" s="33" t="s">
        <v>67</v>
      </c>
      <c r="N374" s="33"/>
      <c r="O374" s="32">
        <v>40</v>
      </c>
      <c r="P374" s="8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40"/>
      <c r="R374" s="640"/>
      <c r="S374" s="640"/>
      <c r="T374" s="641"/>
      <c r="U374" s="34"/>
      <c r="V374" s="34"/>
      <c r="W374" s="35" t="s">
        <v>68</v>
      </c>
      <c r="X374" s="635">
        <v>0</v>
      </c>
      <c r="Y374" s="636">
        <f t="shared" si="53"/>
        <v>0</v>
      </c>
      <c r="Z374" s="36" t="str">
        <f>IFERROR(IF(Y374=0,"",ROUNDUP(Y374/H374,0)*0.00502),"")</f>
        <v/>
      </c>
      <c r="AA374" s="56"/>
      <c r="AB374" s="57"/>
      <c r="AC374" s="457" t="s">
        <v>619</v>
      </c>
      <c r="AG374" s="64"/>
      <c r="AJ374" s="68"/>
      <c r="AK374" s="68">
        <v>0</v>
      </c>
      <c r="BB374" s="458" t="s">
        <v>1</v>
      </c>
      <c r="BM374" s="64">
        <f t="shared" si="54"/>
        <v>0</v>
      </c>
      <c r="BN374" s="64">
        <f t="shared" si="55"/>
        <v>0</v>
      </c>
      <c r="BO374" s="64">
        <f t="shared" si="56"/>
        <v>0</v>
      </c>
      <c r="BP374" s="64">
        <f t="shared" si="57"/>
        <v>0</v>
      </c>
    </row>
    <row r="375" spans="1:68" ht="27" customHeight="1" x14ac:dyDescent="0.25">
      <c r="A375" s="54" t="s">
        <v>620</v>
      </c>
      <c r="B375" s="54" t="s">
        <v>621</v>
      </c>
      <c r="C375" s="31">
        <v>4301031460</v>
      </c>
      <c r="D375" s="642">
        <v>4680115887442</v>
      </c>
      <c r="E375" s="643"/>
      <c r="F375" s="634">
        <v>0.73</v>
      </c>
      <c r="G375" s="32">
        <v>6</v>
      </c>
      <c r="H375" s="634">
        <v>4.38</v>
      </c>
      <c r="I375" s="634">
        <v>4.63</v>
      </c>
      <c r="J375" s="32">
        <v>132</v>
      </c>
      <c r="K375" s="32" t="s">
        <v>124</v>
      </c>
      <c r="L375" s="32"/>
      <c r="M375" s="33" t="s">
        <v>67</v>
      </c>
      <c r="N375" s="33"/>
      <c r="O375" s="32">
        <v>45</v>
      </c>
      <c r="P375" s="8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40"/>
      <c r="R375" s="640"/>
      <c r="S375" s="640"/>
      <c r="T375" s="641"/>
      <c r="U375" s="34"/>
      <c r="V375" s="34"/>
      <c r="W375" s="35" t="s">
        <v>68</v>
      </c>
      <c r="X375" s="635">
        <v>0</v>
      </c>
      <c r="Y375" s="636">
        <f t="shared" si="53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4"/>
        <v>0</v>
      </c>
      <c r="BN375" s="64">
        <f t="shared" si="55"/>
        <v>0</v>
      </c>
      <c r="BO375" s="64">
        <f t="shared" si="56"/>
        <v>0</v>
      </c>
      <c r="BP375" s="64">
        <f t="shared" si="57"/>
        <v>0</v>
      </c>
    </row>
    <row r="376" spans="1:68" ht="27" customHeight="1" x14ac:dyDescent="0.25">
      <c r="A376" s="54" t="s">
        <v>622</v>
      </c>
      <c r="B376" s="54" t="s">
        <v>623</v>
      </c>
      <c r="C376" s="31">
        <v>4301031066</v>
      </c>
      <c r="D376" s="642">
        <v>4607091383836</v>
      </c>
      <c r="E376" s="643"/>
      <c r="F376" s="634">
        <v>0.3</v>
      </c>
      <c r="G376" s="32">
        <v>6</v>
      </c>
      <c r="H376" s="634">
        <v>1.8</v>
      </c>
      <c r="I376" s="634">
        <v>2.028</v>
      </c>
      <c r="J376" s="32">
        <v>182</v>
      </c>
      <c r="K376" s="32" t="s">
        <v>78</v>
      </c>
      <c r="L376" s="32"/>
      <c r="M376" s="33" t="s">
        <v>67</v>
      </c>
      <c r="N376" s="33"/>
      <c r="O376" s="32">
        <v>40</v>
      </c>
      <c r="P376" s="77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40"/>
      <c r="R376" s="640"/>
      <c r="S376" s="640"/>
      <c r="T376" s="641"/>
      <c r="U376" s="34"/>
      <c r="V376" s="34"/>
      <c r="W376" s="35" t="s">
        <v>68</v>
      </c>
      <c r="X376" s="635">
        <v>0</v>
      </c>
      <c r="Y376" s="636">
        <f t="shared" si="53"/>
        <v>0</v>
      </c>
      <c r="Z376" s="36" t="str">
        <f>IFERROR(IF(Y376=0,"",ROUNDUP(Y376/H376,0)*0.00651),"")</f>
        <v/>
      </c>
      <c r="AA376" s="56"/>
      <c r="AB376" s="57"/>
      <c r="AC376" s="461" t="s">
        <v>624</v>
      </c>
      <c r="AG376" s="64"/>
      <c r="AJ376" s="68"/>
      <c r="AK376" s="68">
        <v>0</v>
      </c>
      <c r="BB376" s="462" t="s">
        <v>1</v>
      </c>
      <c r="BM376" s="64">
        <f t="shared" si="54"/>
        <v>0</v>
      </c>
      <c r="BN376" s="64">
        <f t="shared" si="55"/>
        <v>0</v>
      </c>
      <c r="BO376" s="64">
        <f t="shared" si="56"/>
        <v>0</v>
      </c>
      <c r="BP376" s="64">
        <f t="shared" si="57"/>
        <v>0</v>
      </c>
    </row>
    <row r="377" spans="1:68" x14ac:dyDescent="0.2">
      <c r="A377" s="665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66"/>
      <c r="P377" s="653" t="s">
        <v>73</v>
      </c>
      <c r="Q377" s="654"/>
      <c r="R377" s="654"/>
      <c r="S377" s="654"/>
      <c r="T377" s="654"/>
      <c r="U377" s="654"/>
      <c r="V377" s="655"/>
      <c r="W377" s="37" t="s">
        <v>74</v>
      </c>
      <c r="X377" s="637">
        <f>IFERROR(X370/H370,"0")+IFERROR(X371/H371,"0")+IFERROR(X372/H372,"0")+IFERROR(X373/H373,"0")+IFERROR(X374/H374,"0")+IFERROR(X375/H375,"0")+IFERROR(X376/H376,"0")</f>
        <v>0</v>
      </c>
      <c r="Y377" s="637">
        <f>IFERROR(Y370/H370,"0")+IFERROR(Y371/H371,"0")+IFERROR(Y372/H372,"0")+IFERROR(Y373/H373,"0")+IFERROR(Y374/H374,"0")+IFERROR(Y375/H375,"0")+IFERROR(Y376/H376,"0")</f>
        <v>0</v>
      </c>
      <c r="Z377" s="637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38"/>
      <c r="AB377" s="638"/>
      <c r="AC377" s="638"/>
    </row>
    <row r="378" spans="1:68" x14ac:dyDescent="0.2">
      <c r="A378" s="649"/>
      <c r="B378" s="649"/>
      <c r="C378" s="649"/>
      <c r="D378" s="649"/>
      <c r="E378" s="649"/>
      <c r="F378" s="649"/>
      <c r="G378" s="649"/>
      <c r="H378" s="649"/>
      <c r="I378" s="649"/>
      <c r="J378" s="649"/>
      <c r="K378" s="649"/>
      <c r="L378" s="649"/>
      <c r="M378" s="649"/>
      <c r="N378" s="649"/>
      <c r="O378" s="666"/>
      <c r="P378" s="653" t="s">
        <v>73</v>
      </c>
      <c r="Q378" s="654"/>
      <c r="R378" s="654"/>
      <c r="S378" s="654"/>
      <c r="T378" s="654"/>
      <c r="U378" s="654"/>
      <c r="V378" s="655"/>
      <c r="W378" s="37" t="s">
        <v>68</v>
      </c>
      <c r="X378" s="637">
        <f>IFERROR(SUM(X370:X376),"0")</f>
        <v>0</v>
      </c>
      <c r="Y378" s="637">
        <f>IFERROR(SUM(Y370:Y376),"0")</f>
        <v>0</v>
      </c>
      <c r="Z378" s="37"/>
      <c r="AA378" s="638"/>
      <c r="AB378" s="638"/>
      <c r="AC378" s="638"/>
    </row>
    <row r="379" spans="1:68" ht="14.25" customHeight="1" x14ac:dyDescent="0.25">
      <c r="A379" s="652" t="s">
        <v>75</v>
      </c>
      <c r="B379" s="649"/>
      <c r="C379" s="649"/>
      <c r="D379" s="649"/>
      <c r="E379" s="649"/>
      <c r="F379" s="649"/>
      <c r="G379" s="649"/>
      <c r="H379" s="649"/>
      <c r="I379" s="649"/>
      <c r="J379" s="649"/>
      <c r="K379" s="649"/>
      <c r="L379" s="649"/>
      <c r="M379" s="649"/>
      <c r="N379" s="649"/>
      <c r="O379" s="649"/>
      <c r="P379" s="649"/>
      <c r="Q379" s="649"/>
      <c r="R379" s="649"/>
      <c r="S379" s="649"/>
      <c r="T379" s="649"/>
      <c r="U379" s="649"/>
      <c r="V379" s="649"/>
      <c r="W379" s="649"/>
      <c r="X379" s="649"/>
      <c r="Y379" s="649"/>
      <c r="Z379" s="649"/>
      <c r="AA379" s="630"/>
      <c r="AB379" s="630"/>
      <c r="AC379" s="630"/>
    </row>
    <row r="380" spans="1:68" ht="27" customHeight="1" x14ac:dyDescent="0.25">
      <c r="A380" s="54" t="s">
        <v>625</v>
      </c>
      <c r="B380" s="54" t="s">
        <v>626</v>
      </c>
      <c r="C380" s="31">
        <v>4301051100</v>
      </c>
      <c r="D380" s="642">
        <v>4607091387766</v>
      </c>
      <c r="E380" s="643"/>
      <c r="F380" s="634">
        <v>1.3</v>
      </c>
      <c r="G380" s="32">
        <v>6</v>
      </c>
      <c r="H380" s="634">
        <v>7.8</v>
      </c>
      <c r="I380" s="634">
        <v>8.2880000000000003</v>
      </c>
      <c r="J380" s="32">
        <v>64</v>
      </c>
      <c r="K380" s="32" t="s">
        <v>115</v>
      </c>
      <c r="L380" s="32"/>
      <c r="M380" s="33" t="s">
        <v>79</v>
      </c>
      <c r="N380" s="33"/>
      <c r="O380" s="32">
        <v>40</v>
      </c>
      <c r="P380" s="8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40"/>
      <c r="R380" s="640"/>
      <c r="S380" s="640"/>
      <c r="T380" s="641"/>
      <c r="U380" s="34"/>
      <c r="V380" s="34"/>
      <c r="W380" s="35" t="s">
        <v>68</v>
      </c>
      <c r="X380" s="635">
        <v>0</v>
      </c>
      <c r="Y380" s="63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627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4301051818</v>
      </c>
      <c r="D381" s="642">
        <v>4607091387957</v>
      </c>
      <c r="E381" s="643"/>
      <c r="F381" s="634">
        <v>1.3</v>
      </c>
      <c r="G381" s="32">
        <v>6</v>
      </c>
      <c r="H381" s="634">
        <v>7.8</v>
      </c>
      <c r="I381" s="634">
        <v>8.2940000000000005</v>
      </c>
      <c r="J381" s="32">
        <v>64</v>
      </c>
      <c r="K381" s="32" t="s">
        <v>115</v>
      </c>
      <c r="L381" s="32"/>
      <c r="M381" s="33" t="s">
        <v>79</v>
      </c>
      <c r="N381" s="33"/>
      <c r="O381" s="32">
        <v>40</v>
      </c>
      <c r="P381" s="69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68</v>
      </c>
      <c r="X381" s="635">
        <v>0</v>
      </c>
      <c r="Y381" s="63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630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631</v>
      </c>
      <c r="B382" s="54" t="s">
        <v>632</v>
      </c>
      <c r="C382" s="31">
        <v>4301051819</v>
      </c>
      <c r="D382" s="642">
        <v>4607091387964</v>
      </c>
      <c r="E382" s="643"/>
      <c r="F382" s="634">
        <v>1.35</v>
      </c>
      <c r="G382" s="32">
        <v>6</v>
      </c>
      <c r="H382" s="634">
        <v>8.1</v>
      </c>
      <c r="I382" s="634">
        <v>8.5760000000000005</v>
      </c>
      <c r="J382" s="32">
        <v>64</v>
      </c>
      <c r="K382" s="32" t="s">
        <v>115</v>
      </c>
      <c r="L382" s="32"/>
      <c r="M382" s="33" t="s">
        <v>79</v>
      </c>
      <c r="N382" s="33"/>
      <c r="O382" s="32">
        <v>40</v>
      </c>
      <c r="P382" s="7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40"/>
      <c r="R382" s="640"/>
      <c r="S382" s="640"/>
      <c r="T382" s="641"/>
      <c r="U382" s="34"/>
      <c r="V382" s="34"/>
      <c r="W382" s="35" t="s">
        <v>68</v>
      </c>
      <c r="X382" s="635">
        <v>0</v>
      </c>
      <c r="Y382" s="636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633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634</v>
      </c>
      <c r="B383" s="54" t="s">
        <v>635</v>
      </c>
      <c r="C383" s="31">
        <v>4301051734</v>
      </c>
      <c r="D383" s="642">
        <v>4680115884588</v>
      </c>
      <c r="E383" s="643"/>
      <c r="F383" s="634">
        <v>0.5</v>
      </c>
      <c r="G383" s="32">
        <v>6</v>
      </c>
      <c r="H383" s="634">
        <v>3</v>
      </c>
      <c r="I383" s="634">
        <v>3.246</v>
      </c>
      <c r="J383" s="32">
        <v>182</v>
      </c>
      <c r="K383" s="32" t="s">
        <v>78</v>
      </c>
      <c r="L383" s="32"/>
      <c r="M383" s="33" t="s">
        <v>79</v>
      </c>
      <c r="N383" s="33"/>
      <c r="O383" s="32">
        <v>40</v>
      </c>
      <c r="P383" s="9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40"/>
      <c r="R383" s="640"/>
      <c r="S383" s="640"/>
      <c r="T383" s="641"/>
      <c r="U383" s="34"/>
      <c r="V383" s="34"/>
      <c r="W383" s="35" t="s">
        <v>68</v>
      </c>
      <c r="X383" s="635">
        <v>0</v>
      </c>
      <c r="Y383" s="63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65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66"/>
      <c r="P384" s="653" t="s">
        <v>73</v>
      </c>
      <c r="Q384" s="654"/>
      <c r="R384" s="654"/>
      <c r="S384" s="654"/>
      <c r="T384" s="654"/>
      <c r="U384" s="654"/>
      <c r="V384" s="655"/>
      <c r="W384" s="37" t="s">
        <v>74</v>
      </c>
      <c r="X384" s="637">
        <f>IFERROR(X380/H380,"0")+IFERROR(X381/H381,"0")+IFERROR(X382/H382,"0")+IFERROR(X383/H383,"0")</f>
        <v>0</v>
      </c>
      <c r="Y384" s="637">
        <f>IFERROR(Y380/H380,"0")+IFERROR(Y381/H381,"0")+IFERROR(Y382/H382,"0")+IFERROR(Y383/H383,"0")</f>
        <v>0</v>
      </c>
      <c r="Z384" s="637">
        <f>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x14ac:dyDescent="0.2">
      <c r="A385" s="649"/>
      <c r="B385" s="649"/>
      <c r="C385" s="649"/>
      <c r="D385" s="649"/>
      <c r="E385" s="649"/>
      <c r="F385" s="649"/>
      <c r="G385" s="649"/>
      <c r="H385" s="649"/>
      <c r="I385" s="649"/>
      <c r="J385" s="649"/>
      <c r="K385" s="649"/>
      <c r="L385" s="649"/>
      <c r="M385" s="649"/>
      <c r="N385" s="649"/>
      <c r="O385" s="666"/>
      <c r="P385" s="653" t="s">
        <v>73</v>
      </c>
      <c r="Q385" s="654"/>
      <c r="R385" s="654"/>
      <c r="S385" s="654"/>
      <c r="T385" s="654"/>
      <c r="U385" s="654"/>
      <c r="V385" s="655"/>
      <c r="W385" s="37" t="s">
        <v>68</v>
      </c>
      <c r="X385" s="637">
        <f>IFERROR(SUM(X380:X383),"0")</f>
        <v>0</v>
      </c>
      <c r="Y385" s="637">
        <f>IFERROR(SUM(Y380:Y383),"0")</f>
        <v>0</v>
      </c>
      <c r="Z385" s="37"/>
      <c r="AA385" s="638"/>
      <c r="AB385" s="638"/>
      <c r="AC385" s="638"/>
    </row>
    <row r="386" spans="1:68" ht="14.25" customHeight="1" x14ac:dyDescent="0.25">
      <c r="A386" s="652" t="s">
        <v>165</v>
      </c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49"/>
      <c r="P386" s="649"/>
      <c r="Q386" s="649"/>
      <c r="R386" s="649"/>
      <c r="S386" s="649"/>
      <c r="T386" s="649"/>
      <c r="U386" s="649"/>
      <c r="V386" s="649"/>
      <c r="W386" s="649"/>
      <c r="X386" s="649"/>
      <c r="Y386" s="649"/>
      <c r="Z386" s="649"/>
      <c r="AA386" s="630"/>
      <c r="AB386" s="630"/>
      <c r="AC386" s="630"/>
    </row>
    <row r="387" spans="1:68" ht="27" customHeight="1" x14ac:dyDescent="0.25">
      <c r="A387" s="54" t="s">
        <v>636</v>
      </c>
      <c r="B387" s="54" t="s">
        <v>637</v>
      </c>
      <c r="C387" s="31">
        <v>4301060387</v>
      </c>
      <c r="D387" s="642">
        <v>4607091380880</v>
      </c>
      <c r="E387" s="643"/>
      <c r="F387" s="634">
        <v>1.4</v>
      </c>
      <c r="G387" s="32">
        <v>6</v>
      </c>
      <c r="H387" s="634">
        <v>8.4</v>
      </c>
      <c r="I387" s="634">
        <v>8.8940000000000001</v>
      </c>
      <c r="J387" s="32">
        <v>64</v>
      </c>
      <c r="K387" s="32" t="s">
        <v>115</v>
      </c>
      <c r="L387" s="32"/>
      <c r="M387" s="33" t="s">
        <v>79</v>
      </c>
      <c r="N387" s="33"/>
      <c r="O387" s="32">
        <v>30</v>
      </c>
      <c r="P387" s="8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40"/>
      <c r="R387" s="640"/>
      <c r="S387" s="640"/>
      <c r="T387" s="641"/>
      <c r="U387" s="34"/>
      <c r="V387" s="34"/>
      <c r="W387" s="35" t="s">
        <v>68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638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639</v>
      </c>
      <c r="B388" s="54" t="s">
        <v>640</v>
      </c>
      <c r="C388" s="31">
        <v>4301060406</v>
      </c>
      <c r="D388" s="642">
        <v>4607091384482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115</v>
      </c>
      <c r="L388" s="32"/>
      <c r="M388" s="33" t="s">
        <v>79</v>
      </c>
      <c r="N388" s="33"/>
      <c r="O388" s="32">
        <v>30</v>
      </c>
      <c r="P388" s="8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40"/>
      <c r="R388" s="640"/>
      <c r="S388" s="640"/>
      <c r="T388" s="641"/>
      <c r="U388" s="34"/>
      <c r="V388" s="34"/>
      <c r="W388" s="35" t="s">
        <v>68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641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642</v>
      </c>
      <c r="B389" s="54" t="s">
        <v>643</v>
      </c>
      <c r="C389" s="31">
        <v>4301060484</v>
      </c>
      <c r="D389" s="642">
        <v>4607091380897</v>
      </c>
      <c r="E389" s="643"/>
      <c r="F389" s="634">
        <v>1.4</v>
      </c>
      <c r="G389" s="32">
        <v>6</v>
      </c>
      <c r="H389" s="634">
        <v>8.4</v>
      </c>
      <c r="I389" s="634">
        <v>8.8940000000000001</v>
      </c>
      <c r="J389" s="32">
        <v>64</v>
      </c>
      <c r="K389" s="32" t="s">
        <v>115</v>
      </c>
      <c r="L389" s="32"/>
      <c r="M389" s="33" t="s">
        <v>85</v>
      </c>
      <c r="N389" s="33"/>
      <c r="O389" s="32">
        <v>30</v>
      </c>
      <c r="P389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40"/>
      <c r="R389" s="640"/>
      <c r="S389" s="640"/>
      <c r="T389" s="641"/>
      <c r="U389" s="34"/>
      <c r="V389" s="34"/>
      <c r="W389" s="35" t="s">
        <v>68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644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65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66"/>
      <c r="P390" s="653" t="s">
        <v>73</v>
      </c>
      <c r="Q390" s="654"/>
      <c r="R390" s="654"/>
      <c r="S390" s="654"/>
      <c r="T390" s="654"/>
      <c r="U390" s="654"/>
      <c r="V390" s="655"/>
      <c r="W390" s="37" t="s">
        <v>74</v>
      </c>
      <c r="X390" s="637">
        <f>IFERROR(X387/H387,"0")+IFERROR(X388/H388,"0")+IFERROR(X389/H389,"0")</f>
        <v>0</v>
      </c>
      <c r="Y390" s="637">
        <f>IFERROR(Y387/H387,"0")+IFERROR(Y388/H388,"0")+IFERROR(Y389/H389,"0")</f>
        <v>0</v>
      </c>
      <c r="Z390" s="637">
        <f>IFERROR(IF(Z387="",0,Z387),"0")+IFERROR(IF(Z388="",0,Z388),"0")+IFERROR(IF(Z389="",0,Z389),"0")</f>
        <v>0</v>
      </c>
      <c r="AA390" s="638"/>
      <c r="AB390" s="638"/>
      <c r="AC390" s="638"/>
    </row>
    <row r="391" spans="1:68" x14ac:dyDescent="0.2">
      <c r="A391" s="649"/>
      <c r="B391" s="649"/>
      <c r="C391" s="649"/>
      <c r="D391" s="649"/>
      <c r="E391" s="649"/>
      <c r="F391" s="649"/>
      <c r="G391" s="649"/>
      <c r="H391" s="649"/>
      <c r="I391" s="649"/>
      <c r="J391" s="649"/>
      <c r="K391" s="649"/>
      <c r="L391" s="649"/>
      <c r="M391" s="649"/>
      <c r="N391" s="649"/>
      <c r="O391" s="666"/>
      <c r="P391" s="653" t="s">
        <v>73</v>
      </c>
      <c r="Q391" s="654"/>
      <c r="R391" s="654"/>
      <c r="S391" s="654"/>
      <c r="T391" s="654"/>
      <c r="U391" s="654"/>
      <c r="V391" s="655"/>
      <c r="W391" s="37" t="s">
        <v>68</v>
      </c>
      <c r="X391" s="637">
        <f>IFERROR(SUM(X387:X389),"0")</f>
        <v>0</v>
      </c>
      <c r="Y391" s="637">
        <f>IFERROR(SUM(Y387:Y389),"0")</f>
        <v>0</v>
      </c>
      <c r="Z391" s="37"/>
      <c r="AA391" s="638"/>
      <c r="AB391" s="638"/>
      <c r="AC391" s="638"/>
    </row>
    <row r="392" spans="1:68" ht="14.25" customHeight="1" x14ac:dyDescent="0.25">
      <c r="A392" s="652" t="s">
        <v>273</v>
      </c>
      <c r="B392" s="649"/>
      <c r="C392" s="649"/>
      <c r="D392" s="649"/>
      <c r="E392" s="649"/>
      <c r="F392" s="649"/>
      <c r="G392" s="649"/>
      <c r="H392" s="649"/>
      <c r="I392" s="649"/>
      <c r="J392" s="649"/>
      <c r="K392" s="649"/>
      <c r="L392" s="649"/>
      <c r="M392" s="649"/>
      <c r="N392" s="649"/>
      <c r="O392" s="649"/>
      <c r="P392" s="649"/>
      <c r="Q392" s="649"/>
      <c r="R392" s="649"/>
      <c r="S392" s="649"/>
      <c r="T392" s="649"/>
      <c r="U392" s="649"/>
      <c r="V392" s="649"/>
      <c r="W392" s="649"/>
      <c r="X392" s="649"/>
      <c r="Y392" s="649"/>
      <c r="Z392" s="649"/>
      <c r="AA392" s="630"/>
      <c r="AB392" s="630"/>
      <c r="AC392" s="630"/>
    </row>
    <row r="393" spans="1:68" ht="27" customHeight="1" x14ac:dyDescent="0.25">
      <c r="A393" s="54" t="s">
        <v>645</v>
      </c>
      <c r="B393" s="54" t="s">
        <v>646</v>
      </c>
      <c r="C393" s="31">
        <v>4301030235</v>
      </c>
      <c r="D393" s="642">
        <v>4607091388381</v>
      </c>
      <c r="E393" s="643"/>
      <c r="F393" s="634">
        <v>0.38</v>
      </c>
      <c r="G393" s="32">
        <v>8</v>
      </c>
      <c r="H393" s="634">
        <v>3.04</v>
      </c>
      <c r="I393" s="634">
        <v>3.31</v>
      </c>
      <c r="J393" s="32">
        <v>132</v>
      </c>
      <c r="K393" s="32" t="s">
        <v>124</v>
      </c>
      <c r="L393" s="32"/>
      <c r="M393" s="33" t="s">
        <v>240</v>
      </c>
      <c r="N393" s="33"/>
      <c r="O393" s="32">
        <v>180</v>
      </c>
      <c r="P393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40"/>
      <c r="R393" s="640"/>
      <c r="S393" s="640"/>
      <c r="T393" s="641"/>
      <c r="U393" s="34"/>
      <c r="V393" s="34"/>
      <c r="W393" s="35" t="s">
        <v>68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647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648</v>
      </c>
      <c r="B394" s="54" t="s">
        <v>649</v>
      </c>
      <c r="C394" s="31">
        <v>4301030232</v>
      </c>
      <c r="D394" s="642">
        <v>4607091388374</v>
      </c>
      <c r="E394" s="643"/>
      <c r="F394" s="634">
        <v>0.38</v>
      </c>
      <c r="G394" s="32">
        <v>8</v>
      </c>
      <c r="H394" s="634">
        <v>3.04</v>
      </c>
      <c r="I394" s="634">
        <v>3.27</v>
      </c>
      <c r="J394" s="32">
        <v>132</v>
      </c>
      <c r="K394" s="32" t="s">
        <v>124</v>
      </c>
      <c r="L394" s="32"/>
      <c r="M394" s="33" t="s">
        <v>240</v>
      </c>
      <c r="N394" s="33"/>
      <c r="O394" s="32">
        <v>180</v>
      </c>
      <c r="P394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40"/>
      <c r="R394" s="640"/>
      <c r="S394" s="640"/>
      <c r="T394" s="641"/>
      <c r="U394" s="34"/>
      <c r="V394" s="34"/>
      <c r="W394" s="35" t="s">
        <v>68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9" t="s">
        <v>647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650</v>
      </c>
      <c r="B395" s="54" t="s">
        <v>651</v>
      </c>
      <c r="C395" s="31">
        <v>4301032015</v>
      </c>
      <c r="D395" s="642">
        <v>4607091383102</v>
      </c>
      <c r="E395" s="643"/>
      <c r="F395" s="634">
        <v>0.17</v>
      </c>
      <c r="G395" s="32">
        <v>15</v>
      </c>
      <c r="H395" s="634">
        <v>2.5499999999999998</v>
      </c>
      <c r="I395" s="634">
        <v>2.9550000000000001</v>
      </c>
      <c r="J395" s="32">
        <v>182</v>
      </c>
      <c r="K395" s="32" t="s">
        <v>78</v>
      </c>
      <c r="L395" s="32"/>
      <c r="M395" s="33" t="s">
        <v>240</v>
      </c>
      <c r="N395" s="33"/>
      <c r="O395" s="32">
        <v>180</v>
      </c>
      <c r="P395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40"/>
      <c r="R395" s="640"/>
      <c r="S395" s="640"/>
      <c r="T395" s="641"/>
      <c r="U395" s="34"/>
      <c r="V395" s="34"/>
      <c r="W395" s="35" t="s">
        <v>68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647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4301030233</v>
      </c>
      <c r="D396" s="642">
        <v>4607091388404</v>
      </c>
      <c r="E396" s="643"/>
      <c r="F396" s="634">
        <v>0.17</v>
      </c>
      <c r="G396" s="32">
        <v>15</v>
      </c>
      <c r="H396" s="634">
        <v>2.5499999999999998</v>
      </c>
      <c r="I396" s="634">
        <v>2.88</v>
      </c>
      <c r="J396" s="32">
        <v>182</v>
      </c>
      <c r="K396" s="32" t="s">
        <v>78</v>
      </c>
      <c r="L396" s="32"/>
      <c r="M396" s="33" t="s">
        <v>240</v>
      </c>
      <c r="N396" s="33"/>
      <c r="O396" s="32">
        <v>180</v>
      </c>
      <c r="P396" s="90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40"/>
      <c r="R396" s="640"/>
      <c r="S396" s="640"/>
      <c r="T396" s="641"/>
      <c r="U396" s="34"/>
      <c r="V396" s="34"/>
      <c r="W396" s="35" t="s">
        <v>68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83" t="s">
        <v>647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65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66"/>
      <c r="P397" s="653" t="s">
        <v>73</v>
      </c>
      <c r="Q397" s="654"/>
      <c r="R397" s="654"/>
      <c r="S397" s="654"/>
      <c r="T397" s="654"/>
      <c r="U397" s="654"/>
      <c r="V397" s="655"/>
      <c r="W397" s="37" t="s">
        <v>74</v>
      </c>
      <c r="X397" s="637">
        <f>IFERROR(X393/H393,"0")+IFERROR(X394/H394,"0")+IFERROR(X395/H395,"0")+IFERROR(X396/H396,"0")</f>
        <v>0</v>
      </c>
      <c r="Y397" s="637">
        <f>IFERROR(Y393/H393,"0")+IFERROR(Y394/H394,"0")+IFERROR(Y395/H395,"0")+IFERROR(Y396/H396,"0")</f>
        <v>0</v>
      </c>
      <c r="Z397" s="637">
        <f>IFERROR(IF(Z393="",0,Z393),"0")+IFERROR(IF(Z394="",0,Z394),"0")+IFERROR(IF(Z395="",0,Z395),"0")+IFERROR(IF(Z396="",0,Z396),"0")</f>
        <v>0</v>
      </c>
      <c r="AA397" s="638"/>
      <c r="AB397" s="638"/>
      <c r="AC397" s="638"/>
    </row>
    <row r="398" spans="1:68" x14ac:dyDescent="0.2">
      <c r="A398" s="649"/>
      <c r="B398" s="649"/>
      <c r="C398" s="649"/>
      <c r="D398" s="649"/>
      <c r="E398" s="649"/>
      <c r="F398" s="649"/>
      <c r="G398" s="649"/>
      <c r="H398" s="649"/>
      <c r="I398" s="649"/>
      <c r="J398" s="649"/>
      <c r="K398" s="649"/>
      <c r="L398" s="649"/>
      <c r="M398" s="649"/>
      <c r="N398" s="649"/>
      <c r="O398" s="666"/>
      <c r="P398" s="653" t="s">
        <v>73</v>
      </c>
      <c r="Q398" s="654"/>
      <c r="R398" s="654"/>
      <c r="S398" s="654"/>
      <c r="T398" s="654"/>
      <c r="U398" s="654"/>
      <c r="V398" s="655"/>
      <c r="W398" s="37" t="s">
        <v>68</v>
      </c>
      <c r="X398" s="637">
        <f>IFERROR(SUM(X393:X396),"0")</f>
        <v>0</v>
      </c>
      <c r="Y398" s="637">
        <f>IFERROR(SUM(Y393:Y396),"0")</f>
        <v>0</v>
      </c>
      <c r="Z398" s="37"/>
      <c r="AA398" s="638"/>
      <c r="AB398" s="638"/>
      <c r="AC398" s="638"/>
    </row>
    <row r="399" spans="1:68" ht="14.25" customHeight="1" x14ac:dyDescent="0.25">
      <c r="A399" s="652" t="s">
        <v>654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630"/>
      <c r="AB399" s="630"/>
      <c r="AC399" s="630"/>
    </row>
    <row r="400" spans="1:68" ht="16.5" customHeight="1" x14ac:dyDescent="0.25">
      <c r="A400" s="54" t="s">
        <v>655</v>
      </c>
      <c r="B400" s="54" t="s">
        <v>656</v>
      </c>
      <c r="C400" s="31">
        <v>4301180007</v>
      </c>
      <c r="D400" s="642">
        <v>4680115881808</v>
      </c>
      <c r="E400" s="643"/>
      <c r="F400" s="634">
        <v>0.1</v>
      </c>
      <c r="G400" s="32">
        <v>20</v>
      </c>
      <c r="H400" s="634">
        <v>2</v>
      </c>
      <c r="I400" s="634">
        <v>2.2400000000000002</v>
      </c>
      <c r="J400" s="32">
        <v>238</v>
      </c>
      <c r="K400" s="32" t="s">
        <v>78</v>
      </c>
      <c r="L400" s="32"/>
      <c r="M400" s="33" t="s">
        <v>657</v>
      </c>
      <c r="N400" s="33"/>
      <c r="O400" s="32">
        <v>731</v>
      </c>
      <c r="P400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68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658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659</v>
      </c>
      <c r="B401" s="54" t="s">
        <v>660</v>
      </c>
      <c r="C401" s="31">
        <v>4301180006</v>
      </c>
      <c r="D401" s="642">
        <v>4680115881822</v>
      </c>
      <c r="E401" s="643"/>
      <c r="F401" s="634">
        <v>0.1</v>
      </c>
      <c r="G401" s="32">
        <v>20</v>
      </c>
      <c r="H401" s="634">
        <v>2</v>
      </c>
      <c r="I401" s="634">
        <v>2.2400000000000002</v>
      </c>
      <c r="J401" s="32">
        <v>238</v>
      </c>
      <c r="K401" s="32" t="s">
        <v>78</v>
      </c>
      <c r="L401" s="32"/>
      <c r="M401" s="33" t="s">
        <v>657</v>
      </c>
      <c r="N401" s="33"/>
      <c r="O401" s="32">
        <v>731</v>
      </c>
      <c r="P401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40"/>
      <c r="R401" s="640"/>
      <c r="S401" s="640"/>
      <c r="T401" s="641"/>
      <c r="U401" s="34"/>
      <c r="V401" s="34"/>
      <c r="W401" s="35" t="s">
        <v>68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658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4301180001</v>
      </c>
      <c r="D402" s="642">
        <v>4680115880016</v>
      </c>
      <c r="E402" s="643"/>
      <c r="F402" s="634">
        <v>0.1</v>
      </c>
      <c r="G402" s="32">
        <v>20</v>
      </c>
      <c r="H402" s="634">
        <v>2</v>
      </c>
      <c r="I402" s="634">
        <v>2.2400000000000002</v>
      </c>
      <c r="J402" s="32">
        <v>238</v>
      </c>
      <c r="K402" s="32" t="s">
        <v>78</v>
      </c>
      <c r="L402" s="32"/>
      <c r="M402" s="33" t="s">
        <v>657</v>
      </c>
      <c r="N402" s="33"/>
      <c r="O402" s="32">
        <v>731</v>
      </c>
      <c r="P402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40"/>
      <c r="R402" s="640"/>
      <c r="S402" s="640"/>
      <c r="T402" s="641"/>
      <c r="U402" s="34"/>
      <c r="V402" s="34"/>
      <c r="W402" s="35" t="s">
        <v>68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658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65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66"/>
      <c r="P403" s="653" t="s">
        <v>73</v>
      </c>
      <c r="Q403" s="654"/>
      <c r="R403" s="654"/>
      <c r="S403" s="654"/>
      <c r="T403" s="654"/>
      <c r="U403" s="654"/>
      <c r="V403" s="655"/>
      <c r="W403" s="37" t="s">
        <v>74</v>
      </c>
      <c r="X403" s="637">
        <f>IFERROR(X400/H400,"0")+IFERROR(X401/H401,"0")+IFERROR(X402/H402,"0")</f>
        <v>0</v>
      </c>
      <c r="Y403" s="637">
        <f>IFERROR(Y400/H400,"0")+IFERROR(Y401/H401,"0")+IFERROR(Y402/H402,"0")</f>
        <v>0</v>
      </c>
      <c r="Z403" s="637">
        <f>IFERROR(IF(Z400="",0,Z400),"0")+IFERROR(IF(Z401="",0,Z401),"0")+IFERROR(IF(Z402="",0,Z402),"0")</f>
        <v>0</v>
      </c>
      <c r="AA403" s="638"/>
      <c r="AB403" s="638"/>
      <c r="AC403" s="638"/>
    </row>
    <row r="404" spans="1:68" x14ac:dyDescent="0.2">
      <c r="A404" s="649"/>
      <c r="B404" s="649"/>
      <c r="C404" s="649"/>
      <c r="D404" s="649"/>
      <c r="E404" s="649"/>
      <c r="F404" s="649"/>
      <c r="G404" s="649"/>
      <c r="H404" s="649"/>
      <c r="I404" s="649"/>
      <c r="J404" s="649"/>
      <c r="K404" s="649"/>
      <c r="L404" s="649"/>
      <c r="M404" s="649"/>
      <c r="N404" s="649"/>
      <c r="O404" s="666"/>
      <c r="P404" s="653" t="s">
        <v>73</v>
      </c>
      <c r="Q404" s="654"/>
      <c r="R404" s="654"/>
      <c r="S404" s="654"/>
      <c r="T404" s="654"/>
      <c r="U404" s="654"/>
      <c r="V404" s="655"/>
      <c r="W404" s="37" t="s">
        <v>68</v>
      </c>
      <c r="X404" s="637">
        <f>IFERROR(SUM(X400:X402),"0")</f>
        <v>0</v>
      </c>
      <c r="Y404" s="637">
        <f>IFERROR(SUM(Y400:Y402),"0")</f>
        <v>0</v>
      </c>
      <c r="Z404" s="37"/>
      <c r="AA404" s="638"/>
      <c r="AB404" s="638"/>
      <c r="AC404" s="638"/>
    </row>
    <row r="405" spans="1:68" ht="14.25" customHeight="1" x14ac:dyDescent="0.25">
      <c r="A405" s="652" t="s">
        <v>663</v>
      </c>
      <c r="B405" s="649"/>
      <c r="C405" s="649"/>
      <c r="D405" s="649"/>
      <c r="E405" s="649"/>
      <c r="F405" s="649"/>
      <c r="G405" s="649"/>
      <c r="H405" s="649"/>
      <c r="I405" s="649"/>
      <c r="J405" s="649"/>
      <c r="K405" s="649"/>
      <c r="L405" s="649"/>
      <c r="M405" s="649"/>
      <c r="N405" s="649"/>
      <c r="O405" s="649"/>
      <c r="P405" s="649"/>
      <c r="Q405" s="649"/>
      <c r="R405" s="649"/>
      <c r="S405" s="649"/>
      <c r="T405" s="649"/>
      <c r="U405" s="649"/>
      <c r="V405" s="649"/>
      <c r="W405" s="649"/>
      <c r="X405" s="649"/>
      <c r="Y405" s="649"/>
      <c r="Z405" s="649"/>
      <c r="AA405" s="630"/>
      <c r="AB405" s="630"/>
      <c r="AC405" s="630"/>
    </row>
    <row r="406" spans="1:68" ht="27" customHeight="1" x14ac:dyDescent="0.25">
      <c r="A406" s="54" t="s">
        <v>664</v>
      </c>
      <c r="B406" s="54" t="s">
        <v>665</v>
      </c>
      <c r="C406" s="31">
        <v>4301220003</v>
      </c>
      <c r="D406" s="642">
        <v>4680115888678</v>
      </c>
      <c r="E406" s="643"/>
      <c r="F406" s="634">
        <v>0.25</v>
      </c>
      <c r="G406" s="32">
        <v>12</v>
      </c>
      <c r="H406" s="634">
        <v>3</v>
      </c>
      <c r="I406" s="634">
        <v>3.22</v>
      </c>
      <c r="J406" s="32">
        <v>224</v>
      </c>
      <c r="K406" s="32" t="s">
        <v>78</v>
      </c>
      <c r="L406" s="32"/>
      <c r="M406" s="33" t="s">
        <v>657</v>
      </c>
      <c r="N406" s="33"/>
      <c r="O406" s="32">
        <v>1096</v>
      </c>
      <c r="P406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40"/>
      <c r="R406" s="640"/>
      <c r="S406" s="640"/>
      <c r="T406" s="641"/>
      <c r="U406" s="34"/>
      <c r="V406" s="34"/>
      <c r="W406" s="35" t="s">
        <v>68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IFERROR(IF(Y406=0,"",ROUNDUP(Y406/H406,0)*0.0045),"")</f>
        <v/>
      </c>
      <c r="AA406" s="56"/>
      <c r="AB406" s="57"/>
      <c r="AC406" s="491" t="s">
        <v>666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667</v>
      </c>
      <c r="B407" s="54" t="s">
        <v>668</v>
      </c>
      <c r="C407" s="31">
        <v>4301220001</v>
      </c>
      <c r="D407" s="642">
        <v>4680115888654</v>
      </c>
      <c r="E407" s="643"/>
      <c r="F407" s="634">
        <v>0.32500000000000001</v>
      </c>
      <c r="G407" s="32">
        <v>12</v>
      </c>
      <c r="H407" s="634">
        <v>3.9</v>
      </c>
      <c r="I407" s="634">
        <v>4.17</v>
      </c>
      <c r="J407" s="32">
        <v>144</v>
      </c>
      <c r="K407" s="32" t="s">
        <v>124</v>
      </c>
      <c r="L407" s="32"/>
      <c r="M407" s="33" t="s">
        <v>657</v>
      </c>
      <c r="N407" s="33"/>
      <c r="O407" s="32">
        <v>1096</v>
      </c>
      <c r="P407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40"/>
      <c r="R407" s="640"/>
      <c r="S407" s="640"/>
      <c r="T407" s="641"/>
      <c r="U407" s="34"/>
      <c r="V407" s="34"/>
      <c r="W407" s="35" t="s">
        <v>68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IFERROR(IF(Y407=0,"",ROUNDUP(Y407/H407,0)*0.006),"")</f>
        <v/>
      </c>
      <c r="AA407" s="56"/>
      <c r="AB407" s="57"/>
      <c r="AC407" s="493" t="s">
        <v>669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670</v>
      </c>
      <c r="B408" s="54" t="s">
        <v>671</v>
      </c>
      <c r="C408" s="31">
        <v>4301220002</v>
      </c>
      <c r="D408" s="642">
        <v>4680115888753</v>
      </c>
      <c r="E408" s="643"/>
      <c r="F408" s="634">
        <v>0.25</v>
      </c>
      <c r="G408" s="32">
        <v>12</v>
      </c>
      <c r="H408" s="634">
        <v>3</v>
      </c>
      <c r="I408" s="634">
        <v>3.22</v>
      </c>
      <c r="J408" s="32">
        <v>224</v>
      </c>
      <c r="K408" s="32" t="s">
        <v>78</v>
      </c>
      <c r="L408" s="32"/>
      <c r="M408" s="33" t="s">
        <v>657</v>
      </c>
      <c r="N408" s="33"/>
      <c r="O408" s="32">
        <v>1096</v>
      </c>
      <c r="P408" s="97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40"/>
      <c r="R408" s="640"/>
      <c r="S408" s="640"/>
      <c r="T408" s="641"/>
      <c r="U408" s="34"/>
      <c r="V408" s="34"/>
      <c r="W408" s="35" t="s">
        <v>68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666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665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66"/>
      <c r="P409" s="653" t="s">
        <v>73</v>
      </c>
      <c r="Q409" s="654"/>
      <c r="R409" s="654"/>
      <c r="S409" s="654"/>
      <c r="T409" s="654"/>
      <c r="U409" s="654"/>
      <c r="V409" s="655"/>
      <c r="W409" s="37" t="s">
        <v>74</v>
      </c>
      <c r="X409" s="637">
        <f>IFERROR(X406/H406,"0")+IFERROR(X407/H407,"0")+IFERROR(X408/H408,"0")</f>
        <v>0</v>
      </c>
      <c r="Y409" s="637">
        <f>IFERROR(Y406/H406,"0")+IFERROR(Y407/H407,"0")+IFERROR(Y408/H408,"0")</f>
        <v>0</v>
      </c>
      <c r="Z409" s="637">
        <f>IFERROR(IF(Z406="",0,Z406),"0")+IFERROR(IF(Z407="",0,Z407),"0")+IFERROR(IF(Z408="",0,Z408),"0")</f>
        <v>0</v>
      </c>
      <c r="AA409" s="638"/>
      <c r="AB409" s="638"/>
      <c r="AC409" s="638"/>
    </row>
    <row r="410" spans="1:68" x14ac:dyDescent="0.2">
      <c r="A410" s="649"/>
      <c r="B410" s="649"/>
      <c r="C410" s="649"/>
      <c r="D410" s="649"/>
      <c r="E410" s="649"/>
      <c r="F410" s="649"/>
      <c r="G410" s="649"/>
      <c r="H410" s="649"/>
      <c r="I410" s="649"/>
      <c r="J410" s="649"/>
      <c r="K410" s="649"/>
      <c r="L410" s="649"/>
      <c r="M410" s="649"/>
      <c r="N410" s="649"/>
      <c r="O410" s="666"/>
      <c r="P410" s="653" t="s">
        <v>73</v>
      </c>
      <c r="Q410" s="654"/>
      <c r="R410" s="654"/>
      <c r="S410" s="654"/>
      <c r="T410" s="654"/>
      <c r="U410" s="654"/>
      <c r="V410" s="655"/>
      <c r="W410" s="37" t="s">
        <v>68</v>
      </c>
      <c r="X410" s="637">
        <f>IFERROR(SUM(X406:X408),"0")</f>
        <v>0</v>
      </c>
      <c r="Y410" s="637">
        <f>IFERROR(SUM(Y406:Y408),"0")</f>
        <v>0</v>
      </c>
      <c r="Z410" s="37"/>
      <c r="AA410" s="638"/>
      <c r="AB410" s="638"/>
      <c r="AC410" s="638"/>
    </row>
    <row r="411" spans="1:68" ht="16.5" customHeight="1" x14ac:dyDescent="0.25">
      <c r="A411" s="648" t="s">
        <v>672</v>
      </c>
      <c r="B411" s="649"/>
      <c r="C411" s="649"/>
      <c r="D411" s="649"/>
      <c r="E411" s="649"/>
      <c r="F411" s="649"/>
      <c r="G411" s="649"/>
      <c r="H411" s="649"/>
      <c r="I411" s="649"/>
      <c r="J411" s="649"/>
      <c r="K411" s="649"/>
      <c r="L411" s="649"/>
      <c r="M411" s="649"/>
      <c r="N411" s="649"/>
      <c r="O411" s="649"/>
      <c r="P411" s="649"/>
      <c r="Q411" s="649"/>
      <c r="R411" s="649"/>
      <c r="S411" s="649"/>
      <c r="T411" s="649"/>
      <c r="U411" s="649"/>
      <c r="V411" s="649"/>
      <c r="W411" s="649"/>
      <c r="X411" s="649"/>
      <c r="Y411" s="649"/>
      <c r="Z411" s="649"/>
      <c r="AA411" s="629"/>
      <c r="AB411" s="629"/>
      <c r="AC411" s="629"/>
    </row>
    <row r="412" spans="1:68" ht="14.25" customHeight="1" x14ac:dyDescent="0.25">
      <c r="A412" s="652" t="s">
        <v>75</v>
      </c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49"/>
      <c r="P412" s="649"/>
      <c r="Q412" s="649"/>
      <c r="R412" s="649"/>
      <c r="S412" s="649"/>
      <c r="T412" s="649"/>
      <c r="U412" s="649"/>
      <c r="V412" s="649"/>
      <c r="W412" s="649"/>
      <c r="X412" s="649"/>
      <c r="Y412" s="649"/>
      <c r="Z412" s="649"/>
      <c r="AA412" s="630"/>
      <c r="AB412" s="630"/>
      <c r="AC412" s="630"/>
    </row>
    <row r="413" spans="1:68" ht="16.5" customHeight="1" x14ac:dyDescent="0.25">
      <c r="A413" s="54" t="s">
        <v>673</v>
      </c>
      <c r="B413" s="54" t="s">
        <v>674</v>
      </c>
      <c r="C413" s="31">
        <v>4301052235</v>
      </c>
      <c r="D413" s="642">
        <v>4680115889415</v>
      </c>
      <c r="E413" s="643"/>
      <c r="F413" s="634">
        <v>1.3</v>
      </c>
      <c r="G413" s="32">
        <v>6</v>
      </c>
      <c r="H413" s="634">
        <v>7.8</v>
      </c>
      <c r="I413" s="634">
        <v>8.2100000000000009</v>
      </c>
      <c r="J413" s="32">
        <v>64</v>
      </c>
      <c r="K413" s="32" t="s">
        <v>115</v>
      </c>
      <c r="L413" s="32"/>
      <c r="M413" s="33" t="s">
        <v>79</v>
      </c>
      <c r="N413" s="33"/>
      <c r="O413" s="32">
        <v>40</v>
      </c>
      <c r="P413" s="722" t="s">
        <v>675</v>
      </c>
      <c r="Q413" s="640"/>
      <c r="R413" s="640"/>
      <c r="S413" s="640"/>
      <c r="T413" s="641"/>
      <c r="U413" s="34"/>
      <c r="V413" s="34"/>
      <c r="W413" s="35" t="s">
        <v>68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676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16.5" customHeight="1" x14ac:dyDescent="0.25">
      <c r="A414" s="54" t="s">
        <v>678</v>
      </c>
      <c r="B414" s="54" t="s">
        <v>679</v>
      </c>
      <c r="C414" s="31">
        <v>4301052236</v>
      </c>
      <c r="D414" s="642">
        <v>4680115889422</v>
      </c>
      <c r="E414" s="643"/>
      <c r="F414" s="634">
        <v>1.3</v>
      </c>
      <c r="G414" s="32">
        <v>6</v>
      </c>
      <c r="H414" s="634">
        <v>7.8</v>
      </c>
      <c r="I414" s="634">
        <v>8.2100000000000009</v>
      </c>
      <c r="J414" s="32">
        <v>64</v>
      </c>
      <c r="K414" s="32" t="s">
        <v>115</v>
      </c>
      <c r="L414" s="32"/>
      <c r="M414" s="33" t="s">
        <v>79</v>
      </c>
      <c r="N414" s="33"/>
      <c r="O414" s="32">
        <v>40</v>
      </c>
      <c r="P414" s="765" t="s">
        <v>680</v>
      </c>
      <c r="Q414" s="640"/>
      <c r="R414" s="640"/>
      <c r="S414" s="640"/>
      <c r="T414" s="641"/>
      <c r="U414" s="34"/>
      <c r="V414" s="34"/>
      <c r="W414" s="35" t="s">
        <v>68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 t="s">
        <v>676</v>
      </c>
      <c r="AC414" s="499" t="s">
        <v>681</v>
      </c>
      <c r="AG414" s="64"/>
      <c r="AJ414" s="68"/>
      <c r="AK414" s="68">
        <v>0</v>
      </c>
      <c r="BB414" s="50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65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66"/>
      <c r="P415" s="653" t="s">
        <v>73</v>
      </c>
      <c r="Q415" s="654"/>
      <c r="R415" s="654"/>
      <c r="S415" s="654"/>
      <c r="T415" s="654"/>
      <c r="U415" s="654"/>
      <c r="V415" s="655"/>
      <c r="W415" s="37" t="s">
        <v>74</v>
      </c>
      <c r="X415" s="637">
        <f>IFERROR(X413/H413,"0")+IFERROR(X414/H414,"0")</f>
        <v>0</v>
      </c>
      <c r="Y415" s="637">
        <f>IFERROR(Y413/H413,"0")+IFERROR(Y414/H414,"0")</f>
        <v>0</v>
      </c>
      <c r="Z415" s="637">
        <f>IFERROR(IF(Z413="",0,Z413),"0")+IFERROR(IF(Z414="",0,Z414),"0")</f>
        <v>0</v>
      </c>
      <c r="AA415" s="638"/>
      <c r="AB415" s="638"/>
      <c r="AC415" s="638"/>
    </row>
    <row r="416" spans="1:68" x14ac:dyDescent="0.2">
      <c r="A416" s="649"/>
      <c r="B416" s="649"/>
      <c r="C416" s="649"/>
      <c r="D416" s="649"/>
      <c r="E416" s="649"/>
      <c r="F416" s="649"/>
      <c r="G416" s="649"/>
      <c r="H416" s="649"/>
      <c r="I416" s="649"/>
      <c r="J416" s="649"/>
      <c r="K416" s="649"/>
      <c r="L416" s="649"/>
      <c r="M416" s="649"/>
      <c r="N416" s="649"/>
      <c r="O416" s="666"/>
      <c r="P416" s="653" t="s">
        <v>73</v>
      </c>
      <c r="Q416" s="654"/>
      <c r="R416" s="654"/>
      <c r="S416" s="654"/>
      <c r="T416" s="654"/>
      <c r="U416" s="654"/>
      <c r="V416" s="655"/>
      <c r="W416" s="37" t="s">
        <v>68</v>
      </c>
      <c r="X416" s="637">
        <f>IFERROR(SUM(X413:X414),"0")</f>
        <v>0</v>
      </c>
      <c r="Y416" s="637">
        <f>IFERROR(SUM(Y413:Y414),"0")</f>
        <v>0</v>
      </c>
      <c r="Z416" s="37"/>
      <c r="AA416" s="638"/>
      <c r="AB416" s="638"/>
      <c r="AC416" s="638"/>
    </row>
    <row r="417" spans="1:68" ht="16.5" customHeight="1" x14ac:dyDescent="0.25">
      <c r="A417" s="648" t="s">
        <v>682</v>
      </c>
      <c r="B417" s="649"/>
      <c r="C417" s="649"/>
      <c r="D417" s="649"/>
      <c r="E417" s="649"/>
      <c r="F417" s="649"/>
      <c r="G417" s="649"/>
      <c r="H417" s="649"/>
      <c r="I417" s="649"/>
      <c r="J417" s="649"/>
      <c r="K417" s="649"/>
      <c r="L417" s="649"/>
      <c r="M417" s="649"/>
      <c r="N417" s="649"/>
      <c r="O417" s="649"/>
      <c r="P417" s="649"/>
      <c r="Q417" s="649"/>
      <c r="R417" s="649"/>
      <c r="S417" s="649"/>
      <c r="T417" s="649"/>
      <c r="U417" s="649"/>
      <c r="V417" s="649"/>
      <c r="W417" s="649"/>
      <c r="X417" s="649"/>
      <c r="Y417" s="649"/>
      <c r="Z417" s="649"/>
      <c r="AA417" s="629"/>
      <c r="AB417" s="629"/>
      <c r="AC417" s="629"/>
    </row>
    <row r="418" spans="1:68" ht="14.25" customHeight="1" x14ac:dyDescent="0.25">
      <c r="A418" s="652" t="s">
        <v>75</v>
      </c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49"/>
      <c r="P418" s="649"/>
      <c r="Q418" s="649"/>
      <c r="R418" s="649"/>
      <c r="S418" s="649"/>
      <c r="T418" s="649"/>
      <c r="U418" s="649"/>
      <c r="V418" s="649"/>
      <c r="W418" s="649"/>
      <c r="X418" s="649"/>
      <c r="Y418" s="649"/>
      <c r="Z418" s="649"/>
      <c r="AA418" s="630"/>
      <c r="AB418" s="630"/>
      <c r="AC418" s="630"/>
    </row>
    <row r="419" spans="1:68" ht="27" customHeight="1" x14ac:dyDescent="0.25">
      <c r="A419" s="54" t="s">
        <v>683</v>
      </c>
      <c r="B419" s="54" t="s">
        <v>684</v>
      </c>
      <c r="C419" s="31">
        <v>4301051489</v>
      </c>
      <c r="D419" s="642">
        <v>4607091387919</v>
      </c>
      <c r="E419" s="643"/>
      <c r="F419" s="634">
        <v>1.35</v>
      </c>
      <c r="G419" s="32">
        <v>6</v>
      </c>
      <c r="H419" s="634">
        <v>8.1</v>
      </c>
      <c r="I419" s="634">
        <v>8.5939999999999994</v>
      </c>
      <c r="J419" s="32">
        <v>64</v>
      </c>
      <c r="K419" s="32" t="s">
        <v>115</v>
      </c>
      <c r="L419" s="32"/>
      <c r="M419" s="33" t="s">
        <v>85</v>
      </c>
      <c r="N419" s="33"/>
      <c r="O419" s="32">
        <v>45</v>
      </c>
      <c r="P419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40"/>
      <c r="R419" s="640"/>
      <c r="S419" s="640"/>
      <c r="T419" s="641"/>
      <c r="U419" s="34"/>
      <c r="V419" s="34"/>
      <c r="W419" s="35" t="s">
        <v>68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1" t="s">
        <v>685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686</v>
      </c>
      <c r="B420" s="54" t="s">
        <v>687</v>
      </c>
      <c r="C420" s="31">
        <v>4301051461</v>
      </c>
      <c r="D420" s="642">
        <v>4680115883604</v>
      </c>
      <c r="E420" s="643"/>
      <c r="F420" s="634">
        <v>0.35</v>
      </c>
      <c r="G420" s="32">
        <v>6</v>
      </c>
      <c r="H420" s="634">
        <v>2.1</v>
      </c>
      <c r="I420" s="634">
        <v>2.3519999999999999</v>
      </c>
      <c r="J420" s="32">
        <v>182</v>
      </c>
      <c r="K420" s="32" t="s">
        <v>78</v>
      </c>
      <c r="L420" s="32"/>
      <c r="M420" s="33" t="s">
        <v>79</v>
      </c>
      <c r="N420" s="33"/>
      <c r="O420" s="32">
        <v>45</v>
      </c>
      <c r="P420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68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688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689</v>
      </c>
      <c r="B421" s="54" t="s">
        <v>690</v>
      </c>
      <c r="C421" s="31">
        <v>4301051864</v>
      </c>
      <c r="D421" s="642">
        <v>4680115883567</v>
      </c>
      <c r="E421" s="643"/>
      <c r="F421" s="634">
        <v>0.35</v>
      </c>
      <c r="G421" s="32">
        <v>6</v>
      </c>
      <c r="H421" s="634">
        <v>2.1</v>
      </c>
      <c r="I421" s="634">
        <v>2.34</v>
      </c>
      <c r="J421" s="32">
        <v>182</v>
      </c>
      <c r="K421" s="32" t="s">
        <v>78</v>
      </c>
      <c r="L421" s="32"/>
      <c r="M421" s="33" t="s">
        <v>85</v>
      </c>
      <c r="N421" s="33"/>
      <c r="O421" s="32">
        <v>40</v>
      </c>
      <c r="P421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40"/>
      <c r="R421" s="640"/>
      <c r="S421" s="640"/>
      <c r="T421" s="641"/>
      <c r="U421" s="34"/>
      <c r="V421" s="34"/>
      <c r="W421" s="35" t="s">
        <v>68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505" t="s">
        <v>691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65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66"/>
      <c r="P422" s="653" t="s">
        <v>73</v>
      </c>
      <c r="Q422" s="654"/>
      <c r="R422" s="654"/>
      <c r="S422" s="654"/>
      <c r="T422" s="654"/>
      <c r="U422" s="654"/>
      <c r="V422" s="655"/>
      <c r="W422" s="37" t="s">
        <v>74</v>
      </c>
      <c r="X422" s="637">
        <f>IFERROR(X419/H419,"0")+IFERROR(X420/H420,"0")+IFERROR(X421/H421,"0")</f>
        <v>0</v>
      </c>
      <c r="Y422" s="637">
        <f>IFERROR(Y419/H419,"0")+IFERROR(Y420/H420,"0")+IFERROR(Y421/H421,"0")</f>
        <v>0</v>
      </c>
      <c r="Z422" s="637">
        <f>IFERROR(IF(Z419="",0,Z419),"0")+IFERROR(IF(Z420="",0,Z420),"0")+IFERROR(IF(Z421="",0,Z421),"0")</f>
        <v>0</v>
      </c>
      <c r="AA422" s="638"/>
      <c r="AB422" s="638"/>
      <c r="AC422" s="638"/>
    </row>
    <row r="423" spans="1:68" x14ac:dyDescent="0.2">
      <c r="A423" s="649"/>
      <c r="B423" s="649"/>
      <c r="C423" s="649"/>
      <c r="D423" s="649"/>
      <c r="E423" s="649"/>
      <c r="F423" s="649"/>
      <c r="G423" s="649"/>
      <c r="H423" s="649"/>
      <c r="I423" s="649"/>
      <c r="J423" s="649"/>
      <c r="K423" s="649"/>
      <c r="L423" s="649"/>
      <c r="M423" s="649"/>
      <c r="N423" s="649"/>
      <c r="O423" s="666"/>
      <c r="P423" s="653" t="s">
        <v>73</v>
      </c>
      <c r="Q423" s="654"/>
      <c r="R423" s="654"/>
      <c r="S423" s="654"/>
      <c r="T423" s="654"/>
      <c r="U423" s="654"/>
      <c r="V423" s="655"/>
      <c r="W423" s="37" t="s">
        <v>68</v>
      </c>
      <c r="X423" s="637">
        <f>IFERROR(SUM(X419:X421),"0")</f>
        <v>0</v>
      </c>
      <c r="Y423" s="637">
        <f>IFERROR(SUM(Y419:Y421),"0")</f>
        <v>0</v>
      </c>
      <c r="Z423" s="37"/>
      <c r="AA423" s="638"/>
      <c r="AB423" s="638"/>
      <c r="AC423" s="638"/>
    </row>
    <row r="424" spans="1:68" ht="27.75" customHeight="1" x14ac:dyDescent="0.2">
      <c r="A424" s="650" t="s">
        <v>692</v>
      </c>
      <c r="B424" s="651"/>
      <c r="C424" s="651"/>
      <c r="D424" s="651"/>
      <c r="E424" s="651"/>
      <c r="F424" s="651"/>
      <c r="G424" s="651"/>
      <c r="H424" s="651"/>
      <c r="I424" s="651"/>
      <c r="J424" s="651"/>
      <c r="K424" s="651"/>
      <c r="L424" s="651"/>
      <c r="M424" s="651"/>
      <c r="N424" s="651"/>
      <c r="O424" s="651"/>
      <c r="P424" s="651"/>
      <c r="Q424" s="651"/>
      <c r="R424" s="651"/>
      <c r="S424" s="651"/>
      <c r="T424" s="651"/>
      <c r="U424" s="651"/>
      <c r="V424" s="651"/>
      <c r="W424" s="651"/>
      <c r="X424" s="651"/>
      <c r="Y424" s="651"/>
      <c r="Z424" s="651"/>
      <c r="AA424" s="48"/>
      <c r="AB424" s="48"/>
      <c r="AC424" s="48"/>
    </row>
    <row r="425" spans="1:68" ht="16.5" customHeight="1" x14ac:dyDescent="0.25">
      <c r="A425" s="648" t="s">
        <v>693</v>
      </c>
      <c r="B425" s="649"/>
      <c r="C425" s="649"/>
      <c r="D425" s="649"/>
      <c r="E425" s="649"/>
      <c r="F425" s="649"/>
      <c r="G425" s="649"/>
      <c r="H425" s="649"/>
      <c r="I425" s="649"/>
      <c r="J425" s="649"/>
      <c r="K425" s="649"/>
      <c r="L425" s="649"/>
      <c r="M425" s="649"/>
      <c r="N425" s="649"/>
      <c r="O425" s="649"/>
      <c r="P425" s="649"/>
      <c r="Q425" s="649"/>
      <c r="R425" s="649"/>
      <c r="S425" s="649"/>
      <c r="T425" s="649"/>
      <c r="U425" s="649"/>
      <c r="V425" s="649"/>
      <c r="W425" s="649"/>
      <c r="X425" s="649"/>
      <c r="Y425" s="649"/>
      <c r="Z425" s="649"/>
      <c r="AA425" s="629"/>
      <c r="AB425" s="629"/>
      <c r="AC425" s="629"/>
    </row>
    <row r="426" spans="1:68" ht="14.25" customHeight="1" x14ac:dyDescent="0.25">
      <c r="A426" s="652" t="s">
        <v>112</v>
      </c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49"/>
      <c r="P426" s="649"/>
      <c r="Q426" s="649"/>
      <c r="R426" s="649"/>
      <c r="S426" s="649"/>
      <c r="T426" s="649"/>
      <c r="U426" s="649"/>
      <c r="V426" s="649"/>
      <c r="W426" s="649"/>
      <c r="X426" s="649"/>
      <c r="Y426" s="649"/>
      <c r="Z426" s="649"/>
      <c r="AA426" s="630"/>
      <c r="AB426" s="630"/>
      <c r="AC426" s="630"/>
    </row>
    <row r="427" spans="1:68" ht="27" customHeight="1" x14ac:dyDescent="0.25">
      <c r="A427" s="54" t="s">
        <v>694</v>
      </c>
      <c r="B427" s="54" t="s">
        <v>695</v>
      </c>
      <c r="C427" s="31">
        <v>4301012332</v>
      </c>
      <c r="D427" s="642">
        <v>4680115888401</v>
      </c>
      <c r="E427" s="643"/>
      <c r="F427" s="634">
        <v>2.5</v>
      </c>
      <c r="G427" s="32">
        <v>6</v>
      </c>
      <c r="H427" s="634">
        <v>15</v>
      </c>
      <c r="I427" s="634">
        <v>15.47</v>
      </c>
      <c r="J427" s="32">
        <v>48</v>
      </c>
      <c r="K427" s="32" t="s">
        <v>115</v>
      </c>
      <c r="L427" s="32"/>
      <c r="M427" s="33" t="s">
        <v>85</v>
      </c>
      <c r="N427" s="33"/>
      <c r="O427" s="32">
        <v>60</v>
      </c>
      <c r="P427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68</v>
      </c>
      <c r="X427" s="635">
        <v>0</v>
      </c>
      <c r="Y427" s="636">
        <f t="shared" ref="Y427:Y434" si="58">IFERROR(IF(X427="",0,CEILING((X427/$H427),1)*$H427),"")</f>
        <v>0</v>
      </c>
      <c r="Z427" s="36" t="str">
        <f>IFERROR(IF(Y427=0,"",ROUNDUP(Y427/H427,0)*0.02175),"")</f>
        <v/>
      </c>
      <c r="AA427" s="56"/>
      <c r="AB427" s="57"/>
      <c r="AC427" s="507" t="s">
        <v>696</v>
      </c>
      <c r="AG427" s="64"/>
      <c r="AJ427" s="68"/>
      <c r="AK427" s="68">
        <v>0</v>
      </c>
      <c r="BB427" s="508" t="s">
        <v>1</v>
      </c>
      <c r="BM427" s="64">
        <f t="shared" ref="BM427:BM434" si="59">IFERROR(X427*I427/H427,"0")</f>
        <v>0</v>
      </c>
      <c r="BN427" s="64">
        <f t="shared" ref="BN427:BN434" si="60">IFERROR(Y427*I427/H427,"0")</f>
        <v>0</v>
      </c>
      <c r="BO427" s="64">
        <f t="shared" ref="BO427:BO434" si="61">IFERROR(1/J427*(X427/H427),"0")</f>
        <v>0</v>
      </c>
      <c r="BP427" s="64">
        <f t="shared" ref="BP427:BP434" si="62">IFERROR(1/J427*(Y427/H427),"0")</f>
        <v>0</v>
      </c>
    </row>
    <row r="428" spans="1:68" ht="37.5" customHeight="1" x14ac:dyDescent="0.25">
      <c r="A428" s="54" t="s">
        <v>697</v>
      </c>
      <c r="B428" s="54" t="s">
        <v>698</v>
      </c>
      <c r="C428" s="31">
        <v>4301011869</v>
      </c>
      <c r="D428" s="642">
        <v>4680115884847</v>
      </c>
      <c r="E428" s="643"/>
      <c r="F428" s="634">
        <v>2.5</v>
      </c>
      <c r="G428" s="32">
        <v>6</v>
      </c>
      <c r="H428" s="634">
        <v>15</v>
      </c>
      <c r="I428" s="634">
        <v>15.47</v>
      </c>
      <c r="J428" s="32">
        <v>48</v>
      </c>
      <c r="K428" s="32" t="s">
        <v>115</v>
      </c>
      <c r="L428" s="32"/>
      <c r="M428" s="33" t="s">
        <v>67</v>
      </c>
      <c r="N428" s="33"/>
      <c r="O428" s="32">
        <v>60</v>
      </c>
      <c r="P428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40"/>
      <c r="R428" s="640"/>
      <c r="S428" s="640"/>
      <c r="T428" s="641"/>
      <c r="U428" s="34"/>
      <c r="V428" s="34"/>
      <c r="W428" s="35" t="s">
        <v>68</v>
      </c>
      <c r="X428" s="635">
        <v>0</v>
      </c>
      <c r="Y428" s="636">
        <f t="shared" si="58"/>
        <v>0</v>
      </c>
      <c r="Z428" s="36" t="str">
        <f>IFERROR(IF(Y428=0,"",ROUNDUP(Y428/H428,0)*0.02175),"")</f>
        <v/>
      </c>
      <c r="AA428" s="56"/>
      <c r="AB428" s="57"/>
      <c r="AC428" s="509" t="s">
        <v>699</v>
      </c>
      <c r="AG428" s="64"/>
      <c r="AJ428" s="68"/>
      <c r="AK428" s="68">
        <v>0</v>
      </c>
      <c r="BB428" s="510" t="s">
        <v>1</v>
      </c>
      <c r="BM428" s="64">
        <f t="shared" si="59"/>
        <v>0</v>
      </c>
      <c r="BN428" s="64">
        <f t="shared" si="60"/>
        <v>0</v>
      </c>
      <c r="BO428" s="64">
        <f t="shared" si="61"/>
        <v>0</v>
      </c>
      <c r="BP428" s="64">
        <f t="shared" si="62"/>
        <v>0</v>
      </c>
    </row>
    <row r="429" spans="1:68" ht="27" customHeight="1" x14ac:dyDescent="0.25">
      <c r="A429" s="54" t="s">
        <v>700</v>
      </c>
      <c r="B429" s="54" t="s">
        <v>701</v>
      </c>
      <c r="C429" s="31">
        <v>4301012083</v>
      </c>
      <c r="D429" s="642">
        <v>4680115884854</v>
      </c>
      <c r="E429" s="643"/>
      <c r="F429" s="634">
        <v>2.5</v>
      </c>
      <c r="G429" s="32">
        <v>6</v>
      </c>
      <c r="H429" s="634">
        <v>15</v>
      </c>
      <c r="I429" s="634">
        <v>15.47</v>
      </c>
      <c r="J429" s="32">
        <v>48</v>
      </c>
      <c r="K429" s="32" t="s">
        <v>115</v>
      </c>
      <c r="L429" s="32"/>
      <c r="M429" s="33" t="s">
        <v>116</v>
      </c>
      <c r="N429" s="33"/>
      <c r="O429" s="32">
        <v>60</v>
      </c>
      <c r="P429" s="75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68</v>
      </c>
      <c r="X429" s="635">
        <v>0</v>
      </c>
      <c r="Y429" s="636">
        <f t="shared" si="58"/>
        <v>0</v>
      </c>
      <c r="Z429" s="36" t="str">
        <f>IFERROR(IF(Y429=0,"",ROUNDUP(Y429/H429,0)*0.02175),"")</f>
        <v/>
      </c>
      <c r="AA429" s="56"/>
      <c r="AB429" s="57"/>
      <c r="AC429" s="511" t="s">
        <v>702</v>
      </c>
      <c r="AG429" s="64"/>
      <c r="AJ429" s="68"/>
      <c r="AK429" s="68">
        <v>0</v>
      </c>
      <c r="BB429" s="512" t="s">
        <v>1</v>
      </c>
      <c r="BM429" s="64">
        <f t="shared" si="59"/>
        <v>0</v>
      </c>
      <c r="BN429" s="64">
        <f t="shared" si="60"/>
        <v>0</v>
      </c>
      <c r="BO429" s="64">
        <f t="shared" si="61"/>
        <v>0</v>
      </c>
      <c r="BP429" s="64">
        <f t="shared" si="62"/>
        <v>0</v>
      </c>
    </row>
    <row r="430" spans="1:68" ht="27" customHeight="1" x14ac:dyDescent="0.25">
      <c r="A430" s="54" t="s">
        <v>703</v>
      </c>
      <c r="B430" s="54" t="s">
        <v>704</v>
      </c>
      <c r="C430" s="31">
        <v>4301011867</v>
      </c>
      <c r="D430" s="642">
        <v>4680115884830</v>
      </c>
      <c r="E430" s="643"/>
      <c r="F430" s="634">
        <v>2.5</v>
      </c>
      <c r="G430" s="32">
        <v>6</v>
      </c>
      <c r="H430" s="634">
        <v>15</v>
      </c>
      <c r="I430" s="634">
        <v>15.47</v>
      </c>
      <c r="J430" s="32">
        <v>48</v>
      </c>
      <c r="K430" s="32" t="s">
        <v>115</v>
      </c>
      <c r="L430" s="32"/>
      <c r="M430" s="33" t="s">
        <v>67</v>
      </c>
      <c r="N430" s="33"/>
      <c r="O430" s="32">
        <v>60</v>
      </c>
      <c r="P430" s="9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40"/>
      <c r="R430" s="640"/>
      <c r="S430" s="640"/>
      <c r="T430" s="641"/>
      <c r="U430" s="34"/>
      <c r="V430" s="34"/>
      <c r="W430" s="35" t="s">
        <v>68</v>
      </c>
      <c r="X430" s="635">
        <v>0</v>
      </c>
      <c r="Y430" s="636">
        <f t="shared" si="58"/>
        <v>0</v>
      </c>
      <c r="Z430" s="36" t="str">
        <f>IFERROR(IF(Y430=0,"",ROUNDUP(Y430/H430,0)*0.02175),"")</f>
        <v/>
      </c>
      <c r="AA430" s="56"/>
      <c r="AB430" s="57"/>
      <c r="AC430" s="513" t="s">
        <v>705</v>
      </c>
      <c r="AG430" s="64"/>
      <c r="AJ430" s="68"/>
      <c r="AK430" s="68">
        <v>0</v>
      </c>
      <c r="BB430" s="514" t="s">
        <v>1</v>
      </c>
      <c r="BM430" s="64">
        <f t="shared" si="59"/>
        <v>0</v>
      </c>
      <c r="BN430" s="64">
        <f t="shared" si="60"/>
        <v>0</v>
      </c>
      <c r="BO430" s="64">
        <f t="shared" si="61"/>
        <v>0</v>
      </c>
      <c r="BP430" s="64">
        <f t="shared" si="62"/>
        <v>0</v>
      </c>
    </row>
    <row r="431" spans="1:68" ht="27" customHeight="1" x14ac:dyDescent="0.25">
      <c r="A431" s="54" t="s">
        <v>706</v>
      </c>
      <c r="B431" s="54" t="s">
        <v>707</v>
      </c>
      <c r="C431" s="31">
        <v>4301012356</v>
      </c>
      <c r="D431" s="642">
        <v>4680115889231</v>
      </c>
      <c r="E431" s="643"/>
      <c r="F431" s="634">
        <v>2.5</v>
      </c>
      <c r="G431" s="32">
        <v>6</v>
      </c>
      <c r="H431" s="634">
        <v>15</v>
      </c>
      <c r="I431" s="634">
        <v>15.47</v>
      </c>
      <c r="J431" s="32">
        <v>48</v>
      </c>
      <c r="K431" s="32" t="s">
        <v>115</v>
      </c>
      <c r="L431" s="32"/>
      <c r="M431" s="33" t="s">
        <v>85</v>
      </c>
      <c r="N431" s="33"/>
      <c r="O431" s="32">
        <v>60</v>
      </c>
      <c r="P431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40"/>
      <c r="R431" s="640"/>
      <c r="S431" s="640"/>
      <c r="T431" s="641"/>
      <c r="U431" s="34"/>
      <c r="V431" s="34"/>
      <c r="W431" s="35" t="s">
        <v>68</v>
      </c>
      <c r="X431" s="635">
        <v>0</v>
      </c>
      <c r="Y431" s="636">
        <f t="shared" si="58"/>
        <v>0</v>
      </c>
      <c r="Z431" s="36" t="str">
        <f>IFERROR(IF(Y431=0,"",ROUNDUP(Y431/H431,0)*0.02175),"")</f>
        <v/>
      </c>
      <c r="AA431" s="56"/>
      <c r="AB431" s="57"/>
      <c r="AC431" s="515" t="s">
        <v>708</v>
      </c>
      <c r="AG431" s="64"/>
      <c r="AJ431" s="68"/>
      <c r="AK431" s="68">
        <v>0</v>
      </c>
      <c r="BB431" s="516" t="s">
        <v>1</v>
      </c>
      <c r="BM431" s="64">
        <f t="shared" si="59"/>
        <v>0</v>
      </c>
      <c r="BN431" s="64">
        <f t="shared" si="60"/>
        <v>0</v>
      </c>
      <c r="BO431" s="64">
        <f t="shared" si="61"/>
        <v>0</v>
      </c>
      <c r="BP431" s="64">
        <f t="shared" si="62"/>
        <v>0</v>
      </c>
    </row>
    <row r="432" spans="1:68" ht="27" customHeight="1" x14ac:dyDescent="0.25">
      <c r="A432" s="54" t="s">
        <v>709</v>
      </c>
      <c r="B432" s="54" t="s">
        <v>710</v>
      </c>
      <c r="C432" s="31">
        <v>4301011433</v>
      </c>
      <c r="D432" s="642">
        <v>4680115882638</v>
      </c>
      <c r="E432" s="643"/>
      <c r="F432" s="634">
        <v>0.4</v>
      </c>
      <c r="G432" s="32">
        <v>10</v>
      </c>
      <c r="H432" s="634">
        <v>4</v>
      </c>
      <c r="I432" s="634">
        <v>4.1900000000000004</v>
      </c>
      <c r="J432" s="32">
        <v>132</v>
      </c>
      <c r="K432" s="32" t="s">
        <v>124</v>
      </c>
      <c r="L432" s="32"/>
      <c r="M432" s="33" t="s">
        <v>116</v>
      </c>
      <c r="N432" s="33"/>
      <c r="O432" s="32">
        <v>90</v>
      </c>
      <c r="P432" s="6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40"/>
      <c r="R432" s="640"/>
      <c r="S432" s="640"/>
      <c r="T432" s="641"/>
      <c r="U432" s="34"/>
      <c r="V432" s="34"/>
      <c r="W432" s="35" t="s">
        <v>68</v>
      </c>
      <c r="X432" s="635">
        <v>0</v>
      </c>
      <c r="Y432" s="636">
        <f t="shared" si="58"/>
        <v>0</v>
      </c>
      <c r="Z432" s="36" t="str">
        <f>IFERROR(IF(Y432=0,"",ROUNDUP(Y432/H432,0)*0.00902),"")</f>
        <v/>
      </c>
      <c r="AA432" s="56"/>
      <c r="AB432" s="57"/>
      <c r="AC432" s="517" t="s">
        <v>711</v>
      </c>
      <c r="AG432" s="64"/>
      <c r="AJ432" s="68"/>
      <c r="AK432" s="68">
        <v>0</v>
      </c>
      <c r="BB432" s="518" t="s">
        <v>1</v>
      </c>
      <c r="BM432" s="64">
        <f t="shared" si="59"/>
        <v>0</v>
      </c>
      <c r="BN432" s="64">
        <f t="shared" si="60"/>
        <v>0</v>
      </c>
      <c r="BO432" s="64">
        <f t="shared" si="61"/>
        <v>0</v>
      </c>
      <c r="BP432" s="64">
        <f t="shared" si="62"/>
        <v>0</v>
      </c>
    </row>
    <row r="433" spans="1:68" ht="27" customHeight="1" x14ac:dyDescent="0.25">
      <c r="A433" s="54" t="s">
        <v>712</v>
      </c>
      <c r="B433" s="54" t="s">
        <v>713</v>
      </c>
      <c r="C433" s="31">
        <v>4301011952</v>
      </c>
      <c r="D433" s="642">
        <v>4680115884922</v>
      </c>
      <c r="E433" s="643"/>
      <c r="F433" s="634">
        <v>0.5</v>
      </c>
      <c r="G433" s="32">
        <v>10</v>
      </c>
      <c r="H433" s="634">
        <v>5</v>
      </c>
      <c r="I433" s="634">
        <v>5.19</v>
      </c>
      <c r="J433" s="32">
        <v>132</v>
      </c>
      <c r="K433" s="32" t="s">
        <v>124</v>
      </c>
      <c r="L433" s="32"/>
      <c r="M433" s="33" t="s">
        <v>67</v>
      </c>
      <c r="N433" s="33"/>
      <c r="O433" s="32">
        <v>60</v>
      </c>
      <c r="P433" s="97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40"/>
      <c r="R433" s="640"/>
      <c r="S433" s="640"/>
      <c r="T433" s="641"/>
      <c r="U433" s="34"/>
      <c r="V433" s="34"/>
      <c r="W433" s="35" t="s">
        <v>68</v>
      </c>
      <c r="X433" s="635">
        <v>0</v>
      </c>
      <c r="Y433" s="636">
        <f t="shared" si="58"/>
        <v>0</v>
      </c>
      <c r="Z433" s="36" t="str">
        <f>IFERROR(IF(Y433=0,"",ROUNDUP(Y433/H433,0)*0.00902),"")</f>
        <v/>
      </c>
      <c r="AA433" s="56"/>
      <c r="AB433" s="57"/>
      <c r="AC433" s="519" t="s">
        <v>714</v>
      </c>
      <c r="AG433" s="64"/>
      <c r="AJ433" s="68"/>
      <c r="AK433" s="68">
        <v>0</v>
      </c>
      <c r="BB433" s="520" t="s">
        <v>1</v>
      </c>
      <c r="BM433" s="64">
        <f t="shared" si="59"/>
        <v>0</v>
      </c>
      <c r="BN433" s="64">
        <f t="shared" si="60"/>
        <v>0</v>
      </c>
      <c r="BO433" s="64">
        <f t="shared" si="61"/>
        <v>0</v>
      </c>
      <c r="BP433" s="64">
        <f t="shared" si="62"/>
        <v>0</v>
      </c>
    </row>
    <row r="434" spans="1:68" ht="37.5" customHeight="1" x14ac:dyDescent="0.25">
      <c r="A434" s="54" t="s">
        <v>715</v>
      </c>
      <c r="B434" s="54" t="s">
        <v>716</v>
      </c>
      <c r="C434" s="31">
        <v>4301011868</v>
      </c>
      <c r="D434" s="642">
        <v>4680115884861</v>
      </c>
      <c r="E434" s="643"/>
      <c r="F434" s="634">
        <v>0.5</v>
      </c>
      <c r="G434" s="32">
        <v>10</v>
      </c>
      <c r="H434" s="634">
        <v>5</v>
      </c>
      <c r="I434" s="634">
        <v>5.19</v>
      </c>
      <c r="J434" s="32">
        <v>132</v>
      </c>
      <c r="K434" s="32" t="s">
        <v>124</v>
      </c>
      <c r="L434" s="32"/>
      <c r="M434" s="33" t="s">
        <v>67</v>
      </c>
      <c r="N434" s="33"/>
      <c r="O434" s="32">
        <v>60</v>
      </c>
      <c r="P434" s="9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40"/>
      <c r="R434" s="640"/>
      <c r="S434" s="640"/>
      <c r="T434" s="641"/>
      <c r="U434" s="34"/>
      <c r="V434" s="34"/>
      <c r="W434" s="35" t="s">
        <v>68</v>
      </c>
      <c r="X434" s="635">
        <v>0</v>
      </c>
      <c r="Y434" s="636">
        <f t="shared" si="58"/>
        <v>0</v>
      </c>
      <c r="Z434" s="36" t="str">
        <f>IFERROR(IF(Y434=0,"",ROUNDUP(Y434/H434,0)*0.00902),"")</f>
        <v/>
      </c>
      <c r="AA434" s="56"/>
      <c r="AB434" s="57"/>
      <c r="AC434" s="521" t="s">
        <v>717</v>
      </c>
      <c r="AG434" s="64"/>
      <c r="AJ434" s="68"/>
      <c r="AK434" s="68">
        <v>0</v>
      </c>
      <c r="BB434" s="522" t="s">
        <v>1</v>
      </c>
      <c r="BM434" s="64">
        <f t="shared" si="59"/>
        <v>0</v>
      </c>
      <c r="BN434" s="64">
        <f t="shared" si="60"/>
        <v>0</v>
      </c>
      <c r="BO434" s="64">
        <f t="shared" si="61"/>
        <v>0</v>
      </c>
      <c r="BP434" s="64">
        <f t="shared" si="62"/>
        <v>0</v>
      </c>
    </row>
    <row r="435" spans="1:68" x14ac:dyDescent="0.2">
      <c r="A435" s="665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66"/>
      <c r="P435" s="653" t="s">
        <v>73</v>
      </c>
      <c r="Q435" s="654"/>
      <c r="R435" s="654"/>
      <c r="S435" s="654"/>
      <c r="T435" s="654"/>
      <c r="U435" s="654"/>
      <c r="V435" s="655"/>
      <c r="W435" s="37" t="s">
        <v>74</v>
      </c>
      <c r="X435" s="637">
        <f>IFERROR(X427/H427,"0")+IFERROR(X428/H428,"0")+IFERROR(X429/H429,"0")+IFERROR(X430/H430,"0")+IFERROR(X431/H431,"0")+IFERROR(X432/H432,"0")+IFERROR(X433/H433,"0")+IFERROR(X434/H434,"0")</f>
        <v>0</v>
      </c>
      <c r="Y435" s="637">
        <f>IFERROR(Y427/H427,"0")+IFERROR(Y428/H428,"0")+IFERROR(Y429/H429,"0")+IFERROR(Y430/H430,"0")+IFERROR(Y431/H431,"0")+IFERROR(Y432/H432,"0")+IFERROR(Y433/H433,"0")+IFERROR(Y434/H434,"0")</f>
        <v>0</v>
      </c>
      <c r="Z435" s="637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38"/>
      <c r="AB435" s="638"/>
      <c r="AC435" s="638"/>
    </row>
    <row r="436" spans="1:68" x14ac:dyDescent="0.2">
      <c r="A436" s="649"/>
      <c r="B436" s="649"/>
      <c r="C436" s="649"/>
      <c r="D436" s="649"/>
      <c r="E436" s="649"/>
      <c r="F436" s="649"/>
      <c r="G436" s="649"/>
      <c r="H436" s="649"/>
      <c r="I436" s="649"/>
      <c r="J436" s="649"/>
      <c r="K436" s="649"/>
      <c r="L436" s="649"/>
      <c r="M436" s="649"/>
      <c r="N436" s="649"/>
      <c r="O436" s="666"/>
      <c r="P436" s="653" t="s">
        <v>73</v>
      </c>
      <c r="Q436" s="654"/>
      <c r="R436" s="654"/>
      <c r="S436" s="654"/>
      <c r="T436" s="654"/>
      <c r="U436" s="654"/>
      <c r="V436" s="655"/>
      <c r="W436" s="37" t="s">
        <v>68</v>
      </c>
      <c r="X436" s="637">
        <f>IFERROR(SUM(X427:X434),"0")</f>
        <v>0</v>
      </c>
      <c r="Y436" s="637">
        <f>IFERROR(SUM(Y427:Y434),"0")</f>
        <v>0</v>
      </c>
      <c r="Z436" s="37"/>
      <c r="AA436" s="638"/>
      <c r="AB436" s="638"/>
      <c r="AC436" s="638"/>
    </row>
    <row r="437" spans="1:68" ht="14.25" customHeight="1" x14ac:dyDescent="0.25">
      <c r="A437" s="652" t="s">
        <v>148</v>
      </c>
      <c r="B437" s="649"/>
      <c r="C437" s="649"/>
      <c r="D437" s="649"/>
      <c r="E437" s="649"/>
      <c r="F437" s="649"/>
      <c r="G437" s="649"/>
      <c r="H437" s="649"/>
      <c r="I437" s="649"/>
      <c r="J437" s="649"/>
      <c r="K437" s="649"/>
      <c r="L437" s="649"/>
      <c r="M437" s="649"/>
      <c r="N437" s="649"/>
      <c r="O437" s="649"/>
      <c r="P437" s="649"/>
      <c r="Q437" s="649"/>
      <c r="R437" s="649"/>
      <c r="S437" s="649"/>
      <c r="T437" s="649"/>
      <c r="U437" s="649"/>
      <c r="V437" s="649"/>
      <c r="W437" s="649"/>
      <c r="X437" s="649"/>
      <c r="Y437" s="649"/>
      <c r="Z437" s="649"/>
      <c r="AA437" s="630"/>
      <c r="AB437" s="630"/>
      <c r="AC437" s="630"/>
    </row>
    <row r="438" spans="1:68" ht="27" customHeight="1" x14ac:dyDescent="0.25">
      <c r="A438" s="54" t="s">
        <v>718</v>
      </c>
      <c r="B438" s="54" t="s">
        <v>719</v>
      </c>
      <c r="C438" s="31">
        <v>4301020178</v>
      </c>
      <c r="D438" s="642">
        <v>4607091383980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115</v>
      </c>
      <c r="L438" s="32"/>
      <c r="M438" s="33" t="s">
        <v>116</v>
      </c>
      <c r="N438" s="33"/>
      <c r="O438" s="32">
        <v>50</v>
      </c>
      <c r="P438" s="82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40"/>
      <c r="R438" s="640"/>
      <c r="S438" s="640"/>
      <c r="T438" s="641"/>
      <c r="U438" s="34"/>
      <c r="V438" s="34"/>
      <c r="W438" s="35" t="s">
        <v>68</v>
      </c>
      <c r="X438" s="635">
        <v>0</v>
      </c>
      <c r="Y438" s="636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720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721</v>
      </c>
      <c r="B439" s="54" t="s">
        <v>722</v>
      </c>
      <c r="C439" s="31">
        <v>4301020355</v>
      </c>
      <c r="D439" s="642">
        <v>4680115888425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115</v>
      </c>
      <c r="L439" s="32"/>
      <c r="M439" s="33" t="s">
        <v>116</v>
      </c>
      <c r="N439" s="33"/>
      <c r="O439" s="32">
        <v>50</v>
      </c>
      <c r="P439" s="97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68</v>
      </c>
      <c r="X439" s="635">
        <v>0</v>
      </c>
      <c r="Y439" s="636">
        <f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25" t="s">
        <v>723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724</v>
      </c>
      <c r="B440" s="54" t="s">
        <v>725</v>
      </c>
      <c r="C440" s="31">
        <v>4301020179</v>
      </c>
      <c r="D440" s="642">
        <v>4607091384178</v>
      </c>
      <c r="E440" s="643"/>
      <c r="F440" s="634">
        <v>0.4</v>
      </c>
      <c r="G440" s="32">
        <v>10</v>
      </c>
      <c r="H440" s="634">
        <v>4</v>
      </c>
      <c r="I440" s="634">
        <v>4.1900000000000004</v>
      </c>
      <c r="J440" s="32">
        <v>132</v>
      </c>
      <c r="K440" s="32" t="s">
        <v>124</v>
      </c>
      <c r="L440" s="32"/>
      <c r="M440" s="33" t="s">
        <v>116</v>
      </c>
      <c r="N440" s="33"/>
      <c r="O440" s="32">
        <v>50</v>
      </c>
      <c r="P440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40"/>
      <c r="R440" s="640"/>
      <c r="S440" s="640"/>
      <c r="T440" s="641"/>
      <c r="U440" s="34"/>
      <c r="V440" s="34"/>
      <c r="W440" s="35" t="s">
        <v>68</v>
      </c>
      <c r="X440" s="635">
        <v>0</v>
      </c>
      <c r="Y440" s="636">
        <f>IFERROR(IF(X440="",0,CEILING((X440/$H440),1)*$H440),"")</f>
        <v>0</v>
      </c>
      <c r="Z440" s="36" t="str">
        <f>IFERROR(IF(Y440=0,"",ROUNDUP(Y440/H440,0)*0.00902),"")</f>
        <v/>
      </c>
      <c r="AA440" s="56"/>
      <c r="AB440" s="57"/>
      <c r="AC440" s="527" t="s">
        <v>726</v>
      </c>
      <c r="AG440" s="64"/>
      <c r="AJ440" s="68"/>
      <c r="AK440" s="68">
        <v>0</v>
      </c>
      <c r="BB440" s="528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65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66"/>
      <c r="P441" s="653" t="s">
        <v>73</v>
      </c>
      <c r="Q441" s="654"/>
      <c r="R441" s="654"/>
      <c r="S441" s="654"/>
      <c r="T441" s="654"/>
      <c r="U441" s="654"/>
      <c r="V441" s="655"/>
      <c r="W441" s="37" t="s">
        <v>74</v>
      </c>
      <c r="X441" s="637">
        <f>IFERROR(X438/H438,"0")+IFERROR(X439/H439,"0")+IFERROR(X440/H440,"0")</f>
        <v>0</v>
      </c>
      <c r="Y441" s="637">
        <f>IFERROR(Y438/H438,"0")+IFERROR(Y439/H439,"0")+IFERROR(Y440/H440,"0")</f>
        <v>0</v>
      </c>
      <c r="Z441" s="637">
        <f>IFERROR(IF(Z438="",0,Z438),"0")+IFERROR(IF(Z439="",0,Z439),"0")+IFERROR(IF(Z440="",0,Z440),"0")</f>
        <v>0</v>
      </c>
      <c r="AA441" s="638"/>
      <c r="AB441" s="638"/>
      <c r="AC441" s="638"/>
    </row>
    <row r="442" spans="1:68" x14ac:dyDescent="0.2">
      <c r="A442" s="649"/>
      <c r="B442" s="649"/>
      <c r="C442" s="649"/>
      <c r="D442" s="649"/>
      <c r="E442" s="649"/>
      <c r="F442" s="649"/>
      <c r="G442" s="649"/>
      <c r="H442" s="649"/>
      <c r="I442" s="649"/>
      <c r="J442" s="649"/>
      <c r="K442" s="649"/>
      <c r="L442" s="649"/>
      <c r="M442" s="649"/>
      <c r="N442" s="649"/>
      <c r="O442" s="666"/>
      <c r="P442" s="653" t="s">
        <v>73</v>
      </c>
      <c r="Q442" s="654"/>
      <c r="R442" s="654"/>
      <c r="S442" s="654"/>
      <c r="T442" s="654"/>
      <c r="U442" s="654"/>
      <c r="V442" s="655"/>
      <c r="W442" s="37" t="s">
        <v>68</v>
      </c>
      <c r="X442" s="637">
        <f>IFERROR(SUM(X438:X440),"0")</f>
        <v>0</v>
      </c>
      <c r="Y442" s="637">
        <f>IFERROR(SUM(Y438:Y440),"0")</f>
        <v>0</v>
      </c>
      <c r="Z442" s="37"/>
      <c r="AA442" s="638"/>
      <c r="AB442" s="638"/>
      <c r="AC442" s="638"/>
    </row>
    <row r="443" spans="1:68" ht="14.25" customHeight="1" x14ac:dyDescent="0.25">
      <c r="A443" s="652" t="s">
        <v>75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630"/>
      <c r="AB443" s="630"/>
      <c r="AC443" s="630"/>
    </row>
    <row r="444" spans="1:68" ht="27" customHeight="1" x14ac:dyDescent="0.25">
      <c r="A444" s="54" t="s">
        <v>727</v>
      </c>
      <c r="B444" s="54" t="s">
        <v>728</v>
      </c>
      <c r="C444" s="31">
        <v>4301051903</v>
      </c>
      <c r="D444" s="642">
        <v>4607091383928</v>
      </c>
      <c r="E444" s="643"/>
      <c r="F444" s="634">
        <v>1.5</v>
      </c>
      <c r="G444" s="32">
        <v>6</v>
      </c>
      <c r="H444" s="634">
        <v>9</v>
      </c>
      <c r="I444" s="634">
        <v>9.5</v>
      </c>
      <c r="J444" s="32">
        <v>64</v>
      </c>
      <c r="K444" s="32" t="s">
        <v>115</v>
      </c>
      <c r="L444" s="32"/>
      <c r="M444" s="33" t="s">
        <v>79</v>
      </c>
      <c r="N444" s="33"/>
      <c r="O444" s="32">
        <v>40</v>
      </c>
      <c r="P444" s="10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68</v>
      </c>
      <c r="X444" s="635">
        <v>0</v>
      </c>
      <c r="Y444" s="636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729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customHeight="1" x14ac:dyDescent="0.25">
      <c r="A445" s="54" t="s">
        <v>730</v>
      </c>
      <c r="B445" s="54" t="s">
        <v>731</v>
      </c>
      <c r="C445" s="31">
        <v>4301051897</v>
      </c>
      <c r="D445" s="642">
        <v>4607091384260</v>
      </c>
      <c r="E445" s="643"/>
      <c r="F445" s="634">
        <v>1.5</v>
      </c>
      <c r="G445" s="32">
        <v>6</v>
      </c>
      <c r="H445" s="634">
        <v>9</v>
      </c>
      <c r="I445" s="634">
        <v>9.4939999999999998</v>
      </c>
      <c r="J445" s="32">
        <v>64</v>
      </c>
      <c r="K445" s="32" t="s">
        <v>115</v>
      </c>
      <c r="L445" s="32"/>
      <c r="M445" s="33" t="s">
        <v>79</v>
      </c>
      <c r="N445" s="33"/>
      <c r="O445" s="32">
        <v>40</v>
      </c>
      <c r="P445" s="6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68</v>
      </c>
      <c r="X445" s="635">
        <v>0</v>
      </c>
      <c r="Y445" s="636">
        <f>IFERROR(IF(X445="",0,CEILING((X445/$H445),1)*$H445),"")</f>
        <v>0</v>
      </c>
      <c r="Z445" s="36" t="str">
        <f>IFERROR(IF(Y445=0,"",ROUNDUP(Y445/H445,0)*0.01898),"")</f>
        <v/>
      </c>
      <c r="AA445" s="56"/>
      <c r="AB445" s="57"/>
      <c r="AC445" s="531" t="s">
        <v>732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733</v>
      </c>
      <c r="B446" s="54" t="s">
        <v>734</v>
      </c>
      <c r="C446" s="31">
        <v>4301052220</v>
      </c>
      <c r="D446" s="642">
        <v>4680115889538</v>
      </c>
      <c r="E446" s="643"/>
      <c r="F446" s="634">
        <v>0.8</v>
      </c>
      <c r="G446" s="32">
        <v>6</v>
      </c>
      <c r="H446" s="634">
        <v>4.8</v>
      </c>
      <c r="I446" s="634">
        <v>5.2160000000000002</v>
      </c>
      <c r="J446" s="32">
        <v>104</v>
      </c>
      <c r="K446" s="32" t="s">
        <v>115</v>
      </c>
      <c r="L446" s="32"/>
      <c r="M446" s="33" t="s">
        <v>79</v>
      </c>
      <c r="N446" s="33"/>
      <c r="O446" s="32">
        <v>45</v>
      </c>
      <c r="P446" s="8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40"/>
      <c r="R446" s="640"/>
      <c r="S446" s="640"/>
      <c r="T446" s="641"/>
      <c r="U446" s="34"/>
      <c r="V446" s="34"/>
      <c r="W446" s="35" t="s">
        <v>68</v>
      </c>
      <c r="X446" s="635">
        <v>0</v>
      </c>
      <c r="Y446" s="636">
        <f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533" t="s">
        <v>735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65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66"/>
      <c r="P447" s="653" t="s">
        <v>73</v>
      </c>
      <c r="Q447" s="654"/>
      <c r="R447" s="654"/>
      <c r="S447" s="654"/>
      <c r="T447" s="654"/>
      <c r="U447" s="654"/>
      <c r="V447" s="655"/>
      <c r="W447" s="37" t="s">
        <v>74</v>
      </c>
      <c r="X447" s="637">
        <f>IFERROR(X444/H444,"0")+IFERROR(X445/H445,"0")+IFERROR(X446/H446,"0")</f>
        <v>0</v>
      </c>
      <c r="Y447" s="637">
        <f>IFERROR(Y444/H444,"0")+IFERROR(Y445/H445,"0")+IFERROR(Y446/H446,"0")</f>
        <v>0</v>
      </c>
      <c r="Z447" s="637">
        <f>IFERROR(IF(Z444="",0,Z444),"0")+IFERROR(IF(Z445="",0,Z445),"0")+IFERROR(IF(Z446="",0,Z446),"0")</f>
        <v>0</v>
      </c>
      <c r="AA447" s="638"/>
      <c r="AB447" s="638"/>
      <c r="AC447" s="638"/>
    </row>
    <row r="448" spans="1:68" x14ac:dyDescent="0.2">
      <c r="A448" s="649"/>
      <c r="B448" s="649"/>
      <c r="C448" s="649"/>
      <c r="D448" s="649"/>
      <c r="E448" s="649"/>
      <c r="F448" s="649"/>
      <c r="G448" s="649"/>
      <c r="H448" s="649"/>
      <c r="I448" s="649"/>
      <c r="J448" s="649"/>
      <c r="K448" s="649"/>
      <c r="L448" s="649"/>
      <c r="M448" s="649"/>
      <c r="N448" s="649"/>
      <c r="O448" s="666"/>
      <c r="P448" s="653" t="s">
        <v>73</v>
      </c>
      <c r="Q448" s="654"/>
      <c r="R448" s="654"/>
      <c r="S448" s="654"/>
      <c r="T448" s="654"/>
      <c r="U448" s="654"/>
      <c r="V448" s="655"/>
      <c r="W448" s="37" t="s">
        <v>68</v>
      </c>
      <c r="X448" s="637">
        <f>IFERROR(SUM(X444:X446),"0")</f>
        <v>0</v>
      </c>
      <c r="Y448" s="637">
        <f>IFERROR(SUM(Y444:Y446),"0")</f>
        <v>0</v>
      </c>
      <c r="Z448" s="37"/>
      <c r="AA448" s="638"/>
      <c r="AB448" s="638"/>
      <c r="AC448" s="638"/>
    </row>
    <row r="449" spans="1:68" ht="14.25" customHeight="1" x14ac:dyDescent="0.25">
      <c r="A449" s="652" t="s">
        <v>165</v>
      </c>
      <c r="B449" s="649"/>
      <c r="C449" s="649"/>
      <c r="D449" s="649"/>
      <c r="E449" s="649"/>
      <c r="F449" s="649"/>
      <c r="G449" s="649"/>
      <c r="H449" s="649"/>
      <c r="I449" s="649"/>
      <c r="J449" s="649"/>
      <c r="K449" s="649"/>
      <c r="L449" s="649"/>
      <c r="M449" s="649"/>
      <c r="N449" s="649"/>
      <c r="O449" s="649"/>
      <c r="P449" s="649"/>
      <c r="Q449" s="649"/>
      <c r="R449" s="649"/>
      <c r="S449" s="649"/>
      <c r="T449" s="649"/>
      <c r="U449" s="649"/>
      <c r="V449" s="649"/>
      <c r="W449" s="649"/>
      <c r="X449" s="649"/>
      <c r="Y449" s="649"/>
      <c r="Z449" s="649"/>
      <c r="AA449" s="630"/>
      <c r="AB449" s="630"/>
      <c r="AC449" s="630"/>
    </row>
    <row r="450" spans="1:68" ht="27" customHeight="1" x14ac:dyDescent="0.25">
      <c r="A450" s="54" t="s">
        <v>736</v>
      </c>
      <c r="B450" s="54" t="s">
        <v>737</v>
      </c>
      <c r="C450" s="31">
        <v>4301060537</v>
      </c>
      <c r="D450" s="642">
        <v>4680115889545</v>
      </c>
      <c r="E450" s="643"/>
      <c r="F450" s="634">
        <v>0.7</v>
      </c>
      <c r="G450" s="32">
        <v>6</v>
      </c>
      <c r="H450" s="634">
        <v>4.2</v>
      </c>
      <c r="I450" s="634">
        <v>4.6159999999999997</v>
      </c>
      <c r="J450" s="32">
        <v>104</v>
      </c>
      <c r="K450" s="32" t="s">
        <v>115</v>
      </c>
      <c r="L450" s="32"/>
      <c r="M450" s="33" t="s">
        <v>79</v>
      </c>
      <c r="N450" s="33"/>
      <c r="O450" s="32">
        <v>30</v>
      </c>
      <c r="P450" s="8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40"/>
      <c r="R450" s="640"/>
      <c r="S450" s="640"/>
      <c r="T450" s="641"/>
      <c r="U450" s="34"/>
      <c r="V450" s="34"/>
      <c r="W450" s="35" t="s">
        <v>68</v>
      </c>
      <c r="X450" s="635">
        <v>0</v>
      </c>
      <c r="Y450" s="636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35" t="s">
        <v>738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739</v>
      </c>
      <c r="B451" s="54" t="s">
        <v>740</v>
      </c>
      <c r="C451" s="31">
        <v>4301060524</v>
      </c>
      <c r="D451" s="642">
        <v>4607091384673</v>
      </c>
      <c r="E451" s="643"/>
      <c r="F451" s="634">
        <v>1.5</v>
      </c>
      <c r="G451" s="32">
        <v>6</v>
      </c>
      <c r="H451" s="634">
        <v>9</v>
      </c>
      <c r="I451" s="634">
        <v>9.4939999999999998</v>
      </c>
      <c r="J451" s="32">
        <v>64</v>
      </c>
      <c r="K451" s="32" t="s">
        <v>115</v>
      </c>
      <c r="L451" s="32"/>
      <c r="M451" s="33" t="s">
        <v>79</v>
      </c>
      <c r="N451" s="33"/>
      <c r="O451" s="32">
        <v>40</v>
      </c>
      <c r="P451" s="83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40"/>
      <c r="R451" s="640"/>
      <c r="S451" s="640"/>
      <c r="T451" s="641"/>
      <c r="U451" s="34"/>
      <c r="V451" s="34"/>
      <c r="W451" s="35" t="s">
        <v>68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7" t="s">
        <v>741</v>
      </c>
      <c r="AG451" s="64"/>
      <c r="AJ451" s="68"/>
      <c r="AK451" s="68">
        <v>0</v>
      </c>
      <c r="BB451" s="538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65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66"/>
      <c r="P452" s="653" t="s">
        <v>73</v>
      </c>
      <c r="Q452" s="654"/>
      <c r="R452" s="654"/>
      <c r="S452" s="654"/>
      <c r="T452" s="654"/>
      <c r="U452" s="654"/>
      <c r="V452" s="655"/>
      <c r="W452" s="37" t="s">
        <v>74</v>
      </c>
      <c r="X452" s="637">
        <f>IFERROR(X450/H450,"0")+IFERROR(X451/H451,"0")</f>
        <v>0</v>
      </c>
      <c r="Y452" s="637">
        <f>IFERROR(Y450/H450,"0")+IFERROR(Y451/H451,"0")</f>
        <v>0</v>
      </c>
      <c r="Z452" s="637">
        <f>IFERROR(IF(Z450="",0,Z450),"0")+IFERROR(IF(Z451="",0,Z451),"0")</f>
        <v>0</v>
      </c>
      <c r="AA452" s="638"/>
      <c r="AB452" s="638"/>
      <c r="AC452" s="638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66"/>
      <c r="P453" s="653" t="s">
        <v>73</v>
      </c>
      <c r="Q453" s="654"/>
      <c r="R453" s="654"/>
      <c r="S453" s="654"/>
      <c r="T453" s="654"/>
      <c r="U453" s="654"/>
      <c r="V453" s="655"/>
      <c r="W453" s="37" t="s">
        <v>68</v>
      </c>
      <c r="X453" s="637">
        <f>IFERROR(SUM(X450:X451),"0")</f>
        <v>0</v>
      </c>
      <c r="Y453" s="637">
        <f>IFERROR(SUM(Y450:Y451),"0")</f>
        <v>0</v>
      </c>
      <c r="Z453" s="37"/>
      <c r="AA453" s="638"/>
      <c r="AB453" s="638"/>
      <c r="AC453" s="638"/>
    </row>
    <row r="454" spans="1:68" ht="16.5" customHeight="1" x14ac:dyDescent="0.25">
      <c r="A454" s="648" t="s">
        <v>742</v>
      </c>
      <c r="B454" s="649"/>
      <c r="C454" s="649"/>
      <c r="D454" s="649"/>
      <c r="E454" s="649"/>
      <c r="F454" s="649"/>
      <c r="G454" s="649"/>
      <c r="H454" s="649"/>
      <c r="I454" s="649"/>
      <c r="J454" s="649"/>
      <c r="K454" s="649"/>
      <c r="L454" s="649"/>
      <c r="M454" s="649"/>
      <c r="N454" s="649"/>
      <c r="O454" s="649"/>
      <c r="P454" s="649"/>
      <c r="Q454" s="649"/>
      <c r="R454" s="649"/>
      <c r="S454" s="649"/>
      <c r="T454" s="649"/>
      <c r="U454" s="649"/>
      <c r="V454" s="649"/>
      <c r="W454" s="649"/>
      <c r="X454" s="649"/>
      <c r="Y454" s="649"/>
      <c r="Z454" s="649"/>
      <c r="AA454" s="629"/>
      <c r="AB454" s="629"/>
      <c r="AC454" s="629"/>
    </row>
    <row r="455" spans="1:68" ht="14.25" customHeight="1" x14ac:dyDescent="0.25">
      <c r="A455" s="652" t="s">
        <v>112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0"/>
      <c r="AB455" s="630"/>
      <c r="AC455" s="630"/>
    </row>
    <row r="456" spans="1:68" ht="27" customHeight="1" x14ac:dyDescent="0.25">
      <c r="A456" s="54" t="s">
        <v>743</v>
      </c>
      <c r="B456" s="54" t="s">
        <v>744</v>
      </c>
      <c r="C456" s="31">
        <v>4301011875</v>
      </c>
      <c r="D456" s="642">
        <v>4680115884885</v>
      </c>
      <c r="E456" s="643"/>
      <c r="F456" s="634">
        <v>0.8</v>
      </c>
      <c r="G456" s="32">
        <v>15</v>
      </c>
      <c r="H456" s="634">
        <v>12</v>
      </c>
      <c r="I456" s="634">
        <v>12.41</v>
      </c>
      <c r="J456" s="32">
        <v>64</v>
      </c>
      <c r="K456" s="32" t="s">
        <v>115</v>
      </c>
      <c r="L456" s="32"/>
      <c r="M456" s="33" t="s">
        <v>67</v>
      </c>
      <c r="N456" s="33"/>
      <c r="O456" s="32">
        <v>60</v>
      </c>
      <c r="P456" s="7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68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9" t="s">
        <v>745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37.5" customHeight="1" x14ac:dyDescent="0.25">
      <c r="A457" s="54" t="s">
        <v>746</v>
      </c>
      <c r="B457" s="54" t="s">
        <v>747</v>
      </c>
      <c r="C457" s="31">
        <v>4301011871</v>
      </c>
      <c r="D457" s="642">
        <v>4680115884908</v>
      </c>
      <c r="E457" s="643"/>
      <c r="F457" s="634">
        <v>0.4</v>
      </c>
      <c r="G457" s="32">
        <v>10</v>
      </c>
      <c r="H457" s="634">
        <v>4</v>
      </c>
      <c r="I457" s="634">
        <v>4.1900000000000004</v>
      </c>
      <c r="J457" s="32">
        <v>132</v>
      </c>
      <c r="K457" s="32" t="s">
        <v>124</v>
      </c>
      <c r="L457" s="32"/>
      <c r="M457" s="33" t="s">
        <v>67</v>
      </c>
      <c r="N457" s="33"/>
      <c r="O457" s="32">
        <v>60</v>
      </c>
      <c r="P457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40"/>
      <c r="R457" s="640"/>
      <c r="S457" s="640"/>
      <c r="T457" s="641"/>
      <c r="U457" s="34"/>
      <c r="V457" s="34"/>
      <c r="W457" s="35" t="s">
        <v>68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41" t="s">
        <v>745</v>
      </c>
      <c r="AG457" s="64"/>
      <c r="AJ457" s="68"/>
      <c r="AK457" s="68">
        <v>0</v>
      </c>
      <c r="BB457" s="542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65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66"/>
      <c r="P458" s="653" t="s">
        <v>73</v>
      </c>
      <c r="Q458" s="654"/>
      <c r="R458" s="654"/>
      <c r="S458" s="654"/>
      <c r="T458" s="654"/>
      <c r="U458" s="654"/>
      <c r="V458" s="655"/>
      <c r="W458" s="37" t="s">
        <v>74</v>
      </c>
      <c r="X458" s="637">
        <f>IFERROR(X456/H456,"0")+IFERROR(X457/H457,"0")</f>
        <v>0</v>
      </c>
      <c r="Y458" s="637">
        <f>IFERROR(Y456/H456,"0")+IFERROR(Y457/H457,"0")</f>
        <v>0</v>
      </c>
      <c r="Z458" s="637">
        <f>IFERROR(IF(Z456="",0,Z456),"0")+IFERROR(IF(Z457="",0,Z457),"0")</f>
        <v>0</v>
      </c>
      <c r="AA458" s="638"/>
      <c r="AB458" s="638"/>
      <c r="AC458" s="638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66"/>
      <c r="P459" s="653" t="s">
        <v>73</v>
      </c>
      <c r="Q459" s="654"/>
      <c r="R459" s="654"/>
      <c r="S459" s="654"/>
      <c r="T459" s="654"/>
      <c r="U459" s="654"/>
      <c r="V459" s="655"/>
      <c r="W459" s="37" t="s">
        <v>68</v>
      </c>
      <c r="X459" s="637">
        <f>IFERROR(SUM(X456:X457),"0")</f>
        <v>0</v>
      </c>
      <c r="Y459" s="637">
        <f>IFERROR(SUM(Y456:Y457),"0")</f>
        <v>0</v>
      </c>
      <c r="Z459" s="37"/>
      <c r="AA459" s="638"/>
      <c r="AB459" s="638"/>
      <c r="AC459" s="638"/>
    </row>
    <row r="460" spans="1:68" ht="14.25" customHeight="1" x14ac:dyDescent="0.25">
      <c r="A460" s="652" t="s">
        <v>63</v>
      </c>
      <c r="B460" s="649"/>
      <c r="C460" s="649"/>
      <c r="D460" s="649"/>
      <c r="E460" s="649"/>
      <c r="F460" s="649"/>
      <c r="G460" s="649"/>
      <c r="H460" s="649"/>
      <c r="I460" s="649"/>
      <c r="J460" s="649"/>
      <c r="K460" s="649"/>
      <c r="L460" s="649"/>
      <c r="M460" s="649"/>
      <c r="N460" s="649"/>
      <c r="O460" s="649"/>
      <c r="P460" s="649"/>
      <c r="Q460" s="649"/>
      <c r="R460" s="649"/>
      <c r="S460" s="649"/>
      <c r="T460" s="649"/>
      <c r="U460" s="649"/>
      <c r="V460" s="649"/>
      <c r="W460" s="649"/>
      <c r="X460" s="649"/>
      <c r="Y460" s="649"/>
      <c r="Z460" s="649"/>
      <c r="AA460" s="630"/>
      <c r="AB460" s="630"/>
      <c r="AC460" s="630"/>
    </row>
    <row r="461" spans="1:68" ht="27" customHeight="1" x14ac:dyDescent="0.25">
      <c r="A461" s="54" t="s">
        <v>748</v>
      </c>
      <c r="B461" s="54" t="s">
        <v>749</v>
      </c>
      <c r="C461" s="31">
        <v>4301031457</v>
      </c>
      <c r="D461" s="642">
        <v>4607091384802</v>
      </c>
      <c r="E461" s="643"/>
      <c r="F461" s="634">
        <v>0.7</v>
      </c>
      <c r="G461" s="32">
        <v>6</v>
      </c>
      <c r="H461" s="634">
        <v>4.2</v>
      </c>
      <c r="I461" s="634">
        <v>4.45</v>
      </c>
      <c r="J461" s="32">
        <v>132</v>
      </c>
      <c r="K461" s="32" t="s">
        <v>124</v>
      </c>
      <c r="L461" s="32"/>
      <c r="M461" s="33" t="s">
        <v>67</v>
      </c>
      <c r="N461" s="33"/>
      <c r="O461" s="32">
        <v>50</v>
      </c>
      <c r="P461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40"/>
      <c r="R461" s="640"/>
      <c r="S461" s="640"/>
      <c r="T461" s="641"/>
      <c r="U461" s="34"/>
      <c r="V461" s="34"/>
      <c r="W461" s="35" t="s">
        <v>68</v>
      </c>
      <c r="X461" s="635">
        <v>0</v>
      </c>
      <c r="Y461" s="636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3" t="s">
        <v>750</v>
      </c>
      <c r="AG461" s="64"/>
      <c r="AJ461" s="68"/>
      <c r="AK461" s="68">
        <v>0</v>
      </c>
      <c r="BB461" s="54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65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66"/>
      <c r="P462" s="653" t="s">
        <v>73</v>
      </c>
      <c r="Q462" s="654"/>
      <c r="R462" s="654"/>
      <c r="S462" s="654"/>
      <c r="T462" s="654"/>
      <c r="U462" s="654"/>
      <c r="V462" s="655"/>
      <c r="W462" s="37" t="s">
        <v>74</v>
      </c>
      <c r="X462" s="637">
        <f>IFERROR(X461/H461,"0")</f>
        <v>0</v>
      </c>
      <c r="Y462" s="637">
        <f>IFERROR(Y461/H461,"0")</f>
        <v>0</v>
      </c>
      <c r="Z462" s="637">
        <f>IFERROR(IF(Z461="",0,Z461),"0")</f>
        <v>0</v>
      </c>
      <c r="AA462" s="638"/>
      <c r="AB462" s="638"/>
      <c r="AC462" s="638"/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66"/>
      <c r="P463" s="653" t="s">
        <v>73</v>
      </c>
      <c r="Q463" s="654"/>
      <c r="R463" s="654"/>
      <c r="S463" s="654"/>
      <c r="T463" s="654"/>
      <c r="U463" s="654"/>
      <c r="V463" s="655"/>
      <c r="W463" s="37" t="s">
        <v>68</v>
      </c>
      <c r="X463" s="637">
        <f>IFERROR(SUM(X461:X461),"0")</f>
        <v>0</v>
      </c>
      <c r="Y463" s="637">
        <f>IFERROR(SUM(Y461:Y461),"0")</f>
        <v>0</v>
      </c>
      <c r="Z463" s="37"/>
      <c r="AA463" s="638"/>
      <c r="AB463" s="638"/>
      <c r="AC463" s="638"/>
    </row>
    <row r="464" spans="1:68" ht="14.25" customHeight="1" x14ac:dyDescent="0.25">
      <c r="A464" s="652" t="s">
        <v>75</v>
      </c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49"/>
      <c r="P464" s="649"/>
      <c r="Q464" s="649"/>
      <c r="R464" s="649"/>
      <c r="S464" s="649"/>
      <c r="T464" s="649"/>
      <c r="U464" s="649"/>
      <c r="V464" s="649"/>
      <c r="W464" s="649"/>
      <c r="X464" s="649"/>
      <c r="Y464" s="649"/>
      <c r="Z464" s="649"/>
      <c r="AA464" s="630"/>
      <c r="AB464" s="630"/>
      <c r="AC464" s="630"/>
    </row>
    <row r="465" spans="1:68" ht="27" customHeight="1" x14ac:dyDescent="0.25">
      <c r="A465" s="54" t="s">
        <v>751</v>
      </c>
      <c r="B465" s="54" t="s">
        <v>752</v>
      </c>
      <c r="C465" s="31">
        <v>4301051899</v>
      </c>
      <c r="D465" s="642">
        <v>4607091384246</v>
      </c>
      <c r="E465" s="643"/>
      <c r="F465" s="634">
        <v>1.5</v>
      </c>
      <c r="G465" s="32">
        <v>6</v>
      </c>
      <c r="H465" s="634">
        <v>9</v>
      </c>
      <c r="I465" s="634">
        <v>9.4939999999999998</v>
      </c>
      <c r="J465" s="32">
        <v>64</v>
      </c>
      <c r="K465" s="32" t="s">
        <v>115</v>
      </c>
      <c r="L465" s="32"/>
      <c r="M465" s="33" t="s">
        <v>79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68</v>
      </c>
      <c r="X465" s="635">
        <v>5000</v>
      </c>
      <c r="Y465" s="636">
        <f>IFERROR(IF(X465="",0,CEILING((X465/$H465),1)*$H465),"")</f>
        <v>5004</v>
      </c>
      <c r="Z465" s="36">
        <f>IFERROR(IF(Y465=0,"",ROUNDUP(Y465/H465,0)*0.01898),"")</f>
        <v>10.55288</v>
      </c>
      <c r="AA465" s="56"/>
      <c r="AB465" s="57"/>
      <c r="AC465" s="545" t="s">
        <v>753</v>
      </c>
      <c r="AG465" s="64"/>
      <c r="AJ465" s="68"/>
      <c r="AK465" s="68">
        <v>0</v>
      </c>
      <c r="BB465" s="546" t="s">
        <v>1</v>
      </c>
      <c r="BM465" s="64">
        <f>IFERROR(X465*I465/H465,"0")</f>
        <v>5274.4444444444443</v>
      </c>
      <c r="BN465" s="64">
        <f>IFERROR(Y465*I465/H465,"0")</f>
        <v>5278.6640000000007</v>
      </c>
      <c r="BO465" s="64">
        <f>IFERROR(1/J465*(X465/H465),"0")</f>
        <v>8.6805555555555554</v>
      </c>
      <c r="BP465" s="64">
        <f>IFERROR(1/J465*(Y465/H465),"0")</f>
        <v>8.6875</v>
      </c>
    </row>
    <row r="466" spans="1:68" ht="27" customHeight="1" x14ac:dyDescent="0.25">
      <c r="A466" s="54" t="s">
        <v>754</v>
      </c>
      <c r="B466" s="54" t="s">
        <v>755</v>
      </c>
      <c r="C466" s="31">
        <v>4301051660</v>
      </c>
      <c r="D466" s="642">
        <v>4607091384253</v>
      </c>
      <c r="E466" s="643"/>
      <c r="F466" s="634">
        <v>0.4</v>
      </c>
      <c r="G466" s="32">
        <v>6</v>
      </c>
      <c r="H466" s="634">
        <v>2.4</v>
      </c>
      <c r="I466" s="634">
        <v>2.6640000000000001</v>
      </c>
      <c r="J466" s="32">
        <v>182</v>
      </c>
      <c r="K466" s="32" t="s">
        <v>78</v>
      </c>
      <c r="L466" s="32"/>
      <c r="M466" s="33" t="s">
        <v>79</v>
      </c>
      <c r="N466" s="33"/>
      <c r="O466" s="32">
        <v>40</v>
      </c>
      <c r="P466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40"/>
      <c r="R466" s="640"/>
      <c r="S466" s="640"/>
      <c r="T466" s="641"/>
      <c r="U466" s="34"/>
      <c r="V466" s="34"/>
      <c r="W466" s="35" t="s">
        <v>68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754</v>
      </c>
      <c r="B467" s="54" t="s">
        <v>756</v>
      </c>
      <c r="C467" s="31">
        <v>4301052069</v>
      </c>
      <c r="D467" s="642">
        <v>4607091384253</v>
      </c>
      <c r="E467" s="643"/>
      <c r="F467" s="634">
        <v>0.4</v>
      </c>
      <c r="G467" s="32">
        <v>6</v>
      </c>
      <c r="H467" s="634">
        <v>2.4</v>
      </c>
      <c r="I467" s="634">
        <v>2.6640000000000001</v>
      </c>
      <c r="J467" s="32">
        <v>182</v>
      </c>
      <c r="K467" s="32" t="s">
        <v>78</v>
      </c>
      <c r="L467" s="32"/>
      <c r="M467" s="33" t="s">
        <v>79</v>
      </c>
      <c r="N467" s="33"/>
      <c r="O467" s="32">
        <v>40</v>
      </c>
      <c r="P467" s="7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40"/>
      <c r="R467" s="640"/>
      <c r="S467" s="640"/>
      <c r="T467" s="641"/>
      <c r="U467" s="34"/>
      <c r="V467" s="34"/>
      <c r="W467" s="35" t="s">
        <v>68</v>
      </c>
      <c r="X467" s="635">
        <v>0</v>
      </c>
      <c r="Y467" s="636">
        <f>IFERROR(IF(X467="",0,CEILING((X467/$H467),1)*$H467),"")</f>
        <v>0</v>
      </c>
      <c r="Z467" s="36" t="str">
        <f>IFERROR(IF(Y467=0,"",ROUNDUP(Y467/H467,0)*0.00651),"")</f>
        <v/>
      </c>
      <c r="AA467" s="56"/>
      <c r="AB467" s="57"/>
      <c r="AC467" s="549" t="s">
        <v>757</v>
      </c>
      <c r="AG467" s="64"/>
      <c r="AJ467" s="68"/>
      <c r="AK467" s="68">
        <v>0</v>
      </c>
      <c r="BB467" s="55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65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66"/>
      <c r="P468" s="653" t="s">
        <v>73</v>
      </c>
      <c r="Q468" s="654"/>
      <c r="R468" s="654"/>
      <c r="S468" s="654"/>
      <c r="T468" s="654"/>
      <c r="U468" s="654"/>
      <c r="V468" s="655"/>
      <c r="W468" s="37" t="s">
        <v>74</v>
      </c>
      <c r="X468" s="637">
        <f>IFERROR(X465/H465,"0")+IFERROR(X466/H466,"0")+IFERROR(X467/H467,"0")</f>
        <v>555.55555555555554</v>
      </c>
      <c r="Y468" s="637">
        <f>IFERROR(Y465/H465,"0")+IFERROR(Y466/H466,"0")+IFERROR(Y467/H467,"0")</f>
        <v>556</v>
      </c>
      <c r="Z468" s="637">
        <f>IFERROR(IF(Z465="",0,Z465),"0")+IFERROR(IF(Z466="",0,Z466),"0")+IFERROR(IF(Z467="",0,Z467),"0")</f>
        <v>10.55288</v>
      </c>
      <c r="AA468" s="638"/>
      <c r="AB468" s="638"/>
      <c r="AC468" s="638"/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66"/>
      <c r="P469" s="653" t="s">
        <v>73</v>
      </c>
      <c r="Q469" s="654"/>
      <c r="R469" s="654"/>
      <c r="S469" s="654"/>
      <c r="T469" s="654"/>
      <c r="U469" s="654"/>
      <c r="V469" s="655"/>
      <c r="W469" s="37" t="s">
        <v>68</v>
      </c>
      <c r="X469" s="637">
        <f>IFERROR(SUM(X465:X467),"0")</f>
        <v>5000</v>
      </c>
      <c r="Y469" s="637">
        <f>IFERROR(SUM(Y465:Y467),"0")</f>
        <v>5004</v>
      </c>
      <c r="Z469" s="37"/>
      <c r="AA469" s="638"/>
      <c r="AB469" s="638"/>
      <c r="AC469" s="638"/>
    </row>
    <row r="470" spans="1:68" ht="27.75" customHeight="1" x14ac:dyDescent="0.2">
      <c r="A470" s="650" t="s">
        <v>758</v>
      </c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1"/>
      <c r="P470" s="651"/>
      <c r="Q470" s="651"/>
      <c r="R470" s="651"/>
      <c r="S470" s="651"/>
      <c r="T470" s="651"/>
      <c r="U470" s="651"/>
      <c r="V470" s="651"/>
      <c r="W470" s="651"/>
      <c r="X470" s="651"/>
      <c r="Y470" s="651"/>
      <c r="Z470" s="651"/>
      <c r="AA470" s="48"/>
      <c r="AB470" s="48"/>
      <c r="AC470" s="48"/>
    </row>
    <row r="471" spans="1:68" ht="16.5" customHeight="1" x14ac:dyDescent="0.25">
      <c r="A471" s="648" t="s">
        <v>759</v>
      </c>
      <c r="B471" s="649"/>
      <c r="C471" s="649"/>
      <c r="D471" s="649"/>
      <c r="E471" s="649"/>
      <c r="F471" s="649"/>
      <c r="G471" s="649"/>
      <c r="H471" s="649"/>
      <c r="I471" s="649"/>
      <c r="J471" s="649"/>
      <c r="K471" s="649"/>
      <c r="L471" s="649"/>
      <c r="M471" s="649"/>
      <c r="N471" s="649"/>
      <c r="O471" s="649"/>
      <c r="P471" s="649"/>
      <c r="Q471" s="649"/>
      <c r="R471" s="649"/>
      <c r="S471" s="649"/>
      <c r="T471" s="649"/>
      <c r="U471" s="649"/>
      <c r="V471" s="649"/>
      <c r="W471" s="649"/>
      <c r="X471" s="649"/>
      <c r="Y471" s="649"/>
      <c r="Z471" s="649"/>
      <c r="AA471" s="629"/>
      <c r="AB471" s="629"/>
      <c r="AC471" s="629"/>
    </row>
    <row r="472" spans="1:68" ht="14.25" customHeight="1" x14ac:dyDescent="0.25">
      <c r="A472" s="652" t="s">
        <v>63</v>
      </c>
      <c r="B472" s="649"/>
      <c r="C472" s="649"/>
      <c r="D472" s="649"/>
      <c r="E472" s="649"/>
      <c r="F472" s="649"/>
      <c r="G472" s="649"/>
      <c r="H472" s="649"/>
      <c r="I472" s="649"/>
      <c r="J472" s="649"/>
      <c r="K472" s="649"/>
      <c r="L472" s="649"/>
      <c r="M472" s="649"/>
      <c r="N472" s="649"/>
      <c r="O472" s="649"/>
      <c r="P472" s="649"/>
      <c r="Q472" s="649"/>
      <c r="R472" s="649"/>
      <c r="S472" s="649"/>
      <c r="T472" s="649"/>
      <c r="U472" s="649"/>
      <c r="V472" s="649"/>
      <c r="W472" s="649"/>
      <c r="X472" s="649"/>
      <c r="Y472" s="649"/>
      <c r="Z472" s="649"/>
      <c r="AA472" s="630"/>
      <c r="AB472" s="630"/>
      <c r="AC472" s="630"/>
    </row>
    <row r="473" spans="1:68" ht="27" customHeight="1" x14ac:dyDescent="0.25">
      <c r="A473" s="54" t="s">
        <v>760</v>
      </c>
      <c r="B473" s="54" t="s">
        <v>761</v>
      </c>
      <c r="C473" s="31">
        <v>4301031405</v>
      </c>
      <c r="D473" s="642">
        <v>4680115886100</v>
      </c>
      <c r="E473" s="643"/>
      <c r="F473" s="634">
        <v>0.9</v>
      </c>
      <c r="G473" s="32">
        <v>6</v>
      </c>
      <c r="H473" s="634">
        <v>5.4</v>
      </c>
      <c r="I473" s="634">
        <v>5.59</v>
      </c>
      <c r="J473" s="32">
        <v>132</v>
      </c>
      <c r="K473" s="32" t="s">
        <v>124</v>
      </c>
      <c r="L473" s="32"/>
      <c r="M473" s="33" t="s">
        <v>67</v>
      </c>
      <c r="N473" s="33"/>
      <c r="O473" s="32">
        <v>50</v>
      </c>
      <c r="P473" s="7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68</v>
      </c>
      <c r="X473" s="635">
        <v>0</v>
      </c>
      <c r="Y473" s="636">
        <f t="shared" ref="Y473:Y478" si="63"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51" t="s">
        <v>762</v>
      </c>
      <c r="AG473" s="64"/>
      <c r="AJ473" s="68"/>
      <c r="AK473" s="68">
        <v>0</v>
      </c>
      <c r="BB473" s="552" t="s">
        <v>1</v>
      </c>
      <c r="BM473" s="64">
        <f t="shared" ref="BM473:BM478" si="64">IFERROR(X473*I473/H473,"0")</f>
        <v>0</v>
      </c>
      <c r="BN473" s="64">
        <f t="shared" ref="BN473:BN478" si="65">IFERROR(Y473*I473/H473,"0")</f>
        <v>0</v>
      </c>
      <c r="BO473" s="64">
        <f t="shared" ref="BO473:BO478" si="66">IFERROR(1/J473*(X473/H473),"0")</f>
        <v>0</v>
      </c>
      <c r="BP473" s="64">
        <f t="shared" ref="BP473:BP478" si="67">IFERROR(1/J473*(Y473/H473),"0")</f>
        <v>0</v>
      </c>
    </row>
    <row r="474" spans="1:68" ht="27" customHeight="1" x14ac:dyDescent="0.25">
      <c r="A474" s="54" t="s">
        <v>763</v>
      </c>
      <c r="B474" s="54" t="s">
        <v>764</v>
      </c>
      <c r="C474" s="31">
        <v>4301031402</v>
      </c>
      <c r="D474" s="642">
        <v>4680115886124</v>
      </c>
      <c r="E474" s="643"/>
      <c r="F474" s="634">
        <v>0.9</v>
      </c>
      <c r="G474" s="32">
        <v>6</v>
      </c>
      <c r="H474" s="634">
        <v>5.4</v>
      </c>
      <c r="I474" s="634">
        <v>5.59</v>
      </c>
      <c r="J474" s="32">
        <v>132</v>
      </c>
      <c r="K474" s="32" t="s">
        <v>124</v>
      </c>
      <c r="L474" s="32"/>
      <c r="M474" s="33" t="s">
        <v>67</v>
      </c>
      <c r="N474" s="33"/>
      <c r="O474" s="32">
        <v>50</v>
      </c>
      <c r="P474" s="7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40"/>
      <c r="R474" s="640"/>
      <c r="S474" s="640"/>
      <c r="T474" s="641"/>
      <c r="U474" s="34"/>
      <c r="V474" s="34"/>
      <c r="W474" s="35" t="s">
        <v>68</v>
      </c>
      <c r="X474" s="635">
        <v>0</v>
      </c>
      <c r="Y474" s="636">
        <f t="shared" si="63"/>
        <v>0</v>
      </c>
      <c r="Z474" s="36" t="str">
        <f>IFERROR(IF(Y474=0,"",ROUNDUP(Y474/H474,0)*0.00902),"")</f>
        <v/>
      </c>
      <c r="AA474" s="56"/>
      <c r="AB474" s="57"/>
      <c r="AC474" s="553" t="s">
        <v>765</v>
      </c>
      <c r="AG474" s="64"/>
      <c r="AJ474" s="68"/>
      <c r="AK474" s="68">
        <v>0</v>
      </c>
      <c r="BB474" s="554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766</v>
      </c>
      <c r="B475" s="54" t="s">
        <v>767</v>
      </c>
      <c r="C475" s="31">
        <v>4301031362</v>
      </c>
      <c r="D475" s="642">
        <v>4607091384338</v>
      </c>
      <c r="E475" s="643"/>
      <c r="F475" s="634">
        <v>0.35</v>
      </c>
      <c r="G475" s="32">
        <v>6</v>
      </c>
      <c r="H475" s="634">
        <v>2.1</v>
      </c>
      <c r="I475" s="634">
        <v>2.23</v>
      </c>
      <c r="J475" s="32">
        <v>234</v>
      </c>
      <c r="K475" s="32" t="s">
        <v>66</v>
      </c>
      <c r="L475" s="32"/>
      <c r="M475" s="33" t="s">
        <v>67</v>
      </c>
      <c r="N475" s="33"/>
      <c r="O475" s="32">
        <v>50</v>
      </c>
      <c r="P475" s="9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40"/>
      <c r="R475" s="640"/>
      <c r="S475" s="640"/>
      <c r="T475" s="641"/>
      <c r="U475" s="34"/>
      <c r="V475" s="34"/>
      <c r="W475" s="35" t="s">
        <v>68</v>
      </c>
      <c r="X475" s="635">
        <v>0</v>
      </c>
      <c r="Y475" s="636">
        <f t="shared" si="63"/>
        <v>0</v>
      </c>
      <c r="Z475" s="36" t="str">
        <f>IFERROR(IF(Y475=0,"",ROUNDUP(Y475/H475,0)*0.00502),"")</f>
        <v/>
      </c>
      <c r="AA475" s="56"/>
      <c r="AB475" s="57"/>
      <c r="AC475" s="555" t="s">
        <v>762</v>
      </c>
      <c r="AG475" s="64"/>
      <c r="AJ475" s="68"/>
      <c r="AK475" s="68">
        <v>0</v>
      </c>
      <c r="BB475" s="556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768</v>
      </c>
      <c r="B476" s="54" t="s">
        <v>769</v>
      </c>
      <c r="C476" s="31">
        <v>4301031364</v>
      </c>
      <c r="D476" s="642">
        <v>4680115883161</v>
      </c>
      <c r="E476" s="643"/>
      <c r="F476" s="634">
        <v>0.28000000000000003</v>
      </c>
      <c r="G476" s="32">
        <v>6</v>
      </c>
      <c r="H476" s="634">
        <v>1.68</v>
      </c>
      <c r="I476" s="634">
        <v>1.81</v>
      </c>
      <c r="J476" s="32">
        <v>234</v>
      </c>
      <c r="K476" s="32" t="s">
        <v>66</v>
      </c>
      <c r="L476" s="32"/>
      <c r="M476" s="33" t="s">
        <v>67</v>
      </c>
      <c r="N476" s="33"/>
      <c r="O476" s="32">
        <v>50</v>
      </c>
      <c r="P476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40"/>
      <c r="R476" s="640"/>
      <c r="S476" s="640"/>
      <c r="T476" s="641"/>
      <c r="U476" s="34"/>
      <c r="V476" s="34"/>
      <c r="W476" s="35" t="s">
        <v>68</v>
      </c>
      <c r="X476" s="635">
        <v>0</v>
      </c>
      <c r="Y476" s="636">
        <f t="shared" si="63"/>
        <v>0</v>
      </c>
      <c r="Z476" s="36" t="str">
        <f>IFERROR(IF(Y476=0,"",ROUNDUP(Y476/H476,0)*0.00502),"")</f>
        <v/>
      </c>
      <c r="AA476" s="56"/>
      <c r="AB476" s="57"/>
      <c r="AC476" s="557" t="s">
        <v>770</v>
      </c>
      <c r="AG476" s="64"/>
      <c r="AJ476" s="68"/>
      <c r="AK476" s="68">
        <v>0</v>
      </c>
      <c r="BB476" s="558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customHeight="1" x14ac:dyDescent="0.25">
      <c r="A477" s="54" t="s">
        <v>771</v>
      </c>
      <c r="B477" s="54" t="s">
        <v>772</v>
      </c>
      <c r="C477" s="31">
        <v>4301031358</v>
      </c>
      <c r="D477" s="642">
        <v>4607091389531</v>
      </c>
      <c r="E477" s="643"/>
      <c r="F477" s="634">
        <v>0.35</v>
      </c>
      <c r="G477" s="32">
        <v>6</v>
      </c>
      <c r="H477" s="634">
        <v>2.1</v>
      </c>
      <c r="I477" s="634">
        <v>2.23</v>
      </c>
      <c r="J477" s="32">
        <v>234</v>
      </c>
      <c r="K477" s="32" t="s">
        <v>66</v>
      </c>
      <c r="L477" s="32"/>
      <c r="M477" s="33" t="s">
        <v>67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40"/>
      <c r="R477" s="640"/>
      <c r="S477" s="640"/>
      <c r="T477" s="641"/>
      <c r="U477" s="34"/>
      <c r="V477" s="34"/>
      <c r="W477" s="35" t="s">
        <v>68</v>
      </c>
      <c r="X477" s="635">
        <v>0</v>
      </c>
      <c r="Y477" s="636">
        <f t="shared" si="63"/>
        <v>0</v>
      </c>
      <c r="Z477" s="36" t="str">
        <f>IFERROR(IF(Y477=0,"",ROUNDUP(Y477/H477,0)*0.00502),"")</f>
        <v/>
      </c>
      <c r="AA477" s="56"/>
      <c r="AB477" s="57"/>
      <c r="AC477" s="559" t="s">
        <v>773</v>
      </c>
      <c r="AG477" s="64"/>
      <c r="AJ477" s="68"/>
      <c r="AK477" s="68">
        <v>0</v>
      </c>
      <c r="BB477" s="560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37.5" customHeight="1" x14ac:dyDescent="0.25">
      <c r="A478" s="54" t="s">
        <v>774</v>
      </c>
      <c r="B478" s="54" t="s">
        <v>775</v>
      </c>
      <c r="C478" s="31">
        <v>4301031360</v>
      </c>
      <c r="D478" s="642">
        <v>4607091384345</v>
      </c>
      <c r="E478" s="643"/>
      <c r="F478" s="634">
        <v>0.35</v>
      </c>
      <c r="G478" s="32">
        <v>6</v>
      </c>
      <c r="H478" s="634">
        <v>2.1</v>
      </c>
      <c r="I478" s="634">
        <v>2.23</v>
      </c>
      <c r="J478" s="32">
        <v>234</v>
      </c>
      <c r="K478" s="32" t="s">
        <v>66</v>
      </c>
      <c r="L478" s="32"/>
      <c r="M478" s="33" t="s">
        <v>67</v>
      </c>
      <c r="N478" s="33"/>
      <c r="O478" s="32">
        <v>50</v>
      </c>
      <c r="P478" s="9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40"/>
      <c r="R478" s="640"/>
      <c r="S478" s="640"/>
      <c r="T478" s="641"/>
      <c r="U478" s="34"/>
      <c r="V478" s="34"/>
      <c r="W478" s="35" t="s">
        <v>68</v>
      </c>
      <c r="X478" s="635">
        <v>0</v>
      </c>
      <c r="Y478" s="636">
        <f t="shared" si="63"/>
        <v>0</v>
      </c>
      <c r="Z478" s="36" t="str">
        <f>IFERROR(IF(Y478=0,"",ROUNDUP(Y478/H478,0)*0.00502),"")</f>
        <v/>
      </c>
      <c r="AA478" s="56"/>
      <c r="AB478" s="57"/>
      <c r="AC478" s="561" t="s">
        <v>770</v>
      </c>
      <c r="AG478" s="64"/>
      <c r="AJ478" s="68"/>
      <c r="AK478" s="68">
        <v>0</v>
      </c>
      <c r="BB478" s="562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x14ac:dyDescent="0.2">
      <c r="A479" s="665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66"/>
      <c r="P479" s="653" t="s">
        <v>73</v>
      </c>
      <c r="Q479" s="654"/>
      <c r="R479" s="654"/>
      <c r="S479" s="654"/>
      <c r="T479" s="654"/>
      <c r="U479" s="654"/>
      <c r="V479" s="655"/>
      <c r="W479" s="37" t="s">
        <v>74</v>
      </c>
      <c r="X479" s="637">
        <f>IFERROR(X473/H473,"0")+IFERROR(X474/H474,"0")+IFERROR(X475/H475,"0")+IFERROR(X476/H476,"0")+IFERROR(X477/H477,"0")+IFERROR(X478/H478,"0")</f>
        <v>0</v>
      </c>
      <c r="Y479" s="637">
        <f>IFERROR(Y473/H473,"0")+IFERROR(Y474/H474,"0")+IFERROR(Y475/H475,"0")+IFERROR(Y476/H476,"0")+IFERROR(Y477/H477,"0")+IFERROR(Y478/H478,"0")</f>
        <v>0</v>
      </c>
      <c r="Z479" s="637">
        <f>IFERROR(IF(Z473="",0,Z473),"0")+IFERROR(IF(Z474="",0,Z474),"0")+IFERROR(IF(Z475="",0,Z475),"0")+IFERROR(IF(Z476="",0,Z476),"0")+IFERROR(IF(Z477="",0,Z477),"0")+IFERROR(IF(Z478="",0,Z478),"0")</f>
        <v>0</v>
      </c>
      <c r="AA479" s="638"/>
      <c r="AB479" s="638"/>
      <c r="AC479" s="638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66"/>
      <c r="P480" s="653" t="s">
        <v>73</v>
      </c>
      <c r="Q480" s="654"/>
      <c r="R480" s="654"/>
      <c r="S480" s="654"/>
      <c r="T480" s="654"/>
      <c r="U480" s="654"/>
      <c r="V480" s="655"/>
      <c r="W480" s="37" t="s">
        <v>68</v>
      </c>
      <c r="X480" s="637">
        <f>IFERROR(SUM(X473:X478),"0")</f>
        <v>0</v>
      </c>
      <c r="Y480" s="637">
        <f>IFERROR(SUM(Y473:Y478),"0")</f>
        <v>0</v>
      </c>
      <c r="Z480" s="37"/>
      <c r="AA480" s="638"/>
      <c r="AB480" s="638"/>
      <c r="AC480" s="638"/>
    </row>
    <row r="481" spans="1:68" ht="14.25" customHeight="1" x14ac:dyDescent="0.25">
      <c r="A481" s="652" t="s">
        <v>75</v>
      </c>
      <c r="B481" s="649"/>
      <c r="C481" s="649"/>
      <c r="D481" s="649"/>
      <c r="E481" s="649"/>
      <c r="F481" s="649"/>
      <c r="G481" s="649"/>
      <c r="H481" s="649"/>
      <c r="I481" s="649"/>
      <c r="J481" s="649"/>
      <c r="K481" s="649"/>
      <c r="L481" s="649"/>
      <c r="M481" s="649"/>
      <c r="N481" s="649"/>
      <c r="O481" s="649"/>
      <c r="P481" s="649"/>
      <c r="Q481" s="649"/>
      <c r="R481" s="649"/>
      <c r="S481" s="649"/>
      <c r="T481" s="649"/>
      <c r="U481" s="649"/>
      <c r="V481" s="649"/>
      <c r="W481" s="649"/>
      <c r="X481" s="649"/>
      <c r="Y481" s="649"/>
      <c r="Z481" s="649"/>
      <c r="AA481" s="630"/>
      <c r="AB481" s="630"/>
      <c r="AC481" s="630"/>
    </row>
    <row r="482" spans="1:68" ht="27" customHeight="1" x14ac:dyDescent="0.25">
      <c r="A482" s="54" t="s">
        <v>776</v>
      </c>
      <c r="B482" s="54" t="s">
        <v>777</v>
      </c>
      <c r="C482" s="31">
        <v>4301051284</v>
      </c>
      <c r="D482" s="642">
        <v>4607091384352</v>
      </c>
      <c r="E482" s="643"/>
      <c r="F482" s="634">
        <v>0.6</v>
      </c>
      <c r="G482" s="32">
        <v>4</v>
      </c>
      <c r="H482" s="634">
        <v>2.4</v>
      </c>
      <c r="I482" s="634">
        <v>2.6259999999999999</v>
      </c>
      <c r="J482" s="32">
        <v>132</v>
      </c>
      <c r="K482" s="32" t="s">
        <v>124</v>
      </c>
      <c r="L482" s="32"/>
      <c r="M482" s="33" t="s">
        <v>79</v>
      </c>
      <c r="N482" s="33"/>
      <c r="O482" s="32">
        <v>45</v>
      </c>
      <c r="P482" s="7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40"/>
      <c r="R482" s="640"/>
      <c r="S482" s="640"/>
      <c r="T482" s="641"/>
      <c r="U482" s="34"/>
      <c r="V482" s="34"/>
      <c r="W482" s="35" t="s">
        <v>68</v>
      </c>
      <c r="X482" s="635">
        <v>0</v>
      </c>
      <c r="Y482" s="636">
        <f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63" t="s">
        <v>778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779</v>
      </c>
      <c r="B483" s="54" t="s">
        <v>780</v>
      </c>
      <c r="C483" s="31">
        <v>4301051431</v>
      </c>
      <c r="D483" s="642">
        <v>4607091389654</v>
      </c>
      <c r="E483" s="643"/>
      <c r="F483" s="634">
        <v>0.33</v>
      </c>
      <c r="G483" s="32">
        <v>6</v>
      </c>
      <c r="H483" s="634">
        <v>1.98</v>
      </c>
      <c r="I483" s="634">
        <v>2.238</v>
      </c>
      <c r="J483" s="32">
        <v>182</v>
      </c>
      <c r="K483" s="32" t="s">
        <v>78</v>
      </c>
      <c r="L483" s="32"/>
      <c r="M483" s="33" t="s">
        <v>79</v>
      </c>
      <c r="N483" s="33"/>
      <c r="O483" s="32">
        <v>45</v>
      </c>
      <c r="P483" s="9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40"/>
      <c r="R483" s="640"/>
      <c r="S483" s="640"/>
      <c r="T483" s="641"/>
      <c r="U483" s="34"/>
      <c r="V483" s="34"/>
      <c r="W483" s="35" t="s">
        <v>68</v>
      </c>
      <c r="X483" s="635">
        <v>0</v>
      </c>
      <c r="Y483" s="636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65" t="s">
        <v>781</v>
      </c>
      <c r="AG483" s="64"/>
      <c r="AJ483" s="68"/>
      <c r="AK483" s="68">
        <v>0</v>
      </c>
      <c r="BB483" s="566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65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66"/>
      <c r="P484" s="653" t="s">
        <v>73</v>
      </c>
      <c r="Q484" s="654"/>
      <c r="R484" s="654"/>
      <c r="S484" s="654"/>
      <c r="T484" s="654"/>
      <c r="U484" s="654"/>
      <c r="V484" s="655"/>
      <c r="W484" s="37" t="s">
        <v>74</v>
      </c>
      <c r="X484" s="637">
        <f>IFERROR(X482/H482,"0")+IFERROR(X483/H483,"0")</f>
        <v>0</v>
      </c>
      <c r="Y484" s="637">
        <f>IFERROR(Y482/H482,"0")+IFERROR(Y483/H483,"0")</f>
        <v>0</v>
      </c>
      <c r="Z484" s="637">
        <f>IFERROR(IF(Z482="",0,Z482),"0")+IFERROR(IF(Z483="",0,Z483),"0")</f>
        <v>0</v>
      </c>
      <c r="AA484" s="638"/>
      <c r="AB484" s="638"/>
      <c r="AC484" s="638"/>
    </row>
    <row r="485" spans="1:68" x14ac:dyDescent="0.2">
      <c r="A485" s="649"/>
      <c r="B485" s="649"/>
      <c r="C485" s="649"/>
      <c r="D485" s="649"/>
      <c r="E485" s="649"/>
      <c r="F485" s="649"/>
      <c r="G485" s="649"/>
      <c r="H485" s="649"/>
      <c r="I485" s="649"/>
      <c r="J485" s="649"/>
      <c r="K485" s="649"/>
      <c r="L485" s="649"/>
      <c r="M485" s="649"/>
      <c r="N485" s="649"/>
      <c r="O485" s="666"/>
      <c r="P485" s="653" t="s">
        <v>73</v>
      </c>
      <c r="Q485" s="654"/>
      <c r="R485" s="654"/>
      <c r="S485" s="654"/>
      <c r="T485" s="654"/>
      <c r="U485" s="654"/>
      <c r="V485" s="655"/>
      <c r="W485" s="37" t="s">
        <v>68</v>
      </c>
      <c r="X485" s="637">
        <f>IFERROR(SUM(X482:X483),"0")</f>
        <v>0</v>
      </c>
      <c r="Y485" s="637">
        <f>IFERROR(SUM(Y482:Y483),"0")</f>
        <v>0</v>
      </c>
      <c r="Z485" s="37"/>
      <c r="AA485" s="638"/>
      <c r="AB485" s="638"/>
      <c r="AC485" s="638"/>
    </row>
    <row r="486" spans="1:68" ht="16.5" customHeight="1" x14ac:dyDescent="0.25">
      <c r="A486" s="648" t="s">
        <v>782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29"/>
      <c r="AB486" s="629"/>
      <c r="AC486" s="629"/>
    </row>
    <row r="487" spans="1:68" ht="14.25" customHeight="1" x14ac:dyDescent="0.25">
      <c r="A487" s="652" t="s">
        <v>148</v>
      </c>
      <c r="B487" s="649"/>
      <c r="C487" s="649"/>
      <c r="D487" s="649"/>
      <c r="E487" s="649"/>
      <c r="F487" s="649"/>
      <c r="G487" s="649"/>
      <c r="H487" s="649"/>
      <c r="I487" s="649"/>
      <c r="J487" s="649"/>
      <c r="K487" s="649"/>
      <c r="L487" s="649"/>
      <c r="M487" s="649"/>
      <c r="N487" s="649"/>
      <c r="O487" s="649"/>
      <c r="P487" s="649"/>
      <c r="Q487" s="649"/>
      <c r="R487" s="649"/>
      <c r="S487" s="649"/>
      <c r="T487" s="649"/>
      <c r="U487" s="649"/>
      <c r="V487" s="649"/>
      <c r="W487" s="649"/>
      <c r="X487" s="649"/>
      <c r="Y487" s="649"/>
      <c r="Z487" s="649"/>
      <c r="AA487" s="630"/>
      <c r="AB487" s="630"/>
      <c r="AC487" s="630"/>
    </row>
    <row r="488" spans="1:68" ht="27" customHeight="1" x14ac:dyDescent="0.25">
      <c r="A488" s="54" t="s">
        <v>783</v>
      </c>
      <c r="B488" s="54" t="s">
        <v>784</v>
      </c>
      <c r="C488" s="31">
        <v>4301020416</v>
      </c>
      <c r="D488" s="642">
        <v>4680115885240</v>
      </c>
      <c r="E488" s="643"/>
      <c r="F488" s="634">
        <v>0.35</v>
      </c>
      <c r="G488" s="32">
        <v>6</v>
      </c>
      <c r="H488" s="634">
        <v>2.1</v>
      </c>
      <c r="I488" s="634">
        <v>2.31</v>
      </c>
      <c r="J488" s="32">
        <v>182</v>
      </c>
      <c r="K488" s="32" t="s">
        <v>78</v>
      </c>
      <c r="L488" s="32"/>
      <c r="M488" s="33" t="s">
        <v>67</v>
      </c>
      <c r="N488" s="33"/>
      <c r="O488" s="32">
        <v>40</v>
      </c>
      <c r="P488" s="9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40"/>
      <c r="R488" s="640"/>
      <c r="S488" s="640"/>
      <c r="T488" s="641"/>
      <c r="U488" s="34"/>
      <c r="V488" s="34"/>
      <c r="W488" s="35" t="s">
        <v>68</v>
      </c>
      <c r="X488" s="635">
        <v>0</v>
      </c>
      <c r="Y488" s="636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67" t="s">
        <v>785</v>
      </c>
      <c r="AG488" s="64"/>
      <c r="AJ488" s="68"/>
      <c r="AK488" s="68">
        <v>0</v>
      </c>
      <c r="BB488" s="568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665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66"/>
      <c r="P489" s="653" t="s">
        <v>73</v>
      </c>
      <c r="Q489" s="654"/>
      <c r="R489" s="654"/>
      <c r="S489" s="654"/>
      <c r="T489" s="654"/>
      <c r="U489" s="654"/>
      <c r="V489" s="655"/>
      <c r="W489" s="37" t="s">
        <v>74</v>
      </c>
      <c r="X489" s="637">
        <f>IFERROR(X488/H488,"0")</f>
        <v>0</v>
      </c>
      <c r="Y489" s="637">
        <f>IFERROR(Y488/H488,"0")</f>
        <v>0</v>
      </c>
      <c r="Z489" s="637">
        <f>IFERROR(IF(Z488="",0,Z488),"0")</f>
        <v>0</v>
      </c>
      <c r="AA489" s="638"/>
      <c r="AB489" s="638"/>
      <c r="AC489" s="638"/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66"/>
      <c r="P490" s="653" t="s">
        <v>73</v>
      </c>
      <c r="Q490" s="654"/>
      <c r="R490" s="654"/>
      <c r="S490" s="654"/>
      <c r="T490" s="654"/>
      <c r="U490" s="654"/>
      <c r="V490" s="655"/>
      <c r="W490" s="37" t="s">
        <v>68</v>
      </c>
      <c r="X490" s="637">
        <f>IFERROR(SUM(X488:X488),"0")</f>
        <v>0</v>
      </c>
      <c r="Y490" s="637">
        <f>IFERROR(SUM(Y488:Y488),"0")</f>
        <v>0</v>
      </c>
      <c r="Z490" s="37"/>
      <c r="AA490" s="638"/>
      <c r="AB490" s="638"/>
      <c r="AC490" s="638"/>
    </row>
    <row r="491" spans="1:68" ht="14.25" customHeight="1" x14ac:dyDescent="0.25">
      <c r="A491" s="652" t="s">
        <v>63</v>
      </c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49"/>
      <c r="P491" s="649"/>
      <c r="Q491" s="649"/>
      <c r="R491" s="649"/>
      <c r="S491" s="649"/>
      <c r="T491" s="649"/>
      <c r="U491" s="649"/>
      <c r="V491" s="649"/>
      <c r="W491" s="649"/>
      <c r="X491" s="649"/>
      <c r="Y491" s="649"/>
      <c r="Z491" s="649"/>
      <c r="AA491" s="630"/>
      <c r="AB491" s="630"/>
      <c r="AC491" s="630"/>
    </row>
    <row r="492" spans="1:68" ht="27" customHeight="1" x14ac:dyDescent="0.25">
      <c r="A492" s="54" t="s">
        <v>786</v>
      </c>
      <c r="B492" s="54" t="s">
        <v>787</v>
      </c>
      <c r="C492" s="31">
        <v>4301031407</v>
      </c>
      <c r="D492" s="642">
        <v>4680115886094</v>
      </c>
      <c r="E492" s="643"/>
      <c r="F492" s="634">
        <v>0.9</v>
      </c>
      <c r="G492" s="32">
        <v>6</v>
      </c>
      <c r="H492" s="634">
        <v>5.4</v>
      </c>
      <c r="I492" s="634">
        <v>5.59</v>
      </c>
      <c r="J492" s="32">
        <v>132</v>
      </c>
      <c r="K492" s="32" t="s">
        <v>124</v>
      </c>
      <c r="L492" s="32"/>
      <c r="M492" s="33" t="s">
        <v>67</v>
      </c>
      <c r="N492" s="33"/>
      <c r="O492" s="32">
        <v>50</v>
      </c>
      <c r="P492" s="7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40"/>
      <c r="R492" s="640"/>
      <c r="S492" s="640"/>
      <c r="T492" s="641"/>
      <c r="U492" s="34"/>
      <c r="V492" s="34"/>
      <c r="W492" s="35" t="s">
        <v>68</v>
      </c>
      <c r="X492" s="635">
        <v>0</v>
      </c>
      <c r="Y492" s="636">
        <f>IFERROR(IF(X492="",0,CEILING((X492/$H492),1)*$H492),"")</f>
        <v>0</v>
      </c>
      <c r="Z492" s="36" t="str">
        <f>IFERROR(IF(Y492=0,"",ROUNDUP(Y492/H492,0)*0.00902),"")</f>
        <v/>
      </c>
      <c r="AA492" s="56"/>
      <c r="AB492" s="57"/>
      <c r="AC492" s="569" t="s">
        <v>788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789</v>
      </c>
      <c r="B493" s="54" t="s">
        <v>790</v>
      </c>
      <c r="C493" s="31">
        <v>4301031373</v>
      </c>
      <c r="D493" s="642">
        <v>4680115880771</v>
      </c>
      <c r="E493" s="643"/>
      <c r="F493" s="634">
        <v>0.28000000000000003</v>
      </c>
      <c r="G493" s="32">
        <v>6</v>
      </c>
      <c r="H493" s="634">
        <v>1.68</v>
      </c>
      <c r="I493" s="634">
        <v>1.81</v>
      </c>
      <c r="J493" s="32">
        <v>234</v>
      </c>
      <c r="K493" s="32" t="s">
        <v>66</v>
      </c>
      <c r="L493" s="32"/>
      <c r="M493" s="33" t="s">
        <v>67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40"/>
      <c r="R493" s="640"/>
      <c r="S493" s="640"/>
      <c r="T493" s="641"/>
      <c r="U493" s="34"/>
      <c r="V493" s="34"/>
      <c r="W493" s="35" t="s">
        <v>68</v>
      </c>
      <c r="X493" s="635">
        <v>0</v>
      </c>
      <c r="Y493" s="636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791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t="27" customHeight="1" x14ac:dyDescent="0.25">
      <c r="A494" s="54" t="s">
        <v>792</v>
      </c>
      <c r="B494" s="54" t="s">
        <v>793</v>
      </c>
      <c r="C494" s="31">
        <v>4301031359</v>
      </c>
      <c r="D494" s="642">
        <v>4607091389500</v>
      </c>
      <c r="E494" s="643"/>
      <c r="F494" s="634">
        <v>0.35</v>
      </c>
      <c r="G494" s="32">
        <v>6</v>
      </c>
      <c r="H494" s="634">
        <v>2.1</v>
      </c>
      <c r="I494" s="634">
        <v>2.23</v>
      </c>
      <c r="J494" s="32">
        <v>234</v>
      </c>
      <c r="K494" s="32" t="s">
        <v>66</v>
      </c>
      <c r="L494" s="32"/>
      <c r="M494" s="33" t="s">
        <v>67</v>
      </c>
      <c r="N494" s="33"/>
      <c r="O494" s="32">
        <v>50</v>
      </c>
      <c r="P494" s="7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40"/>
      <c r="R494" s="640"/>
      <c r="S494" s="640"/>
      <c r="T494" s="641"/>
      <c r="U494" s="34"/>
      <c r="V494" s="34"/>
      <c r="W494" s="35" t="s">
        <v>68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IFERROR(IF(Y494=0,"",ROUNDUP(Y494/H494,0)*0.00502),"")</f>
        <v/>
      </c>
      <c r="AA494" s="56"/>
      <c r="AB494" s="57"/>
      <c r="AC494" s="573" t="s">
        <v>791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x14ac:dyDescent="0.2">
      <c r="A495" s="665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66"/>
      <c r="P495" s="653" t="s">
        <v>73</v>
      </c>
      <c r="Q495" s="654"/>
      <c r="R495" s="654"/>
      <c r="S495" s="654"/>
      <c r="T495" s="654"/>
      <c r="U495" s="654"/>
      <c r="V495" s="655"/>
      <c r="W495" s="37" t="s">
        <v>74</v>
      </c>
      <c r="X495" s="637">
        <f>IFERROR(X492/H492,"0")+IFERROR(X493/H493,"0")+IFERROR(X494/H494,"0")</f>
        <v>0</v>
      </c>
      <c r="Y495" s="637">
        <f>IFERROR(Y492/H492,"0")+IFERROR(Y493/H493,"0")+IFERROR(Y494/H494,"0")</f>
        <v>0</v>
      </c>
      <c r="Z495" s="637">
        <f>IFERROR(IF(Z492="",0,Z492),"0")+IFERROR(IF(Z493="",0,Z493),"0")+IFERROR(IF(Z494="",0,Z494),"0")</f>
        <v>0</v>
      </c>
      <c r="AA495" s="638"/>
      <c r="AB495" s="638"/>
      <c r="AC495" s="638"/>
    </row>
    <row r="496" spans="1:68" x14ac:dyDescent="0.2">
      <c r="A496" s="649"/>
      <c r="B496" s="649"/>
      <c r="C496" s="649"/>
      <c r="D496" s="649"/>
      <c r="E496" s="649"/>
      <c r="F496" s="649"/>
      <c r="G496" s="649"/>
      <c r="H496" s="649"/>
      <c r="I496" s="649"/>
      <c r="J496" s="649"/>
      <c r="K496" s="649"/>
      <c r="L496" s="649"/>
      <c r="M496" s="649"/>
      <c r="N496" s="649"/>
      <c r="O496" s="666"/>
      <c r="P496" s="653" t="s">
        <v>73</v>
      </c>
      <c r="Q496" s="654"/>
      <c r="R496" s="654"/>
      <c r="S496" s="654"/>
      <c r="T496" s="654"/>
      <c r="U496" s="654"/>
      <c r="V496" s="655"/>
      <c r="W496" s="37" t="s">
        <v>68</v>
      </c>
      <c r="X496" s="637">
        <f>IFERROR(SUM(X492:X494),"0")</f>
        <v>0</v>
      </c>
      <c r="Y496" s="637">
        <f>IFERROR(SUM(Y492:Y494),"0")</f>
        <v>0</v>
      </c>
      <c r="Z496" s="37"/>
      <c r="AA496" s="638"/>
      <c r="AB496" s="638"/>
      <c r="AC496" s="638"/>
    </row>
    <row r="497" spans="1:68" ht="27.75" customHeight="1" x14ac:dyDescent="0.2">
      <c r="A497" s="650" t="s">
        <v>794</v>
      </c>
      <c r="B497" s="651"/>
      <c r="C497" s="651"/>
      <c r="D497" s="651"/>
      <c r="E497" s="651"/>
      <c r="F497" s="651"/>
      <c r="G497" s="651"/>
      <c r="H497" s="651"/>
      <c r="I497" s="651"/>
      <c r="J497" s="651"/>
      <c r="K497" s="651"/>
      <c r="L497" s="651"/>
      <c r="M497" s="651"/>
      <c r="N497" s="651"/>
      <c r="O497" s="651"/>
      <c r="P497" s="651"/>
      <c r="Q497" s="651"/>
      <c r="R497" s="651"/>
      <c r="S497" s="651"/>
      <c r="T497" s="651"/>
      <c r="U497" s="651"/>
      <c r="V497" s="651"/>
      <c r="W497" s="651"/>
      <c r="X497" s="651"/>
      <c r="Y497" s="651"/>
      <c r="Z497" s="651"/>
      <c r="AA497" s="48"/>
      <c r="AB497" s="48"/>
      <c r="AC497" s="48"/>
    </row>
    <row r="498" spans="1:68" ht="16.5" customHeight="1" x14ac:dyDescent="0.25">
      <c r="A498" s="648" t="s">
        <v>794</v>
      </c>
      <c r="B498" s="649"/>
      <c r="C498" s="649"/>
      <c r="D498" s="649"/>
      <c r="E498" s="649"/>
      <c r="F498" s="649"/>
      <c r="G498" s="649"/>
      <c r="H498" s="649"/>
      <c r="I498" s="649"/>
      <c r="J498" s="649"/>
      <c r="K498" s="649"/>
      <c r="L498" s="649"/>
      <c r="M498" s="649"/>
      <c r="N498" s="649"/>
      <c r="O498" s="649"/>
      <c r="P498" s="649"/>
      <c r="Q498" s="649"/>
      <c r="R498" s="649"/>
      <c r="S498" s="649"/>
      <c r="T498" s="649"/>
      <c r="U498" s="649"/>
      <c r="V498" s="649"/>
      <c r="W498" s="649"/>
      <c r="X498" s="649"/>
      <c r="Y498" s="649"/>
      <c r="Z498" s="649"/>
      <c r="AA498" s="629"/>
      <c r="AB498" s="629"/>
      <c r="AC498" s="629"/>
    </row>
    <row r="499" spans="1:68" ht="14.25" customHeight="1" x14ac:dyDescent="0.25">
      <c r="A499" s="652" t="s">
        <v>112</v>
      </c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49"/>
      <c r="P499" s="649"/>
      <c r="Q499" s="649"/>
      <c r="R499" s="649"/>
      <c r="S499" s="649"/>
      <c r="T499" s="649"/>
      <c r="U499" s="649"/>
      <c r="V499" s="649"/>
      <c r="W499" s="649"/>
      <c r="X499" s="649"/>
      <c r="Y499" s="649"/>
      <c r="Z499" s="649"/>
      <c r="AA499" s="630"/>
      <c r="AB499" s="630"/>
      <c r="AC499" s="630"/>
    </row>
    <row r="500" spans="1:68" ht="27" customHeight="1" x14ac:dyDescent="0.25">
      <c r="A500" s="54" t="s">
        <v>795</v>
      </c>
      <c r="B500" s="54" t="s">
        <v>796</v>
      </c>
      <c r="C500" s="31">
        <v>4301011769</v>
      </c>
      <c r="D500" s="642">
        <v>4607091389067</v>
      </c>
      <c r="E500" s="643"/>
      <c r="F500" s="634">
        <v>0.88</v>
      </c>
      <c r="G500" s="32">
        <v>6</v>
      </c>
      <c r="H500" s="634">
        <v>5.28</v>
      </c>
      <c r="I500" s="634">
        <v>5.63</v>
      </c>
      <c r="J500" s="32">
        <v>104</v>
      </c>
      <c r="K500" s="32" t="s">
        <v>115</v>
      </c>
      <c r="L500" s="32"/>
      <c r="M500" s="33" t="s">
        <v>79</v>
      </c>
      <c r="N500" s="33"/>
      <c r="O500" s="32">
        <v>60</v>
      </c>
      <c r="P500" s="10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40"/>
      <c r="R500" s="640"/>
      <c r="S500" s="640"/>
      <c r="T500" s="641"/>
      <c r="U500" s="34"/>
      <c r="V500" s="34"/>
      <c r="W500" s="35" t="s">
        <v>68</v>
      </c>
      <c r="X500" s="635">
        <v>0</v>
      </c>
      <c r="Y500" s="636">
        <f t="shared" ref="Y500:Y508" si="68">IFERROR(IF(X500="",0,CEILING((X500/$H500),1)*$H500),"")</f>
        <v>0</v>
      </c>
      <c r="Z500" s="36" t="str">
        <f t="shared" ref="Z500:Z505" si="69">IFERROR(IF(Y500=0,"",ROUNDUP(Y500/H500,0)*0.01196),"")</f>
        <v/>
      </c>
      <c r="AA500" s="56"/>
      <c r="AB500" s="57"/>
      <c r="AC500" s="575" t="s">
        <v>117</v>
      </c>
      <c r="AG500" s="64"/>
      <c r="AJ500" s="68"/>
      <c r="AK500" s="68">
        <v>0</v>
      </c>
      <c r="BB500" s="576" t="s">
        <v>1</v>
      </c>
      <c r="BM500" s="64">
        <f t="shared" ref="BM500:BM508" si="70">IFERROR(X500*I500/H500,"0")</f>
        <v>0</v>
      </c>
      <c r="BN500" s="64">
        <f t="shared" ref="BN500:BN508" si="71">IFERROR(Y500*I500/H500,"0")</f>
        <v>0</v>
      </c>
      <c r="BO500" s="64">
        <f t="shared" ref="BO500:BO508" si="72">IFERROR(1/J500*(X500/H500),"0")</f>
        <v>0</v>
      </c>
      <c r="BP500" s="64">
        <f t="shared" ref="BP500:BP508" si="73">IFERROR(1/J500*(Y500/H500),"0")</f>
        <v>0</v>
      </c>
    </row>
    <row r="501" spans="1:68" ht="16.5" customHeight="1" x14ac:dyDescent="0.25">
      <c r="A501" s="54" t="s">
        <v>797</v>
      </c>
      <c r="B501" s="54" t="s">
        <v>798</v>
      </c>
      <c r="C501" s="31">
        <v>4301012380</v>
      </c>
      <c r="D501" s="642">
        <v>4680115889576</v>
      </c>
      <c r="E501" s="643"/>
      <c r="F501" s="634">
        <v>0.88</v>
      </c>
      <c r="G501" s="32">
        <v>6</v>
      </c>
      <c r="H501" s="634">
        <v>5.28</v>
      </c>
      <c r="I501" s="634">
        <v>5.63</v>
      </c>
      <c r="J501" s="32">
        <v>104</v>
      </c>
      <c r="K501" s="32" t="s">
        <v>115</v>
      </c>
      <c r="L501" s="32"/>
      <c r="M501" s="33" t="s">
        <v>116</v>
      </c>
      <c r="N501" s="33"/>
      <c r="O501" s="32">
        <v>60</v>
      </c>
      <c r="P501" s="81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40"/>
      <c r="R501" s="640"/>
      <c r="S501" s="640"/>
      <c r="T501" s="641"/>
      <c r="U501" s="34"/>
      <c r="V501" s="34"/>
      <c r="W501" s="35" t="s">
        <v>68</v>
      </c>
      <c r="X501" s="635">
        <v>0</v>
      </c>
      <c r="Y501" s="636">
        <f t="shared" si="68"/>
        <v>0</v>
      </c>
      <c r="Z501" s="36" t="str">
        <f t="shared" si="69"/>
        <v/>
      </c>
      <c r="AA501" s="56"/>
      <c r="AB501" s="57"/>
      <c r="AC501" s="577" t="s">
        <v>799</v>
      </c>
      <c r="AG501" s="64"/>
      <c r="AJ501" s="68"/>
      <c r="AK501" s="68">
        <v>0</v>
      </c>
      <c r="BB501" s="57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t="27" customHeight="1" x14ac:dyDescent="0.25">
      <c r="A502" s="54" t="s">
        <v>800</v>
      </c>
      <c r="B502" s="54" t="s">
        <v>801</v>
      </c>
      <c r="C502" s="31">
        <v>4301011961</v>
      </c>
      <c r="D502" s="642">
        <v>4680115885271</v>
      </c>
      <c r="E502" s="643"/>
      <c r="F502" s="634">
        <v>0.88</v>
      </c>
      <c r="G502" s="32">
        <v>6</v>
      </c>
      <c r="H502" s="634">
        <v>5.28</v>
      </c>
      <c r="I502" s="634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40"/>
      <c r="R502" s="640"/>
      <c r="S502" s="640"/>
      <c r="T502" s="641"/>
      <c r="U502" s="34"/>
      <c r="V502" s="34"/>
      <c r="W502" s="35" t="s">
        <v>68</v>
      </c>
      <c r="X502" s="635">
        <v>0</v>
      </c>
      <c r="Y502" s="636">
        <f t="shared" si="68"/>
        <v>0</v>
      </c>
      <c r="Z502" s="36" t="str">
        <f t="shared" si="69"/>
        <v/>
      </c>
      <c r="AA502" s="56"/>
      <c r="AB502" s="57"/>
      <c r="AC502" s="579" t="s">
        <v>802</v>
      </c>
      <c r="AG502" s="64"/>
      <c r="AJ502" s="68"/>
      <c r="AK502" s="68">
        <v>0</v>
      </c>
      <c r="BB502" s="580" t="s">
        <v>1</v>
      </c>
      <c r="BM502" s="64">
        <f t="shared" si="70"/>
        <v>0</v>
      </c>
      <c r="BN502" s="64">
        <f t="shared" si="71"/>
        <v>0</v>
      </c>
      <c r="BO502" s="64">
        <f t="shared" si="72"/>
        <v>0</v>
      </c>
      <c r="BP502" s="64">
        <f t="shared" si="73"/>
        <v>0</v>
      </c>
    </row>
    <row r="503" spans="1:68" ht="27" customHeight="1" x14ac:dyDescent="0.25">
      <c r="A503" s="54" t="s">
        <v>803</v>
      </c>
      <c r="B503" s="54" t="s">
        <v>804</v>
      </c>
      <c r="C503" s="31">
        <v>4301011369</v>
      </c>
      <c r="D503" s="642">
        <v>4680115885226</v>
      </c>
      <c r="E503" s="643"/>
      <c r="F503" s="634">
        <v>0.88</v>
      </c>
      <c r="G503" s="32">
        <v>6</v>
      </c>
      <c r="H503" s="634">
        <v>5.28</v>
      </c>
      <c r="I503" s="634">
        <v>5.63</v>
      </c>
      <c r="J503" s="32">
        <v>104</v>
      </c>
      <c r="K503" s="32" t="s">
        <v>115</v>
      </c>
      <c r="L503" s="32"/>
      <c r="M503" s="33" t="s">
        <v>116</v>
      </c>
      <c r="N503" s="33"/>
      <c r="O503" s="32">
        <v>60</v>
      </c>
      <c r="P503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40"/>
      <c r="R503" s="640"/>
      <c r="S503" s="640"/>
      <c r="T503" s="641"/>
      <c r="U503" s="34"/>
      <c r="V503" s="34"/>
      <c r="W503" s="35" t="s">
        <v>68</v>
      </c>
      <c r="X503" s="635">
        <v>0</v>
      </c>
      <c r="Y503" s="636">
        <f t="shared" si="68"/>
        <v>0</v>
      </c>
      <c r="Z503" s="36" t="str">
        <f t="shared" si="69"/>
        <v/>
      </c>
      <c r="AA503" s="56"/>
      <c r="AB503" s="57"/>
      <c r="AC503" s="581" t="s">
        <v>805</v>
      </c>
      <c r="AG503" s="64"/>
      <c r="AJ503" s="68"/>
      <c r="AK503" s="68">
        <v>0</v>
      </c>
      <c r="BB503" s="582" t="s">
        <v>1</v>
      </c>
      <c r="BM503" s="64">
        <f t="shared" si="70"/>
        <v>0</v>
      </c>
      <c r="BN503" s="64">
        <f t="shared" si="71"/>
        <v>0</v>
      </c>
      <c r="BO503" s="64">
        <f t="shared" si="72"/>
        <v>0</v>
      </c>
      <c r="BP503" s="64">
        <f t="shared" si="73"/>
        <v>0</v>
      </c>
    </row>
    <row r="504" spans="1:68" ht="16.5" customHeight="1" x14ac:dyDescent="0.25">
      <c r="A504" s="54" t="s">
        <v>806</v>
      </c>
      <c r="B504" s="54" t="s">
        <v>807</v>
      </c>
      <c r="C504" s="31">
        <v>4301011797</v>
      </c>
      <c r="D504" s="642">
        <v>4680115884502</v>
      </c>
      <c r="E504" s="643"/>
      <c r="F504" s="634">
        <v>0.88</v>
      </c>
      <c r="G504" s="32">
        <v>6</v>
      </c>
      <c r="H504" s="634">
        <v>5.28</v>
      </c>
      <c r="I504" s="634">
        <v>5.63</v>
      </c>
      <c r="J504" s="32">
        <v>104</v>
      </c>
      <c r="K504" s="32" t="s">
        <v>115</v>
      </c>
      <c r="L504" s="32"/>
      <c r="M504" s="33" t="s">
        <v>79</v>
      </c>
      <c r="N504" s="33"/>
      <c r="O504" s="32">
        <v>60</v>
      </c>
      <c r="P504" s="85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40"/>
      <c r="R504" s="640"/>
      <c r="S504" s="640"/>
      <c r="T504" s="641"/>
      <c r="U504" s="34"/>
      <c r="V504" s="34"/>
      <c r="W504" s="35" t="s">
        <v>68</v>
      </c>
      <c r="X504" s="635">
        <v>0</v>
      </c>
      <c r="Y504" s="636">
        <f t="shared" si="68"/>
        <v>0</v>
      </c>
      <c r="Z504" s="36" t="str">
        <f t="shared" si="69"/>
        <v/>
      </c>
      <c r="AA504" s="56"/>
      <c r="AB504" s="57"/>
      <c r="AC504" s="583" t="s">
        <v>808</v>
      </c>
      <c r="AG504" s="64"/>
      <c r="AJ504" s="68"/>
      <c r="AK504" s="68">
        <v>0</v>
      </c>
      <c r="BB504" s="584" t="s">
        <v>1</v>
      </c>
      <c r="BM504" s="64">
        <f t="shared" si="70"/>
        <v>0</v>
      </c>
      <c r="BN504" s="64">
        <f t="shared" si="71"/>
        <v>0</v>
      </c>
      <c r="BO504" s="64">
        <f t="shared" si="72"/>
        <v>0</v>
      </c>
      <c r="BP504" s="64">
        <f t="shared" si="73"/>
        <v>0</v>
      </c>
    </row>
    <row r="505" spans="1:68" ht="27" customHeight="1" x14ac:dyDescent="0.25">
      <c r="A505" s="54" t="s">
        <v>809</v>
      </c>
      <c r="B505" s="54" t="s">
        <v>810</v>
      </c>
      <c r="C505" s="31">
        <v>4301011771</v>
      </c>
      <c r="D505" s="642">
        <v>4607091389104</v>
      </c>
      <c r="E505" s="643"/>
      <c r="F505" s="634">
        <v>0.88</v>
      </c>
      <c r="G505" s="32">
        <v>6</v>
      </c>
      <c r="H505" s="634">
        <v>5.28</v>
      </c>
      <c r="I505" s="634">
        <v>5.63</v>
      </c>
      <c r="J505" s="32">
        <v>104</v>
      </c>
      <c r="K505" s="32" t="s">
        <v>115</v>
      </c>
      <c r="L505" s="32"/>
      <c r="M505" s="33" t="s">
        <v>116</v>
      </c>
      <c r="N505" s="33"/>
      <c r="O505" s="32">
        <v>60</v>
      </c>
      <c r="P505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40"/>
      <c r="R505" s="640"/>
      <c r="S505" s="640"/>
      <c r="T505" s="641"/>
      <c r="U505" s="34"/>
      <c r="V505" s="34"/>
      <c r="W505" s="35" t="s">
        <v>68</v>
      </c>
      <c r="X505" s="635">
        <v>0</v>
      </c>
      <c r="Y505" s="636">
        <f t="shared" si="68"/>
        <v>0</v>
      </c>
      <c r="Z505" s="36" t="str">
        <f t="shared" si="69"/>
        <v/>
      </c>
      <c r="AA505" s="56"/>
      <c r="AB505" s="57"/>
      <c r="AC505" s="585" t="s">
        <v>811</v>
      </c>
      <c r="AG505" s="64"/>
      <c r="AJ505" s="68"/>
      <c r="AK505" s="68">
        <v>0</v>
      </c>
      <c r="BB505" s="586" t="s">
        <v>1</v>
      </c>
      <c r="BM505" s="64">
        <f t="shared" si="70"/>
        <v>0</v>
      </c>
      <c r="BN505" s="64">
        <f t="shared" si="71"/>
        <v>0</v>
      </c>
      <c r="BO505" s="64">
        <f t="shared" si="72"/>
        <v>0</v>
      </c>
      <c r="BP505" s="64">
        <f t="shared" si="73"/>
        <v>0</v>
      </c>
    </row>
    <row r="506" spans="1:68" ht="27" customHeight="1" x14ac:dyDescent="0.25">
      <c r="A506" s="54" t="s">
        <v>812</v>
      </c>
      <c r="B506" s="54" t="s">
        <v>813</v>
      </c>
      <c r="C506" s="31">
        <v>4301012125</v>
      </c>
      <c r="D506" s="642">
        <v>4680115886391</v>
      </c>
      <c r="E506" s="643"/>
      <c r="F506" s="634">
        <v>0.4</v>
      </c>
      <c r="G506" s="32">
        <v>6</v>
      </c>
      <c r="H506" s="634">
        <v>2.4</v>
      </c>
      <c r="I506" s="634">
        <v>2.58</v>
      </c>
      <c r="J506" s="32">
        <v>182</v>
      </c>
      <c r="K506" s="32" t="s">
        <v>78</v>
      </c>
      <c r="L506" s="32"/>
      <c r="M506" s="33" t="s">
        <v>79</v>
      </c>
      <c r="N506" s="33"/>
      <c r="O506" s="32">
        <v>60</v>
      </c>
      <c r="P506" s="8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40"/>
      <c r="R506" s="640"/>
      <c r="S506" s="640"/>
      <c r="T506" s="641"/>
      <c r="U506" s="34"/>
      <c r="V506" s="34"/>
      <c r="W506" s="35" t="s">
        <v>68</v>
      </c>
      <c r="X506" s="635">
        <v>0</v>
      </c>
      <c r="Y506" s="636">
        <f t="shared" si="68"/>
        <v>0</v>
      </c>
      <c r="Z506" s="36" t="str">
        <f>IFERROR(IF(Y506=0,"",ROUNDUP(Y506/H506,0)*0.00651),"")</f>
        <v/>
      </c>
      <c r="AA506" s="56"/>
      <c r="AB506" s="57"/>
      <c r="AC506" s="587" t="s">
        <v>117</v>
      </c>
      <c r="AG506" s="64"/>
      <c r="AJ506" s="68"/>
      <c r="AK506" s="68">
        <v>0</v>
      </c>
      <c r="BB506" s="588" t="s">
        <v>1</v>
      </c>
      <c r="BM506" s="64">
        <f t="shared" si="70"/>
        <v>0</v>
      </c>
      <c r="BN506" s="64">
        <f t="shared" si="71"/>
        <v>0</v>
      </c>
      <c r="BO506" s="64">
        <f t="shared" si="72"/>
        <v>0</v>
      </c>
      <c r="BP506" s="64">
        <f t="shared" si="73"/>
        <v>0</v>
      </c>
    </row>
    <row r="507" spans="1:68" ht="27" customHeight="1" x14ac:dyDescent="0.25">
      <c r="A507" s="54" t="s">
        <v>814</v>
      </c>
      <c r="B507" s="54" t="s">
        <v>815</v>
      </c>
      <c r="C507" s="31">
        <v>4301012048</v>
      </c>
      <c r="D507" s="642">
        <v>4680115880603</v>
      </c>
      <c r="E507" s="643"/>
      <c r="F507" s="634">
        <v>0.6</v>
      </c>
      <c r="G507" s="32">
        <v>8</v>
      </c>
      <c r="H507" s="634">
        <v>4.8</v>
      </c>
      <c r="I507" s="634">
        <v>6.91</v>
      </c>
      <c r="J507" s="32">
        <v>132</v>
      </c>
      <c r="K507" s="32" t="s">
        <v>124</v>
      </c>
      <c r="L507" s="32"/>
      <c r="M507" s="33" t="s">
        <v>79</v>
      </c>
      <c r="N507" s="33"/>
      <c r="O507" s="32">
        <v>60</v>
      </c>
      <c r="P507" s="10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40"/>
      <c r="R507" s="640"/>
      <c r="S507" s="640"/>
      <c r="T507" s="641"/>
      <c r="U507" s="34"/>
      <c r="V507" s="34"/>
      <c r="W507" s="35" t="s">
        <v>68</v>
      </c>
      <c r="X507" s="635">
        <v>0</v>
      </c>
      <c r="Y507" s="636">
        <f t="shared" si="68"/>
        <v>0</v>
      </c>
      <c r="Z507" s="36" t="str">
        <f>IFERROR(IF(Y507=0,"",ROUNDUP(Y507/H507,0)*0.00902),"")</f>
        <v/>
      </c>
      <c r="AA507" s="56"/>
      <c r="AB507" s="57"/>
      <c r="AC507" s="589" t="s">
        <v>117</v>
      </c>
      <c r="AG507" s="64"/>
      <c r="AJ507" s="68"/>
      <c r="AK507" s="68">
        <v>0</v>
      </c>
      <c r="BB507" s="590" t="s">
        <v>1</v>
      </c>
      <c r="BM507" s="64">
        <f t="shared" si="70"/>
        <v>0</v>
      </c>
      <c r="BN507" s="64">
        <f t="shared" si="71"/>
        <v>0</v>
      </c>
      <c r="BO507" s="64">
        <f t="shared" si="72"/>
        <v>0</v>
      </c>
      <c r="BP507" s="64">
        <f t="shared" si="73"/>
        <v>0</v>
      </c>
    </row>
    <row r="508" spans="1:68" ht="27" customHeight="1" x14ac:dyDescent="0.25">
      <c r="A508" s="54" t="s">
        <v>816</v>
      </c>
      <c r="B508" s="54" t="s">
        <v>817</v>
      </c>
      <c r="C508" s="31">
        <v>4301012034</v>
      </c>
      <c r="D508" s="642">
        <v>4607091389982</v>
      </c>
      <c r="E508" s="643"/>
      <c r="F508" s="634">
        <v>0.6</v>
      </c>
      <c r="G508" s="32">
        <v>8</v>
      </c>
      <c r="H508" s="634">
        <v>4.8</v>
      </c>
      <c r="I508" s="634">
        <v>6.91</v>
      </c>
      <c r="J508" s="32">
        <v>132</v>
      </c>
      <c r="K508" s="32" t="s">
        <v>124</v>
      </c>
      <c r="L508" s="32"/>
      <c r="M508" s="33" t="s">
        <v>116</v>
      </c>
      <c r="N508" s="33"/>
      <c r="O508" s="32">
        <v>60</v>
      </c>
      <c r="P508" s="7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40"/>
      <c r="R508" s="640"/>
      <c r="S508" s="640"/>
      <c r="T508" s="641"/>
      <c r="U508" s="34"/>
      <c r="V508" s="34"/>
      <c r="W508" s="35" t="s">
        <v>68</v>
      </c>
      <c r="X508" s="635">
        <v>0</v>
      </c>
      <c r="Y508" s="636">
        <f t="shared" si="68"/>
        <v>0</v>
      </c>
      <c r="Z508" s="36" t="str">
        <f>IFERROR(IF(Y508=0,"",ROUNDUP(Y508/H508,0)*0.00902),"")</f>
        <v/>
      </c>
      <c r="AA508" s="56"/>
      <c r="AB508" s="57"/>
      <c r="AC508" s="591" t="s">
        <v>811</v>
      </c>
      <c r="AG508" s="64"/>
      <c r="AJ508" s="68"/>
      <c r="AK508" s="68">
        <v>0</v>
      </c>
      <c r="BB508" s="592" t="s">
        <v>1</v>
      </c>
      <c r="BM508" s="64">
        <f t="shared" si="70"/>
        <v>0</v>
      </c>
      <c r="BN508" s="64">
        <f t="shared" si="71"/>
        <v>0</v>
      </c>
      <c r="BO508" s="64">
        <f t="shared" si="72"/>
        <v>0</v>
      </c>
      <c r="BP508" s="64">
        <f t="shared" si="73"/>
        <v>0</v>
      </c>
    </row>
    <row r="509" spans="1:68" x14ac:dyDescent="0.2">
      <c r="A509" s="665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66"/>
      <c r="P509" s="653" t="s">
        <v>73</v>
      </c>
      <c r="Q509" s="654"/>
      <c r="R509" s="654"/>
      <c r="S509" s="654"/>
      <c r="T509" s="654"/>
      <c r="U509" s="654"/>
      <c r="V509" s="655"/>
      <c r="W509" s="37" t="s">
        <v>74</v>
      </c>
      <c r="X509" s="637">
        <f>IFERROR(X500/H500,"0")+IFERROR(X501/H501,"0")+IFERROR(X502/H502,"0")+IFERROR(X503/H503,"0")+IFERROR(X504/H504,"0")+IFERROR(X505/H505,"0")+IFERROR(X506/H506,"0")+IFERROR(X507/H507,"0")+IFERROR(X508/H508,"0")</f>
        <v>0</v>
      </c>
      <c r="Y509" s="637">
        <f>IFERROR(Y500/H500,"0")+IFERROR(Y501/H501,"0")+IFERROR(Y502/H502,"0")+IFERROR(Y503/H503,"0")+IFERROR(Y504/H504,"0")+IFERROR(Y505/H505,"0")+IFERROR(Y506/H506,"0")+IFERROR(Y507/H507,"0")+IFERROR(Y508/H508,"0")</f>
        <v>0</v>
      </c>
      <c r="Z509" s="637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38"/>
      <c r="AB509" s="638"/>
      <c r="AC509" s="638"/>
    </row>
    <row r="510" spans="1:68" x14ac:dyDescent="0.2">
      <c r="A510" s="649"/>
      <c r="B510" s="649"/>
      <c r="C510" s="649"/>
      <c r="D510" s="649"/>
      <c r="E510" s="649"/>
      <c r="F510" s="649"/>
      <c r="G510" s="649"/>
      <c r="H510" s="649"/>
      <c r="I510" s="649"/>
      <c r="J510" s="649"/>
      <c r="K510" s="649"/>
      <c r="L510" s="649"/>
      <c r="M510" s="649"/>
      <c r="N510" s="649"/>
      <c r="O510" s="666"/>
      <c r="P510" s="653" t="s">
        <v>73</v>
      </c>
      <c r="Q510" s="654"/>
      <c r="R510" s="654"/>
      <c r="S510" s="654"/>
      <c r="T510" s="654"/>
      <c r="U510" s="654"/>
      <c r="V510" s="655"/>
      <c r="W510" s="37" t="s">
        <v>68</v>
      </c>
      <c r="X510" s="637">
        <f>IFERROR(SUM(X500:X508),"0")</f>
        <v>0</v>
      </c>
      <c r="Y510" s="637">
        <f>IFERROR(SUM(Y500:Y508),"0")</f>
        <v>0</v>
      </c>
      <c r="Z510" s="37"/>
      <c r="AA510" s="638"/>
      <c r="AB510" s="638"/>
      <c r="AC510" s="638"/>
    </row>
    <row r="511" spans="1:68" ht="14.25" customHeight="1" x14ac:dyDescent="0.25">
      <c r="A511" s="652" t="s">
        <v>148</v>
      </c>
      <c r="B511" s="649"/>
      <c r="C511" s="649"/>
      <c r="D511" s="649"/>
      <c r="E511" s="649"/>
      <c r="F511" s="649"/>
      <c r="G511" s="649"/>
      <c r="H511" s="649"/>
      <c r="I511" s="649"/>
      <c r="J511" s="649"/>
      <c r="K511" s="649"/>
      <c r="L511" s="649"/>
      <c r="M511" s="649"/>
      <c r="N511" s="649"/>
      <c r="O511" s="649"/>
      <c r="P511" s="649"/>
      <c r="Q511" s="649"/>
      <c r="R511" s="649"/>
      <c r="S511" s="649"/>
      <c r="T511" s="649"/>
      <c r="U511" s="649"/>
      <c r="V511" s="649"/>
      <c r="W511" s="649"/>
      <c r="X511" s="649"/>
      <c r="Y511" s="649"/>
      <c r="Z511" s="649"/>
      <c r="AA511" s="630"/>
      <c r="AB511" s="630"/>
      <c r="AC511" s="630"/>
    </row>
    <row r="512" spans="1:68" ht="16.5" customHeight="1" x14ac:dyDescent="0.25">
      <c r="A512" s="54" t="s">
        <v>818</v>
      </c>
      <c r="B512" s="54" t="s">
        <v>819</v>
      </c>
      <c r="C512" s="31">
        <v>4301020334</v>
      </c>
      <c r="D512" s="642">
        <v>4607091388930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115</v>
      </c>
      <c r="L512" s="32"/>
      <c r="M512" s="33" t="s">
        <v>79</v>
      </c>
      <c r="N512" s="33"/>
      <c r="O512" s="32">
        <v>70</v>
      </c>
      <c r="P512" s="8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40"/>
      <c r="R512" s="640"/>
      <c r="S512" s="640"/>
      <c r="T512" s="641"/>
      <c r="U512" s="34"/>
      <c r="V512" s="34"/>
      <c r="W512" s="35" t="s">
        <v>68</v>
      </c>
      <c r="X512" s="635">
        <v>0</v>
      </c>
      <c r="Y512" s="636">
        <f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93" t="s">
        <v>820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4301020374</v>
      </c>
      <c r="D513" s="642">
        <v>4680115886407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78</v>
      </c>
      <c r="L513" s="32"/>
      <c r="M513" s="33" t="s">
        <v>116</v>
      </c>
      <c r="N513" s="33"/>
      <c r="O513" s="32">
        <v>70</v>
      </c>
      <c r="P513" s="8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68</v>
      </c>
      <c r="X513" s="635">
        <v>0</v>
      </c>
      <c r="Y513" s="636">
        <f>IFERROR(IF(X513="",0,CEILING((X513/$H513),1)*$H513),"")</f>
        <v>0</v>
      </c>
      <c r="Z513" s="36" t="str">
        <f>IFERROR(IF(Y513=0,"",ROUNDUP(Y513/H513,0)*0.00651),"")</f>
        <v/>
      </c>
      <c r="AA513" s="56"/>
      <c r="AB513" s="57"/>
      <c r="AC513" s="595" t="s">
        <v>820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t="16.5" customHeight="1" x14ac:dyDescent="0.25">
      <c r="A514" s="54" t="s">
        <v>823</v>
      </c>
      <c r="B514" s="54" t="s">
        <v>824</v>
      </c>
      <c r="C514" s="31">
        <v>4301020385</v>
      </c>
      <c r="D514" s="642">
        <v>4680115880054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124</v>
      </c>
      <c r="L514" s="32"/>
      <c r="M514" s="33" t="s">
        <v>116</v>
      </c>
      <c r="N514" s="33"/>
      <c r="O514" s="32">
        <v>70</v>
      </c>
      <c r="P514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40"/>
      <c r="R514" s="640"/>
      <c r="S514" s="640"/>
      <c r="T514" s="641"/>
      <c r="U514" s="34"/>
      <c r="V514" s="34"/>
      <c r="W514" s="35" t="s">
        <v>68</v>
      </c>
      <c r="X514" s="635">
        <v>0</v>
      </c>
      <c r="Y514" s="636">
        <f>IFERROR(IF(X514="",0,CEILING((X514/$H514),1)*$H514),"")</f>
        <v>0</v>
      </c>
      <c r="Z514" s="36" t="str">
        <f>IFERROR(IF(Y514=0,"",ROUNDUP(Y514/H514,0)*0.00902),"")</f>
        <v/>
      </c>
      <c r="AA514" s="56"/>
      <c r="AB514" s="57"/>
      <c r="AC514" s="597" t="s">
        <v>820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x14ac:dyDescent="0.2">
      <c r="A515" s="665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66"/>
      <c r="P515" s="653" t="s">
        <v>73</v>
      </c>
      <c r="Q515" s="654"/>
      <c r="R515" s="654"/>
      <c r="S515" s="654"/>
      <c r="T515" s="654"/>
      <c r="U515" s="654"/>
      <c r="V515" s="655"/>
      <c r="W515" s="37" t="s">
        <v>74</v>
      </c>
      <c r="X515" s="637">
        <f>IFERROR(X512/H512,"0")+IFERROR(X513/H513,"0")+IFERROR(X514/H514,"0")</f>
        <v>0</v>
      </c>
      <c r="Y515" s="637">
        <f>IFERROR(Y512/H512,"0")+IFERROR(Y513/H513,"0")+IFERROR(Y514/H514,"0")</f>
        <v>0</v>
      </c>
      <c r="Z515" s="637">
        <f>IFERROR(IF(Z512="",0,Z512),"0")+IFERROR(IF(Z513="",0,Z513),"0")+IFERROR(IF(Z514="",0,Z514),"0")</f>
        <v>0</v>
      </c>
      <c r="AA515" s="638"/>
      <c r="AB515" s="638"/>
      <c r="AC515" s="638"/>
    </row>
    <row r="516" spans="1:68" x14ac:dyDescent="0.2">
      <c r="A516" s="649"/>
      <c r="B516" s="649"/>
      <c r="C516" s="649"/>
      <c r="D516" s="649"/>
      <c r="E516" s="649"/>
      <c r="F516" s="649"/>
      <c r="G516" s="649"/>
      <c r="H516" s="649"/>
      <c r="I516" s="649"/>
      <c r="J516" s="649"/>
      <c r="K516" s="649"/>
      <c r="L516" s="649"/>
      <c r="M516" s="649"/>
      <c r="N516" s="649"/>
      <c r="O516" s="666"/>
      <c r="P516" s="653" t="s">
        <v>73</v>
      </c>
      <c r="Q516" s="654"/>
      <c r="R516" s="654"/>
      <c r="S516" s="654"/>
      <c r="T516" s="654"/>
      <c r="U516" s="654"/>
      <c r="V516" s="655"/>
      <c r="W516" s="37" t="s">
        <v>68</v>
      </c>
      <c r="X516" s="637">
        <f>IFERROR(SUM(X512:X514),"0")</f>
        <v>0</v>
      </c>
      <c r="Y516" s="637">
        <f>IFERROR(SUM(Y512:Y514),"0")</f>
        <v>0</v>
      </c>
      <c r="Z516" s="37"/>
      <c r="AA516" s="638"/>
      <c r="AB516" s="638"/>
      <c r="AC516" s="638"/>
    </row>
    <row r="517" spans="1:68" ht="14.25" customHeight="1" x14ac:dyDescent="0.25">
      <c r="A517" s="652" t="s">
        <v>63</v>
      </c>
      <c r="B517" s="649"/>
      <c r="C517" s="649"/>
      <c r="D517" s="649"/>
      <c r="E517" s="649"/>
      <c r="F517" s="649"/>
      <c r="G517" s="649"/>
      <c r="H517" s="649"/>
      <c r="I517" s="649"/>
      <c r="J517" s="649"/>
      <c r="K517" s="649"/>
      <c r="L517" s="649"/>
      <c r="M517" s="649"/>
      <c r="N517" s="649"/>
      <c r="O517" s="649"/>
      <c r="P517" s="649"/>
      <c r="Q517" s="649"/>
      <c r="R517" s="649"/>
      <c r="S517" s="649"/>
      <c r="T517" s="649"/>
      <c r="U517" s="649"/>
      <c r="V517" s="649"/>
      <c r="W517" s="649"/>
      <c r="X517" s="649"/>
      <c r="Y517" s="649"/>
      <c r="Z517" s="649"/>
      <c r="AA517" s="630"/>
      <c r="AB517" s="630"/>
      <c r="AC517" s="630"/>
    </row>
    <row r="518" spans="1:68" ht="27" customHeight="1" x14ac:dyDescent="0.25">
      <c r="A518" s="54" t="s">
        <v>825</v>
      </c>
      <c r="B518" s="54" t="s">
        <v>826</v>
      </c>
      <c r="C518" s="31">
        <v>4301031349</v>
      </c>
      <c r="D518" s="642">
        <v>4680115883116</v>
      </c>
      <c r="E518" s="643"/>
      <c r="F518" s="634">
        <v>0.88</v>
      </c>
      <c r="G518" s="32">
        <v>6</v>
      </c>
      <c r="H518" s="634">
        <v>5.28</v>
      </c>
      <c r="I518" s="634">
        <v>5.63</v>
      </c>
      <c r="J518" s="32">
        <v>104</v>
      </c>
      <c r="K518" s="32" t="s">
        <v>115</v>
      </c>
      <c r="L518" s="32"/>
      <c r="M518" s="33" t="s">
        <v>116</v>
      </c>
      <c r="N518" s="33"/>
      <c r="O518" s="32">
        <v>70</v>
      </c>
      <c r="P518" s="6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40"/>
      <c r="R518" s="640"/>
      <c r="S518" s="640"/>
      <c r="T518" s="641"/>
      <c r="U518" s="34"/>
      <c r="V518" s="34"/>
      <c r="W518" s="35" t="s">
        <v>68</v>
      </c>
      <c r="X518" s="635">
        <v>0</v>
      </c>
      <c r="Y518" s="636">
        <f t="shared" ref="Y518:Y524" si="74">IFERROR(IF(X518="",0,CEILING((X518/$H518),1)*$H518),"")</f>
        <v>0</v>
      </c>
      <c r="Z518" s="36" t="str">
        <f>IFERROR(IF(Y518=0,"",ROUNDUP(Y518/H518,0)*0.01196),"")</f>
        <v/>
      </c>
      <c r="AA518" s="56"/>
      <c r="AB518" s="57"/>
      <c r="AC518" s="599" t="s">
        <v>827</v>
      </c>
      <c r="AG518" s="64"/>
      <c r="AJ518" s="68"/>
      <c r="AK518" s="68">
        <v>0</v>
      </c>
      <c r="BB518" s="600" t="s">
        <v>1</v>
      </c>
      <c r="BM518" s="64">
        <f t="shared" ref="BM518:BM524" si="75">IFERROR(X518*I518/H518,"0")</f>
        <v>0</v>
      </c>
      <c r="BN518" s="64">
        <f t="shared" ref="BN518:BN524" si="76">IFERROR(Y518*I518/H518,"0")</f>
        <v>0</v>
      </c>
      <c r="BO518" s="64">
        <f t="shared" ref="BO518:BO524" si="77">IFERROR(1/J518*(X518/H518),"0")</f>
        <v>0</v>
      </c>
      <c r="BP518" s="64">
        <f t="shared" ref="BP518:BP524" si="78">IFERROR(1/J518*(Y518/H518),"0")</f>
        <v>0</v>
      </c>
    </row>
    <row r="519" spans="1:68" ht="27" customHeight="1" x14ac:dyDescent="0.25">
      <c r="A519" s="54" t="s">
        <v>828</v>
      </c>
      <c r="B519" s="54" t="s">
        <v>829</v>
      </c>
      <c r="C519" s="31">
        <v>4301031350</v>
      </c>
      <c r="D519" s="642">
        <v>4680115883093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115</v>
      </c>
      <c r="L519" s="32"/>
      <c r="M519" s="33" t="s">
        <v>67</v>
      </c>
      <c r="N519" s="33"/>
      <c r="O519" s="32">
        <v>70</v>
      </c>
      <c r="P519" s="8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40"/>
      <c r="R519" s="640"/>
      <c r="S519" s="640"/>
      <c r="T519" s="641"/>
      <c r="U519" s="34"/>
      <c r="V519" s="34"/>
      <c r="W519" s="35" t="s">
        <v>68</v>
      </c>
      <c r="X519" s="635">
        <v>0</v>
      </c>
      <c r="Y519" s="636">
        <f t="shared" si="74"/>
        <v>0</v>
      </c>
      <c r="Z519" s="36" t="str">
        <f>IFERROR(IF(Y519=0,"",ROUNDUP(Y519/H519,0)*0.01196),"")</f>
        <v/>
      </c>
      <c r="AA519" s="56"/>
      <c r="AB519" s="57"/>
      <c r="AC519" s="601" t="s">
        <v>830</v>
      </c>
      <c r="AG519" s="64"/>
      <c r="AJ519" s="68"/>
      <c r="AK519" s="68">
        <v>0</v>
      </c>
      <c r="BB519" s="60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831</v>
      </c>
      <c r="B520" s="54" t="s">
        <v>832</v>
      </c>
      <c r="C520" s="31">
        <v>4301031353</v>
      </c>
      <c r="D520" s="642">
        <v>4680115883109</v>
      </c>
      <c r="E520" s="643"/>
      <c r="F520" s="634">
        <v>0.88</v>
      </c>
      <c r="G520" s="32">
        <v>6</v>
      </c>
      <c r="H520" s="634">
        <v>5.28</v>
      </c>
      <c r="I520" s="634">
        <v>5.63</v>
      </c>
      <c r="J520" s="32">
        <v>104</v>
      </c>
      <c r="K520" s="32" t="s">
        <v>115</v>
      </c>
      <c r="L520" s="32"/>
      <c r="M520" s="33" t="s">
        <v>67</v>
      </c>
      <c r="N520" s="33"/>
      <c r="O520" s="32">
        <v>70</v>
      </c>
      <c r="P52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40"/>
      <c r="R520" s="640"/>
      <c r="S520" s="640"/>
      <c r="T520" s="641"/>
      <c r="U520" s="34"/>
      <c r="V520" s="34"/>
      <c r="W520" s="35" t="s">
        <v>68</v>
      </c>
      <c r="X520" s="635">
        <v>0</v>
      </c>
      <c r="Y520" s="636">
        <f t="shared" si="74"/>
        <v>0</v>
      </c>
      <c r="Z520" s="36" t="str">
        <f>IFERROR(IF(Y520=0,"",ROUNDUP(Y520/H520,0)*0.01196),"")</f>
        <v/>
      </c>
      <c r="AA520" s="56"/>
      <c r="AB520" s="57"/>
      <c r="AC520" s="603" t="s">
        <v>833</v>
      </c>
      <c r="AG520" s="64"/>
      <c r="AJ520" s="68"/>
      <c r="AK520" s="68">
        <v>0</v>
      </c>
      <c r="BB520" s="60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834</v>
      </c>
      <c r="B521" s="54" t="s">
        <v>835</v>
      </c>
      <c r="C521" s="31">
        <v>4301031419</v>
      </c>
      <c r="D521" s="642">
        <v>4680115882072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124</v>
      </c>
      <c r="L521" s="32"/>
      <c r="M521" s="33" t="s">
        <v>116</v>
      </c>
      <c r="N521" s="33"/>
      <c r="O521" s="32">
        <v>70</v>
      </c>
      <c r="P521" s="7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40"/>
      <c r="R521" s="640"/>
      <c r="S521" s="640"/>
      <c r="T521" s="641"/>
      <c r="U521" s="34"/>
      <c r="V521" s="34"/>
      <c r="W521" s="35" t="s">
        <v>68</v>
      </c>
      <c r="X521" s="635">
        <v>0</v>
      </c>
      <c r="Y521" s="636">
        <f t="shared" si="74"/>
        <v>0</v>
      </c>
      <c r="Z521" s="36" t="str">
        <f>IFERROR(IF(Y521=0,"",ROUNDUP(Y521/H521,0)*0.00902),"")</f>
        <v/>
      </c>
      <c r="AA521" s="56"/>
      <c r="AB521" s="57"/>
      <c r="AC521" s="605" t="s">
        <v>827</v>
      </c>
      <c r="AG521" s="64"/>
      <c r="AJ521" s="68"/>
      <c r="AK521" s="68">
        <v>0</v>
      </c>
      <c r="BB521" s="60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836</v>
      </c>
      <c r="B522" s="54" t="s">
        <v>837</v>
      </c>
      <c r="C522" s="31">
        <v>4301031352</v>
      </c>
      <c r="D522" s="642">
        <v>4680115882102</v>
      </c>
      <c r="E522" s="643"/>
      <c r="F522" s="634">
        <v>0.6</v>
      </c>
      <c r="G522" s="32">
        <v>6</v>
      </c>
      <c r="H522" s="634">
        <v>3.6</v>
      </c>
      <c r="I522" s="634">
        <v>3.79</v>
      </c>
      <c r="J522" s="32">
        <v>132</v>
      </c>
      <c r="K522" s="32" t="s">
        <v>124</v>
      </c>
      <c r="L522" s="32"/>
      <c r="M522" s="33" t="s">
        <v>67</v>
      </c>
      <c r="N522" s="33"/>
      <c r="O522" s="32">
        <v>70</v>
      </c>
      <c r="P522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68</v>
      </c>
      <c r="X522" s="635">
        <v>0</v>
      </c>
      <c r="Y522" s="636">
        <f t="shared" si="74"/>
        <v>0</v>
      </c>
      <c r="Z522" s="36" t="str">
        <f>IFERROR(IF(Y522=0,"",ROUNDUP(Y522/H522,0)*0.00902),"")</f>
        <v/>
      </c>
      <c r="AA522" s="56"/>
      <c r="AB522" s="57"/>
      <c r="AC522" s="607" t="s">
        <v>830</v>
      </c>
      <c r="AG522" s="64"/>
      <c r="AJ522" s="68"/>
      <c r="AK522" s="68">
        <v>0</v>
      </c>
      <c r="BB522" s="60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t="27" customHeight="1" x14ac:dyDescent="0.25">
      <c r="A523" s="54" t="s">
        <v>836</v>
      </c>
      <c r="B523" s="54" t="s">
        <v>838</v>
      </c>
      <c r="C523" s="31">
        <v>4301031418</v>
      </c>
      <c r="D523" s="642">
        <v>4680115882102</v>
      </c>
      <c r="E523" s="643"/>
      <c r="F523" s="634">
        <v>0.6</v>
      </c>
      <c r="G523" s="32">
        <v>8</v>
      </c>
      <c r="H523" s="634">
        <v>4.8</v>
      </c>
      <c r="I523" s="634">
        <v>6.67</v>
      </c>
      <c r="J523" s="32">
        <v>132</v>
      </c>
      <c r="K523" s="32" t="s">
        <v>124</v>
      </c>
      <c r="L523" s="32"/>
      <c r="M523" s="33" t="s">
        <v>67</v>
      </c>
      <c r="N523" s="33"/>
      <c r="O523" s="32">
        <v>70</v>
      </c>
      <c r="P523" s="7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68</v>
      </c>
      <c r="X523" s="635">
        <v>0</v>
      </c>
      <c r="Y523" s="636">
        <f t="shared" si="74"/>
        <v>0</v>
      </c>
      <c r="Z523" s="36" t="str">
        <f>IFERROR(IF(Y523=0,"",ROUNDUP(Y523/H523,0)*0.00902),"")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75"/>
        <v>0</v>
      </c>
      <c r="BN523" s="64">
        <f t="shared" si="76"/>
        <v>0</v>
      </c>
      <c r="BO523" s="64">
        <f t="shared" si="77"/>
        <v>0</v>
      </c>
      <c r="BP523" s="64">
        <f t="shared" si="78"/>
        <v>0</v>
      </c>
    </row>
    <row r="524" spans="1:68" ht="27" customHeight="1" x14ac:dyDescent="0.25">
      <c r="A524" s="54" t="s">
        <v>839</v>
      </c>
      <c r="B524" s="54" t="s">
        <v>840</v>
      </c>
      <c r="C524" s="31">
        <v>4301031417</v>
      </c>
      <c r="D524" s="642">
        <v>4680115882096</v>
      </c>
      <c r="E524" s="643"/>
      <c r="F524" s="634">
        <v>0.6</v>
      </c>
      <c r="G524" s="32">
        <v>8</v>
      </c>
      <c r="H524" s="634">
        <v>4.8</v>
      </c>
      <c r="I524" s="634">
        <v>6.67</v>
      </c>
      <c r="J524" s="32">
        <v>132</v>
      </c>
      <c r="K524" s="32" t="s">
        <v>124</v>
      </c>
      <c r="L524" s="32"/>
      <c r="M524" s="33" t="s">
        <v>67</v>
      </c>
      <c r="N524" s="33"/>
      <c r="O524" s="32">
        <v>70</v>
      </c>
      <c r="P524" s="8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40"/>
      <c r="R524" s="640"/>
      <c r="S524" s="640"/>
      <c r="T524" s="641"/>
      <c r="U524" s="34"/>
      <c r="V524" s="34"/>
      <c r="W524" s="35" t="s">
        <v>68</v>
      </c>
      <c r="X524" s="635">
        <v>0</v>
      </c>
      <c r="Y524" s="636">
        <f t="shared" si="74"/>
        <v>0</v>
      </c>
      <c r="Z524" s="36" t="str">
        <f>IFERROR(IF(Y524=0,"",ROUNDUP(Y524/H524,0)*0.00902),"")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75"/>
        <v>0</v>
      </c>
      <c r="BN524" s="64">
        <f t="shared" si="76"/>
        <v>0</v>
      </c>
      <c r="BO524" s="64">
        <f t="shared" si="77"/>
        <v>0</v>
      </c>
      <c r="BP524" s="64">
        <f t="shared" si="78"/>
        <v>0</v>
      </c>
    </row>
    <row r="525" spans="1:68" x14ac:dyDescent="0.2">
      <c r="A525" s="665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66"/>
      <c r="P525" s="653" t="s">
        <v>73</v>
      </c>
      <c r="Q525" s="654"/>
      <c r="R525" s="654"/>
      <c r="S525" s="654"/>
      <c r="T525" s="654"/>
      <c r="U525" s="654"/>
      <c r="V525" s="655"/>
      <c r="W525" s="37" t="s">
        <v>74</v>
      </c>
      <c r="X525" s="637">
        <f>IFERROR(X518/H518,"0")+IFERROR(X519/H519,"0")+IFERROR(X520/H520,"0")+IFERROR(X521/H521,"0")+IFERROR(X522/H522,"0")+IFERROR(X523/H523,"0")+IFERROR(X524/H524,"0")</f>
        <v>0</v>
      </c>
      <c r="Y525" s="637">
        <f>IFERROR(Y518/H518,"0")+IFERROR(Y519/H519,"0")+IFERROR(Y520/H520,"0")+IFERROR(Y521/H521,"0")+IFERROR(Y522/H522,"0")+IFERROR(Y523/H523,"0")+IFERROR(Y524/H524,"0")</f>
        <v>0</v>
      </c>
      <c r="Z525" s="637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38"/>
      <c r="AB525" s="638"/>
      <c r="AC525" s="638"/>
    </row>
    <row r="526" spans="1:68" x14ac:dyDescent="0.2">
      <c r="A526" s="649"/>
      <c r="B526" s="649"/>
      <c r="C526" s="649"/>
      <c r="D526" s="649"/>
      <c r="E526" s="649"/>
      <c r="F526" s="649"/>
      <c r="G526" s="649"/>
      <c r="H526" s="649"/>
      <c r="I526" s="649"/>
      <c r="J526" s="649"/>
      <c r="K526" s="649"/>
      <c r="L526" s="649"/>
      <c r="M526" s="649"/>
      <c r="N526" s="649"/>
      <c r="O526" s="666"/>
      <c r="P526" s="653" t="s">
        <v>73</v>
      </c>
      <c r="Q526" s="654"/>
      <c r="R526" s="654"/>
      <c r="S526" s="654"/>
      <c r="T526" s="654"/>
      <c r="U526" s="654"/>
      <c r="V526" s="655"/>
      <c r="W526" s="37" t="s">
        <v>68</v>
      </c>
      <c r="X526" s="637">
        <f>IFERROR(SUM(X518:X524),"0")</f>
        <v>0</v>
      </c>
      <c r="Y526" s="637">
        <f>IFERROR(SUM(Y518:Y524),"0")</f>
        <v>0</v>
      </c>
      <c r="Z526" s="37"/>
      <c r="AA526" s="638"/>
      <c r="AB526" s="638"/>
      <c r="AC526" s="638"/>
    </row>
    <row r="527" spans="1:68" ht="27.75" customHeight="1" x14ac:dyDescent="0.2">
      <c r="A527" s="650" t="s">
        <v>841</v>
      </c>
      <c r="B527" s="651"/>
      <c r="C527" s="651"/>
      <c r="D527" s="651"/>
      <c r="E527" s="651"/>
      <c r="F527" s="651"/>
      <c r="G527" s="651"/>
      <c r="H527" s="651"/>
      <c r="I527" s="651"/>
      <c r="J527" s="651"/>
      <c r="K527" s="651"/>
      <c r="L527" s="651"/>
      <c r="M527" s="651"/>
      <c r="N527" s="651"/>
      <c r="O527" s="651"/>
      <c r="P527" s="651"/>
      <c r="Q527" s="651"/>
      <c r="R527" s="651"/>
      <c r="S527" s="651"/>
      <c r="T527" s="651"/>
      <c r="U527" s="651"/>
      <c r="V527" s="651"/>
      <c r="W527" s="651"/>
      <c r="X527" s="651"/>
      <c r="Y527" s="651"/>
      <c r="Z527" s="651"/>
      <c r="AA527" s="48"/>
      <c r="AB527" s="48"/>
      <c r="AC527" s="48"/>
    </row>
    <row r="528" spans="1:68" ht="16.5" customHeight="1" x14ac:dyDescent="0.25">
      <c r="A528" s="648" t="s">
        <v>841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29"/>
      <c r="AB528" s="629"/>
      <c r="AC528" s="629"/>
    </row>
    <row r="529" spans="1:68" ht="14.25" customHeight="1" x14ac:dyDescent="0.25">
      <c r="A529" s="652" t="s">
        <v>112</v>
      </c>
      <c r="B529" s="649"/>
      <c r="C529" s="649"/>
      <c r="D529" s="649"/>
      <c r="E529" s="649"/>
      <c r="F529" s="649"/>
      <c r="G529" s="649"/>
      <c r="H529" s="649"/>
      <c r="I529" s="649"/>
      <c r="J529" s="649"/>
      <c r="K529" s="649"/>
      <c r="L529" s="649"/>
      <c r="M529" s="649"/>
      <c r="N529" s="649"/>
      <c r="O529" s="649"/>
      <c r="P529" s="649"/>
      <c r="Q529" s="649"/>
      <c r="R529" s="649"/>
      <c r="S529" s="649"/>
      <c r="T529" s="649"/>
      <c r="U529" s="649"/>
      <c r="V529" s="649"/>
      <c r="W529" s="649"/>
      <c r="X529" s="649"/>
      <c r="Y529" s="649"/>
      <c r="Z529" s="649"/>
      <c r="AA529" s="630"/>
      <c r="AB529" s="630"/>
      <c r="AC529" s="630"/>
    </row>
    <row r="530" spans="1:68" ht="27" customHeight="1" x14ac:dyDescent="0.25">
      <c r="A530" s="54" t="s">
        <v>842</v>
      </c>
      <c r="B530" s="54" t="s">
        <v>843</v>
      </c>
      <c r="C530" s="31">
        <v>4301011584</v>
      </c>
      <c r="D530" s="642">
        <v>4640242180564</v>
      </c>
      <c r="E530" s="643"/>
      <c r="F530" s="634">
        <v>1.5</v>
      </c>
      <c r="G530" s="32">
        <v>8</v>
      </c>
      <c r="H530" s="634">
        <v>12</v>
      </c>
      <c r="I530" s="634">
        <v>12.41</v>
      </c>
      <c r="J530" s="32">
        <v>64</v>
      </c>
      <c r="K530" s="32" t="s">
        <v>115</v>
      </c>
      <c r="L530" s="32"/>
      <c r="M530" s="33" t="s">
        <v>116</v>
      </c>
      <c r="N530" s="33"/>
      <c r="O530" s="32">
        <v>50</v>
      </c>
      <c r="P530" s="8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40"/>
      <c r="R530" s="640"/>
      <c r="S530" s="640"/>
      <c r="T530" s="641"/>
      <c r="U530" s="34"/>
      <c r="V530" s="34"/>
      <c r="W530" s="35" t="s">
        <v>68</v>
      </c>
      <c r="X530" s="635">
        <v>0</v>
      </c>
      <c r="Y530" s="63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613" t="s">
        <v>844</v>
      </c>
      <c r="AG530" s="64"/>
      <c r="AJ530" s="68"/>
      <c r="AK530" s="68">
        <v>0</v>
      </c>
      <c r="BB530" s="614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65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66"/>
      <c r="P531" s="653" t="s">
        <v>73</v>
      </c>
      <c r="Q531" s="654"/>
      <c r="R531" s="654"/>
      <c r="S531" s="654"/>
      <c r="T531" s="654"/>
      <c r="U531" s="654"/>
      <c r="V531" s="655"/>
      <c r="W531" s="37" t="s">
        <v>74</v>
      </c>
      <c r="X531" s="637">
        <f>IFERROR(X530/H530,"0")</f>
        <v>0</v>
      </c>
      <c r="Y531" s="637">
        <f>IFERROR(Y530/H530,"0")</f>
        <v>0</v>
      </c>
      <c r="Z531" s="637">
        <f>IFERROR(IF(Z530="",0,Z530),"0")</f>
        <v>0</v>
      </c>
      <c r="AA531" s="638"/>
      <c r="AB531" s="638"/>
      <c r="AC531" s="638"/>
    </row>
    <row r="532" spans="1:68" x14ac:dyDescent="0.2">
      <c r="A532" s="649"/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66"/>
      <c r="P532" s="653" t="s">
        <v>73</v>
      </c>
      <c r="Q532" s="654"/>
      <c r="R532" s="654"/>
      <c r="S532" s="654"/>
      <c r="T532" s="654"/>
      <c r="U532" s="654"/>
      <c r="V532" s="655"/>
      <c r="W532" s="37" t="s">
        <v>68</v>
      </c>
      <c r="X532" s="637">
        <f>IFERROR(SUM(X530:X530),"0")</f>
        <v>0</v>
      </c>
      <c r="Y532" s="637">
        <f>IFERROR(SUM(Y530:Y530),"0")</f>
        <v>0</v>
      </c>
      <c r="Z532" s="37"/>
      <c r="AA532" s="638"/>
      <c r="AB532" s="638"/>
      <c r="AC532" s="638"/>
    </row>
    <row r="533" spans="1:68" ht="14.25" customHeight="1" x14ac:dyDescent="0.25">
      <c r="A533" s="652" t="s">
        <v>148</v>
      </c>
      <c r="B533" s="649"/>
      <c r="C533" s="649"/>
      <c r="D533" s="649"/>
      <c r="E533" s="649"/>
      <c r="F533" s="649"/>
      <c r="G533" s="649"/>
      <c r="H533" s="649"/>
      <c r="I533" s="649"/>
      <c r="J533" s="649"/>
      <c r="K533" s="649"/>
      <c r="L533" s="649"/>
      <c r="M533" s="649"/>
      <c r="N533" s="649"/>
      <c r="O533" s="649"/>
      <c r="P533" s="649"/>
      <c r="Q533" s="649"/>
      <c r="R533" s="649"/>
      <c r="S533" s="649"/>
      <c r="T533" s="649"/>
      <c r="U533" s="649"/>
      <c r="V533" s="649"/>
      <c r="W533" s="649"/>
      <c r="X533" s="649"/>
      <c r="Y533" s="649"/>
      <c r="Z533" s="649"/>
      <c r="AA533" s="630"/>
      <c r="AB533" s="630"/>
      <c r="AC533" s="630"/>
    </row>
    <row r="534" spans="1:68" ht="27" customHeight="1" x14ac:dyDescent="0.25">
      <c r="A534" s="54" t="s">
        <v>845</v>
      </c>
      <c r="B534" s="54" t="s">
        <v>846</v>
      </c>
      <c r="C534" s="31">
        <v>4301020400</v>
      </c>
      <c r="D534" s="642">
        <v>4640242180519</v>
      </c>
      <c r="E534" s="643"/>
      <c r="F534" s="634">
        <v>1.5</v>
      </c>
      <c r="G534" s="32">
        <v>8</v>
      </c>
      <c r="H534" s="634">
        <v>12</v>
      </c>
      <c r="I534" s="634">
        <v>12.41</v>
      </c>
      <c r="J534" s="32">
        <v>64</v>
      </c>
      <c r="K534" s="32" t="s">
        <v>115</v>
      </c>
      <c r="L534" s="32"/>
      <c r="M534" s="33" t="s">
        <v>116</v>
      </c>
      <c r="N534" s="33"/>
      <c r="O534" s="32">
        <v>50</v>
      </c>
      <c r="P534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40"/>
      <c r="R534" s="640"/>
      <c r="S534" s="640"/>
      <c r="T534" s="641"/>
      <c r="U534" s="34"/>
      <c r="V534" s="34"/>
      <c r="W534" s="35" t="s">
        <v>68</v>
      </c>
      <c r="X534" s="635">
        <v>0</v>
      </c>
      <c r="Y534" s="636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15" t="s">
        <v>847</v>
      </c>
      <c r="AG534" s="64"/>
      <c r="AJ534" s="68"/>
      <c r="AK534" s="68">
        <v>0</v>
      </c>
      <c r="BB534" s="616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65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66"/>
      <c r="P535" s="653" t="s">
        <v>73</v>
      </c>
      <c r="Q535" s="654"/>
      <c r="R535" s="654"/>
      <c r="S535" s="654"/>
      <c r="T535" s="654"/>
      <c r="U535" s="654"/>
      <c r="V535" s="655"/>
      <c r="W535" s="37" t="s">
        <v>74</v>
      </c>
      <c r="X535" s="637">
        <f>IFERROR(X534/H534,"0")</f>
        <v>0</v>
      </c>
      <c r="Y535" s="637">
        <f>IFERROR(Y534/H534,"0")</f>
        <v>0</v>
      </c>
      <c r="Z535" s="637">
        <f>IFERROR(IF(Z534="",0,Z534),"0")</f>
        <v>0</v>
      </c>
      <c r="AA535" s="638"/>
      <c r="AB535" s="638"/>
      <c r="AC535" s="638"/>
    </row>
    <row r="536" spans="1:68" x14ac:dyDescent="0.2">
      <c r="A536" s="649"/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66"/>
      <c r="P536" s="653" t="s">
        <v>73</v>
      </c>
      <c r="Q536" s="654"/>
      <c r="R536" s="654"/>
      <c r="S536" s="654"/>
      <c r="T536" s="654"/>
      <c r="U536" s="654"/>
      <c r="V536" s="655"/>
      <c r="W536" s="37" t="s">
        <v>68</v>
      </c>
      <c r="X536" s="637">
        <f>IFERROR(SUM(X534:X534),"0")</f>
        <v>0</v>
      </c>
      <c r="Y536" s="637">
        <f>IFERROR(SUM(Y534:Y534),"0")</f>
        <v>0</v>
      </c>
      <c r="Z536" s="37"/>
      <c r="AA536" s="638"/>
      <c r="AB536" s="638"/>
      <c r="AC536" s="638"/>
    </row>
    <row r="537" spans="1:68" ht="14.25" customHeight="1" x14ac:dyDescent="0.25">
      <c r="A537" s="652" t="s">
        <v>63</v>
      </c>
      <c r="B537" s="649"/>
      <c r="C537" s="649"/>
      <c r="D537" s="649"/>
      <c r="E537" s="649"/>
      <c r="F537" s="649"/>
      <c r="G537" s="649"/>
      <c r="H537" s="649"/>
      <c r="I537" s="649"/>
      <c r="J537" s="649"/>
      <c r="K537" s="649"/>
      <c r="L537" s="649"/>
      <c r="M537" s="649"/>
      <c r="N537" s="649"/>
      <c r="O537" s="649"/>
      <c r="P537" s="649"/>
      <c r="Q537" s="649"/>
      <c r="R537" s="649"/>
      <c r="S537" s="649"/>
      <c r="T537" s="649"/>
      <c r="U537" s="649"/>
      <c r="V537" s="649"/>
      <c r="W537" s="649"/>
      <c r="X537" s="649"/>
      <c r="Y537" s="649"/>
      <c r="Z537" s="649"/>
      <c r="AA537" s="630"/>
      <c r="AB537" s="630"/>
      <c r="AC537" s="630"/>
    </row>
    <row r="538" spans="1:68" ht="27" customHeight="1" x14ac:dyDescent="0.25">
      <c r="A538" s="54" t="s">
        <v>848</v>
      </c>
      <c r="B538" s="54" t="s">
        <v>849</v>
      </c>
      <c r="C538" s="31">
        <v>4301031500</v>
      </c>
      <c r="D538" s="642">
        <v>4640242180595</v>
      </c>
      <c r="E538" s="643"/>
      <c r="F538" s="634">
        <v>0.7</v>
      </c>
      <c r="G538" s="32">
        <v>6</v>
      </c>
      <c r="H538" s="634">
        <v>4.2</v>
      </c>
      <c r="I538" s="634">
        <v>4.45</v>
      </c>
      <c r="J538" s="32">
        <v>132</v>
      </c>
      <c r="K538" s="32" t="s">
        <v>124</v>
      </c>
      <c r="L538" s="32"/>
      <c r="M538" s="33" t="s">
        <v>67</v>
      </c>
      <c r="N538" s="33"/>
      <c r="O538" s="32">
        <v>40</v>
      </c>
      <c r="P538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40"/>
      <c r="R538" s="640"/>
      <c r="S538" s="640"/>
      <c r="T538" s="641"/>
      <c r="U538" s="34"/>
      <c r="V538" s="34"/>
      <c r="W538" s="35" t="s">
        <v>68</v>
      </c>
      <c r="X538" s="635">
        <v>0</v>
      </c>
      <c r="Y538" s="636">
        <f>IFERROR(IF(X538="",0,CEILING((X538/$H538),1)*$H538),"")</f>
        <v>0</v>
      </c>
      <c r="Z538" s="36" t="str">
        <f>IFERROR(IF(Y538=0,"",ROUNDUP(Y538/H538,0)*0.00902),"")</f>
        <v/>
      </c>
      <c r="AA538" s="56"/>
      <c r="AB538" s="57"/>
      <c r="AC538" s="617" t="s">
        <v>850</v>
      </c>
      <c r="AG538" s="64"/>
      <c r="AJ538" s="68"/>
      <c r="AK538" s="68">
        <v>0</v>
      </c>
      <c r="BB538" s="618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65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66"/>
      <c r="P539" s="653" t="s">
        <v>73</v>
      </c>
      <c r="Q539" s="654"/>
      <c r="R539" s="654"/>
      <c r="S539" s="654"/>
      <c r="T539" s="654"/>
      <c r="U539" s="654"/>
      <c r="V539" s="655"/>
      <c r="W539" s="37" t="s">
        <v>74</v>
      </c>
      <c r="X539" s="637">
        <f>IFERROR(X538/H538,"0")</f>
        <v>0</v>
      </c>
      <c r="Y539" s="637">
        <f>IFERROR(Y538/H538,"0")</f>
        <v>0</v>
      </c>
      <c r="Z539" s="637">
        <f>IFERROR(IF(Z538="",0,Z538),"0")</f>
        <v>0</v>
      </c>
      <c r="AA539" s="638"/>
      <c r="AB539" s="638"/>
      <c r="AC539" s="638"/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66"/>
      <c r="P540" s="653" t="s">
        <v>73</v>
      </c>
      <c r="Q540" s="654"/>
      <c r="R540" s="654"/>
      <c r="S540" s="654"/>
      <c r="T540" s="654"/>
      <c r="U540" s="654"/>
      <c r="V540" s="655"/>
      <c r="W540" s="37" t="s">
        <v>68</v>
      </c>
      <c r="X540" s="637">
        <f>IFERROR(SUM(X538:X538),"0")</f>
        <v>0</v>
      </c>
      <c r="Y540" s="637">
        <f>IFERROR(SUM(Y538:Y538),"0")</f>
        <v>0</v>
      </c>
      <c r="Z540" s="37"/>
      <c r="AA540" s="638"/>
      <c r="AB540" s="638"/>
      <c r="AC540" s="638"/>
    </row>
    <row r="541" spans="1:68" ht="14.25" customHeight="1" x14ac:dyDescent="0.25">
      <c r="A541" s="652" t="s">
        <v>75</v>
      </c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49"/>
      <c r="P541" s="649"/>
      <c r="Q541" s="649"/>
      <c r="R541" s="649"/>
      <c r="S541" s="649"/>
      <c r="T541" s="649"/>
      <c r="U541" s="649"/>
      <c r="V541" s="649"/>
      <c r="W541" s="649"/>
      <c r="X541" s="649"/>
      <c r="Y541" s="649"/>
      <c r="Z541" s="649"/>
      <c r="AA541" s="630"/>
      <c r="AB541" s="630"/>
      <c r="AC541" s="630"/>
    </row>
    <row r="542" spans="1:68" ht="27" customHeight="1" x14ac:dyDescent="0.25">
      <c r="A542" s="54" t="s">
        <v>851</v>
      </c>
      <c r="B542" s="54" t="s">
        <v>852</v>
      </c>
      <c r="C542" s="31">
        <v>4301052043</v>
      </c>
      <c r="D542" s="642">
        <v>4640242180533</v>
      </c>
      <c r="E542" s="643"/>
      <c r="F542" s="634">
        <v>1.5</v>
      </c>
      <c r="G542" s="32">
        <v>6</v>
      </c>
      <c r="H542" s="634">
        <v>9</v>
      </c>
      <c r="I542" s="634">
        <v>9.4939999999999998</v>
      </c>
      <c r="J542" s="32">
        <v>64</v>
      </c>
      <c r="K542" s="32" t="s">
        <v>115</v>
      </c>
      <c r="L542" s="32"/>
      <c r="M542" s="33" t="s">
        <v>79</v>
      </c>
      <c r="N542" s="33"/>
      <c r="O542" s="32">
        <v>45</v>
      </c>
      <c r="P542" s="72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40"/>
      <c r="R542" s="640"/>
      <c r="S542" s="640"/>
      <c r="T542" s="641"/>
      <c r="U542" s="34"/>
      <c r="V542" s="34"/>
      <c r="W542" s="35" t="s">
        <v>68</v>
      </c>
      <c r="X542" s="635">
        <v>0</v>
      </c>
      <c r="Y542" s="636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9" t="s">
        <v>853</v>
      </c>
      <c r="AG542" s="64"/>
      <c r="AJ542" s="68"/>
      <c r="AK542" s="68">
        <v>0</v>
      </c>
      <c r="BB542" s="620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65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66"/>
      <c r="P543" s="653" t="s">
        <v>73</v>
      </c>
      <c r="Q543" s="654"/>
      <c r="R543" s="654"/>
      <c r="S543" s="654"/>
      <c r="T543" s="654"/>
      <c r="U543" s="654"/>
      <c r="V543" s="655"/>
      <c r="W543" s="37" t="s">
        <v>74</v>
      </c>
      <c r="X543" s="637">
        <f>IFERROR(X542/H542,"0")</f>
        <v>0</v>
      </c>
      <c r="Y543" s="637">
        <f>IFERROR(Y542/H542,"0")</f>
        <v>0</v>
      </c>
      <c r="Z543" s="637">
        <f>IFERROR(IF(Z542="",0,Z542),"0")</f>
        <v>0</v>
      </c>
      <c r="AA543" s="638"/>
      <c r="AB543" s="638"/>
      <c r="AC543" s="638"/>
    </row>
    <row r="544" spans="1:68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66"/>
      <c r="P544" s="653" t="s">
        <v>73</v>
      </c>
      <c r="Q544" s="654"/>
      <c r="R544" s="654"/>
      <c r="S544" s="654"/>
      <c r="T544" s="654"/>
      <c r="U544" s="654"/>
      <c r="V544" s="655"/>
      <c r="W544" s="37" t="s">
        <v>68</v>
      </c>
      <c r="X544" s="637">
        <f>IFERROR(SUM(X542:X542),"0")</f>
        <v>0</v>
      </c>
      <c r="Y544" s="637">
        <f>IFERROR(SUM(Y542:Y542),"0")</f>
        <v>0</v>
      </c>
      <c r="Z544" s="37"/>
      <c r="AA544" s="638"/>
      <c r="AB544" s="638"/>
      <c r="AC544" s="638"/>
    </row>
    <row r="545" spans="1:68" ht="14.25" customHeight="1" x14ac:dyDescent="0.25">
      <c r="A545" s="652" t="s">
        <v>165</v>
      </c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49"/>
      <c r="P545" s="649"/>
      <c r="Q545" s="649"/>
      <c r="R545" s="649"/>
      <c r="S545" s="649"/>
      <c r="T545" s="649"/>
      <c r="U545" s="649"/>
      <c r="V545" s="649"/>
      <c r="W545" s="649"/>
      <c r="X545" s="649"/>
      <c r="Y545" s="649"/>
      <c r="Z545" s="649"/>
      <c r="AA545" s="630"/>
      <c r="AB545" s="630"/>
      <c r="AC545" s="630"/>
    </row>
    <row r="546" spans="1:68" ht="27" customHeight="1" x14ac:dyDescent="0.25">
      <c r="A546" s="54" t="s">
        <v>854</v>
      </c>
      <c r="B546" s="54" t="s">
        <v>855</v>
      </c>
      <c r="C546" s="31">
        <v>4301060535</v>
      </c>
      <c r="D546" s="642">
        <v>4640242180120</v>
      </c>
      <c r="E546" s="643"/>
      <c r="F546" s="634">
        <v>1.5</v>
      </c>
      <c r="G546" s="32">
        <v>6</v>
      </c>
      <c r="H546" s="634">
        <v>9</v>
      </c>
      <c r="I546" s="634">
        <v>9.41</v>
      </c>
      <c r="J546" s="32">
        <v>64</v>
      </c>
      <c r="K546" s="32" t="s">
        <v>115</v>
      </c>
      <c r="L546" s="32"/>
      <c r="M546" s="33" t="s">
        <v>79</v>
      </c>
      <c r="N546" s="33"/>
      <c r="O546" s="32">
        <v>40</v>
      </c>
      <c r="P546" s="76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68</v>
      </c>
      <c r="X546" s="635">
        <v>0</v>
      </c>
      <c r="Y546" s="63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856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857</v>
      </c>
      <c r="B547" s="54" t="s">
        <v>858</v>
      </c>
      <c r="C547" s="31">
        <v>4301060536</v>
      </c>
      <c r="D547" s="642">
        <v>4640242180137</v>
      </c>
      <c r="E547" s="643"/>
      <c r="F547" s="634">
        <v>1.5</v>
      </c>
      <c r="G547" s="32">
        <v>6</v>
      </c>
      <c r="H547" s="634">
        <v>9</v>
      </c>
      <c r="I547" s="634">
        <v>9.41</v>
      </c>
      <c r="J547" s="32">
        <v>64</v>
      </c>
      <c r="K547" s="32" t="s">
        <v>115</v>
      </c>
      <c r="L547" s="32"/>
      <c r="M547" s="33" t="s">
        <v>79</v>
      </c>
      <c r="N547" s="33"/>
      <c r="O547" s="32">
        <v>40</v>
      </c>
      <c r="P547" s="9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40"/>
      <c r="R547" s="640"/>
      <c r="S547" s="640"/>
      <c r="T547" s="641"/>
      <c r="U547" s="34"/>
      <c r="V547" s="34"/>
      <c r="W547" s="35" t="s">
        <v>68</v>
      </c>
      <c r="X547" s="635">
        <v>0</v>
      </c>
      <c r="Y547" s="636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3" t="s">
        <v>859</v>
      </c>
      <c r="AG547" s="64"/>
      <c r="AJ547" s="68"/>
      <c r="AK547" s="68">
        <v>0</v>
      </c>
      <c r="BB547" s="624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65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66"/>
      <c r="P548" s="653" t="s">
        <v>73</v>
      </c>
      <c r="Q548" s="654"/>
      <c r="R548" s="654"/>
      <c r="S548" s="654"/>
      <c r="T548" s="654"/>
      <c r="U548" s="654"/>
      <c r="V548" s="655"/>
      <c r="W548" s="37" t="s">
        <v>74</v>
      </c>
      <c r="X548" s="637">
        <f>IFERROR(X546/H546,"0")+IFERROR(X547/H547,"0")</f>
        <v>0</v>
      </c>
      <c r="Y548" s="637">
        <f>IFERROR(Y546/H546,"0")+IFERROR(Y547/H547,"0")</f>
        <v>0</v>
      </c>
      <c r="Z548" s="637">
        <f>IFERROR(IF(Z546="",0,Z546),"0")+IFERROR(IF(Z547="",0,Z547),"0")</f>
        <v>0</v>
      </c>
      <c r="AA548" s="638"/>
      <c r="AB548" s="638"/>
      <c r="AC548" s="638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66"/>
      <c r="P549" s="653" t="s">
        <v>73</v>
      </c>
      <c r="Q549" s="654"/>
      <c r="R549" s="654"/>
      <c r="S549" s="654"/>
      <c r="T549" s="654"/>
      <c r="U549" s="654"/>
      <c r="V549" s="655"/>
      <c r="W549" s="37" t="s">
        <v>68</v>
      </c>
      <c r="X549" s="637">
        <f>IFERROR(SUM(X546:X547),"0")</f>
        <v>0</v>
      </c>
      <c r="Y549" s="637">
        <f>IFERROR(SUM(Y546:Y547),"0")</f>
        <v>0</v>
      </c>
      <c r="Z549" s="37"/>
      <c r="AA549" s="638"/>
      <c r="AB549" s="638"/>
      <c r="AC549" s="638"/>
    </row>
    <row r="550" spans="1:68" ht="16.5" customHeight="1" x14ac:dyDescent="0.25">
      <c r="A550" s="648" t="s">
        <v>860</v>
      </c>
      <c r="B550" s="649"/>
      <c r="C550" s="649"/>
      <c r="D550" s="649"/>
      <c r="E550" s="649"/>
      <c r="F550" s="649"/>
      <c r="G550" s="649"/>
      <c r="H550" s="649"/>
      <c r="I550" s="649"/>
      <c r="J550" s="649"/>
      <c r="K550" s="649"/>
      <c r="L550" s="649"/>
      <c r="M550" s="649"/>
      <c r="N550" s="649"/>
      <c r="O550" s="649"/>
      <c r="P550" s="649"/>
      <c r="Q550" s="649"/>
      <c r="R550" s="649"/>
      <c r="S550" s="649"/>
      <c r="T550" s="649"/>
      <c r="U550" s="649"/>
      <c r="V550" s="649"/>
      <c r="W550" s="649"/>
      <c r="X550" s="649"/>
      <c r="Y550" s="649"/>
      <c r="Z550" s="649"/>
      <c r="AA550" s="629"/>
      <c r="AB550" s="629"/>
      <c r="AC550" s="629"/>
    </row>
    <row r="551" spans="1:68" ht="14.25" customHeight="1" x14ac:dyDescent="0.25">
      <c r="A551" s="652" t="s">
        <v>148</v>
      </c>
      <c r="B551" s="649"/>
      <c r="C551" s="649"/>
      <c r="D551" s="649"/>
      <c r="E551" s="649"/>
      <c r="F551" s="649"/>
      <c r="G551" s="649"/>
      <c r="H551" s="649"/>
      <c r="I551" s="649"/>
      <c r="J551" s="649"/>
      <c r="K551" s="649"/>
      <c r="L551" s="649"/>
      <c r="M551" s="649"/>
      <c r="N551" s="649"/>
      <c r="O551" s="649"/>
      <c r="P551" s="649"/>
      <c r="Q551" s="649"/>
      <c r="R551" s="649"/>
      <c r="S551" s="649"/>
      <c r="T551" s="649"/>
      <c r="U551" s="649"/>
      <c r="V551" s="649"/>
      <c r="W551" s="649"/>
      <c r="X551" s="649"/>
      <c r="Y551" s="649"/>
      <c r="Z551" s="649"/>
      <c r="AA551" s="630"/>
      <c r="AB551" s="630"/>
      <c r="AC551" s="630"/>
    </row>
    <row r="552" spans="1:68" ht="27" customHeight="1" x14ac:dyDescent="0.25">
      <c r="A552" s="54" t="s">
        <v>861</v>
      </c>
      <c r="B552" s="54" t="s">
        <v>862</v>
      </c>
      <c r="C552" s="31">
        <v>4301020428</v>
      </c>
      <c r="D552" s="642">
        <v>4640242180090</v>
      </c>
      <c r="E552" s="643"/>
      <c r="F552" s="634">
        <v>1.5</v>
      </c>
      <c r="G552" s="32">
        <v>8</v>
      </c>
      <c r="H552" s="634">
        <v>12</v>
      </c>
      <c r="I552" s="634">
        <v>12.41</v>
      </c>
      <c r="J552" s="32">
        <v>64</v>
      </c>
      <c r="K552" s="32" t="s">
        <v>115</v>
      </c>
      <c r="L552" s="32"/>
      <c r="M552" s="33" t="s">
        <v>116</v>
      </c>
      <c r="N552" s="33"/>
      <c r="O552" s="32">
        <v>50</v>
      </c>
      <c r="P552" s="6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40"/>
      <c r="R552" s="640"/>
      <c r="S552" s="640"/>
      <c r="T552" s="641"/>
      <c r="U552" s="34"/>
      <c r="V552" s="34"/>
      <c r="W552" s="35" t="s">
        <v>68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5" t="s">
        <v>863</v>
      </c>
      <c r="AG552" s="64"/>
      <c r="AJ552" s="68"/>
      <c r="AK552" s="68">
        <v>0</v>
      </c>
      <c r="BB552" s="626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x14ac:dyDescent="0.2">
      <c r="A553" s="665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66"/>
      <c r="P553" s="653" t="s">
        <v>73</v>
      </c>
      <c r="Q553" s="654"/>
      <c r="R553" s="654"/>
      <c r="S553" s="654"/>
      <c r="T553" s="654"/>
      <c r="U553" s="654"/>
      <c r="V553" s="655"/>
      <c r="W553" s="37" t="s">
        <v>74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66"/>
      <c r="P554" s="653" t="s">
        <v>73</v>
      </c>
      <c r="Q554" s="654"/>
      <c r="R554" s="654"/>
      <c r="S554" s="654"/>
      <c r="T554" s="654"/>
      <c r="U554" s="654"/>
      <c r="V554" s="655"/>
      <c r="W554" s="37" t="s">
        <v>68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5" customHeight="1" x14ac:dyDescent="0.2">
      <c r="A555" s="984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823"/>
      <c r="P555" s="659" t="s">
        <v>864</v>
      </c>
      <c r="Q555" s="660"/>
      <c r="R555" s="660"/>
      <c r="S555" s="660"/>
      <c r="T555" s="660"/>
      <c r="U555" s="660"/>
      <c r="V555" s="661"/>
      <c r="W555" s="37" t="s">
        <v>68</v>
      </c>
      <c r="X555" s="637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5000</v>
      </c>
      <c r="Y555" s="637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5004</v>
      </c>
      <c r="Z555" s="37"/>
      <c r="AA555" s="638"/>
      <c r="AB555" s="638"/>
      <c r="AC555" s="638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823"/>
      <c r="P556" s="659" t="s">
        <v>865</v>
      </c>
      <c r="Q556" s="660"/>
      <c r="R556" s="660"/>
      <c r="S556" s="660"/>
      <c r="T556" s="660"/>
      <c r="U556" s="660"/>
      <c r="V556" s="661"/>
      <c r="W556" s="37" t="s">
        <v>68</v>
      </c>
      <c r="X556" s="637">
        <f>IFERROR(SUM(BM22:BM552),"0")</f>
        <v>5274.4444444444443</v>
      </c>
      <c r="Y556" s="637">
        <f>IFERROR(SUM(BN22:BN552),"0")</f>
        <v>5278.6640000000007</v>
      </c>
      <c r="Z556" s="37"/>
      <c r="AA556" s="638"/>
      <c r="AB556" s="638"/>
      <c r="AC556" s="638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823"/>
      <c r="P557" s="659" t="s">
        <v>866</v>
      </c>
      <c r="Q557" s="660"/>
      <c r="R557" s="660"/>
      <c r="S557" s="660"/>
      <c r="T557" s="660"/>
      <c r="U557" s="660"/>
      <c r="V557" s="661"/>
      <c r="W557" s="37" t="s">
        <v>867</v>
      </c>
      <c r="X557" s="38">
        <f>ROUNDUP(SUM(BO22:BO552),0)</f>
        <v>9</v>
      </c>
      <c r="Y557" s="38">
        <f>ROUNDUP(SUM(BP22:BP552),0)</f>
        <v>9</v>
      </c>
      <c r="Z557" s="37"/>
      <c r="AA557" s="638"/>
      <c r="AB557" s="638"/>
      <c r="AC557" s="638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823"/>
      <c r="P558" s="659" t="s">
        <v>868</v>
      </c>
      <c r="Q558" s="660"/>
      <c r="R558" s="660"/>
      <c r="S558" s="660"/>
      <c r="T558" s="660"/>
      <c r="U558" s="660"/>
      <c r="V558" s="661"/>
      <c r="W558" s="37" t="s">
        <v>68</v>
      </c>
      <c r="X558" s="637">
        <f>GrossWeightTotal+PalletQtyTotal*25</f>
        <v>5499.4444444444443</v>
      </c>
      <c r="Y558" s="637">
        <f>GrossWeightTotalR+PalletQtyTotalR*25</f>
        <v>5503.6640000000007</v>
      </c>
      <c r="Z558" s="37"/>
      <c r="AA558" s="638"/>
      <c r="AB558" s="638"/>
      <c r="AC558" s="638"/>
    </row>
    <row r="559" spans="1:68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823"/>
      <c r="P559" s="659" t="s">
        <v>869</v>
      </c>
      <c r="Q559" s="660"/>
      <c r="R559" s="660"/>
      <c r="S559" s="660"/>
      <c r="T559" s="660"/>
      <c r="U559" s="660"/>
      <c r="V559" s="661"/>
      <c r="W559" s="37" t="s">
        <v>867</v>
      </c>
      <c r="X559" s="637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555.55555555555554</v>
      </c>
      <c r="Y559" s="637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556</v>
      </c>
      <c r="Z559" s="37"/>
      <c r="AA559" s="638"/>
      <c r="AB559" s="638"/>
      <c r="AC559" s="638"/>
    </row>
    <row r="560" spans="1:68" ht="14.25" customHeight="1" x14ac:dyDescent="0.2">
      <c r="A560" s="649"/>
      <c r="B560" s="649"/>
      <c r="C560" s="649"/>
      <c r="D560" s="649"/>
      <c r="E560" s="649"/>
      <c r="F560" s="649"/>
      <c r="G560" s="649"/>
      <c r="H560" s="649"/>
      <c r="I560" s="649"/>
      <c r="J560" s="649"/>
      <c r="K560" s="649"/>
      <c r="L560" s="649"/>
      <c r="M560" s="649"/>
      <c r="N560" s="649"/>
      <c r="O560" s="823"/>
      <c r="P560" s="659" t="s">
        <v>870</v>
      </c>
      <c r="Q560" s="660"/>
      <c r="R560" s="660"/>
      <c r="S560" s="660"/>
      <c r="T560" s="660"/>
      <c r="U560" s="660"/>
      <c r="V560" s="661"/>
      <c r="W560" s="39" t="s">
        <v>871</v>
      </c>
      <c r="X560" s="37"/>
      <c r="Y560" s="37"/>
      <c r="Z560" s="37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10.55288</v>
      </c>
      <c r="AA560" s="638"/>
      <c r="AB560" s="638"/>
      <c r="AC560" s="638"/>
    </row>
    <row r="561" spans="1:32" ht="13.5" customHeight="1" thickBot="1" x14ac:dyDescent="0.25"/>
    <row r="562" spans="1:32" ht="27" customHeight="1" thickTop="1" thickBot="1" x14ac:dyDescent="0.25">
      <c r="A562" s="40" t="s">
        <v>872</v>
      </c>
      <c r="B562" s="627" t="s">
        <v>62</v>
      </c>
      <c r="C562" s="627" t="s">
        <v>93</v>
      </c>
      <c r="D562" s="662" t="s">
        <v>110</v>
      </c>
      <c r="E562" s="865"/>
      <c r="F562" s="865"/>
      <c r="G562" s="865"/>
      <c r="H562" s="865"/>
      <c r="I562" s="865"/>
      <c r="J562" s="741"/>
      <c r="K562" s="662" t="s">
        <v>343</v>
      </c>
      <c r="L562" s="865"/>
      <c r="M562" s="865"/>
      <c r="N562" s="865"/>
      <c r="O562" s="865"/>
      <c r="P562" s="865"/>
      <c r="Q562" s="865"/>
      <c r="R562" s="865"/>
      <c r="S562" s="865"/>
      <c r="T562" s="865"/>
      <c r="U562" s="865"/>
      <c r="V562" s="741"/>
      <c r="W562" s="662" t="s">
        <v>692</v>
      </c>
      <c r="X562" s="741"/>
      <c r="Y562" s="662" t="s">
        <v>758</v>
      </c>
      <c r="Z562" s="741"/>
      <c r="AA562" s="627" t="s">
        <v>794</v>
      </c>
      <c r="AB562" s="662" t="s">
        <v>841</v>
      </c>
      <c r="AC562" s="741"/>
      <c r="AF562" s="628"/>
    </row>
    <row r="563" spans="1:32" ht="14.25" customHeight="1" thickTop="1" x14ac:dyDescent="0.2">
      <c r="A563" s="1000" t="s">
        <v>873</v>
      </c>
      <c r="B563" s="662" t="s">
        <v>62</v>
      </c>
      <c r="C563" s="662" t="s">
        <v>94</v>
      </c>
      <c r="D563" s="662" t="s">
        <v>111</v>
      </c>
      <c r="E563" s="662" t="s">
        <v>127</v>
      </c>
      <c r="F563" s="662" t="s">
        <v>172</v>
      </c>
      <c r="G563" s="662" t="s">
        <v>193</v>
      </c>
      <c r="H563" s="662" t="s">
        <v>233</v>
      </c>
      <c r="I563" s="662" t="s">
        <v>257</v>
      </c>
      <c r="J563" s="662" t="s">
        <v>110</v>
      </c>
      <c r="K563" s="662" t="s">
        <v>344</v>
      </c>
      <c r="L563" s="662" t="s">
        <v>365</v>
      </c>
      <c r="M563" s="662" t="s">
        <v>432</v>
      </c>
      <c r="N563" s="628"/>
      <c r="O563" s="662" t="s">
        <v>500</v>
      </c>
      <c r="P563" s="662" t="s">
        <v>533</v>
      </c>
      <c r="Q563" s="662" t="s">
        <v>549</v>
      </c>
      <c r="R563" s="662" t="s">
        <v>558</v>
      </c>
      <c r="S563" s="662" t="s">
        <v>579</v>
      </c>
      <c r="T563" s="662" t="s">
        <v>588</v>
      </c>
      <c r="U563" s="662" t="s">
        <v>672</v>
      </c>
      <c r="V563" s="662" t="s">
        <v>682</v>
      </c>
      <c r="W563" s="662" t="s">
        <v>693</v>
      </c>
      <c r="X563" s="662" t="s">
        <v>742</v>
      </c>
      <c r="Y563" s="662" t="s">
        <v>759</v>
      </c>
      <c r="Z563" s="662" t="s">
        <v>782</v>
      </c>
      <c r="AA563" s="662" t="s">
        <v>794</v>
      </c>
      <c r="AB563" s="662" t="s">
        <v>841</v>
      </c>
      <c r="AC563" s="662" t="s">
        <v>860</v>
      </c>
      <c r="AF563" s="628"/>
    </row>
    <row r="564" spans="1:32" ht="13.5" customHeight="1" thickBot="1" x14ac:dyDescent="0.25">
      <c r="A564" s="1001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28"/>
      <c r="O564" s="663"/>
      <c r="P564" s="663"/>
      <c r="Q564" s="663"/>
      <c r="R564" s="663"/>
      <c r="S564" s="663"/>
      <c r="T564" s="663"/>
      <c r="U564" s="663"/>
      <c r="V564" s="663"/>
      <c r="W564" s="663"/>
      <c r="X564" s="663"/>
      <c r="Y564" s="663"/>
      <c r="Z564" s="663"/>
      <c r="AA564" s="663"/>
      <c r="AB564" s="663"/>
      <c r="AC564" s="663"/>
      <c r="AF564" s="628"/>
    </row>
    <row r="565" spans="1:32" ht="18" customHeight="1" thickTop="1" thickBot="1" x14ac:dyDescent="0.25">
      <c r="A565" s="40" t="s">
        <v>874</v>
      </c>
      <c r="B565" s="46">
        <f>IFERROR(Y22*1,"0")+IFERROR(Y23*1,"0")+IFERROR(Y27*1,"0")+IFERROR(Y28*1,"0")+IFERROR(Y29*1,"0")+IFERROR(Y30*1,"0")+IFERROR(Y31*1,"0")</f>
        <v>0</v>
      </c>
      <c r="C565" s="46">
        <f>IFERROR(Y37*1,"0")+IFERROR(Y38*1,"0")+IFERROR(Y39*1,"0")+IFERROR(Y40*1,"0")+IFERROR(Y41*1,"0")</f>
        <v>0</v>
      </c>
      <c r="D565" s="46">
        <f>IFERROR(Y47*1,"0")+IFERROR(Y48*1,"0")+IFERROR(Y49*1,"0")+IFERROR(Y50*1,"0")</f>
        <v>0</v>
      </c>
      <c r="E565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46">
        <f>IFERROR(Y84*1,"0")+IFERROR(Y85*1,"0")+IFERROR(Y86*1,"0")+IFERROR(Y87*1,"0")+IFERROR(Y91*1,"0")+IFERROR(Y92*1,"0")+IFERROR(Y93*1,"0")+IFERROR(Y94*1,"0")</f>
        <v>0</v>
      </c>
      <c r="G565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46">
        <f>IFERROR(Y129*1,"0")+IFERROR(Y130*1,"0")+IFERROR(Y131*1,"0")+IFERROR(Y135*1,"0")+IFERROR(Y136*1,"0")+IFERROR(Y137*1,"0")+IFERROR(Y138*1,"0")+IFERROR(Y142*1,"0")+IFERROR(Y143*1,"0")+IFERROR(Y144*1,"0")</f>
        <v>0</v>
      </c>
      <c r="I565" s="46">
        <f>IFERROR(Y149*1,"0")+IFERROR(Y150*1,"0")+IFERROR(Y151*1,"0")+IFERROR(Y152*1,"0")+IFERROR(Y153*1,"0")+IFERROR(Y154*1,"0")+IFERROR(Y155*1,"0")+IFERROR(Y159*1,"0")</f>
        <v>0</v>
      </c>
      <c r="J565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46">
        <f>IFERROR(Y206*1,"0")+IFERROR(Y207*1,"0")+IFERROR(Y208*1,"0")+IFERROR(Y209*1,"0")+IFERROR(Y210*1,"0")+IFERROR(Y211*1,"0")+IFERROR(Y212*1,"0")</f>
        <v>0</v>
      </c>
      <c r="L565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628"/>
      <c r="O565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46">
        <f>IFERROR(Y324*1,"0")+IFERROR(Y325*1,"0")+IFERROR(Y326*1,"0")+IFERROR(Y327*1,"0")+IFERROR(Y328*1,"0")</f>
        <v>0</v>
      </c>
      <c r="Q565" s="46">
        <f>IFERROR(Y333*1,"0")+IFERROR(Y334*1,"0")+IFERROR(Y335*1,"0")</f>
        <v>0</v>
      </c>
      <c r="R565" s="46">
        <f>IFERROR(Y340*1,"0")+IFERROR(Y341*1,"0")+IFERROR(Y342*1,"0")+IFERROR(Y343*1,"0")+IFERROR(Y344*1,"0")+IFERROR(Y348*1,"0")+IFERROR(Y349*1,"0")</f>
        <v>0</v>
      </c>
      <c r="S565" s="46">
        <f>IFERROR(Y354*1,"0")+IFERROR(Y355*1,"0")+IFERROR(Y356*1,"0")</f>
        <v>0</v>
      </c>
      <c r="T565" s="46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46">
        <f>IFERROR(Y413*1,"0")+IFERROR(Y414*1,"0")</f>
        <v>0</v>
      </c>
      <c r="V565" s="46">
        <f>IFERROR(Y419*1,"0")+IFERROR(Y420*1,"0")+IFERROR(Y421*1,"0")</f>
        <v>0</v>
      </c>
      <c r="W565" s="46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46">
        <f>IFERROR(Y456*1,"0")+IFERROR(Y457*1,"0")+IFERROR(Y461*1,"0")+IFERROR(Y465*1,"0")+IFERROR(Y466*1,"0")+IFERROR(Y467*1,"0")</f>
        <v>5004</v>
      </c>
      <c r="Y565" s="46">
        <f>IFERROR(Y473*1,"0")+IFERROR(Y474*1,"0")+IFERROR(Y475*1,"0")+IFERROR(Y476*1,"0")+IFERROR(Y477*1,"0")+IFERROR(Y478*1,"0")+IFERROR(Y482*1,"0")+IFERROR(Y483*1,"0")</f>
        <v>0</v>
      </c>
      <c r="Z565" s="46">
        <f>IFERROR(Y488*1,"0")+IFERROR(Y492*1,"0")+IFERROR(Y493*1,"0")+IFERROR(Y494*1,"0")</f>
        <v>0</v>
      </c>
      <c r="AA565" s="46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46">
        <f>IFERROR(Y530*1,"0")+IFERROR(Y534*1,"0")+IFERROR(Y538*1,"0")+IFERROR(Y542*1,"0")+IFERROR(Y546*1,"0")+IFERROR(Y547*1,"0")</f>
        <v>0</v>
      </c>
      <c r="AC565" s="46">
        <f>IFERROR(Y552*1,"0")</f>
        <v>0</v>
      </c>
      <c r="AF565" s="628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5">
    <mergeCell ref="D542:E542"/>
    <mergeCell ref="P313:T313"/>
    <mergeCell ref="X17:X18"/>
    <mergeCell ref="P373:T373"/>
    <mergeCell ref="P58:T58"/>
    <mergeCell ref="P500:T500"/>
    <mergeCell ref="D50:E50"/>
    <mergeCell ref="P444:T444"/>
    <mergeCell ref="D110:E110"/>
    <mergeCell ref="D408:E408"/>
    <mergeCell ref="A481:Z481"/>
    <mergeCell ref="A8:C8"/>
    <mergeCell ref="P124:T124"/>
    <mergeCell ref="P310:V310"/>
    <mergeCell ref="D355:E355"/>
    <mergeCell ref="D293:E293"/>
    <mergeCell ref="D268:E268"/>
    <mergeCell ref="P151:T151"/>
    <mergeCell ref="P76:V76"/>
    <mergeCell ref="D395:E395"/>
    <mergeCell ref="A128:Z128"/>
    <mergeCell ref="A197:O198"/>
    <mergeCell ref="A255:Z255"/>
    <mergeCell ref="A10:C10"/>
    <mergeCell ref="P140:V140"/>
    <mergeCell ref="P311:V311"/>
    <mergeCell ref="A21:Z21"/>
    <mergeCell ref="D184:E184"/>
    <mergeCell ref="A194:Z194"/>
    <mergeCell ref="P296:V296"/>
    <mergeCell ref="P363:T363"/>
    <mergeCell ref="D17:E18"/>
    <mergeCell ref="D344:E344"/>
    <mergeCell ref="A213:O214"/>
    <mergeCell ref="AB563:AB564"/>
    <mergeCell ref="D191:E191"/>
    <mergeCell ref="P319:T319"/>
    <mergeCell ref="D262:E262"/>
    <mergeCell ref="P122:V122"/>
    <mergeCell ref="D433:E433"/>
    <mergeCell ref="T563:T564"/>
    <mergeCell ref="V563:V564"/>
    <mergeCell ref="A245:Z245"/>
    <mergeCell ref="P383:T383"/>
    <mergeCell ref="D522:E522"/>
    <mergeCell ref="A329:O330"/>
    <mergeCell ref="D552:E552"/>
    <mergeCell ref="P397:V397"/>
    <mergeCell ref="D239:E239"/>
    <mergeCell ref="P149:T149"/>
    <mergeCell ref="A339:Z339"/>
    <mergeCell ref="P496:V496"/>
    <mergeCell ref="A426:Z426"/>
    <mergeCell ref="A497:Z497"/>
    <mergeCell ref="P505:T505"/>
    <mergeCell ref="A499:Z499"/>
    <mergeCell ref="A563:A564"/>
    <mergeCell ref="P507:T507"/>
    <mergeCell ref="W563:W564"/>
    <mergeCell ref="P263:T263"/>
    <mergeCell ref="P434:T434"/>
    <mergeCell ref="P228:T228"/>
    <mergeCell ref="D171:E171"/>
    <mergeCell ref="D342:E342"/>
    <mergeCell ref="P355:T355"/>
    <mergeCell ref="P293:T293"/>
    <mergeCell ref="A555:O560"/>
    <mergeCell ref="D407:E407"/>
    <mergeCell ref="A447:O448"/>
    <mergeCell ref="P200:T200"/>
    <mergeCell ref="A422:O423"/>
    <mergeCell ref="A425:Z425"/>
    <mergeCell ref="A553:O554"/>
    <mergeCell ref="A204:Z204"/>
    <mergeCell ref="D196:E196"/>
    <mergeCell ref="P294:T294"/>
    <mergeCell ref="P219:V219"/>
    <mergeCell ref="A529:Z529"/>
    <mergeCell ref="P544:V544"/>
    <mergeCell ref="D483:E483"/>
    <mergeCell ref="D271:E271"/>
    <mergeCell ref="A468:O469"/>
    <mergeCell ref="D547:E547"/>
    <mergeCell ref="D170:E170"/>
    <mergeCell ref="D341:E341"/>
    <mergeCell ref="A525:O526"/>
    <mergeCell ref="P132:V132"/>
    <mergeCell ref="N17:N18"/>
    <mergeCell ref="D49:E49"/>
    <mergeCell ref="Q5:R5"/>
    <mergeCell ref="F17:F18"/>
    <mergeCell ref="D120:E120"/>
    <mergeCell ref="D242:E242"/>
    <mergeCell ref="P290:V290"/>
    <mergeCell ref="P370:T370"/>
    <mergeCell ref="D478:E478"/>
    <mergeCell ref="D278:E278"/>
    <mergeCell ref="D234:E234"/>
    <mergeCell ref="P288:T288"/>
    <mergeCell ref="A24:O25"/>
    <mergeCell ref="P136:T136"/>
    <mergeCell ref="Q6:R6"/>
    <mergeCell ref="D102:E102"/>
    <mergeCell ref="P81:V81"/>
    <mergeCell ref="P145:V145"/>
    <mergeCell ref="A35:Z35"/>
    <mergeCell ref="A541:Z541"/>
    <mergeCell ref="P408:T408"/>
    <mergeCell ref="P197:V197"/>
    <mergeCell ref="A127:Z127"/>
    <mergeCell ref="D247:E247"/>
    <mergeCell ref="P495:V495"/>
    <mergeCell ref="P351:V351"/>
    <mergeCell ref="A347:Z347"/>
    <mergeCell ref="P422:V422"/>
    <mergeCell ref="A412:Z412"/>
    <mergeCell ref="P439:T439"/>
    <mergeCell ref="P262:T262"/>
    <mergeCell ref="P433:T433"/>
    <mergeCell ref="P160:V160"/>
    <mergeCell ref="P534:T534"/>
    <mergeCell ref="AD17:AF18"/>
    <mergeCell ref="P167:V167"/>
    <mergeCell ref="D101:E101"/>
    <mergeCell ref="A310:O311"/>
    <mergeCell ref="AC563:AC564"/>
    <mergeCell ref="P403:V403"/>
    <mergeCell ref="P378:V378"/>
    <mergeCell ref="A399:Z399"/>
    <mergeCell ref="F5:G5"/>
    <mergeCell ref="P442:V442"/>
    <mergeCell ref="P67:T67"/>
    <mergeCell ref="D430:E430"/>
    <mergeCell ref="L563:L564"/>
    <mergeCell ref="D175:E175"/>
    <mergeCell ref="D221:E221"/>
    <mergeCell ref="V11:W11"/>
    <mergeCell ref="P469:V469"/>
    <mergeCell ref="D457:E457"/>
    <mergeCell ref="P57:T57"/>
    <mergeCell ref="D165:E165"/>
    <mergeCell ref="D475:E475"/>
    <mergeCell ref="P342:T342"/>
    <mergeCell ref="P317:T317"/>
    <mergeCell ref="D152:E152"/>
    <mergeCell ref="P2:W3"/>
    <mergeCell ref="A323:Z323"/>
    <mergeCell ref="P218:V218"/>
    <mergeCell ref="D241:E241"/>
    <mergeCell ref="D508:E508"/>
    <mergeCell ref="A415:O416"/>
    <mergeCell ref="D228:E228"/>
    <mergeCell ref="D333:E333"/>
    <mergeCell ref="D10:E10"/>
    <mergeCell ref="F10:G10"/>
    <mergeCell ref="A121:O122"/>
    <mergeCell ref="P135:T135"/>
    <mergeCell ref="P191:T191"/>
    <mergeCell ref="D305:E305"/>
    <mergeCell ref="P362:T362"/>
    <mergeCell ref="A357:O358"/>
    <mergeCell ref="D99:E99"/>
    <mergeCell ref="D270:E270"/>
    <mergeCell ref="P349:T349"/>
    <mergeCell ref="P420:T420"/>
    <mergeCell ref="A479:O480"/>
    <mergeCell ref="P364:T364"/>
    <mergeCell ref="D503:E503"/>
    <mergeCell ref="A192:O193"/>
    <mergeCell ref="D562:J562"/>
    <mergeCell ref="P63:V63"/>
    <mergeCell ref="P101:T101"/>
    <mergeCell ref="P465:T465"/>
    <mergeCell ref="P250:V250"/>
    <mergeCell ref="D513:E513"/>
    <mergeCell ref="P479:V479"/>
    <mergeCell ref="M17:M18"/>
    <mergeCell ref="O17:O18"/>
    <mergeCell ref="P187:V187"/>
    <mergeCell ref="P423:V423"/>
    <mergeCell ref="P52:V52"/>
    <mergeCell ref="P430:T430"/>
    <mergeCell ref="P556:V556"/>
    <mergeCell ref="P350:V350"/>
    <mergeCell ref="A297:Z297"/>
    <mergeCell ref="P410:V410"/>
    <mergeCell ref="W562:X562"/>
    <mergeCell ref="P102:T102"/>
    <mergeCell ref="A533:Z533"/>
    <mergeCell ref="P196:T196"/>
    <mergeCell ref="D177:E177"/>
    <mergeCell ref="A312:Z312"/>
    <mergeCell ref="A484:O485"/>
    <mergeCell ref="P547:T547"/>
    <mergeCell ref="D86:E86"/>
    <mergeCell ref="D257:E257"/>
    <mergeCell ref="P270:T270"/>
    <mergeCell ref="P341:T341"/>
    <mergeCell ref="D151:E151"/>
    <mergeCell ref="P192:V192"/>
    <mergeCell ref="P49:T49"/>
    <mergeCell ref="A551:Z551"/>
    <mergeCell ref="P478:T478"/>
    <mergeCell ref="D150:E150"/>
    <mergeCell ref="P278:T278"/>
    <mergeCell ref="P183:T183"/>
    <mergeCell ref="D226:E226"/>
    <mergeCell ref="D164:E164"/>
    <mergeCell ref="P354:T354"/>
    <mergeCell ref="P365:T365"/>
    <mergeCell ref="P62:T62"/>
    <mergeCell ref="D223:E223"/>
    <mergeCell ref="D279:E279"/>
    <mergeCell ref="D394:E394"/>
    <mergeCell ref="D450:E450"/>
    <mergeCell ref="D521:E521"/>
    <mergeCell ref="P181:T181"/>
    <mergeCell ref="M563:M564"/>
    <mergeCell ref="O563:O564"/>
    <mergeCell ref="A116:Z116"/>
    <mergeCell ref="D231:E231"/>
    <mergeCell ref="P70:V70"/>
    <mergeCell ref="P337:V337"/>
    <mergeCell ref="A336:O337"/>
    <mergeCell ref="A460:Z460"/>
    <mergeCell ref="A454:Z454"/>
    <mergeCell ref="D318:E318"/>
    <mergeCell ref="A220:Z220"/>
    <mergeCell ref="D389:E389"/>
    <mergeCell ref="A125:O126"/>
    <mergeCell ref="P176:T176"/>
    <mergeCell ref="P247:T247"/>
    <mergeCell ref="P241:T241"/>
    <mergeCell ref="D84:E84"/>
    <mergeCell ref="D155:E155"/>
    <mergeCell ref="P483:T483"/>
    <mergeCell ref="D149:E149"/>
    <mergeCell ref="A455:Z455"/>
    <mergeCell ref="P301:T301"/>
    <mergeCell ref="A320:O321"/>
    <mergeCell ref="P178:T178"/>
    <mergeCell ref="D534:E534"/>
    <mergeCell ref="D227:E227"/>
    <mergeCell ref="A397:O398"/>
    <mergeCell ref="A9:C9"/>
    <mergeCell ref="D373:E373"/>
    <mergeCell ref="D58:E58"/>
    <mergeCell ref="P112:T112"/>
    <mergeCell ref="D500:E500"/>
    <mergeCell ref="D294:E294"/>
    <mergeCell ref="P348:T348"/>
    <mergeCell ref="A298:Z298"/>
    <mergeCell ref="P32:V32"/>
    <mergeCell ref="Q13:R13"/>
    <mergeCell ref="P41:T41"/>
    <mergeCell ref="D22:E22"/>
    <mergeCell ref="P105:T105"/>
    <mergeCell ref="D29:E29"/>
    <mergeCell ref="D23:E23"/>
    <mergeCell ref="P344:T344"/>
    <mergeCell ref="A20:Z20"/>
    <mergeCell ref="D252:E252"/>
    <mergeCell ref="P358:V358"/>
    <mergeCell ref="P421:T421"/>
    <mergeCell ref="P110:T110"/>
    <mergeCell ref="P553:V553"/>
    <mergeCell ref="P357:V357"/>
    <mergeCell ref="P42:V42"/>
    <mergeCell ref="A452:O453"/>
    <mergeCell ref="A169:Z169"/>
    <mergeCell ref="D288:E288"/>
    <mergeCell ref="P59:T59"/>
    <mergeCell ref="P130:T130"/>
    <mergeCell ref="D136:E136"/>
    <mergeCell ref="P190:T190"/>
    <mergeCell ref="D434:E434"/>
    <mergeCell ref="A114:O115"/>
    <mergeCell ref="P488:T488"/>
    <mergeCell ref="P111:T111"/>
    <mergeCell ref="D154:E154"/>
    <mergeCell ref="D225:E225"/>
    <mergeCell ref="P282:T282"/>
    <mergeCell ref="A539:O540"/>
    <mergeCell ref="D461:E461"/>
    <mergeCell ref="P61:T61"/>
    <mergeCell ref="D200:E200"/>
    <mergeCell ref="A51:O52"/>
    <mergeCell ref="P48:T48"/>
    <mergeCell ref="A243:O244"/>
    <mergeCell ref="H5:M5"/>
    <mergeCell ref="P329:V329"/>
    <mergeCell ref="D212:E212"/>
    <mergeCell ref="P225:T225"/>
    <mergeCell ref="D317:E317"/>
    <mergeCell ref="P396:T396"/>
    <mergeCell ref="D6:M6"/>
    <mergeCell ref="A75:O76"/>
    <mergeCell ref="D439:E439"/>
    <mergeCell ref="D304:E304"/>
    <mergeCell ref="P175:T175"/>
    <mergeCell ref="P95:V95"/>
    <mergeCell ref="D143:E143"/>
    <mergeCell ref="P227:T227"/>
    <mergeCell ref="D319:E319"/>
    <mergeCell ref="A384:O385"/>
    <mergeCell ref="P177:T177"/>
    <mergeCell ref="P93:T93"/>
    <mergeCell ref="P226:T226"/>
    <mergeCell ref="D85:E85"/>
    <mergeCell ref="P164:T164"/>
    <mergeCell ref="D207:E207"/>
    <mergeCell ref="P269:T269"/>
    <mergeCell ref="P335:T335"/>
    <mergeCell ref="G563:G564"/>
    <mergeCell ref="P40:T40"/>
    <mergeCell ref="D428:E428"/>
    <mergeCell ref="P236:V236"/>
    <mergeCell ref="A359:Z359"/>
    <mergeCell ref="P257:T257"/>
    <mergeCell ref="A517:Z517"/>
    <mergeCell ref="Z17:Z18"/>
    <mergeCell ref="P173:V173"/>
    <mergeCell ref="A54:Z54"/>
    <mergeCell ref="A172:O173"/>
    <mergeCell ref="P265:V265"/>
    <mergeCell ref="A90:Z90"/>
    <mergeCell ref="P458:V458"/>
    <mergeCell ref="A277:Z277"/>
    <mergeCell ref="D446:E446"/>
    <mergeCell ref="P461:T461"/>
    <mergeCell ref="D512:E512"/>
    <mergeCell ref="D506:E506"/>
    <mergeCell ref="A515:O516"/>
    <mergeCell ref="P475:T475"/>
    <mergeCell ref="D383:E383"/>
    <mergeCell ref="P539:V539"/>
    <mergeCell ref="D299:E299"/>
    <mergeCell ref="V6:W9"/>
    <mergeCell ref="P38:T38"/>
    <mergeCell ref="A106:O107"/>
    <mergeCell ref="P109:T109"/>
    <mergeCell ref="D364:E364"/>
    <mergeCell ref="P274:T274"/>
    <mergeCell ref="D413:E413"/>
    <mergeCell ref="D217:E217"/>
    <mergeCell ref="P84:T84"/>
    <mergeCell ref="P222:T222"/>
    <mergeCell ref="P22:T22"/>
    <mergeCell ref="D370:E370"/>
    <mergeCell ref="D222:E222"/>
    <mergeCell ref="G17:G18"/>
    <mergeCell ref="P333:T333"/>
    <mergeCell ref="D159:E159"/>
    <mergeCell ref="P121:V121"/>
    <mergeCell ref="D105:E105"/>
    <mergeCell ref="A42:O43"/>
    <mergeCell ref="V12:W12"/>
    <mergeCell ref="P43:V43"/>
    <mergeCell ref="P85:T85"/>
    <mergeCell ref="P60:T60"/>
    <mergeCell ref="U17:V17"/>
    <mergeCell ref="H10:M10"/>
    <mergeCell ref="AA17:AA18"/>
    <mergeCell ref="P212:T212"/>
    <mergeCell ref="AC17:AC18"/>
    <mergeCell ref="P107:V107"/>
    <mergeCell ref="A409:O410"/>
    <mergeCell ref="P279:T279"/>
    <mergeCell ref="D393:E393"/>
    <mergeCell ref="A491:Z491"/>
    <mergeCell ref="A72:Z72"/>
    <mergeCell ref="A199:Z199"/>
    <mergeCell ref="A235:O236"/>
    <mergeCell ref="P343:T343"/>
    <mergeCell ref="D153:E153"/>
    <mergeCell ref="D420:E420"/>
    <mergeCell ref="P318:T318"/>
    <mergeCell ref="A462:O463"/>
    <mergeCell ref="AB17:AB18"/>
    <mergeCell ref="Y17:Y18"/>
    <mergeCell ref="D57:E57"/>
    <mergeCell ref="H17:H18"/>
    <mergeCell ref="P531:V531"/>
    <mergeCell ref="P503:T503"/>
    <mergeCell ref="P217:T217"/>
    <mergeCell ref="P388:T388"/>
    <mergeCell ref="P452:V452"/>
    <mergeCell ref="D465:E465"/>
    <mergeCell ref="D269:E269"/>
    <mergeCell ref="D440:E440"/>
    <mergeCell ref="P275:V275"/>
    <mergeCell ref="D427:E427"/>
    <mergeCell ref="P27:T27"/>
    <mergeCell ref="P154:T154"/>
    <mergeCell ref="P325:T325"/>
    <mergeCell ref="D206:E206"/>
    <mergeCell ref="D504:E504"/>
    <mergeCell ref="D181:E181"/>
    <mergeCell ref="P91:T91"/>
    <mergeCell ref="A158:Z158"/>
    <mergeCell ref="P404:V404"/>
    <mergeCell ref="D273:E273"/>
    <mergeCell ref="P327:T327"/>
    <mergeCell ref="A80:O81"/>
    <mergeCell ref="D39:E39"/>
    <mergeCell ref="AA563:AA564"/>
    <mergeCell ref="P172:V172"/>
    <mergeCell ref="P299:T299"/>
    <mergeCell ref="C563:C564"/>
    <mergeCell ref="D138:E138"/>
    <mergeCell ref="P393:T393"/>
    <mergeCell ref="A338:Z338"/>
    <mergeCell ref="D374:E374"/>
    <mergeCell ref="P549:V549"/>
    <mergeCell ref="P232:T232"/>
    <mergeCell ref="K562:V562"/>
    <mergeCell ref="P159:T159"/>
    <mergeCell ref="D267:E267"/>
    <mergeCell ref="P395:T395"/>
    <mergeCell ref="D438:E438"/>
    <mergeCell ref="A511:Z511"/>
    <mergeCell ref="A486:Z486"/>
    <mergeCell ref="P560:V560"/>
    <mergeCell ref="A464:Z464"/>
    <mergeCell ref="P468:V468"/>
    <mergeCell ref="A141:Z141"/>
    <mergeCell ref="P512:T512"/>
    <mergeCell ref="P530:T530"/>
    <mergeCell ref="E563:E564"/>
    <mergeCell ref="J9:M9"/>
    <mergeCell ref="D112:E112"/>
    <mergeCell ref="D283:E283"/>
    <mergeCell ref="A418:Z418"/>
    <mergeCell ref="P440:T440"/>
    <mergeCell ref="P538:T538"/>
    <mergeCell ref="D348:E348"/>
    <mergeCell ref="D519:E519"/>
    <mergeCell ref="D62:E62"/>
    <mergeCell ref="D56:E56"/>
    <mergeCell ref="P206:T206"/>
    <mergeCell ref="P233:T233"/>
    <mergeCell ref="P37:T37"/>
    <mergeCell ref="D176:E176"/>
    <mergeCell ref="P304:T304"/>
    <mergeCell ref="D285:E285"/>
    <mergeCell ref="P504:T504"/>
    <mergeCell ref="P391:V391"/>
    <mergeCell ref="A390:O391"/>
    <mergeCell ref="P143:T143"/>
    <mergeCell ref="P248:T248"/>
    <mergeCell ref="D362:E362"/>
    <mergeCell ref="P506:T506"/>
    <mergeCell ref="D349:E349"/>
    <mergeCell ref="A13:M13"/>
    <mergeCell ref="P536:V536"/>
    <mergeCell ref="A417:Z417"/>
    <mergeCell ref="P244:V244"/>
    <mergeCell ref="P315:V315"/>
    <mergeCell ref="D61:E61"/>
    <mergeCell ref="A256:Z256"/>
    <mergeCell ref="A15:M15"/>
    <mergeCell ref="P238:T238"/>
    <mergeCell ref="A498:Z498"/>
    <mergeCell ref="D48:E48"/>
    <mergeCell ref="A88:O89"/>
    <mergeCell ref="P229:T229"/>
    <mergeCell ref="D477:E477"/>
    <mergeCell ref="P375:T375"/>
    <mergeCell ref="P179:T179"/>
    <mergeCell ref="A369:Z369"/>
    <mergeCell ref="P446:T446"/>
    <mergeCell ref="P477:T477"/>
    <mergeCell ref="P157:V157"/>
    <mergeCell ref="P213:V213"/>
    <mergeCell ref="P384:V384"/>
    <mergeCell ref="D476:E476"/>
    <mergeCell ref="A147:Z147"/>
    <mergeCell ref="Y563:Y564"/>
    <mergeCell ref="D286:E286"/>
    <mergeCell ref="P224:T224"/>
    <mergeCell ref="P211:T211"/>
    <mergeCell ref="D59:E59"/>
    <mergeCell ref="P309:T309"/>
    <mergeCell ref="A377:O378"/>
    <mergeCell ref="P563:P564"/>
    <mergeCell ref="D178:E178"/>
    <mergeCell ref="A156:O157"/>
    <mergeCell ref="P153:T153"/>
    <mergeCell ref="P324:T324"/>
    <mergeCell ref="A441:O442"/>
    <mergeCell ref="A261:Z261"/>
    <mergeCell ref="A435:O436"/>
    <mergeCell ref="P525:V525"/>
    <mergeCell ref="P71:V71"/>
    <mergeCell ref="P202:V202"/>
    <mergeCell ref="P307:V307"/>
    <mergeCell ref="P380:T380"/>
    <mergeCell ref="D563:D564"/>
    <mergeCell ref="F563:F564"/>
    <mergeCell ref="P207:T207"/>
    <mergeCell ref="P249:V249"/>
    <mergeCell ref="T6:U9"/>
    <mergeCell ref="D340:E340"/>
    <mergeCell ref="Q10:R10"/>
    <mergeCell ref="P368:V368"/>
    <mergeCell ref="D185:E185"/>
    <mergeCell ref="D41:E41"/>
    <mergeCell ref="P25:V25"/>
    <mergeCell ref="P356:T356"/>
    <mergeCell ref="P554:V554"/>
    <mergeCell ref="A379:Z379"/>
    <mergeCell ref="D371:E371"/>
    <mergeCell ref="P320:V320"/>
    <mergeCell ref="P314:V314"/>
    <mergeCell ref="D137:E137"/>
    <mergeCell ref="P385:V385"/>
    <mergeCell ref="P387:T387"/>
    <mergeCell ref="A443:Z443"/>
    <mergeCell ref="P447:V447"/>
    <mergeCell ref="P514:T514"/>
    <mergeCell ref="P80:V80"/>
    <mergeCell ref="D74:E74"/>
    <mergeCell ref="P87:T87"/>
    <mergeCell ref="D130:E130"/>
    <mergeCell ref="D68:E68"/>
    <mergeCell ref="T5:U5"/>
    <mergeCell ref="D119:E119"/>
    <mergeCell ref="V5:W5"/>
    <mergeCell ref="D190:E190"/>
    <mergeCell ref="D246:E246"/>
    <mergeCell ref="P374:T374"/>
    <mergeCell ref="D488:E488"/>
    <mergeCell ref="D40:E40"/>
    <mergeCell ref="D111:E111"/>
    <mergeCell ref="D233:E233"/>
    <mergeCell ref="D282:E282"/>
    <mergeCell ref="A295:O296"/>
    <mergeCell ref="P361:T361"/>
    <mergeCell ref="Q8:R8"/>
    <mergeCell ref="P69:T69"/>
    <mergeCell ref="D183:E183"/>
    <mergeCell ref="A186:O187"/>
    <mergeCell ref="P267:T267"/>
    <mergeCell ref="D248:E248"/>
    <mergeCell ref="D419:E419"/>
    <mergeCell ref="D104:E104"/>
    <mergeCell ref="P438:T438"/>
    <mergeCell ref="P254:V254"/>
    <mergeCell ref="D444:E444"/>
    <mergeCell ref="A545:Z545"/>
    <mergeCell ref="A188:Z188"/>
    <mergeCell ref="A424:Z424"/>
    <mergeCell ref="A12:M12"/>
    <mergeCell ref="A53:Z53"/>
    <mergeCell ref="P501:T501"/>
    <mergeCell ref="A411:Z411"/>
    <mergeCell ref="D343:E343"/>
    <mergeCell ref="P74:T74"/>
    <mergeCell ref="P243:V243"/>
    <mergeCell ref="A19:Z19"/>
    <mergeCell ref="P372:T372"/>
    <mergeCell ref="P436:V436"/>
    <mergeCell ref="D182:E182"/>
    <mergeCell ref="A14:M14"/>
    <mergeCell ref="D109:E109"/>
    <mergeCell ref="A160:O161"/>
    <mergeCell ref="D280:E280"/>
    <mergeCell ref="A353:Z353"/>
    <mergeCell ref="A489:O490"/>
    <mergeCell ref="D467:E467"/>
    <mergeCell ref="D538:E538"/>
    <mergeCell ref="P138:T138"/>
    <mergeCell ref="P510:V510"/>
    <mergeCell ref="Q563:Q564"/>
    <mergeCell ref="S563:S564"/>
    <mergeCell ref="D27:E27"/>
    <mergeCell ref="A162:Z162"/>
    <mergeCell ref="D325:E325"/>
    <mergeCell ref="P208:T208"/>
    <mergeCell ref="P15:T16"/>
    <mergeCell ref="D396:E396"/>
    <mergeCell ref="A132:O133"/>
    <mergeCell ref="P450:T450"/>
    <mergeCell ref="D456:E456"/>
    <mergeCell ref="D414:E414"/>
    <mergeCell ref="P419:T419"/>
    <mergeCell ref="D91:E91"/>
    <mergeCell ref="P23:T23"/>
    <mergeCell ref="A275:O276"/>
    <mergeCell ref="P272:T272"/>
    <mergeCell ref="D327:E327"/>
    <mergeCell ref="P210:T210"/>
    <mergeCell ref="A367:O368"/>
    <mergeCell ref="P185:T185"/>
    <mergeCell ref="P427:T427"/>
    <mergeCell ref="P283:T283"/>
    <mergeCell ref="D93:E93"/>
    <mergeCell ref="AB562:AC562"/>
    <mergeCell ref="D166:E166"/>
    <mergeCell ref="A472:Z472"/>
    <mergeCell ref="D402:E402"/>
    <mergeCell ref="A537:Z537"/>
    <mergeCell ref="A17:A18"/>
    <mergeCell ref="K17:K18"/>
    <mergeCell ref="P195:T195"/>
    <mergeCell ref="C17:C18"/>
    <mergeCell ref="P300:T300"/>
    <mergeCell ref="P371:T371"/>
    <mergeCell ref="D103:E103"/>
    <mergeCell ref="D37:E37"/>
    <mergeCell ref="P431:T431"/>
    <mergeCell ref="D230:E230"/>
    <mergeCell ref="D401:E401"/>
    <mergeCell ref="A487:Z487"/>
    <mergeCell ref="P493:T493"/>
    <mergeCell ref="A548:O549"/>
    <mergeCell ref="D466:E466"/>
    <mergeCell ref="P66:T66"/>
    <mergeCell ref="P137:T137"/>
    <mergeCell ref="D118:E118"/>
    <mergeCell ref="D180:E180"/>
    <mergeCell ref="A5:C5"/>
    <mergeCell ref="A237:Z237"/>
    <mergeCell ref="P64:V64"/>
    <mergeCell ref="P340:T340"/>
    <mergeCell ref="P406:T406"/>
    <mergeCell ref="P51:V51"/>
    <mergeCell ref="D179:E179"/>
    <mergeCell ref="A174:Z174"/>
    <mergeCell ref="A108:Z108"/>
    <mergeCell ref="D9:E9"/>
    <mergeCell ref="F9:G9"/>
    <mergeCell ref="P289:T289"/>
    <mergeCell ref="D232:E232"/>
    <mergeCell ref="P68:T68"/>
    <mergeCell ref="P239:T239"/>
    <mergeCell ref="P186:V186"/>
    <mergeCell ref="D38:E38"/>
    <mergeCell ref="P253:V253"/>
    <mergeCell ref="A134:Z134"/>
    <mergeCell ref="P303:T303"/>
    <mergeCell ref="P367:V367"/>
    <mergeCell ref="A249:O250"/>
    <mergeCell ref="A44:Z44"/>
    <mergeCell ref="P75:V75"/>
    <mergeCell ref="A6:C6"/>
    <mergeCell ref="D309:E309"/>
    <mergeCell ref="D113:E113"/>
    <mergeCell ref="P180:T180"/>
    <mergeCell ref="P415:V415"/>
    <mergeCell ref="P118:T118"/>
    <mergeCell ref="P142:T142"/>
    <mergeCell ref="A332:Z332"/>
    <mergeCell ref="P336:V336"/>
    <mergeCell ref="D324:E324"/>
    <mergeCell ref="A259:O260"/>
    <mergeCell ref="P117:T117"/>
    <mergeCell ref="A253:O254"/>
    <mergeCell ref="P55:T55"/>
    <mergeCell ref="P182:T182"/>
    <mergeCell ref="Q12:R12"/>
    <mergeCell ref="P280:T280"/>
    <mergeCell ref="D388:E388"/>
    <mergeCell ref="P119:T119"/>
    <mergeCell ref="P246:T246"/>
    <mergeCell ref="P133:V133"/>
    <mergeCell ref="A123:Z123"/>
    <mergeCell ref="P198:V198"/>
    <mergeCell ref="A314:O315"/>
    <mergeCell ref="Z563:Z564"/>
    <mergeCell ref="X563:X564"/>
    <mergeCell ref="R563:R564"/>
    <mergeCell ref="P295:V295"/>
    <mergeCell ref="P276:V276"/>
    <mergeCell ref="P214:V214"/>
    <mergeCell ref="D421:E421"/>
    <mergeCell ref="Q9:R9"/>
    <mergeCell ref="P463:V463"/>
    <mergeCell ref="A331:Z331"/>
    <mergeCell ref="D451:E451"/>
    <mergeCell ref="P78:T78"/>
    <mergeCell ref="A97:Z97"/>
    <mergeCell ref="Q11:R11"/>
    <mergeCell ref="P376:T376"/>
    <mergeCell ref="A495:O496"/>
    <mergeCell ref="P467:T467"/>
    <mergeCell ref="P489:V489"/>
    <mergeCell ref="D546:E546"/>
    <mergeCell ref="D530:E530"/>
    <mergeCell ref="P509:V509"/>
    <mergeCell ref="P524:T524"/>
    <mergeCell ref="D507:E507"/>
    <mergeCell ref="P146:V146"/>
    <mergeCell ref="P546:T546"/>
    <mergeCell ref="P201:V201"/>
    <mergeCell ref="P139:V139"/>
    <mergeCell ref="I17:I18"/>
    <mergeCell ref="D135:E135"/>
    <mergeCell ref="P189:T189"/>
    <mergeCell ref="P114:V114"/>
    <mergeCell ref="P456:T456"/>
    <mergeCell ref="P287:T287"/>
    <mergeCell ref="P281:T281"/>
    <mergeCell ref="P414:T414"/>
    <mergeCell ref="P523:T523"/>
    <mergeCell ref="D492:E492"/>
    <mergeCell ref="P305:T305"/>
    <mergeCell ref="P540:V540"/>
    <mergeCell ref="A98:Z98"/>
    <mergeCell ref="P515:V515"/>
    <mergeCell ref="A201:O202"/>
    <mergeCell ref="P306:V306"/>
    <mergeCell ref="P513:T513"/>
    <mergeCell ref="A527:Z527"/>
    <mergeCell ref="P519:T519"/>
    <mergeCell ref="A251:Z251"/>
    <mergeCell ref="A322:Z322"/>
    <mergeCell ref="D1:F1"/>
    <mergeCell ref="P401:T401"/>
    <mergeCell ref="P466:T466"/>
    <mergeCell ref="A531:O532"/>
    <mergeCell ref="Y562:Z562"/>
    <mergeCell ref="P47:T47"/>
    <mergeCell ref="P409:V409"/>
    <mergeCell ref="A405:Z405"/>
    <mergeCell ref="J17:J18"/>
    <mergeCell ref="L17:L18"/>
    <mergeCell ref="P555:V555"/>
    <mergeCell ref="D240:E240"/>
    <mergeCell ref="P490:V490"/>
    <mergeCell ref="P346:V346"/>
    <mergeCell ref="D334:E334"/>
    <mergeCell ref="P321:V321"/>
    <mergeCell ref="P125:V125"/>
    <mergeCell ref="P557:V557"/>
    <mergeCell ref="A308:Z308"/>
    <mergeCell ref="P428:T428"/>
    <mergeCell ref="D100:E100"/>
    <mergeCell ref="P113:T113"/>
    <mergeCell ref="P284:T284"/>
    <mergeCell ref="P17:T18"/>
    <mergeCell ref="I563:I564"/>
    <mergeCell ref="D224:E224"/>
    <mergeCell ref="A26:Z26"/>
    <mergeCell ref="P103:T103"/>
    <mergeCell ref="P474:T474"/>
    <mergeCell ref="P230:T230"/>
    <mergeCell ref="P268:T268"/>
    <mergeCell ref="D211:E211"/>
    <mergeCell ref="D382:E382"/>
    <mergeCell ref="A471:Z471"/>
    <mergeCell ref="A77:Z77"/>
    <mergeCell ref="P129:T129"/>
    <mergeCell ref="A148:Z148"/>
    <mergeCell ref="D523:E523"/>
    <mergeCell ref="P50:T50"/>
    <mergeCell ref="P492:T492"/>
    <mergeCell ref="D31:E31"/>
    <mergeCell ref="A167:O168"/>
    <mergeCell ref="P286:T286"/>
    <mergeCell ref="D229:E229"/>
    <mergeCell ref="D400:E400"/>
    <mergeCell ref="A403:O404"/>
    <mergeCell ref="P131:T131"/>
    <mergeCell ref="D375:E375"/>
    <mergeCell ref="D514:E514"/>
    <mergeCell ref="P39:T39"/>
    <mergeCell ref="A46:Z46"/>
    <mergeCell ref="D87:E87"/>
    <mergeCell ref="P166:T166"/>
    <mergeCell ref="D209:E209"/>
    <mergeCell ref="D380:E380"/>
    <mergeCell ref="P508:T508"/>
    <mergeCell ref="D274:E274"/>
    <mergeCell ref="P402:T402"/>
    <mergeCell ref="D301:E301"/>
    <mergeCell ref="D445:E445"/>
    <mergeCell ref="P258:T258"/>
    <mergeCell ref="P429:T429"/>
    <mergeCell ref="P223:T223"/>
    <mergeCell ref="P494:T494"/>
    <mergeCell ref="P435:V435"/>
    <mergeCell ref="P291:V291"/>
    <mergeCell ref="P484:V484"/>
    <mergeCell ref="P285:T285"/>
    <mergeCell ref="D328:E328"/>
    <mergeCell ref="A203:Z203"/>
    <mergeCell ref="D335:E335"/>
    <mergeCell ref="D372:E372"/>
    <mergeCell ref="D5:E5"/>
    <mergeCell ref="D303:E303"/>
    <mergeCell ref="P382:T382"/>
    <mergeCell ref="A32:O33"/>
    <mergeCell ref="D94:E94"/>
    <mergeCell ref="D361:E361"/>
    <mergeCell ref="H563:H564"/>
    <mergeCell ref="A392:Z392"/>
    <mergeCell ref="J563:J564"/>
    <mergeCell ref="D69:E69"/>
    <mergeCell ref="P240:T240"/>
    <mergeCell ref="D354:E354"/>
    <mergeCell ref="P482:T482"/>
    <mergeCell ref="P398:V398"/>
    <mergeCell ref="P106:V106"/>
    <mergeCell ref="P33:V33"/>
    <mergeCell ref="P264:V264"/>
    <mergeCell ref="D356:E356"/>
    <mergeCell ref="P542:T542"/>
    <mergeCell ref="A45:Z45"/>
    <mergeCell ref="A216:Z216"/>
    <mergeCell ref="P462:V462"/>
    <mergeCell ref="P273:T273"/>
    <mergeCell ref="P526:V526"/>
    <mergeCell ref="H1:Q1"/>
    <mergeCell ref="P480:V480"/>
    <mergeCell ref="P345:V345"/>
    <mergeCell ref="A292:Z292"/>
    <mergeCell ref="D284:E284"/>
    <mergeCell ref="P193:V193"/>
    <mergeCell ref="A528:Z528"/>
    <mergeCell ref="D520:E520"/>
    <mergeCell ref="P120:T120"/>
    <mergeCell ref="D501:E501"/>
    <mergeCell ref="D28:E28"/>
    <mergeCell ref="A163:Z163"/>
    <mergeCell ref="D326:E326"/>
    <mergeCell ref="P476:T476"/>
    <mergeCell ref="D313:E313"/>
    <mergeCell ref="P184:T184"/>
    <mergeCell ref="D432:E432"/>
    <mergeCell ref="D117:E117"/>
    <mergeCell ref="D92:E92"/>
    <mergeCell ref="D55:E55"/>
    <mergeCell ref="D30:E30"/>
    <mergeCell ref="A95:O96"/>
    <mergeCell ref="P171:T171"/>
    <mergeCell ref="P242:T242"/>
    <mergeCell ref="D7:M7"/>
    <mergeCell ref="D129:E129"/>
    <mergeCell ref="P548:V548"/>
    <mergeCell ref="D365:E365"/>
    <mergeCell ref="D79:E79"/>
    <mergeCell ref="P92:T92"/>
    <mergeCell ref="P156:V156"/>
    <mergeCell ref="P334:T334"/>
    <mergeCell ref="D144:E144"/>
    <mergeCell ref="P394:T394"/>
    <mergeCell ref="P521:T521"/>
    <mergeCell ref="D502:E502"/>
    <mergeCell ref="D302:E302"/>
    <mergeCell ref="D429:E429"/>
    <mergeCell ref="P29:T29"/>
    <mergeCell ref="P100:T100"/>
    <mergeCell ref="P271:T271"/>
    <mergeCell ref="A290:O291"/>
    <mergeCell ref="P94:T94"/>
    <mergeCell ref="P535:V535"/>
    <mergeCell ref="D208:E208"/>
    <mergeCell ref="D8:M8"/>
    <mergeCell ref="P485:V485"/>
    <mergeCell ref="D366:E366"/>
    <mergeCell ref="P559:V559"/>
    <mergeCell ref="P459:V459"/>
    <mergeCell ref="A449:Z449"/>
    <mergeCell ref="A306:O307"/>
    <mergeCell ref="P234:T234"/>
    <mergeCell ref="D142:E142"/>
    <mergeCell ref="P390:V390"/>
    <mergeCell ref="A215:Z215"/>
    <mergeCell ref="A386:Z386"/>
    <mergeCell ref="D300:E300"/>
    <mergeCell ref="A509:O510"/>
    <mergeCell ref="P473:T473"/>
    <mergeCell ref="P522:T522"/>
    <mergeCell ref="D406:E406"/>
    <mergeCell ref="P416:V416"/>
    <mergeCell ref="P502:T502"/>
    <mergeCell ref="A535:O536"/>
    <mergeCell ref="A543:O544"/>
    <mergeCell ref="P407:T407"/>
    <mergeCell ref="P413:T413"/>
    <mergeCell ref="D524:E524"/>
    <mergeCell ref="D387:E387"/>
    <mergeCell ref="D272:E272"/>
    <mergeCell ref="P400:T400"/>
    <mergeCell ref="K563:K564"/>
    <mergeCell ref="D518:E518"/>
    <mergeCell ref="D124:E124"/>
    <mergeCell ref="P56:T56"/>
    <mergeCell ref="V10:W10"/>
    <mergeCell ref="D195:E195"/>
    <mergeCell ref="P252:T252"/>
    <mergeCell ref="D189:E189"/>
    <mergeCell ref="D493:E493"/>
    <mergeCell ref="D431:E431"/>
    <mergeCell ref="P99:T99"/>
    <mergeCell ref="D287:E287"/>
    <mergeCell ref="P170:T170"/>
    <mergeCell ref="A360:Z360"/>
    <mergeCell ref="P366:T366"/>
    <mergeCell ref="D474:E474"/>
    <mergeCell ref="A458:O459"/>
    <mergeCell ref="D66:E66"/>
    <mergeCell ref="P381:T381"/>
    <mergeCell ref="P552:T552"/>
    <mergeCell ref="D47:E47"/>
    <mergeCell ref="D289:E289"/>
    <mergeCell ref="P330:V330"/>
    <mergeCell ref="D482:E482"/>
    <mergeCell ref="R1:T1"/>
    <mergeCell ref="P28:T28"/>
    <mergeCell ref="P150:T150"/>
    <mergeCell ref="A218:O219"/>
    <mergeCell ref="P221:T221"/>
    <mergeCell ref="P326:T326"/>
    <mergeCell ref="A145:O146"/>
    <mergeCell ref="A345:O346"/>
    <mergeCell ref="P115:V115"/>
    <mergeCell ref="A139:O140"/>
    <mergeCell ref="P165:T165"/>
    <mergeCell ref="P30:T30"/>
    <mergeCell ref="D73:E73"/>
    <mergeCell ref="P152:T152"/>
    <mergeCell ref="A63:O64"/>
    <mergeCell ref="P104:T104"/>
    <mergeCell ref="P168:V168"/>
    <mergeCell ref="B17:B18"/>
    <mergeCell ref="D131:E131"/>
    <mergeCell ref="A266:Z266"/>
    <mergeCell ref="P235:V235"/>
    <mergeCell ref="D258:E258"/>
    <mergeCell ref="P209:T209"/>
    <mergeCell ref="W17:W18"/>
    <mergeCell ref="P558:V558"/>
    <mergeCell ref="B563:B564"/>
    <mergeCell ref="P88:V88"/>
    <mergeCell ref="P259:V259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238:E238"/>
    <mergeCell ref="P86:T86"/>
    <mergeCell ref="D78:E78"/>
    <mergeCell ref="P328:T328"/>
    <mergeCell ref="D376:E376"/>
    <mergeCell ref="P520:T520"/>
    <mergeCell ref="D363:E363"/>
    <mergeCell ref="P457:T457"/>
    <mergeCell ref="U563:U564"/>
    <mergeCell ref="P432:T432"/>
    <mergeCell ref="A550:Z550"/>
    <mergeCell ref="P377:V377"/>
    <mergeCell ref="P516:V516"/>
    <mergeCell ref="P543:V543"/>
    <mergeCell ref="H9:I9"/>
    <mergeCell ref="P24:V24"/>
    <mergeCell ref="D281:E281"/>
    <mergeCell ref="P89:V89"/>
    <mergeCell ref="A36:Z36"/>
    <mergeCell ref="P260:V260"/>
    <mergeCell ref="P389:T389"/>
    <mergeCell ref="P453:V453"/>
    <mergeCell ref="P448:V448"/>
    <mergeCell ref="P441:V441"/>
    <mergeCell ref="A437:Z437"/>
    <mergeCell ref="D494:E494"/>
    <mergeCell ref="P445:T445"/>
    <mergeCell ref="A264:O265"/>
    <mergeCell ref="P96:V96"/>
    <mergeCell ref="P532:V532"/>
    <mergeCell ref="P161:V161"/>
    <mergeCell ref="P31:T31"/>
    <mergeCell ref="D67:E67"/>
    <mergeCell ref="D210:E210"/>
    <mergeCell ref="A316:Z316"/>
    <mergeCell ref="D381:E381"/>
    <mergeCell ref="P79:T79"/>
    <mergeCell ref="D473:E473"/>
    <mergeCell ref="D60:E60"/>
    <mergeCell ref="P73:T73"/>
    <mergeCell ref="P144:T144"/>
    <mergeCell ref="P231:T231"/>
    <mergeCell ref="P302:T302"/>
    <mergeCell ref="A352:Z352"/>
    <mergeCell ref="A34:Z34"/>
    <mergeCell ref="A83:Z83"/>
    <mergeCell ref="P451:T451"/>
    <mergeCell ref="A470:Z470"/>
    <mergeCell ref="P126:V126"/>
    <mergeCell ref="A82:Z8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14</v>
      </c>
      <c r="C8" s="47" t="s">
        <v>883</v>
      </c>
      <c r="D8" s="47" t="s">
        <v>884</v>
      </c>
      <c r="E8" s="47"/>
    </row>
    <row r="10" spans="2:8" x14ac:dyDescent="0.2">
      <c r="B10" s="47" t="s">
        <v>885</v>
      </c>
      <c r="C10" s="47" t="s">
        <v>878</v>
      </c>
      <c r="D10" s="47"/>
      <c r="E10" s="47"/>
    </row>
    <row r="12" spans="2:8" x14ac:dyDescent="0.2">
      <c r="B12" s="47" t="s">
        <v>886</v>
      </c>
      <c r="C12" s="47" t="s">
        <v>881</v>
      </c>
      <c r="D12" s="47"/>
      <c r="E12" s="47"/>
    </row>
    <row r="14" spans="2:8" x14ac:dyDescent="0.2">
      <c r="B14" s="47" t="s">
        <v>887</v>
      </c>
      <c r="C14" s="47" t="s">
        <v>883</v>
      </c>
      <c r="D14" s="47"/>
      <c r="E14" s="47"/>
    </row>
    <row r="16" spans="2:8" x14ac:dyDescent="0.2">
      <c r="B16" s="47" t="s">
        <v>888</v>
      </c>
      <c r="C16" s="47"/>
      <c r="D16" s="47"/>
      <c r="E16" s="47"/>
    </row>
    <row r="17" spans="2:5" x14ac:dyDescent="0.2">
      <c r="B17" s="47" t="s">
        <v>889</v>
      </c>
      <c r="C17" s="47"/>
      <c r="D17" s="47"/>
      <c r="E17" s="47"/>
    </row>
    <row r="18" spans="2:5" x14ac:dyDescent="0.2">
      <c r="B18" s="47" t="s">
        <v>890</v>
      </c>
      <c r="C18" s="47"/>
      <c r="D18" s="47"/>
      <c r="E18" s="47"/>
    </row>
    <row r="19" spans="2:5" x14ac:dyDescent="0.2">
      <c r="B19" s="47" t="s">
        <v>891</v>
      </c>
      <c r="C19" s="47"/>
      <c r="D19" s="47"/>
      <c r="E19" s="47"/>
    </row>
    <row r="20" spans="2:5" x14ac:dyDescent="0.2">
      <c r="B20" s="47" t="s">
        <v>892</v>
      </c>
      <c r="C20" s="47"/>
      <c r="D20" s="47"/>
      <c r="E20" s="47"/>
    </row>
    <row r="21" spans="2:5" x14ac:dyDescent="0.2">
      <c r="B21" s="47" t="s">
        <v>893</v>
      </c>
      <c r="C21" s="47"/>
      <c r="D21" s="47"/>
      <c r="E21" s="47"/>
    </row>
    <row r="22" spans="2:5" x14ac:dyDescent="0.2">
      <c r="B22" s="47" t="s">
        <v>894</v>
      </c>
      <c r="C22" s="47"/>
      <c r="D22" s="47"/>
      <c r="E22" s="47"/>
    </row>
    <row r="23" spans="2:5" x14ac:dyDescent="0.2">
      <c r="B23" s="47" t="s">
        <v>895</v>
      </c>
      <c r="C23" s="47"/>
      <c r="D23" s="47"/>
      <c r="E23" s="47"/>
    </row>
    <row r="24" spans="2:5" x14ac:dyDescent="0.2">
      <c r="B24" s="47" t="s">
        <v>896</v>
      </c>
      <c r="C24" s="47"/>
      <c r="D24" s="47"/>
      <c r="E24" s="47"/>
    </row>
    <row r="25" spans="2:5" x14ac:dyDescent="0.2">
      <c r="B25" s="47" t="s">
        <v>897</v>
      </c>
      <c r="C25" s="47"/>
      <c r="D25" s="47"/>
      <c r="E25" s="47"/>
    </row>
    <row r="26" spans="2:5" x14ac:dyDescent="0.2">
      <c r="B26" s="47" t="s">
        <v>898</v>
      </c>
      <c r="C26" s="47"/>
      <c r="D26" s="47"/>
      <c r="E26" s="47"/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