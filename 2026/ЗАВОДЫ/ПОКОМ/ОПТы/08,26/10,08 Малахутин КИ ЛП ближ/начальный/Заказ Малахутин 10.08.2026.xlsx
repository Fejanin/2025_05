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7F2E77-3874-4B73-86A5-50B7C1DB257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293" i="2" l="1"/>
  <c r="BN293" i="2"/>
  <c r="Z159" i="2"/>
  <c r="Z160" i="2" s="1"/>
  <c r="Y160" i="2"/>
  <c r="Z374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41" i="2"/>
  <c r="BN100" i="2"/>
  <c r="BP100" i="2"/>
  <c r="BN66" i="2"/>
  <c r="BP66" i="2"/>
  <c r="BN74" i="2"/>
  <c r="BN93" i="2"/>
  <c r="BN113" i="2"/>
  <c r="Z119" i="2"/>
  <c r="Y122" i="2"/>
  <c r="BN120" i="2"/>
  <c r="BP120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BN23" i="2"/>
  <c r="BN48" i="2"/>
  <c r="BN59" i="2"/>
  <c r="Y121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357" i="2"/>
  <c r="Z441" i="2"/>
  <c r="Z409" i="2"/>
  <c r="Z447" i="2"/>
  <c r="Z548" i="2"/>
  <c r="Z24" i="2"/>
  <c r="Z95" i="2"/>
  <c r="Z435" i="2"/>
  <c r="Z415" i="2"/>
  <c r="Z295" i="2"/>
  <c r="X558" i="2"/>
  <c r="Z259" i="2"/>
  <c r="Z377" i="2"/>
  <c r="Z329" i="2"/>
  <c r="Z484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<sst xmlns="http://schemas.openxmlformats.org/spreadsheetml/2006/main" count="4244" uniqueCount="900">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</sst>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459" zoomScaleNormal="100" zoomScaleSheetLayoutView="100" workbookViewId="0">
      <selection activeCell="Z559" sqref="Z5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46247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18.518518518518519</v>
      </c>
      <c r="Y51" s="43">
        <f>IFERROR(Y47/H47,"0")+IFERROR(Y48/H48,"0")+IFERROR(Y49/H49,"0")+IFERROR(Y50/H50,"0")</f>
        <v>19</v>
      </c>
      <c r="Z51" s="43">
        <f>IFERROR(IF(Z47="",0,Z47),"0")+IFERROR(IF(Z48="",0,Z48),"0")+IFERROR(IF(Z49="",0,Z49),"0")+IFERROR(IF(Z50="",0,Z50),"0")</f>
        <v>0.36062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200</v>
      </c>
      <c r="Y52" s="43">
        <f>IFERROR(SUM(Y47:Y50),"0")</f>
        <v>205.20000000000002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0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46.900000000000006</v>
      </c>
      <c r="BN62" s="78">
        <f t="shared" si="2"/>
        <v>46.900000000000006</v>
      </c>
      <c r="BO62" s="78">
        <f t="shared" si="3"/>
        <v>7.575757575757576E-2</v>
      </c>
      <c r="BP62" s="78">
        <f t="shared" si="4"/>
        <v>7.575757575757576E-2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</v>
      </c>
      <c r="Y63" s="43">
        <f>IFERROR(Y55/H55,"0")+IFERROR(Y56/H56,"0")+IFERROR(Y57/H57,"0")+IFERROR(Y58/H58,"0")+IFERROR(Y59/H59,"0")+IFERROR(Y60/H60,"0")+IFERROR(Y61/H61,"0")+IFERROR(Y62/H62,"0")</f>
        <v>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9.0200000000000002E-2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45</v>
      </c>
      <c r="Y64" s="43">
        <f>IFERROR(SUM(Y55:Y62),"0")</f>
        <v>45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200</v>
      </c>
      <c r="Y84" s="55">
        <f>IFERROR(IF(X84="",0,CEILING((X84/$H84),1)*$H84),"")</f>
        <v>205.20000000000002</v>
      </c>
      <c r="Z84" s="41">
        <f>IFERROR(IF(Y84=0,"",ROUNDUP(Y84/H84,0)*0.01898),"")</f>
        <v>0.36062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207.59259259259258</v>
      </c>
      <c r="BN84" s="78">
        <f>IFERROR(Y84*I84/H84,"0")</f>
        <v>212.99</v>
      </c>
      <c r="BO84" s="78">
        <f>IFERROR(1/J84*(X84/H84),"0")</f>
        <v>0.28935185185185186</v>
      </c>
      <c r="BP84" s="78">
        <f>IFERROR(1/J84*(Y84/H84),"0")</f>
        <v>0.296875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18.518518518518519</v>
      </c>
      <c r="Y88" s="43">
        <f>IFERROR(Y84/H84,"0")+IFERROR(Y85/H85,"0")+IFERROR(Y86/H86,"0")+IFERROR(Y87/H87,"0")</f>
        <v>19</v>
      </c>
      <c r="Z88" s="43">
        <f>IFERROR(IF(Z84="",0,Z84),"0")+IFERROR(IF(Z85="",0,Z85),"0")+IFERROR(IF(Z86="",0,Z86),"0")+IFERROR(IF(Z87="",0,Z87),"0")</f>
        <v>0.36062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200</v>
      </c>
      <c r="Y89" s="43">
        <f>IFERROR(SUM(Y84:Y87),"0")</f>
        <v>205.20000000000002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54</v>
      </c>
      <c r="Y93" s="55">
        <f>IFERROR(IF(X93="",0,CEILING((X93/$H93),1)*$H93),"")</f>
        <v>54</v>
      </c>
      <c r="Z93" s="41">
        <f>IFERROR(IF(Y93=0,"",ROUNDUP(Y93/H93,0)*0.00651),"")</f>
        <v>0.13020000000000001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59.039999999999992</v>
      </c>
      <c r="BN93" s="78">
        <f>IFERROR(Y93*I93/H93,"0")</f>
        <v>59.039999999999992</v>
      </c>
      <c r="BO93" s="78">
        <f>IFERROR(1/J93*(X93/H93),"0")</f>
        <v>0.1098901098901099</v>
      </c>
      <c r="BP93" s="78">
        <f>IFERROR(1/J93*(Y93/H93),"0")</f>
        <v>0.1098901098901099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20</v>
      </c>
      <c r="Y95" s="43">
        <f>IFERROR(Y91/H91,"0")+IFERROR(Y92/H92,"0")+IFERROR(Y93/H93,"0")+IFERROR(Y94/H94,"0")</f>
        <v>20</v>
      </c>
      <c r="Z95" s="43">
        <f>IFERROR(IF(Z91="",0,Z91),"0")+IFERROR(IF(Z92="",0,Z92),"0")+IFERROR(IF(Z93="",0,Z93),"0")+IFERROR(IF(Z94="",0,Z94),"0")</f>
        <v>0.13020000000000001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54</v>
      </c>
      <c r="Y96" s="43">
        <f>IFERROR(SUM(Y91:Y94),"0")</f>
        <v>54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100</v>
      </c>
      <c r="Y109" s="55">
        <f>IFERROR(IF(X109="",0,CEILING((X109/$H109),1)*$H109),"")</f>
        <v>108</v>
      </c>
      <c r="Z109" s="41">
        <f>IFERROR(IF(Y109=0,"",ROUNDUP(Y109/H109,0)*0.01898),"")</f>
        <v>0.1898</v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103.79629629629629</v>
      </c>
      <c r="BN109" s="78">
        <f>IFERROR(Y109*I109/H109,"0")</f>
        <v>112.1</v>
      </c>
      <c r="BO109" s="78">
        <f>IFERROR(1/J109*(X109/H109),"0")</f>
        <v>0.14467592592592593</v>
      </c>
      <c r="BP109" s="78">
        <f>IFERROR(1/J109*(Y109/H109),"0")</f>
        <v>0.15625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9.2592592592592595</v>
      </c>
      <c r="Y114" s="43">
        <f>IFERROR(Y109/H109,"0")+IFERROR(Y110/H110,"0")+IFERROR(Y111/H111,"0")+IFERROR(Y112/H112,"0")+IFERROR(Y113/H113,"0")</f>
        <v>10</v>
      </c>
      <c r="Z114" s="43">
        <f>IFERROR(IF(Z109="",0,Z109),"0")+IFERROR(IF(Z110="",0,Z110),"0")+IFERROR(IF(Z111="",0,Z111),"0")+IFERROR(IF(Z112="",0,Z112),"0")+IFERROR(IF(Z113="",0,Z113),"0")</f>
        <v>0.1898</v>
      </c>
      <c r="AA114" s="67"/>
      <c r="AB114" s="67"/>
      <c r="AC114" s="67"/>
    </row>
    <row r="115" spans="1:68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100</v>
      </c>
      <c r="Y115" s="43">
        <f>IFERROR(SUM(Y109:Y113),"0")</f>
        <v>108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94.5</v>
      </c>
      <c r="Y119" s="55">
        <f>IFERROR(IF(X119="",0,CEILING((X119/$H119),1)*$H119),"")</f>
        <v>94.5</v>
      </c>
      <c r="Z119" s="41">
        <f>IFERROR(IF(Y119=0,"",ROUNDUP(Y119/H119,0)*0.00651),"")</f>
        <v>0.22785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103.32</v>
      </c>
      <c r="BN119" s="78">
        <f>IFERROR(Y119*I119/H119,"0")</f>
        <v>103.32</v>
      </c>
      <c r="BO119" s="78">
        <f>IFERROR(1/J119*(X119/H119),"0")</f>
        <v>0.19230769230769232</v>
      </c>
      <c r="BP119" s="78">
        <f>IFERROR(1/J119*(Y119/H119),"0")</f>
        <v>0.19230769230769232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35</v>
      </c>
      <c r="Y121" s="43">
        <f>IFERROR(Y117/H117,"0")+IFERROR(Y118/H118,"0")+IFERROR(Y119/H119,"0")+IFERROR(Y120/H120,"0")</f>
        <v>35</v>
      </c>
      <c r="Z121" s="43">
        <f>IFERROR(IF(Z117="",0,Z117),"0")+IFERROR(IF(Z118="",0,Z118),"0")+IFERROR(IF(Z119="",0,Z119),"0")+IFERROR(IF(Z120="",0,Z120),"0")</f>
        <v>0.22785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94.5</v>
      </c>
      <c r="Y122" s="43">
        <f>IFERROR(SUM(Y117:Y120),"0")</f>
        <v>94.5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20</v>
      </c>
      <c r="Y221" s="55">
        <f t="shared" ref="Y221:Y234" si="27">IFERROR(IF(X221="",0,CEILING((X221/$H221),1)*$H221),"")</f>
        <v>21</v>
      </c>
      <c r="Z221" s="41">
        <f>IFERROR(IF(Y221=0,"",ROUNDUP(Y221/H221,0)*0.00902),"")</f>
        <v>4.5100000000000001E-2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21.19047619047619</v>
      </c>
      <c r="BN221" s="78">
        <f t="shared" ref="BN221:BN234" si="29">IFERROR(Y221*I221/H221,"0")</f>
        <v>22.25</v>
      </c>
      <c r="BO221" s="78">
        <f t="shared" ref="BO221:BO234" si="30">IFERROR(1/J221*(X221/H221),"0")</f>
        <v>3.6075036075036072E-2</v>
      </c>
      <c r="BP221" s="78">
        <f t="shared" ref="BP221:BP234" si="31">IFERROR(1/J221*(Y221/H221),"0")</f>
        <v>3.787878787878788E-2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21</v>
      </c>
      <c r="Y232" s="55">
        <f t="shared" si="27"/>
        <v>21</v>
      </c>
      <c r="Z232" s="41">
        <f>IFERROR(IF(Y232=0,"",ROUNDUP(Y232/H232,0)*0.00502),"")</f>
        <v>5.0200000000000002E-2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22</v>
      </c>
      <c r="BN232" s="78">
        <f t="shared" si="29"/>
        <v>22</v>
      </c>
      <c r="BO232" s="78">
        <f t="shared" si="30"/>
        <v>4.2735042735042736E-2</v>
      </c>
      <c r="BP232" s="78">
        <f t="shared" si="31"/>
        <v>4.2735042735042736E-2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14.761904761904763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15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9.5299999999999996E-2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41</v>
      </c>
      <c r="Y236" s="43">
        <f>IFERROR(SUM(Y221:Y234),"0")</f>
        <v>42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20</v>
      </c>
      <c r="Y267" s="55">
        <f t="shared" ref="Y267:Y274" si="33">IFERROR(IF(X267="",0,CEILING((X267/$H267),1)*$H267),"")</f>
        <v>21.6</v>
      </c>
      <c r="Z267" s="41">
        <f>IFERROR(IF(Y267=0,"",ROUNDUP(Y267/H267,0)*0.00902),"")</f>
        <v>3.6080000000000001E-2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20.703703703703702</v>
      </c>
      <c r="BN267" s="78">
        <f t="shared" ref="BN267:BN274" si="35">IFERROR(Y267*I267/H267,"0")</f>
        <v>22.36</v>
      </c>
      <c r="BO267" s="78">
        <f t="shared" ref="BO267:BO274" si="36">IFERROR(1/J267*(X267/H267),"0")</f>
        <v>2.8058361391694722E-2</v>
      </c>
      <c r="BP267" s="78">
        <f t="shared" ref="BP267:BP274" si="37">IFERROR(1/J267*(Y267/H267),"0")</f>
        <v>3.0303030303030304E-2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20</v>
      </c>
      <c r="Y270" s="55">
        <f t="shared" si="33"/>
        <v>21.6</v>
      </c>
      <c r="Z270" s="41">
        <f>IFERROR(IF(Y270=0,"",ROUNDUP(Y270/H270,0)*0.00902),"")</f>
        <v>3.6080000000000001E-2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20.703703703703702</v>
      </c>
      <c r="BN270" s="78">
        <f t="shared" si="35"/>
        <v>22.36</v>
      </c>
      <c r="BO270" s="78">
        <f t="shared" si="36"/>
        <v>2.8058361391694722E-2</v>
      </c>
      <c r="BP270" s="78">
        <f t="shared" si="37"/>
        <v>3.0303030303030304E-2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7.4074074074074066</v>
      </c>
      <c r="Y275" s="43">
        <f>IFERROR(Y267/H267,"0")+IFERROR(Y268/H268,"0")+IFERROR(Y269/H269,"0")+IFERROR(Y270/H270,"0")+IFERROR(Y271/H271,"0")+IFERROR(Y272/H272,"0")+IFERROR(Y273/H273,"0")+IFERROR(Y274/H274,"0")</f>
        <v>8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7.2160000000000002E-2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40</v>
      </c>
      <c r="Y276" s="43">
        <f>IFERROR(SUM(Y267:Y274),"0")</f>
        <v>43.2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240</v>
      </c>
      <c r="Y284" s="55">
        <f t="shared" si="38"/>
        <v>240</v>
      </c>
      <c r="Z284" s="41">
        <f>IFERROR(IF(Y284=0,"",ROUNDUP(Y284/H284,0)*0.00651),"")</f>
        <v>0.65100000000000002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265.20000000000005</v>
      </c>
      <c r="BN284" s="78">
        <f t="shared" si="40"/>
        <v>265.20000000000005</v>
      </c>
      <c r="BO284" s="78">
        <f t="shared" si="41"/>
        <v>0.5494505494505495</v>
      </c>
      <c r="BP284" s="78">
        <f t="shared" si="42"/>
        <v>0.5494505494505495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100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100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0.65100000000000002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240</v>
      </c>
      <c r="Y291" s="43">
        <f>IFERROR(SUM(Y278:Y289),"0")</f>
        <v>240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700</v>
      </c>
      <c r="Y388" s="55">
        <f>IFERROR(IF(X388="",0,CEILING((X388/$H388),1)*$H388),"")</f>
        <v>702</v>
      </c>
      <c r="Z388" s="41">
        <f>IFERROR(IF(Y388=0,"",ROUNDUP(Y388/H388,0)*0.01898),"")</f>
        <v>1.7081999999999999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744.33333333333337</v>
      </c>
      <c r="BN388" s="78">
        <f>IFERROR(Y388*I388/H388,"0")</f>
        <v>746.46</v>
      </c>
      <c r="BO388" s="78">
        <f>IFERROR(1/J388*(X388/H388),"0")</f>
        <v>1.4022435897435899</v>
      </c>
      <c r="BP388" s="78">
        <f>IFERROR(1/J388*(Y388/H388),"0")</f>
        <v>1.40625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89.743589743589752</v>
      </c>
      <c r="Y390" s="43">
        <f>IFERROR(Y387/H387,"0")+IFERROR(Y388/H388,"0")+IFERROR(Y389/H389,"0")</f>
        <v>90</v>
      </c>
      <c r="Z390" s="43">
        <f>IFERROR(IF(Z387="",0,Z387),"0")+IFERROR(IF(Z388="",0,Z388),"0")+IFERROR(IF(Z389="",0,Z389),"0")</f>
        <v>1.7081999999999999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700</v>
      </c>
      <c r="Y391" s="43">
        <f>IFERROR(SUM(Y387:Y389),"0")</f>
        <v>702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20.399999999999999</v>
      </c>
      <c r="Y396" s="55">
        <f>IFERROR(IF(X396="",0,CEILING((X396/$H396),1)*$H396),"")</f>
        <v>20.399999999999999</v>
      </c>
      <c r="Z396" s="41">
        <f>IFERROR(IF(Y396=0,"",ROUNDUP(Y396/H396,0)*0.00651),"")</f>
        <v>5.2080000000000001E-2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23.04</v>
      </c>
      <c r="BN396" s="78">
        <f>IFERROR(Y396*I396/H396,"0")</f>
        <v>23.04</v>
      </c>
      <c r="BO396" s="78">
        <f>IFERROR(1/J396*(X396/H396),"0")</f>
        <v>4.3956043956043959E-2</v>
      </c>
      <c r="BP396" s="78">
        <f>IFERROR(1/J396*(Y396/H396),"0")</f>
        <v>4.3956043956043959E-2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8</v>
      </c>
      <c r="Y397" s="43">
        <f>IFERROR(Y393/H393,"0")+IFERROR(Y394/H394,"0")+IFERROR(Y395/H395,"0")+IFERROR(Y396/H396,"0")</f>
        <v>8</v>
      </c>
      <c r="Z397" s="43">
        <f>IFERROR(IF(Z393="",0,Z393),"0")+IFERROR(IF(Z394="",0,Z394),"0")+IFERROR(IF(Z395="",0,Z395),"0")+IFERROR(IF(Z396="",0,Z396),"0")</f>
        <v>5.2080000000000001E-2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20.399999999999999</v>
      </c>
      <c r="Y398" s="43">
        <f>IFERROR(SUM(Y393:Y396),"0")</f>
        <v>20.399999999999999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63</v>
      </c>
      <c r="Y420" s="55">
        <f>IFERROR(IF(X420="",0,CEILING((X420/$H420),1)*$H420),"")</f>
        <v>63</v>
      </c>
      <c r="Z420" s="41">
        <f>IFERROR(IF(Y420=0,"",ROUNDUP(Y420/H420,0)*0.00651),"")</f>
        <v>0.1953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70.559999999999988</v>
      </c>
      <c r="BN420" s="78">
        <f>IFERROR(Y420*I420/H420,"0")</f>
        <v>70.559999999999988</v>
      </c>
      <c r="BO420" s="78">
        <f>IFERROR(1/J420*(X420/H420),"0")</f>
        <v>0.16483516483516486</v>
      </c>
      <c r="BP420" s="78">
        <f>IFERROR(1/J420*(Y420/H420),"0")</f>
        <v>0.16483516483516486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52.5</v>
      </c>
      <c r="Y421" s="55">
        <f>IFERROR(IF(X421="",0,CEILING((X421/$H421),1)*$H421),"")</f>
        <v>52.5</v>
      </c>
      <c r="Z421" s="41">
        <f>IFERROR(IF(Y421=0,"",ROUNDUP(Y421/H421,0)*0.00651),"")</f>
        <v>0.16275000000000001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58.499999999999993</v>
      </c>
      <c r="BN421" s="78">
        <f>IFERROR(Y421*I421/H421,"0")</f>
        <v>58.499999999999993</v>
      </c>
      <c r="BO421" s="78">
        <f>IFERROR(1/J421*(X421/H421),"0")</f>
        <v>0.13736263736263737</v>
      </c>
      <c r="BP421" s="78">
        <f>IFERROR(1/J421*(Y421/H421),"0")</f>
        <v>0.13736263736263737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55</v>
      </c>
      <c r="Y422" s="43">
        <f>IFERROR(Y419/H419,"0")+IFERROR(Y420/H420,"0")+IFERROR(Y421/H421,"0")</f>
        <v>55</v>
      </c>
      <c r="Z422" s="43">
        <f>IFERROR(IF(Z419="",0,Z419),"0")+IFERROR(IF(Z420="",0,Z420),"0")+IFERROR(IF(Z421="",0,Z421),"0")</f>
        <v>0.35804999999999998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115.5</v>
      </c>
      <c r="Y423" s="43">
        <f>IFERROR(SUM(Y419:Y421),"0")</f>
        <v>115.5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1500</v>
      </c>
      <c r="Y428" s="55">
        <f t="shared" si="58"/>
        <v>1500</v>
      </c>
      <c r="Z428" s="41">
        <f>IFERROR(IF(Y428=0,"",ROUNDUP(Y428/H428,0)*0.02175),"")</f>
        <v>2.1749999999999998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1547</v>
      </c>
      <c r="BN428" s="78">
        <f t="shared" si="60"/>
        <v>1547</v>
      </c>
      <c r="BO428" s="78">
        <f t="shared" si="61"/>
        <v>2.083333333333333</v>
      </c>
      <c r="BP428" s="78">
        <f t="shared" si="62"/>
        <v>2.083333333333333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750</v>
      </c>
      <c r="Y429" s="55">
        <f t="shared" si="58"/>
        <v>750</v>
      </c>
      <c r="Z429" s="41">
        <f>IFERROR(IF(Y429=0,"",ROUNDUP(Y429/H429,0)*0.02175),"")</f>
        <v>1.0874999999999999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773.5</v>
      </c>
      <c r="BN429" s="78">
        <f t="shared" si="60"/>
        <v>773.5</v>
      </c>
      <c r="BO429" s="78">
        <f t="shared" si="61"/>
        <v>1.0416666666666665</v>
      </c>
      <c r="BP429" s="78">
        <f t="shared" si="62"/>
        <v>1.0416666666666665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2000</v>
      </c>
      <c r="Y430" s="55">
        <f t="shared" si="58"/>
        <v>2010</v>
      </c>
      <c r="Z430" s="41">
        <f>IFERROR(IF(Y430=0,"",ROUNDUP(Y430/H430,0)*0.02175),"")</f>
        <v>2.9144999999999999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2062.6666666666665</v>
      </c>
      <c r="BN430" s="78">
        <f t="shared" si="60"/>
        <v>2072.98</v>
      </c>
      <c r="BO430" s="78">
        <f t="shared" si="61"/>
        <v>2.7777777777777777</v>
      </c>
      <c r="BP430" s="78">
        <f t="shared" si="62"/>
        <v>2.7916666666666665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283.33333333333337</v>
      </c>
      <c r="Y435" s="43">
        <f>IFERROR(Y427/H427,"0")+IFERROR(Y428/H428,"0")+IFERROR(Y429/H429,"0")+IFERROR(Y430/H430,"0")+IFERROR(Y431/H431,"0")+IFERROR(Y432/H432,"0")+IFERROR(Y433/H433,"0")+IFERROR(Y434/H434,"0")</f>
        <v>284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6.1769999999999996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4250</v>
      </c>
      <c r="Y436" s="43">
        <f>IFERROR(SUM(Y427:Y434),"0")</f>
        <v>4260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2000</v>
      </c>
      <c r="Y438" s="55">
        <f>IFERROR(IF(X438="",0,CEILING((X438/$H438),1)*$H438),"")</f>
        <v>2010</v>
      </c>
      <c r="Z438" s="41">
        <f>IFERROR(IF(Y438=0,"",ROUNDUP(Y438/H438,0)*0.02175),"")</f>
        <v>2.9144999999999999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2062.6666666666665</v>
      </c>
      <c r="BN438" s="78">
        <f>IFERROR(Y438*I438/H438,"0")</f>
        <v>2072.98</v>
      </c>
      <c r="BO438" s="78">
        <f>IFERROR(1/J438*(X438/H438),"0")</f>
        <v>2.7777777777777777</v>
      </c>
      <c r="BP438" s="78">
        <f>IFERROR(1/J438*(Y438/H438),"0")</f>
        <v>2.7916666666666665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133.33333333333334</v>
      </c>
      <c r="Y441" s="43">
        <f>IFERROR(Y438/H438,"0")+IFERROR(Y439/H439,"0")+IFERROR(Y440/H440,"0")</f>
        <v>134</v>
      </c>
      <c r="Z441" s="43">
        <f>IFERROR(IF(Z438="",0,Z438),"0")+IFERROR(IF(Z439="",0,Z439),"0")+IFERROR(IF(Z440="",0,Z440),"0")</f>
        <v>2.9144999999999999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2000</v>
      </c>
      <c r="Y442" s="43">
        <f>IFERROR(SUM(Y438:Y440),"0")</f>
        <v>2010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120</v>
      </c>
      <c r="Y451" s="55">
        <f>IFERROR(IF(X451="",0,CEILING((X451/$H451),1)*$H451),"")</f>
        <v>126</v>
      </c>
      <c r="Z451" s="41">
        <f>IFERROR(IF(Y451=0,"",ROUNDUP(Y451/H451,0)*0.01898),"")</f>
        <v>0.26572000000000001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126.58666666666666</v>
      </c>
      <c r="BN451" s="78">
        <f>IFERROR(Y451*I451/H451,"0")</f>
        <v>132.916</v>
      </c>
      <c r="BO451" s="78">
        <f>IFERROR(1/J451*(X451/H451),"0")</f>
        <v>0.20833333333333334</v>
      </c>
      <c r="BP451" s="78">
        <f>IFERROR(1/J451*(Y451/H451),"0")</f>
        <v>0.21875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13.333333333333334</v>
      </c>
      <c r="Y452" s="43">
        <f>IFERROR(Y450/H450,"0")+IFERROR(Y451/H451,"0")</f>
        <v>14</v>
      </c>
      <c r="Z452" s="43">
        <f>IFERROR(IF(Z450="",0,Z450),"0")+IFERROR(IF(Z451="",0,Z451),"0")</f>
        <v>0.26572000000000001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120</v>
      </c>
      <c r="Y453" s="43">
        <f>IFERROR(SUM(Y450:Y451),"0")</f>
        <v>126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30</v>
      </c>
      <c r="Y456" s="55">
        <f>IFERROR(IF(X456="",0,CEILING((X456/$H456),1)*$H456),"")</f>
        <v>36</v>
      </c>
      <c r="Z456" s="41">
        <f>IFERROR(IF(Y456=0,"",ROUNDUP(Y456/H456,0)*0.01898),"")</f>
        <v>5.6940000000000004E-2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31.025000000000002</v>
      </c>
      <c r="BN456" s="78">
        <f>IFERROR(Y456*I456/H456,"0")</f>
        <v>37.229999999999997</v>
      </c>
      <c r="BO456" s="78">
        <f>IFERROR(1/J456*(X456/H456),"0")</f>
        <v>3.90625E-2</v>
      </c>
      <c r="BP456" s="78">
        <f>IFERROR(1/J456*(Y456/H456),"0")</f>
        <v>4.6875E-2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2.5</v>
      </c>
      <c r="Y458" s="43">
        <f>IFERROR(Y456/H456,"0")+IFERROR(Y457/H457,"0")</f>
        <v>3</v>
      </c>
      <c r="Z458" s="43">
        <f>IFERROR(IF(Z456="",0,Z456),"0")+IFERROR(IF(Z457="",0,Z457),"0")</f>
        <v>5.6940000000000004E-2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30</v>
      </c>
      <c r="Y459" s="43">
        <f>IFERROR(SUM(Y456:Y457),"0")</f>
        <v>36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5000</v>
      </c>
      <c r="Y465" s="55">
        <f>IFERROR(IF(X465="",0,CEILING((X465/$H465),1)*$H465),"")</f>
        <v>5004</v>
      </c>
      <c r="Z465" s="41">
        <f>IFERROR(IF(Y465=0,"",ROUNDUP(Y465/H465,0)*0.01898),"")</f>
        <v>10.55288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5274.4444444444443</v>
      </c>
      <c r="BN465" s="78">
        <f>IFERROR(Y465*I465/H465,"0")</f>
        <v>5278.6640000000007</v>
      </c>
      <c r="BO465" s="78">
        <f>IFERROR(1/J465*(X465/H465),"0")</f>
        <v>8.6805555555555554</v>
      </c>
      <c r="BP465" s="78">
        <f>IFERROR(1/J465*(Y465/H465),"0")</f>
        <v>8.6875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72</v>
      </c>
      <c r="Y466" s="55">
        <f>IFERROR(IF(X466="",0,CEILING((X466/$H466),1)*$H466),"")</f>
        <v>72</v>
      </c>
      <c r="Z466" s="41">
        <f>IFERROR(IF(Y466=0,"",ROUNDUP(Y466/H466,0)*0.00651),"")</f>
        <v>0.1953</v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79.920000000000016</v>
      </c>
      <c r="BN466" s="78">
        <f>IFERROR(Y466*I466/H466,"0")</f>
        <v>79.920000000000016</v>
      </c>
      <c r="BO466" s="78">
        <f>IFERROR(1/J466*(X466/H466),"0")</f>
        <v>0.16483516483516486</v>
      </c>
      <c r="BP466" s="78">
        <f>IFERROR(1/J466*(Y466/H466),"0")</f>
        <v>0.16483516483516486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585.55555555555554</v>
      </c>
      <c r="Y468" s="43">
        <f>IFERROR(Y465/H465,"0")+IFERROR(Y466/H466,"0")+IFERROR(Y467/H467,"0")</f>
        <v>586</v>
      </c>
      <c r="Z468" s="43">
        <f>IFERROR(IF(Z465="",0,Z465),"0")+IFERROR(IF(Z466="",0,Z466),"0")+IFERROR(IF(Z467="",0,Z467),"0")</f>
        <v>10.74818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5072</v>
      </c>
      <c r="Y469" s="43">
        <f>IFERROR(SUM(Y465:Y467),"0")</f>
        <v>5076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100</v>
      </c>
      <c r="Y500" s="55">
        <f t="shared" ref="Y500:Y508" si="68">IFERROR(IF(X500="",0,CEILING((X500/$H500),1)*$H500),"")</f>
        <v>100.32000000000001</v>
      </c>
      <c r="Z500" s="41">
        <f t="shared" ref="Z500:Z505" si="69">IFERROR(IF(Y500=0,"",ROUNDUP(Y500/H500,0)*0.01196),"")</f>
        <v>0.22724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106.62878787878788</v>
      </c>
      <c r="BN500" s="78">
        <f t="shared" ref="BN500:BN508" si="71">IFERROR(Y500*I500/H500,"0")</f>
        <v>106.97</v>
      </c>
      <c r="BO500" s="78">
        <f t="shared" ref="BO500:BO508" si="72">IFERROR(1/J500*(X500/H500),"0")</f>
        <v>0.18210955710955709</v>
      </c>
      <c r="BP500" s="78">
        <f t="shared" ref="BP500:BP508" si="73">IFERROR(1/J500*(Y500/H500),"0")</f>
        <v>0.18269230769230771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750</v>
      </c>
      <c r="Y503" s="55">
        <f t="shared" si="68"/>
        <v>755.04000000000008</v>
      </c>
      <c r="Z503" s="41">
        <f t="shared" si="69"/>
        <v>1.71028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799.71590909090901</v>
      </c>
      <c r="BN503" s="78">
        <f t="shared" si="71"/>
        <v>805.09</v>
      </c>
      <c r="BO503" s="78">
        <f t="shared" si="72"/>
        <v>1.3658216783216783</v>
      </c>
      <c r="BP503" s="78">
        <f t="shared" si="73"/>
        <v>1.375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160.98484848484847</v>
      </c>
      <c r="Y509" s="43">
        <f>IFERROR(Y500/H500,"0")+IFERROR(Y501/H501,"0")+IFERROR(Y502/H502,"0")+IFERROR(Y503/H503,"0")+IFERROR(Y504/H504,"0")+IFERROR(Y505/H505,"0")+IFERROR(Y506/H506,"0")+IFERROR(Y507/H507,"0")+IFERROR(Y508/H508,"0")</f>
        <v>162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1.9375200000000001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850</v>
      </c>
      <c r="Y510" s="43">
        <f>IFERROR(SUM(Y500:Y508),"0")</f>
        <v>855.36000000000013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750</v>
      </c>
      <c r="Y512" s="55">
        <f>IFERROR(IF(X512="",0,CEILING((X512/$H512),1)*$H512),"")</f>
        <v>755.04000000000008</v>
      </c>
      <c r="Z512" s="41">
        <f>IFERROR(IF(Y512=0,"",ROUNDUP(Y512/H512,0)*0.01196),"")</f>
        <v>1.71028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799.71590909090901</v>
      </c>
      <c r="BN512" s="78">
        <f>IFERROR(Y512*I512/H512,"0")</f>
        <v>805.09</v>
      </c>
      <c r="BO512" s="78">
        <f>IFERROR(1/J512*(X512/H512),"0")</f>
        <v>1.3658216783216783</v>
      </c>
      <c r="BP512" s="78">
        <f>IFERROR(1/J512*(Y512/H512),"0")</f>
        <v>1.375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142.04545454545453</v>
      </c>
      <c r="Y515" s="43">
        <f>IFERROR(Y512/H512,"0")+IFERROR(Y513/H513,"0")+IFERROR(Y514/H514,"0")</f>
        <v>143</v>
      </c>
      <c r="Z515" s="43">
        <f>IFERROR(IF(Z512="",0,Z512),"0")+IFERROR(IF(Z513="",0,Z513),"0")+IFERROR(IF(Z514="",0,Z514),"0")</f>
        <v>1.71028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750</v>
      </c>
      <c r="Y516" s="43">
        <f>IFERROR(SUM(Y512:Y514),"0")</f>
        <v>755.04000000000008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200</v>
      </c>
      <c r="Y518" s="55">
        <f t="shared" ref="Y518:Y524" si="74">IFERROR(IF(X518="",0,CEILING((X518/$H518),1)*$H518),"")</f>
        <v>200.64000000000001</v>
      </c>
      <c r="Z518" s="41">
        <f>IFERROR(IF(Y518=0,"",ROUNDUP(Y518/H518,0)*0.01196),"")</f>
        <v>0.45448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213.25757575757575</v>
      </c>
      <c r="BN518" s="78">
        <f t="shared" ref="BN518:BN524" si="76">IFERROR(Y518*I518/H518,"0")</f>
        <v>213.94</v>
      </c>
      <c r="BO518" s="78">
        <f t="shared" ref="BO518:BO524" si="77">IFERROR(1/J518*(X518/H518),"0")</f>
        <v>0.36421911421911418</v>
      </c>
      <c r="BP518" s="78">
        <f t="shared" ref="BP518:BP524" si="78">IFERROR(1/J518*(Y518/H518),"0")</f>
        <v>0.36538461538461542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37.878787878787875</v>
      </c>
      <c r="Y525" s="43">
        <f>IFERROR(Y518/H518,"0")+IFERROR(Y519/H519,"0")+IFERROR(Y520/H520,"0")+IFERROR(Y521/H521,"0")+IFERROR(Y522/H522,"0")+IFERROR(Y523/H523,"0")+IFERROR(Y524/H524,"0")</f>
        <v>38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0.45448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200</v>
      </c>
      <c r="Y526" s="43">
        <f>IFERROR(SUM(Y518:Y524),"0")</f>
        <v>200.64000000000001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50</v>
      </c>
      <c r="Y530" s="55">
        <f>IFERROR(IF(X530="",0,CEILING((X530/$H530),1)*$H530),"")</f>
        <v>60</v>
      </c>
      <c r="Z530" s="41">
        <f>IFERROR(IF(Y530=0,"",ROUNDUP(Y530/H530,0)*0.01898),"")</f>
        <v>9.4899999999999998E-2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51.708333333333336</v>
      </c>
      <c r="BN530" s="78">
        <f>IFERROR(Y530*I530/H530,"0")</f>
        <v>62.050000000000004</v>
      </c>
      <c r="BO530" s="78">
        <f>IFERROR(1/J530*(X530/H530),"0")</f>
        <v>6.5104166666666671E-2</v>
      </c>
      <c r="BP530" s="78">
        <f>IFERROR(1/J530*(Y530/H530),"0")</f>
        <v>7.8125E-2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4.166666666666667</v>
      </c>
      <c r="Y531" s="43">
        <f>IFERROR(Y530/H530,"0")</f>
        <v>5</v>
      </c>
      <c r="Z531" s="43">
        <f>IFERROR(IF(Z530="",0,Z530),"0")</f>
        <v>9.4899999999999998E-2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50</v>
      </c>
      <c r="Y532" s="43">
        <f>IFERROR(SUM(Y530:Y530),"0")</f>
        <v>60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120</v>
      </c>
      <c r="Y542" s="55">
        <f>IFERROR(IF(X542="",0,CEILING((X542/$H542),1)*$H542),"")</f>
        <v>126</v>
      </c>
      <c r="Z542" s="41">
        <f>IFERROR(IF(Y542=0,"",ROUNDUP(Y542/H542,0)*0.01898),"")</f>
        <v>0.26572000000000001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126.58666666666666</v>
      </c>
      <c r="BN542" s="78">
        <f>IFERROR(Y542*I542/H542,"0")</f>
        <v>132.916</v>
      </c>
      <c r="BO542" s="78">
        <f>IFERROR(1/J542*(X542/H542),"0")</f>
        <v>0.20833333333333334</v>
      </c>
      <c r="BP542" s="78">
        <f>IFERROR(1/J542*(Y542/H542),"0")</f>
        <v>0.21875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13.333333333333334</v>
      </c>
      <c r="Y543" s="43">
        <f>IFERROR(Y542/H542,"0")</f>
        <v>14</v>
      </c>
      <c r="Z543" s="43">
        <f>IFERROR(IF(Z542="",0,Z542),"0")</f>
        <v>0.26572000000000001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120</v>
      </c>
      <c r="Y544" s="43">
        <f>IFERROR(SUM(Y542:Y542),"0")</f>
        <v>126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15292.4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15380.04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16029.895324675324</v>
      </c>
      <c r="Y556" s="43">
        <f>IFERROR(SUM(BN22:BN552),"0")</f>
        <v>16121.315999999997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25</v>
      </c>
      <c r="Y557" s="44">
        <f>ROUNDUP(SUM(BP22:BP552),0)</f>
        <v>25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16654.895324675323</v>
      </c>
      <c r="Y558" s="43">
        <f>GrossWeightTotalR+PalletQtyTotalR*25</f>
        <v>16746.315999999999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1762.673844673845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1772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28.921320000000001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205.20000000000002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45</v>
      </c>
      <c r="F565" s="52">
        <f>IFERROR(Y84*1,"0")+IFERROR(Y85*1,"0")+IFERROR(Y86*1,"0")+IFERROR(Y87*1,"0")+IFERROR(Y91*1,"0")+IFERROR(Y92*1,"0")+IFERROR(Y93*1,"0")+IFERROR(Y94*1,"0")</f>
        <v>259.20000000000005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202.5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42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283.2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722.4</v>
      </c>
      <c r="U565" s="52">
        <f>IFERROR(Y413*1,"0")+IFERROR(Y414*1,"0")</f>
        <v>0</v>
      </c>
      <c r="V565" s="52">
        <f>IFERROR(Y419*1,"0")+IFERROR(Y420*1,"0")+IFERROR(Y421*1,"0")</f>
        <v>115.5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6396</v>
      </c>
      <c r="X565" s="52">
        <f>IFERROR(Y456*1,"0")+IFERROR(Y457*1,"0")+IFERROR(Y461*1,"0")+IFERROR(Y465*1,"0")+IFERROR(Y466*1,"0")+IFERROR(Y467*1,"0")</f>
        <v>5112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1811.0400000000002</v>
      </c>
      <c r="AB565" s="52">
        <f>IFERROR(Y530*1,"0")+IFERROR(Y534*1,"0")+IFERROR(Y538*1,"0")+IFERROR(Y542*1,"0")+IFERROR(Y546*1,"0")+IFERROR(Y547*1,"0")</f>
        <v>186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762,67"/>
        <filter val="10,00"/>
        <filter val="100,00"/>
        <filter val="115,50"/>
        <filter val="120,00"/>
        <filter val="13,33"/>
        <filter val="133,33"/>
        <filter val="14,76"/>
        <filter val="142,05"/>
        <filter val="15 292,40"/>
        <filter val="16 029,90"/>
        <filter val="16 654,90"/>
        <filter val="160,98"/>
        <filter val="18,52"/>
        <filter val="2 000,00"/>
        <filter val="2,50"/>
        <filter val="20,00"/>
        <filter val="20,40"/>
        <filter val="200,00"/>
        <filter val="21,00"/>
        <filter val="240,00"/>
        <filter val="25"/>
        <filter val="283,33"/>
        <filter val="30,00"/>
        <filter val="35,00"/>
        <filter val="37,88"/>
        <filter val="4 250,00"/>
        <filter val="4,17"/>
        <filter val="40,00"/>
        <filter val="41,00"/>
        <filter val="45,00"/>
        <filter val="5 000,00"/>
        <filter val="5 072,00"/>
        <filter val="50,00"/>
        <filter val="52,50"/>
        <filter val="54,00"/>
        <filter val="55,00"/>
        <filter val="585,56"/>
        <filter val="63,00"/>
        <filter val="7,41"/>
        <filter val="700,00"/>
        <filter val="72,00"/>
        <filter val="750,00"/>
        <filter val="8,00"/>
        <filter val="850,00"/>
        <filter val="89,74"/>
        <filter val="9,26"/>
        <filter val="94,5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2026-08-10T07:45:26Z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