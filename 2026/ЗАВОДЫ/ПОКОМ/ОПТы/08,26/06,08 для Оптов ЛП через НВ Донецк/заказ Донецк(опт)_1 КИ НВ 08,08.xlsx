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06,08 для Оптов ЛП через НВ\"/>
    </mc:Choice>
  </mc:AlternateContent>
  <xr:revisionPtr revIDLastSave="0" documentId="13_ncr:1_{228B59A9-123A-49ED-846D-1974062E18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P418" i="2"/>
  <c r="BO418" i="2"/>
  <c r="BN418" i="2"/>
  <c r="BM418" i="2"/>
  <c r="Z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Z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P355" i="2"/>
  <c r="BO355" i="2"/>
  <c r="BM355" i="2"/>
  <c r="Y355" i="2"/>
  <c r="BN355" i="2" s="1"/>
  <c r="P355" i="2"/>
  <c r="BO354" i="2"/>
  <c r="BM354" i="2"/>
  <c r="Y354" i="2"/>
  <c r="Z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Z343" i="2"/>
  <c r="Y343" i="2"/>
  <c r="BN343" i="2" s="1"/>
  <c r="P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P317" i="2"/>
  <c r="BO317" i="2"/>
  <c r="BN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N284" i="2"/>
  <c r="BM284" i="2"/>
  <c r="Z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N166" i="2"/>
  <c r="BM166" i="2"/>
  <c r="Z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Z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Z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Z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Z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P22" i="2" l="1"/>
  <c r="Y25" i="2"/>
  <c r="Z38" i="2"/>
  <c r="BN38" i="2"/>
  <c r="Z50" i="2"/>
  <c r="BN50" i="2"/>
  <c r="Z84" i="2"/>
  <c r="BN84" i="2"/>
  <c r="Z94" i="2"/>
  <c r="BN94" i="2"/>
  <c r="Z113" i="2"/>
  <c r="Z142" i="2"/>
  <c r="Z150" i="2"/>
  <c r="Z155" i="2"/>
  <c r="Z176" i="2"/>
  <c r="BP212" i="2"/>
  <c r="Z257" i="2"/>
  <c r="Z280" i="2"/>
  <c r="Z301" i="2"/>
  <c r="BN301" i="2"/>
  <c r="Y320" i="2"/>
  <c r="Z342" i="2"/>
  <c r="Z364" i="2"/>
  <c r="Z373" i="2"/>
  <c r="Z387" i="2"/>
  <c r="BP401" i="2"/>
  <c r="Z443" i="2"/>
  <c r="Z487" i="2"/>
  <c r="Z488" i="2" s="1"/>
  <c r="Z519" i="2"/>
  <c r="BN27" i="2"/>
  <c r="BN37" i="2"/>
  <c r="BN39" i="2"/>
  <c r="BP48" i="2"/>
  <c r="Z48" i="2"/>
  <c r="Y80" i="2"/>
  <c r="BP78" i="2"/>
  <c r="BN78" i="2"/>
  <c r="Z78" i="2"/>
  <c r="BP101" i="2"/>
  <c r="BN101" i="2"/>
  <c r="Z101" i="2"/>
  <c r="BP57" i="2"/>
  <c r="BN57" i="2"/>
  <c r="Z57" i="2"/>
  <c r="BN85" i="2"/>
  <c r="BP92" i="2"/>
  <c r="Z92" i="2"/>
  <c r="BN112" i="2"/>
  <c r="Z112" i="2"/>
  <c r="BP217" i="2"/>
  <c r="BP232" i="2"/>
  <c r="BN334" i="2"/>
  <c r="Y358" i="2"/>
  <c r="BP375" i="2"/>
  <c r="BN380" i="2"/>
  <c r="BN430" i="2"/>
  <c r="BN137" i="2"/>
  <c r="BN151" i="2"/>
  <c r="BN191" i="2"/>
  <c r="BP241" i="2"/>
  <c r="BP274" i="2"/>
  <c r="BN419" i="2"/>
  <c r="BN445" i="2"/>
  <c r="BN500" i="2"/>
  <c r="BN521" i="2"/>
  <c r="BP119" i="2"/>
  <c r="BP138" i="2"/>
  <c r="BP142" i="2"/>
  <c r="BP144" i="2"/>
  <c r="I564" i="2"/>
  <c r="BP153" i="2"/>
  <c r="BP155" i="2"/>
  <c r="Z170" i="2"/>
  <c r="BP176" i="2"/>
  <c r="Z180" i="2"/>
  <c r="Z210" i="2"/>
  <c r="BN210" i="2"/>
  <c r="Z217" i="2"/>
  <c r="Z218" i="2" s="1"/>
  <c r="Z223" i="2"/>
  <c r="BN223" i="2"/>
  <c r="Z232" i="2"/>
  <c r="Z234" i="2"/>
  <c r="BN238" i="2"/>
  <c r="Z241" i="2"/>
  <c r="Y254" i="2"/>
  <c r="Z258" i="2"/>
  <c r="Z274" i="2"/>
  <c r="BP280" i="2"/>
  <c r="Z288" i="2"/>
  <c r="BN288" i="2"/>
  <c r="Z299" i="2"/>
  <c r="Z309" i="2"/>
  <c r="Z310" i="2" s="1"/>
  <c r="Y310" i="2"/>
  <c r="Y311" i="2"/>
  <c r="BP319" i="2"/>
  <c r="Z327" i="2"/>
  <c r="BP335" i="2"/>
  <c r="BP342" i="2"/>
  <c r="Z344" i="2"/>
  <c r="S564" i="2"/>
  <c r="BP354" i="2"/>
  <c r="Z356" i="2"/>
  <c r="Z363" i="2"/>
  <c r="BP364" i="2"/>
  <c r="BP365" i="2"/>
  <c r="Z375" i="2"/>
  <c r="Y389" i="2"/>
  <c r="BP386" i="2"/>
  <c r="Z388" i="2"/>
  <c r="Z389" i="2" s="1"/>
  <c r="Y396" i="2"/>
  <c r="Z406" i="2"/>
  <c r="BN406" i="2"/>
  <c r="BN407" i="2"/>
  <c r="Y421" i="2"/>
  <c r="Z474" i="2"/>
  <c r="BN493" i="2"/>
  <c r="BN505" i="2"/>
  <c r="Z512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Z172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Z259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Z345" i="2" s="1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66" i="2" s="1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78" i="2" s="1"/>
  <c r="Z482" i="2"/>
  <c r="Z483" i="2" s="1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51" i="2" s="1"/>
  <c r="Z60" i="2"/>
  <c r="Y75" i="2"/>
  <c r="Z93" i="2"/>
  <c r="Z95" i="2" s="1"/>
  <c r="Z104" i="2"/>
  <c r="Z137" i="2"/>
  <c r="Z226" i="2"/>
  <c r="Z246" i="2"/>
  <c r="Z249" i="2" s="1"/>
  <c r="Y260" i="2"/>
  <c r="Z269" i="2"/>
  <c r="Z279" i="2"/>
  <c r="Z300" i="2"/>
  <c r="Z334" i="2"/>
  <c r="Z336" i="2" s="1"/>
  <c r="Y350" i="2"/>
  <c r="Z369" i="2"/>
  <c r="Z379" i="2"/>
  <c r="Z445" i="2"/>
  <c r="Z446" i="2" s="1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383" i="2" l="1"/>
  <c r="Z306" i="2"/>
  <c r="Z275" i="2"/>
  <c r="Z139" i="2"/>
  <c r="Z402" i="2"/>
  <c r="Z434" i="2"/>
  <c r="Z329" i="2"/>
  <c r="Z32" i="2"/>
  <c r="Z186" i="2"/>
  <c r="Z357" i="2"/>
  <c r="Z320" i="2"/>
  <c r="Z197" i="2"/>
  <c r="Z514" i="2"/>
  <c r="Z467" i="2"/>
  <c r="Z114" i="2"/>
  <c r="X557" i="2"/>
  <c r="Z167" i="2"/>
  <c r="Z440" i="2"/>
  <c r="Z243" i="2"/>
  <c r="Z70" i="2"/>
  <c r="Z4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<sst xmlns="http://schemas.openxmlformats.org/spreadsheetml/2006/main" count="4262" uniqueCount="913">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</sst>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9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/>
      <c r="I5" s="1000"/>
      <c r="J5" s="1000"/>
      <c r="K5" s="1000"/>
      <c r="L5" s="1000"/>
      <c r="M5" s="1000"/>
      <c r="N5" s="72"/>
      <c r="P5" s="27" t="s">
        <v>4</v>
      </c>
      <c r="Q5" s="1002">
        <v>46244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/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>
        <f>IFERROR(VLOOKUP(DeliveryAddress,Table,3,0),1)</f>
        <v>1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0.41666666666666669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5000</v>
      </c>
      <c r="Y379" s="55">
        <f>IFERROR(IF(X379="",0,CEILING((X379/$H379),1)*$H379),"")</f>
        <v>5007.5999999999995</v>
      </c>
      <c r="Z379" s="41">
        <f>IFERROR(IF(Y379=0,"",ROUNDUP(Y379/H379,0)*0.01898),"")</f>
        <v>12.18516</v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5312.8205128205127</v>
      </c>
      <c r="BN379" s="78">
        <f>IFERROR(Y379*I379/H379,"0")</f>
        <v>5320.8959999999997</v>
      </c>
      <c r="BO379" s="78">
        <f>IFERROR(1/J379*(X379/H379),"0")</f>
        <v>10.016025641025641</v>
      </c>
      <c r="BP379" s="78">
        <f>IFERROR(1/J379*(Y379/H379),"0")</f>
        <v>10.03125</v>
      </c>
    </row>
    <row r="380" spans="1:68" ht="27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641.02564102564099</v>
      </c>
      <c r="Y383" s="43">
        <f>IFERROR(Y379/H379,"0")+IFERROR(Y380/H380,"0")+IFERROR(Y381/H381,"0")+IFERROR(Y382/H382,"0")</f>
        <v>642</v>
      </c>
      <c r="Z383" s="43">
        <f>IFERROR(IF(Z379="",0,Z379),"0")+IFERROR(IF(Z380="",0,Z380),"0")+IFERROR(IF(Z381="",0,Z381),"0")+IFERROR(IF(Z382="",0,Z382),"0")</f>
        <v>12.18516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5000</v>
      </c>
      <c r="Y384" s="43">
        <f>IFERROR(SUM(Y379:Y382),"0")</f>
        <v>5007.5999999999995</v>
      </c>
      <c r="Z384" s="42"/>
      <c r="AA384" s="67"/>
      <c r="AB384" s="67"/>
      <c r="AC384" s="67"/>
    </row>
    <row r="385" spans="1:68" ht="14.25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5007.5999999999995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5312.8205128205127</v>
      </c>
      <c r="Y555" s="43">
        <f>IFERROR(SUM(BN22:BN551),"0")</f>
        <v>5320.8959999999997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11</v>
      </c>
      <c r="Y556" s="44">
        <f>ROUNDUP(SUM(BP22:BP551),0)</f>
        <v>11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5587.8205128205127</v>
      </c>
      <c r="Y557" s="43">
        <f>GrossWeightTotalR+PalletQtyTotalR*25</f>
        <v>5595.8959999999997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641.02564102564099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642</v>
      </c>
      <c r="Z558" s="42"/>
      <c r="AA558" s="67"/>
      <c r="AB558" s="67"/>
      <c r="AC558" s="67"/>
    </row>
    <row r="559" spans="1:68" ht="14.25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12.18516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5007.5999999999995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2026-08-06T07:19:21Z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