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1,08 Горняк(Горловка_Луганск) на погрузку с филиалами 29,08\"/>
    </mc:Choice>
  </mc:AlternateContent>
  <xr:revisionPtr revIDLastSave="0" documentId="13_ncr:1_{257D8751-58A8-4E55-9F11-B50E859C682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Z146" i="2" s="1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481" i="2" l="1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<sst xmlns="http://schemas.openxmlformats.org/spreadsheetml/2006/main" count="3643" uniqueCount="787">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</sst>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46266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518.4</v>
      </c>
      <c r="Y42" s="53">
        <f>IFERROR(IF(X42="",0,CEILING((X42/$H42),1)*$H42),"")</f>
        <v>518.40000000000009</v>
      </c>
      <c r="Z42" s="39">
        <f>IFERROR(IF(Y42=0,"",ROUNDUP(Y42/H42,0)*0.01898),"")</f>
        <v>0.91104000000000007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538.07999999999993</v>
      </c>
      <c r="BN42" s="75">
        <f>IFERROR(Y42*I42/H42,"0")</f>
        <v>538.08000000000004</v>
      </c>
      <c r="BO42" s="75">
        <f>IFERROR(1/J42*(X42/H42),"0")</f>
        <v>0.74999999999999989</v>
      </c>
      <c r="BP42" s="75">
        <f>IFERROR(1/J42*(Y42/H42),"0")</f>
        <v>0.75000000000000011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47.999999999999993</v>
      </c>
      <c r="Y45" s="41">
        <f>IFERROR(Y42/H42,"0")+IFERROR(Y43/H43,"0")+IFERROR(Y44/H44,"0")</f>
        <v>48.000000000000007</v>
      </c>
      <c r="Z45" s="41">
        <f>IFERROR(IF(Z42="",0,Z42),"0")+IFERROR(IF(Z43="",0,Z43),"0")+IFERROR(IF(Z44="",0,Z44),"0")</f>
        <v>0.91104000000000007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518.4</v>
      </c>
      <c r="Y46" s="41">
        <f>IFERROR(SUM(Y42:Y44),"0")</f>
        <v>518.40000000000009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89.6</v>
      </c>
      <c r="Y53" s="53">
        <f t="shared" ref="Y53:Y58" si="6">IFERROR(IF(X53="",0,CEILING((X53/$H53),1)*$H53),"")</f>
        <v>89.6</v>
      </c>
      <c r="Z53" s="39">
        <f>IFERROR(IF(Y53=0,"",ROUNDUP(Y53/H53,0)*0.01898),"")</f>
        <v>0.15184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92.88</v>
      </c>
      <c r="BN53" s="75">
        <f t="shared" ref="BN53:BN58" si="8">IFERROR(Y53*I53/H53,"0")</f>
        <v>92.88</v>
      </c>
      <c r="BO53" s="75">
        <f t="shared" ref="BO53:BO58" si="9">IFERROR(1/J53*(X53/H53),"0")</f>
        <v>0.125</v>
      </c>
      <c r="BP53" s="75">
        <f t="shared" ref="BP53:BP58" si="10">IFERROR(1/J53*(Y53/H53),"0")</f>
        <v>0.125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172.8</v>
      </c>
      <c r="Y54" s="53">
        <f t="shared" si="6"/>
        <v>172.8</v>
      </c>
      <c r="Z54" s="39">
        <f>IFERROR(IF(Y54=0,"",ROUNDUP(Y54/H54,0)*0.01898),"")</f>
        <v>0.30368000000000001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179.36</v>
      </c>
      <c r="BN54" s="75">
        <f t="shared" si="8"/>
        <v>179.36</v>
      </c>
      <c r="BO54" s="75">
        <f t="shared" si="9"/>
        <v>0.25</v>
      </c>
      <c r="BP54" s="75">
        <f t="shared" si="10"/>
        <v>0.25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24</v>
      </c>
      <c r="Y59" s="41">
        <f>IFERROR(Y53/H53,"0")+IFERROR(Y54/H54,"0")+IFERROR(Y55/H55,"0")+IFERROR(Y56/H56,"0")+IFERROR(Y57/H57,"0")+IFERROR(Y58/H58,"0")</f>
        <v>24</v>
      </c>
      <c r="Z59" s="41">
        <f>IFERROR(IF(Z53="",0,Z53),"0")+IFERROR(IF(Z54="",0,Z54),"0")+IFERROR(IF(Z55="",0,Z55),"0")+IFERROR(IF(Z56="",0,Z56),"0")+IFERROR(IF(Z57="",0,Z57),"0")+IFERROR(IF(Z58="",0,Z58),"0")</f>
        <v>0.45552000000000004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262.39999999999998</v>
      </c>
      <c r="Y60" s="41">
        <f>IFERROR(SUM(Y53:Y58),"0")</f>
        <v>262.39999999999998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38</v>
      </c>
      <c r="Y97" s="41">
        <f>IFERROR(Y93/H93,"0")+IFERROR(Y94/H94,"0")+IFERROR(Y95/H95,"0")+IFERROR(Y96/H96,"0")</f>
        <v>38</v>
      </c>
      <c r="Z97" s="41">
        <f>IFERROR(IF(Z93="",0,Z93),"0")+IFERROR(IF(Z94="",0,Z94),"0")+IFERROR(IF(Z95="",0,Z95),"0")+IFERROR(IF(Z96="",0,Z96),"0")</f>
        <v>0.54666000000000003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232.2</v>
      </c>
      <c r="Y98" s="41">
        <f>IFERROR(SUM(Y93:Y96),"0")</f>
        <v>232.2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432</v>
      </c>
      <c r="Y101" s="53">
        <f>IFERROR(IF(X101="",0,CEILING((X101/$H101),1)*$H101),"")</f>
        <v>432</v>
      </c>
      <c r="Z101" s="39">
        <f>IFERROR(IF(Y101=0,"",ROUNDUP(Y101/H101,0)*0.01898),"")</f>
        <v>0.75919999999999999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448.4</v>
      </c>
      <c r="BN101" s="75">
        <f>IFERROR(Y101*I101/H101,"0")</f>
        <v>448.4</v>
      </c>
      <c r="BO101" s="75">
        <f>IFERROR(1/J101*(X101/H101),"0")</f>
        <v>0.625</v>
      </c>
      <c r="BP101" s="75">
        <f>IFERROR(1/J101*(Y101/H101),"0")</f>
        <v>0.625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40</v>
      </c>
      <c r="Y106" s="41">
        <f>IFERROR(Y101/H101,"0")+IFERROR(Y102/H102,"0")+IFERROR(Y103/H103,"0")+IFERROR(Y104/H104,"0")+IFERROR(Y105/H105,"0")</f>
        <v>40</v>
      </c>
      <c r="Z106" s="41">
        <f>IFERROR(IF(Z101="",0,Z101),"0")+IFERROR(IF(Z102="",0,Z102),"0")+IFERROR(IF(Z103="",0,Z103),"0")+IFERROR(IF(Z104="",0,Z104),"0")+IFERROR(IF(Z105="",0,Z105),"0")</f>
        <v>0.75919999999999999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432</v>
      </c>
      <c r="Y107" s="41">
        <f>IFERROR(SUM(Y101:Y105),"0")</f>
        <v>432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24</v>
      </c>
      <c r="Y120" s="41">
        <f>IFERROR(Y116/H116,"0")+IFERROR(Y117/H117,"0")+IFERROR(Y118/H118,"0")+IFERROR(Y119/H119,"0")</f>
        <v>24</v>
      </c>
      <c r="Z120" s="41">
        <f>IFERROR(IF(Z116="",0,Z116),"0")+IFERROR(IF(Z117="",0,Z117),"0")+IFERROR(IF(Z118="",0,Z118),"0")+IFERROR(IF(Z119="",0,Z119),"0")</f>
        <v>0.45552000000000004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194.4</v>
      </c>
      <c r="Y121" s="41">
        <f>IFERROR(SUM(Y116:Y119),"0")</f>
        <v>194.39999999999998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252</v>
      </c>
      <c r="Y169" s="53">
        <f t="shared" si="11"/>
        <v>252</v>
      </c>
      <c r="Z169" s="39">
        <f>IFERROR(IF(Y169=0,"",ROUNDUP(Y169/H169,0)*0.00902),"")</f>
        <v>0.54120000000000001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263.39999999999998</v>
      </c>
      <c r="BN169" s="75">
        <f t="shared" si="13"/>
        <v>263.39999999999998</v>
      </c>
      <c r="BO169" s="75">
        <f t="shared" si="14"/>
        <v>0.45454545454545459</v>
      </c>
      <c r="BP169" s="75">
        <f t="shared" si="15"/>
        <v>0.45454545454545459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126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126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0.92052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415.79999999999995</v>
      </c>
      <c r="Y183" s="41">
        <f>IFERROR(SUM(Y167:Y181),"0")</f>
        <v>415.8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108</v>
      </c>
      <c r="Y214" s="41">
        <f>IFERROR(Y206/H206,"0")+IFERROR(Y207/H207,"0")+IFERROR(Y208/H208,"0")+IFERROR(Y209/H209,"0")+IFERROR(Y210/H210,"0")+IFERROR(Y211/H211,"0")+IFERROR(Y212/H212,"0")+IFERROR(Y213/H213,"0")</f>
        <v>108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0.97416000000000003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583.20000000000005</v>
      </c>
      <c r="Y215" s="41">
        <f>IFERROR(SUM(Y206:Y213),"0")</f>
        <v>583.20000000000005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139.19999999999999</v>
      </c>
      <c r="Y219" s="53">
        <f t="shared" si="21"/>
        <v>139.19999999999999</v>
      </c>
      <c r="Z219" s="39">
        <f>IFERROR(IF(Y219=0,"",ROUNDUP(Y219/H219,0)*0.01898),"")</f>
        <v>0.30368000000000001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147.10400000000001</v>
      </c>
      <c r="BN219" s="75">
        <f t="shared" si="23"/>
        <v>147.10400000000001</v>
      </c>
      <c r="BO219" s="75">
        <f t="shared" si="24"/>
        <v>0.25</v>
      </c>
      <c r="BP219" s="75">
        <f t="shared" si="25"/>
        <v>0.25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124</v>
      </c>
      <c r="Y226" s="41">
        <f>IFERROR(Y217/H217,"0")+IFERROR(Y218/H218,"0")+IFERROR(Y219/H219,"0")+IFERROR(Y220/H220,"0")+IFERROR(Y221/H221,"0")+IFERROR(Y222/H222,"0")+IFERROR(Y223/H223,"0")+IFERROR(Y224/H224,"0")+IFERROR(Y225/H225,"0")</f>
        <v>124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1.0067600000000001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398.4</v>
      </c>
      <c r="Y227" s="41">
        <f>IFERROR(SUM(Y217:Y225),"0")</f>
        <v>398.4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36</v>
      </c>
      <c r="Y282" s="41">
        <f>IFERROR(Y279/H279,"0")+IFERROR(Y280/H280,"0")+IFERROR(Y281/H281,"0")</f>
        <v>36</v>
      </c>
      <c r="Z282" s="41">
        <f>IFERROR(IF(Z279="",0,Z279),"0")+IFERROR(IF(Z280="",0,Z280),"0")+IFERROR(IF(Z281="",0,Z281),"0")</f>
        <v>0.23435999999999998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86.4</v>
      </c>
      <c r="Y283" s="41">
        <f>IFERROR(SUM(Y279:Y281),"0")</f>
        <v>86.399999999999991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88</v>
      </c>
      <c r="Y325" s="41">
        <f>IFERROR(Y322/H322,"0")+IFERROR(Y323/H323,"0")+IFERROR(Y324/H324,"0")</f>
        <v>88</v>
      </c>
      <c r="Z325" s="41">
        <f>IFERROR(IF(Z322="",0,Z322),"0")+IFERROR(IF(Z323="",0,Z323),"0")+IFERROR(IF(Z324="",0,Z324),"0")</f>
        <v>1.6702400000000002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710.40000000000009</v>
      </c>
      <c r="Y326" s="41">
        <f>IFERROR(SUM(Y322:Y324),"0")</f>
        <v>710.40000000000009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360</v>
      </c>
      <c r="Y350" s="53">
        <f t="shared" ref="Y350:Y356" si="37">IFERROR(IF(X350="",0,CEILING((X350/$H350),1)*$H350),"")</f>
        <v>360</v>
      </c>
      <c r="Z350" s="39">
        <f>IFERROR(IF(Y350=0,"",ROUNDUP(Y350/H350,0)*0.02175),"")</f>
        <v>0.52200000000000002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371.28</v>
      </c>
      <c r="BN350" s="75">
        <f t="shared" ref="BN350:BN356" si="39">IFERROR(Y350*I350/H350,"0")</f>
        <v>371.28</v>
      </c>
      <c r="BO350" s="75">
        <f t="shared" ref="BO350:BO356" si="40">IFERROR(1/J350*(X350/H350),"0")</f>
        <v>0.5</v>
      </c>
      <c r="BP350" s="75">
        <f t="shared" ref="BP350:BP356" si="41">IFERROR(1/J350*(Y350/H350),"0")</f>
        <v>0.5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58</v>
      </c>
      <c r="Y357" s="41">
        <f>IFERROR(Y350/H350,"0")+IFERROR(Y351/H351,"0")+IFERROR(Y352/H352,"0")+IFERROR(Y353/H353,"0")+IFERROR(Y354/H354,"0")+IFERROR(Y355/H355,"0")+IFERROR(Y356/H356,"0")</f>
        <v>58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1.2614999999999998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870</v>
      </c>
      <c r="Y358" s="41">
        <f>IFERROR(SUM(Y350:Y356),"0")</f>
        <v>870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120</v>
      </c>
      <c r="Y360" s="53">
        <f>IFERROR(IF(X360="",0,CEILING((X360/$H360),1)*$H360),"")</f>
        <v>120</v>
      </c>
      <c r="Z360" s="39">
        <f>IFERROR(IF(Y360=0,"",ROUNDUP(Y360/H360,0)*0.02175),"")</f>
        <v>0.17399999999999999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123.76</v>
      </c>
      <c r="BN360" s="75">
        <f>IFERROR(Y360*I360/H360,"0")</f>
        <v>123.76</v>
      </c>
      <c r="BO360" s="75">
        <f>IFERROR(1/J360*(X360/H360),"0")</f>
        <v>0.16666666666666666</v>
      </c>
      <c r="BP360" s="75">
        <f>IFERROR(1/J360*(Y360/H360),"0")</f>
        <v>0.16666666666666666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8</v>
      </c>
      <c r="Y362" s="41">
        <f>IFERROR(Y360/H360,"0")+IFERROR(Y361/H361,"0")</f>
        <v>8</v>
      </c>
      <c r="Z362" s="41">
        <f>IFERROR(IF(Z360="",0,Z360),"0")+IFERROR(IF(Z361="",0,Z361),"0")</f>
        <v>0.17399999999999999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120</v>
      </c>
      <c r="Y363" s="41">
        <f>IFERROR(SUM(Y360:Y361),"0")</f>
        <v>120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120</v>
      </c>
      <c r="Y375" s="53">
        <f>IFERROR(IF(X375="",0,CEILING((X375/$H375),1)*$H375),"")</f>
        <v>120</v>
      </c>
      <c r="Z375" s="39">
        <f>IFERROR(IF(Y375=0,"",ROUNDUP(Y375/H375,0)*0.01898),"")</f>
        <v>0.1898</v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124.10000000000001</v>
      </c>
      <c r="BN375" s="75">
        <f>IFERROR(Y375*I375/H375,"0")</f>
        <v>124.10000000000001</v>
      </c>
      <c r="BO375" s="75">
        <f>IFERROR(1/J375*(X375/H375),"0")</f>
        <v>0.15625</v>
      </c>
      <c r="BP375" s="75">
        <f>IFERROR(1/J375*(Y375/H375),"0")</f>
        <v>0.15625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10</v>
      </c>
      <c r="Y377" s="41">
        <f>IFERROR(Y375/H375,"0")+IFERROR(Y376/H376,"0")</f>
        <v>10</v>
      </c>
      <c r="Z377" s="41">
        <f>IFERROR(IF(Z375="",0,Z375),"0")+IFERROR(IF(Z376="",0,Z376),"0")</f>
        <v>0.1898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120</v>
      </c>
      <c r="Y378" s="41">
        <f>IFERROR(SUM(Y375:Y376),"0")</f>
        <v>120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72</v>
      </c>
      <c r="Y384" s="53">
        <f>IFERROR(IF(X384="",0,CEILING((X384/$H384),1)*$H384),"")</f>
        <v>72</v>
      </c>
      <c r="Z384" s="39">
        <f>IFERROR(IF(Y384=0,"",ROUNDUP(Y384/H384,0)*0.01898),"")</f>
        <v>0.15184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75.951999999999998</v>
      </c>
      <c r="BN384" s="75">
        <f>IFERROR(Y384*I384/H384,"0")</f>
        <v>75.951999999999998</v>
      </c>
      <c r="BO384" s="75">
        <f>IFERROR(1/J384*(X384/H384),"0")</f>
        <v>0.125</v>
      </c>
      <c r="BP384" s="75">
        <f>IFERROR(1/J384*(Y384/H384),"0")</f>
        <v>0.125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32</v>
      </c>
      <c r="Y387" s="41">
        <f>IFERROR(Y384/H384,"0")+IFERROR(Y385/H385,"0")+IFERROR(Y386/H386,"0")</f>
        <v>32</v>
      </c>
      <c r="Z387" s="41">
        <f>IFERROR(IF(Z384="",0,Z384),"0")+IFERROR(IF(Z385="",0,Z385),"0")+IFERROR(IF(Z386="",0,Z386),"0")</f>
        <v>0.30808000000000002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129.6</v>
      </c>
      <c r="Y388" s="41">
        <f>IFERROR(SUM(Y384:Y386),"0")</f>
        <v>129.6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211.2</v>
      </c>
      <c r="Y433" s="53">
        <f t="shared" si="48"/>
        <v>211.20000000000002</v>
      </c>
      <c r="Z433" s="39">
        <f t="shared" si="49"/>
        <v>0.47839999999999999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225.19999999999996</v>
      </c>
      <c r="BN433" s="75">
        <f t="shared" si="51"/>
        <v>225.2</v>
      </c>
      <c r="BO433" s="75">
        <f t="shared" si="52"/>
        <v>0.38461538461538458</v>
      </c>
      <c r="BP433" s="75">
        <f t="shared" si="53"/>
        <v>0.38461538461538464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55.999999999999993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56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0.66976000000000002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295.68</v>
      </c>
      <c r="Y440" s="41">
        <f>IFERROR(SUM(Y427:Y438),"0")</f>
        <v>295.68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84.48</v>
      </c>
      <c r="Y450" s="53">
        <f t="shared" si="54"/>
        <v>84.48</v>
      </c>
      <c r="Z450" s="39">
        <f>IFERROR(IF(Y450=0,"",ROUNDUP(Y450/H450,0)*0.01196),"")</f>
        <v>0.19136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90.08</v>
      </c>
      <c r="BN450" s="75">
        <f t="shared" si="56"/>
        <v>90.08</v>
      </c>
      <c r="BO450" s="75">
        <f t="shared" si="57"/>
        <v>0.15384615384615385</v>
      </c>
      <c r="BP450" s="75">
        <f t="shared" si="58"/>
        <v>0.15384615384615385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0.47840000000000005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211.2</v>
      </c>
      <c r="Y456" s="41">
        <f>IFERROR(SUM(Y448:Y454),"0")</f>
        <v>211.2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6315.92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6315.9200000000019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6629.4120000000003</v>
      </c>
      <c r="Y489" s="41">
        <f>IFERROR(SUM(BN22:BN485),"0")</f>
        <v>6629.4120000000003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11</v>
      </c>
      <c r="Y490" s="42">
        <f>ROUNDUP(SUM(BP22:BP485),0)</f>
        <v>11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6904.4120000000003</v>
      </c>
      <c r="Y491" s="41">
        <f>GrossWeightTotalR+PalletQtyTotalR*25</f>
        <v>6904.4120000000003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940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940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12.47776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518.40000000000009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560</v>
      </c>
      <c r="E498" s="50">
        <f>IFERROR(Y86*1,"0")+IFERROR(Y87*1,"0")+IFERROR(Y88*1,"0")+IFERROR(Y89*1,"0")+IFERROR(Y93*1,"0")+IFERROR(Y94*1,"0")+IFERROR(Y95*1,"0")+IFERROR(Y96*1,"0")</f>
        <v>491.40000000000003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626.4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415.8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981.60000000000014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86.399999999999991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710.40000000000009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1062</v>
      </c>
      <c r="T498" s="50">
        <f>IFERROR(Y375*1,"0")+IFERROR(Y376*1,"0")+IFERROR(Y380*1,"0")+IFERROR(Y384*1,"0")+IFERROR(Y385*1,"0")+IFERROR(Y386*1,"0")</f>
        <v>249.6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549.12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8,00"/>
        <filter val="11"/>
        <filter val="115,20"/>
        <filter val="120,00"/>
        <filter val="124,00"/>
        <filter val="124,80"/>
        <filter val="126,00"/>
        <filter val="129,60"/>
        <filter val="139,20"/>
        <filter val="16,00"/>
        <filter val="172,80"/>
        <filter val="194,40"/>
        <filter val="211,20"/>
        <filter val="232,20"/>
        <filter val="24,00"/>
        <filter val="240,00"/>
        <filter val="252,00"/>
        <filter val="259,20"/>
        <filter val="262,40"/>
        <filter val="268,80"/>
        <filter val="270,00"/>
        <filter val="28,80"/>
        <filter val="295,68"/>
        <filter val="32,00"/>
        <filter val="36,00"/>
        <filter val="360,00"/>
        <filter val="37,80"/>
        <filter val="374,40"/>
        <filter val="38,00"/>
        <filter val="398,40"/>
        <filter val="40,00"/>
        <filter val="415,80"/>
        <filter val="42,24"/>
        <filter val="432,00"/>
        <filter val="48,00"/>
        <filter val="50,40"/>
        <filter val="518,40"/>
        <filter val="56,00"/>
        <filter val="57,60"/>
        <filter val="58,00"/>
        <filter val="583,20"/>
        <filter val="6 315,92"/>
        <filter val="6 629,41"/>
        <filter val="6 904,41"/>
        <filter val="64,80"/>
        <filter val="67,20"/>
        <filter val="710,40"/>
        <filter val="72,00"/>
        <filter val="75,60"/>
        <filter val="8,00"/>
        <filter val="84,48"/>
        <filter val="86,40"/>
        <filter val="870,00"/>
        <filter val="88,00"/>
        <filter val="89,60"/>
        <filter val="940,0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2026-08-26T08:10:34Z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