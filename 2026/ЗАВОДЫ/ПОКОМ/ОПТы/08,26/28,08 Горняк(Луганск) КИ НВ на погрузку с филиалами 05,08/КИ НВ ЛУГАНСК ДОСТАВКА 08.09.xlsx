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ОПТы\08,26\28,08 Горняк(Луганск) КИ НВ на погрузку с филиалами 05,08\"/>
    </mc:Choice>
  </mc:AlternateContent>
  <xr:revisionPtr revIDLastSave="0" documentId="13_ncr:1_{FACFA6AB-BAD4-4B26-8F31-FFB0B514E73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Z302" i="2" s="1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93" i="2" l="1"/>
  <c r="Z154" i="2"/>
  <c r="Z258" i="2"/>
  <c r="Z267" i="2"/>
  <c r="Z319" i="2"/>
  <c r="Z203" i="2"/>
  <c r="Z188" i="2"/>
  <c r="Z242" i="2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BP375" i="2"/>
  <c r="BN375" i="2"/>
  <c r="Z375" i="2"/>
  <c r="Z377" i="2" s="1"/>
  <c r="Y378" i="2"/>
  <c r="T49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5" i="2"/>
  <c r="X492" i="2" s="1"/>
  <c r="BO42" i="2"/>
  <c r="BM42" i="2"/>
  <c r="X489" i="2" s="1"/>
  <c r="Y42" i="2"/>
  <c r="X490" i="2" l="1"/>
  <c r="X491" i="2" s="1"/>
  <c r="X488" i="2"/>
  <c r="BP450" i="2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Z182" i="2" s="1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90" i="2" s="1"/>
  <c r="Y46" i="2"/>
  <c r="C498" i="2"/>
  <c r="Y45" i="2"/>
  <c r="BN42" i="2"/>
  <c r="Y489" i="2" s="1"/>
  <c r="Y491" i="2" s="1"/>
  <c r="Y492" i="2" l="1"/>
  <c r="Y488" i="2"/>
  <c r="Z282" i="2"/>
  <c r="Z455" i="2"/>
  <c r="Z387" i="2"/>
  <c r="Z325" i="2"/>
  <c r="Z226" i="2"/>
  <c r="Z493" i="2" l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<sst xmlns="http://schemas.openxmlformats.org/spreadsheetml/2006/main" count="3643" uniqueCount="787">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</sst>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Y10" sqref="Y1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46273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/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hidden="1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hidden="1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hidden="1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hidden="1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864</v>
      </c>
      <c r="Y42" s="53">
        <f>IFERROR(IF(X42="",0,CEILING((X42/$H42),1)*$H42),"")</f>
        <v>864</v>
      </c>
      <c r="Z42" s="39">
        <f>IFERROR(IF(Y42=0,"",ROUNDUP(Y42/H42,0)*0.01898),"")</f>
        <v>1.5184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896.8</v>
      </c>
      <c r="BN42" s="75">
        <f>IFERROR(Y42*I42/H42,"0")</f>
        <v>896.8</v>
      </c>
      <c r="BO42" s="75">
        <f>IFERROR(1/J42*(X42/H42),"0")</f>
        <v>1.25</v>
      </c>
      <c r="BP42" s="75">
        <f>IFERROR(1/J42*(Y42/H42),"0")</f>
        <v>1.25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80</v>
      </c>
      <c r="Y45" s="41">
        <f>IFERROR(Y42/H42,"0")+IFERROR(Y43/H43,"0")+IFERROR(Y44/H44,"0")</f>
        <v>80</v>
      </c>
      <c r="Z45" s="41">
        <f>IFERROR(IF(Z42="",0,Z42),"0")+IFERROR(IF(Z43="",0,Z43),"0")+IFERROR(IF(Z44="",0,Z44),"0")</f>
        <v>1.5184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864</v>
      </c>
      <c r="Y46" s="41">
        <f>IFERROR(SUM(Y42:Y44),"0")</f>
        <v>864</v>
      </c>
      <c r="Z46" s="40"/>
      <c r="AA46" s="64"/>
      <c r="AB46" s="64"/>
      <c r="AC46" s="64"/>
    </row>
    <row r="47" spans="1:68" ht="14.25" hidden="1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hidden="1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441.6</v>
      </c>
      <c r="Y60" s="41">
        <f>IFERROR(SUM(Y53:Y58),"0")</f>
        <v>441.59999999999997</v>
      </c>
      <c r="Z60" s="40"/>
      <c r="AA60" s="64"/>
      <c r="AB60" s="64"/>
      <c r="AC60" s="64"/>
    </row>
    <row r="61" spans="1:68" ht="14.25" hidden="1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hidden="1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46</v>
      </c>
      <c r="Y97" s="41">
        <f>IFERROR(Y93/H93,"0")+IFERROR(Y94/H94,"0")+IFERROR(Y95/H95,"0")+IFERROR(Y96/H96,"0")</f>
        <v>46</v>
      </c>
      <c r="Z97" s="41">
        <f>IFERROR(IF(Z93="",0,Z93),"0")+IFERROR(IF(Z94="",0,Z94),"0")+IFERROR(IF(Z95="",0,Z95),"0")+IFERROR(IF(Z96="",0,Z96),"0")</f>
        <v>0.69850000000000001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297</v>
      </c>
      <c r="Y98" s="41">
        <f>IFERROR(SUM(Y93:Y96),"0")</f>
        <v>297</v>
      </c>
      <c r="Z98" s="40"/>
      <c r="AA98" s="64"/>
      <c r="AB98" s="64"/>
      <c r="AC98" s="64"/>
    </row>
    <row r="99" spans="1:68" ht="16.5" hidden="1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hidden="1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hidden="1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hidden="1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hidden="1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hidden="1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hidden="1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hidden="1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0.72192000000000001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327.60000000000002</v>
      </c>
      <c r="Y183" s="41">
        <f>IFERROR(SUM(Y167:Y181),"0")</f>
        <v>327.60000000000002</v>
      </c>
      <c r="Z183" s="40"/>
      <c r="AA183" s="64"/>
      <c r="AB183" s="64"/>
      <c r="AC183" s="64"/>
    </row>
    <row r="184" spans="1:68" ht="14.25" hidden="1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hidden="1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72</v>
      </c>
      <c r="Y214" s="41">
        <f>IFERROR(Y206/H206,"0")+IFERROR(Y207/H207,"0")+IFERROR(Y208/H208,"0")+IFERROR(Y209/H209,"0")+IFERROR(Y210/H210,"0")+IFERROR(Y211/H211,"0")+IFERROR(Y212/H212,"0")+IFERROR(Y213/H213,"0")</f>
        <v>72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388.8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hidden="1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278.39999999999998</v>
      </c>
      <c r="Y219" s="53">
        <f t="shared" si="21"/>
        <v>278.39999999999998</v>
      </c>
      <c r="Z219" s="39">
        <f>IFERROR(IF(Y219=0,"",ROUNDUP(Y219/H219,0)*0.01898),"")</f>
        <v>0.60736000000000001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294.20800000000003</v>
      </c>
      <c r="BN219" s="75">
        <f t="shared" si="23"/>
        <v>294.20800000000003</v>
      </c>
      <c r="BO219" s="75">
        <f t="shared" si="24"/>
        <v>0.5</v>
      </c>
      <c r="BP219" s="75">
        <f t="shared" si="25"/>
        <v>0.5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176</v>
      </c>
      <c r="Y226" s="41">
        <f>IFERROR(Y217/H217,"0")+IFERROR(Y218/H218,"0")+IFERROR(Y219/H219,"0")+IFERROR(Y220/H220,"0")+IFERROR(Y221/H221,"0")+IFERROR(Y222/H222,"0")+IFERROR(Y223/H223,"0")+IFERROR(Y224/H224,"0")+IFERROR(Y225/H225,"0")</f>
        <v>176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1.5448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624</v>
      </c>
      <c r="Y227" s="41">
        <f>IFERROR(SUM(Y217:Y225),"0")</f>
        <v>623.99999999999989</v>
      </c>
      <c r="Z227" s="40"/>
      <c r="AA227" s="64"/>
      <c r="AB227" s="64"/>
      <c r="AC227" s="64"/>
    </row>
    <row r="228" spans="1:68" ht="14.25" hidden="1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hidden="1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hidden="1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hidden="1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hidden="1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57.6</v>
      </c>
      <c r="Y280" s="53">
        <f>IFERROR(IF(X280="",0,CEILING((X280/$H280),1)*$H280),"")</f>
        <v>57.599999999999994</v>
      </c>
      <c r="Z280" s="39">
        <f>IFERROR(IF(Y280=0,"",ROUNDUP(Y280/H280,0)*0.00651),"")</f>
        <v>0.15623999999999999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63.648000000000003</v>
      </c>
      <c r="BN280" s="75">
        <f>IFERROR(Y280*I280/H280,"0")</f>
        <v>63.648000000000003</v>
      </c>
      <c r="BO280" s="75">
        <f>IFERROR(1/J280*(X280/H280),"0")</f>
        <v>0.13186813186813187</v>
      </c>
      <c r="BP280" s="75">
        <f>IFERROR(1/J280*(Y280/H280),"0")</f>
        <v>0.13186813186813187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48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hidden="1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hidden="1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hidden="1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336</v>
      </c>
      <c r="Y322" s="53">
        <f>IFERROR(IF(X322="",0,CEILING((X322/$H322),1)*$H322),"")</f>
        <v>336</v>
      </c>
      <c r="Z322" s="39">
        <f>IFERROR(IF(Y322=0,"",ROUNDUP(Y322/H322,0)*0.01898),"")</f>
        <v>0.75919999999999999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355.76</v>
      </c>
      <c r="BN322" s="75">
        <f>IFERROR(Y322*I322/H322,"0")</f>
        <v>355.76</v>
      </c>
      <c r="BO322" s="75">
        <f>IFERROR(1/J322*(X322/H322),"0")</f>
        <v>0.625</v>
      </c>
      <c r="BP322" s="75">
        <f>IFERROR(1/J322*(Y322/H322),"0")</f>
        <v>0.625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120</v>
      </c>
      <c r="Y325" s="41">
        <f>IFERROR(Y322/H322,"0")+IFERROR(Y323/H323,"0")+IFERROR(Y324/H324,"0")</f>
        <v>120</v>
      </c>
      <c r="Z325" s="41">
        <f>IFERROR(IF(Z322="",0,Z322),"0")+IFERROR(IF(Z323="",0,Z323),"0")+IFERROR(IF(Z324="",0,Z324),"0")</f>
        <v>2.2776000000000001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969.6</v>
      </c>
      <c r="Y326" s="41">
        <f>IFERROR(SUM(Y322:Y324),"0")</f>
        <v>969.6</v>
      </c>
      <c r="Z326" s="40"/>
      <c r="AA326" s="64"/>
      <c r="AB326" s="64"/>
      <c r="AC326" s="64"/>
    </row>
    <row r="327" spans="1:68" ht="14.25" hidden="1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hidden="1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129.6</v>
      </c>
      <c r="Y342" s="53">
        <f>IFERROR(IF(X342="",0,CEILING((X342/$H342),1)*$H342),"")</f>
        <v>129.6</v>
      </c>
      <c r="Z342" s="39">
        <f>IFERROR(IF(Y342=0,"",ROUNDUP(Y342/H342,0)*0.01898),"")</f>
        <v>0.30368000000000001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137.50399999999999</v>
      </c>
      <c r="BN342" s="75">
        <f>IFERROR(Y342*I342/H342,"0")</f>
        <v>137.50399999999999</v>
      </c>
      <c r="BO342" s="75">
        <f>IFERROR(1/J342*(X342/H342),"0")</f>
        <v>0.25</v>
      </c>
      <c r="BP342" s="75">
        <f>IFERROR(1/J342*(Y342/H342),"0")</f>
        <v>0.25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16</v>
      </c>
      <c r="Y345" s="41">
        <f>IFERROR(Y342/H342,"0")+IFERROR(Y343/H343,"0")+IFERROR(Y344/H344,"0")</f>
        <v>16</v>
      </c>
      <c r="Z345" s="41">
        <f>IFERROR(IF(Z342="",0,Z342),"0")+IFERROR(IF(Z343="",0,Z343),"0")+IFERROR(IF(Z344="",0,Z344),"0")</f>
        <v>0.30368000000000001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129.6</v>
      </c>
      <c r="Y346" s="41">
        <f>IFERROR(SUM(Y342:Y344),"0")</f>
        <v>129.6</v>
      </c>
      <c r="Z346" s="40"/>
      <c r="AA346" s="64"/>
      <c r="AB346" s="64"/>
      <c r="AC346" s="64"/>
    </row>
    <row r="347" spans="1:68" ht="27.75" hidden="1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hidden="1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hidden="1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134</v>
      </c>
      <c r="Y357" s="41">
        <f>IFERROR(Y350/H350,"0")+IFERROR(Y351/H351,"0")+IFERROR(Y352/H352,"0")+IFERROR(Y353/H353,"0")+IFERROR(Y354/H354,"0")+IFERROR(Y355/H355,"0")+IFERROR(Y356/H356,"0")</f>
        <v>134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2.9144999999999999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2010</v>
      </c>
      <c r="Y358" s="41">
        <f>IFERROR(SUM(Y350:Y356),"0")</f>
        <v>2010</v>
      </c>
      <c r="Z358" s="40"/>
      <c r="AA358" s="64"/>
      <c r="AB358" s="64"/>
      <c r="AC358" s="64"/>
    </row>
    <row r="359" spans="1:68" ht="14.25" hidden="1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216</v>
      </c>
      <c r="Y370" s="53">
        <f>IFERROR(IF(X370="",0,CEILING((X370/$H370),1)*$H370),"")</f>
        <v>216</v>
      </c>
      <c r="Z370" s="39">
        <f>IFERROR(IF(Y370=0,"",ROUNDUP(Y370/H370,0)*0.01898),"")</f>
        <v>0.45552000000000004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227.85599999999997</v>
      </c>
      <c r="BN370" s="75">
        <f>IFERROR(Y370*I370/H370,"0")</f>
        <v>227.85599999999997</v>
      </c>
      <c r="BO370" s="75">
        <f>IFERROR(1/J370*(X370/H370),"0")</f>
        <v>0.375</v>
      </c>
      <c r="BP370" s="75">
        <f>IFERROR(1/J370*(Y370/H370),"0")</f>
        <v>0.375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24</v>
      </c>
      <c r="Y371" s="41">
        <f>IFERROR(Y370/H370,"0")</f>
        <v>24</v>
      </c>
      <c r="Z371" s="41">
        <f>IFERROR(IF(Z370="",0,Z370),"0")</f>
        <v>0.45552000000000004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216</v>
      </c>
      <c r="Y372" s="41">
        <f>IFERROR(SUM(Y370:Y370),"0")</f>
        <v>216</v>
      </c>
      <c r="Z372" s="40"/>
      <c r="AA372" s="64"/>
      <c r="AB372" s="64"/>
      <c r="AC372" s="64"/>
    </row>
    <row r="373" spans="1:68" ht="16.5" hidden="1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hidden="1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28.8</v>
      </c>
      <c r="Y385" s="53">
        <f>IFERROR(IF(X385="",0,CEILING((X385/$H385),1)*$H385),"")</f>
        <v>28.799999999999997</v>
      </c>
      <c r="Z385" s="39">
        <f>IFERROR(IF(Y385=0,"",ROUNDUP(Y385/H385,0)*0.00651),"")</f>
        <v>7.8119999999999995E-2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31.968000000000004</v>
      </c>
      <c r="BN385" s="75">
        <f>IFERROR(Y385*I385/H385,"0")</f>
        <v>31.967999999999996</v>
      </c>
      <c r="BO385" s="75">
        <f>IFERROR(1/J385*(X385/H385),"0")</f>
        <v>6.5934065934065936E-2</v>
      </c>
      <c r="BP385" s="75">
        <f>IFERROR(1/J385*(Y385/H385),"0")</f>
        <v>6.5934065934065936E-2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28</v>
      </c>
      <c r="Y387" s="41">
        <f>IFERROR(Y384/H384,"0")+IFERROR(Y385/H385,"0")+IFERROR(Y386/H386,"0")</f>
        <v>28</v>
      </c>
      <c r="Z387" s="41">
        <f>IFERROR(IF(Z384="",0,Z384),"0")+IFERROR(IF(Z385="",0,Z385),"0")+IFERROR(IF(Z386="",0,Z386),"0")</f>
        <v>0.38180000000000003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172.8</v>
      </c>
      <c r="Y388" s="41">
        <f>IFERROR(SUM(Y384:Y386),"0")</f>
        <v>172.8</v>
      </c>
      <c r="Z388" s="40"/>
      <c r="AA388" s="64"/>
      <c r="AB388" s="64"/>
      <c r="AC388" s="64"/>
    </row>
    <row r="389" spans="1:68" ht="27.75" hidden="1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hidden="1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hidden="1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hidden="1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hidden="1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hidden="1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hidden="1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hidden="1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24</v>
      </c>
      <c r="Y455" s="41">
        <f>IFERROR(Y448/H448,"0")+IFERROR(Y449/H449,"0")+IFERROR(Y450/H450,"0")+IFERROR(Y451/H451,"0")+IFERROR(Y452/H452,"0")+IFERROR(Y453/H453,"0")+IFERROR(Y454/H454,"0")</f>
        <v>24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126.72</v>
      </c>
      <c r="Y456" s="41">
        <f>IFERROR(SUM(Y448:Y454),"0")</f>
        <v>126.72</v>
      </c>
      <c r="Z456" s="40"/>
      <c r="AA456" s="64"/>
      <c r="AB456" s="64"/>
      <c r="AC456" s="64"/>
    </row>
    <row r="457" spans="1:68" ht="27.75" hidden="1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hidden="1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hidden="1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hidden="1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8943.9599999999991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8943.9599999999991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9369.6680000000033</v>
      </c>
      <c r="Y489" s="41">
        <f>IFERROR(SUM(BN22:BN485),"0")</f>
        <v>9369.6680000000033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9744.6680000000033</v>
      </c>
      <c r="Y491" s="41">
        <f>GrossWeightTotalR+PalletQtyTotalR*25</f>
        <v>9744.6680000000033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1164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1164</v>
      </c>
      <c r="Z492" s="40"/>
      <c r="AA492" s="64"/>
      <c r="AB492" s="64"/>
      <c r="AC492" s="64"/>
    </row>
    <row r="493" spans="1:68" ht="14.25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17.058760000000003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864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614.4</v>
      </c>
      <c r="E498" s="50">
        <f>IFERROR(Y86*1,"0")+IFERROR(Y87*1,"0")+IFERROR(Y88*1,"0")+IFERROR(Y89*1,"0")+IFERROR(Y93*1,"0")+IFERROR(Y94*1,"0")+IFERROR(Y95*1,"0")+IFERROR(Y96*1,"0")</f>
        <v>556.20000000000005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1004.4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327.60000000000002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1012.8000000000001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969.6</v>
      </c>
      <c r="R498" s="50">
        <f>IFERROR(Y342*1,"0")+IFERROR(Y343*1,"0")+IFERROR(Y344*1,"0")</f>
        <v>129.6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2586</v>
      </c>
      <c r="T498" s="50">
        <f>IFERROR(Y375*1,"0")+IFERROR(Y376*1,"0")+IFERROR(Y380*1,"0")+IFERROR(Y384*1,"0")+IFERROR(Y385*1,"0")+IFERROR(Y386*1,"0")</f>
        <v>172.8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591.36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4,00"/>
        <filter val="115,20"/>
        <filter val="120,00"/>
        <filter val="126,72"/>
        <filter val="129,60"/>
        <filter val="134,00"/>
        <filter val="134,40"/>
        <filter val="144,00"/>
        <filter val="15"/>
        <filter val="16,00"/>
        <filter val="172,80"/>
        <filter val="176,00"/>
        <filter val="194,40"/>
        <filter val="2 010,00"/>
        <filter val="201,60"/>
        <filter val="216,00"/>
        <filter val="226,80"/>
        <filter val="24,00"/>
        <filter val="259,20"/>
        <filter val="268,80"/>
        <filter val="278,40"/>
        <filter val="28,00"/>
        <filter val="28,80"/>
        <filter val="297,00"/>
        <filter val="32,40"/>
        <filter val="327,60"/>
        <filter val="336,00"/>
        <filter val="36,00"/>
        <filter val="360,00"/>
        <filter val="37,80"/>
        <filter val="380,16"/>
        <filter val="388,80"/>
        <filter val="40,00"/>
        <filter val="42,24"/>
        <filter val="441,60"/>
        <filter val="46,00"/>
        <filter val="464,64"/>
        <filter val="48,00"/>
        <filter val="499,20"/>
        <filter val="50,40"/>
        <filter val="57,60"/>
        <filter val="624,00"/>
        <filter val="64,80"/>
        <filter val="72,00"/>
        <filter val="75,60"/>
        <filter val="777,60"/>
        <filter val="8 943,96"/>
        <filter val="80,00"/>
        <filter val="810,00"/>
        <filter val="84,48"/>
        <filter val="840,00"/>
        <filter val="86,40"/>
        <filter val="864,00"/>
        <filter val="88,00"/>
        <filter val="9 369,67"/>
        <filter val="9 744,67"/>
        <filter val="96,00"/>
        <filter val="969,6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2026-09-08T06:28:06Z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