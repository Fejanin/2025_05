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7,08,26 Горняк(Горловка_Луганск) КИ НВ на погрузку с филиалами 15,08\"/>
    </mc:Choice>
  </mc:AlternateContent>
  <xr:revisionPtr revIDLastSave="0" documentId="13_ncr:1_{59228A0F-A679-4DAE-A8B7-0B818A85DB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<sst xmlns="http://schemas.openxmlformats.org/spreadsheetml/2006/main" count="3643" uniqueCount="787">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</sst>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46083</v>
      </c>
      <c r="R5" s="561"/>
      <c r="T5" s="562" t="s">
        <v>3</v>
      </c>
      <c r="U5" s="563"/>
      <c r="V5" s="564" t="s">
        <v>751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Понедельник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/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/>
      <c r="Y350" s="55">
        <f t="shared" ref="Y350:Y356" si="37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0</v>
      </c>
      <c r="BN350" s="78">
        <f t="shared" ref="BN350:BN356" si="39">IFERROR(Y350*I350/H350,"0")</f>
        <v>0</v>
      </c>
      <c r="BO350" s="78">
        <f t="shared" ref="BO350:BO356" si="40">IFERROR(1/J350*(X350/H350),"0")</f>
        <v>0</v>
      </c>
      <c r="BP350" s="78">
        <f t="shared" ref="BP350:BP356" si="41">IFERROR(1/J350*(Y350/H350),"0")</f>
        <v>0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8</v>
      </c>
      <c r="Y357" s="43">
        <f>IFERROR(Y350/H350,"0")+IFERROR(Y351/H351,"0")+IFERROR(Y352/H352,"0")+IFERROR(Y353/H353,"0")+IFERROR(Y354/H354,"0")+IFERROR(Y355/H355,"0")+IFERROR(Y356/H356,"0")</f>
        <v>8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0.17399999999999999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120</v>
      </c>
      <c r="Y358" s="43">
        <f>IFERROR(SUM(Y350:Y356),"0")</f>
        <v>120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42.24</v>
      </c>
      <c r="Y433" s="55">
        <f t="shared" si="48"/>
        <v>42.24</v>
      </c>
      <c r="Z433" s="41">
        <f t="shared" si="49"/>
        <v>9.5680000000000001E-2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45.04</v>
      </c>
      <c r="BN433" s="78">
        <f t="shared" si="51"/>
        <v>45.04</v>
      </c>
      <c r="BO433" s="78">
        <f t="shared" si="52"/>
        <v>7.6923076923076927E-2</v>
      </c>
      <c r="BP433" s="78">
        <f t="shared" si="53"/>
        <v>7.6923076923076927E-2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593.28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593.28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625.42399999999998</v>
      </c>
      <c r="Y489" s="43">
        <f>IFERROR(SUM(BN22:BN485),"0")</f>
        <v>625.42399999999998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675.42399999999998</v>
      </c>
      <c r="Y491" s="43">
        <f>GrossWeightTotalR+PalletQtyTotalR*25</f>
        <v>675.42399999999998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78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78</v>
      </c>
      <c r="Z492" s="42"/>
      <c r="AA492" s="67"/>
      <c r="AB492" s="67"/>
      <c r="AC492" s="67"/>
    </row>
    <row r="493" spans="1:68" ht="14.25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1.2157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120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84.48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