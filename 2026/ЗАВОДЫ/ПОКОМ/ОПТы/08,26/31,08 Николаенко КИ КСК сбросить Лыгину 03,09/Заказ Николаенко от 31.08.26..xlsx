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01E4DD-17E8-4A8B-9B0D-A2429337BC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Y547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Z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BN492" i="2" s="1"/>
  <c r="P492" i="2"/>
  <c r="BO491" i="2"/>
  <c r="BM491" i="2"/>
  <c r="Y491" i="2"/>
  <c r="BP491" i="2" s="1"/>
  <c r="P491" i="2"/>
  <c r="BO490" i="2"/>
  <c r="BM490" i="2"/>
  <c r="Y490" i="2"/>
  <c r="Y494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Z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8" i="2"/>
  <c r="X407" i="2"/>
  <c r="BO406" i="2"/>
  <c r="BM406" i="2"/>
  <c r="Z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Y395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X328" i="2"/>
  <c r="X327" i="2"/>
  <c r="BO326" i="2"/>
  <c r="BM326" i="2"/>
  <c r="Z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BP324" i="2" s="1"/>
  <c r="P324" i="2"/>
  <c r="BP323" i="2"/>
  <c r="BO323" i="2"/>
  <c r="BM323" i="2"/>
  <c r="Y323" i="2"/>
  <c r="P323" i="2"/>
  <c r="BO322" i="2"/>
  <c r="BM322" i="2"/>
  <c r="Y322" i="2"/>
  <c r="P322" i="2"/>
  <c r="X319" i="2"/>
  <c r="X318" i="2"/>
  <c r="BO317" i="2"/>
  <c r="BM317" i="2"/>
  <c r="Z317" i="2"/>
  <c r="Y317" i="2"/>
  <c r="BN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BN256" i="2" s="1"/>
  <c r="P256" i="2"/>
  <c r="BP255" i="2"/>
  <c r="BO255" i="2"/>
  <c r="BN255" i="2"/>
  <c r="BM255" i="2"/>
  <c r="Z255" i="2"/>
  <c r="Y255" i="2"/>
  <c r="Y258" i="2" s="1"/>
  <c r="P255" i="2"/>
  <c r="X252" i="2"/>
  <c r="X251" i="2"/>
  <c r="BO250" i="2"/>
  <c r="BM250" i="2"/>
  <c r="Y250" i="2"/>
  <c r="BP250" i="2" s="1"/>
  <c r="P250" i="2"/>
  <c r="X248" i="2"/>
  <c r="X247" i="2"/>
  <c r="BP246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P224" i="2"/>
  <c r="BO223" i="2"/>
  <c r="BM223" i="2"/>
  <c r="Z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Z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Z58" i="2"/>
  <c r="Y58" i="2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BP66" i="2" l="1"/>
  <c r="BP101" i="2"/>
  <c r="BP119" i="2"/>
  <c r="BN137" i="2"/>
  <c r="Z141" i="2"/>
  <c r="BN142" i="2"/>
  <c r="BN165" i="2"/>
  <c r="Z178" i="2"/>
  <c r="BN178" i="2"/>
  <c r="BN181" i="2"/>
  <c r="Z188" i="2"/>
  <c r="BP205" i="2"/>
  <c r="BN207" i="2"/>
  <c r="Z209" i="2"/>
  <c r="BP223" i="2"/>
  <c r="BN228" i="2"/>
  <c r="BN261" i="2"/>
  <c r="BN279" i="2"/>
  <c r="Z284" i="2"/>
  <c r="BN284" i="2"/>
  <c r="BN285" i="2"/>
  <c r="BN300" i="2"/>
  <c r="Z307" i="2"/>
  <c r="Z308" i="2" s="1"/>
  <c r="BP317" i="2"/>
  <c r="Z331" i="2"/>
  <c r="BN331" i="2"/>
  <c r="Z340" i="2"/>
  <c r="BN340" i="2"/>
  <c r="Z363" i="2"/>
  <c r="BN371" i="2"/>
  <c r="Z374" i="2"/>
  <c r="BN374" i="2"/>
  <c r="BN379" i="2"/>
  <c r="BN398" i="2"/>
  <c r="BN406" i="2"/>
  <c r="BN449" i="2"/>
  <c r="Z475" i="2"/>
  <c r="Z490" i="2"/>
  <c r="Z500" i="2"/>
  <c r="BP502" i="2"/>
  <c r="BN519" i="2"/>
  <c r="Y537" i="2"/>
  <c r="Y542" i="2"/>
  <c r="Z29" i="2"/>
  <c r="BN29" i="2"/>
  <c r="BN31" i="2"/>
  <c r="Z41" i="2"/>
  <c r="Z66" i="2"/>
  <c r="Z67" i="2"/>
  <c r="BN67" i="2"/>
  <c r="BN85" i="2"/>
  <c r="Z98" i="2"/>
  <c r="BN99" i="2"/>
  <c r="Z101" i="2"/>
  <c r="BP110" i="2"/>
  <c r="BN111" i="2"/>
  <c r="Z119" i="2"/>
  <c r="BN154" i="2"/>
  <c r="BP188" i="2"/>
  <c r="BN221" i="2"/>
  <c r="BN226" i="2"/>
  <c r="BN238" i="2"/>
  <c r="Z240" i="2"/>
  <c r="BN240" i="2"/>
  <c r="Y252" i="2"/>
  <c r="Y257" i="2"/>
  <c r="BP256" i="2"/>
  <c r="Y262" i="2"/>
  <c r="BN297" i="2"/>
  <c r="BP307" i="2"/>
  <c r="BN316" i="2"/>
  <c r="BN325" i="2"/>
  <c r="BN341" i="2"/>
  <c r="Z347" i="2"/>
  <c r="Y348" i="2"/>
  <c r="Z352" i="2"/>
  <c r="BN359" i="2"/>
  <c r="Z362" i="2"/>
  <c r="Z393" i="2"/>
  <c r="BN394" i="2"/>
  <c r="Z432" i="2"/>
  <c r="BN432" i="2"/>
  <c r="BN442" i="2"/>
  <c r="Y450" i="2"/>
  <c r="Z459" i="2"/>
  <c r="Z460" i="2" s="1"/>
  <c r="Y460" i="2"/>
  <c r="BP481" i="2"/>
  <c r="Z491" i="2"/>
  <c r="BN536" i="2"/>
  <c r="Y493" i="2"/>
  <c r="Z503" i="2"/>
  <c r="AA563" i="2"/>
  <c r="BP490" i="2"/>
  <c r="Y433" i="2"/>
  <c r="BN418" i="2"/>
  <c r="Z354" i="2"/>
  <c r="Z276" i="2"/>
  <c r="BN276" i="2"/>
  <c r="BN269" i="2"/>
  <c r="BN266" i="2"/>
  <c r="Z265" i="2"/>
  <c r="BN265" i="2"/>
  <c r="Z177" i="2"/>
  <c r="BP177" i="2"/>
  <c r="Z153" i="2"/>
  <c r="BN153" i="2"/>
  <c r="BN90" i="2"/>
  <c r="BP57" i="2"/>
  <c r="Z57" i="2"/>
  <c r="BN22" i="2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Z355" i="2" s="1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Z144" i="2" s="1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Z445" i="2" s="1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74" i="2" s="1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Z318" i="2" s="1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Z395" i="2" s="1"/>
  <c r="W563" i="2"/>
  <c r="Y434" i="2"/>
  <c r="BP425" i="2"/>
  <c r="Z425" i="2"/>
  <c r="Z433" i="2" s="1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Z401" i="2" s="1"/>
  <c r="BP60" i="2"/>
  <c r="X557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82" i="2"/>
  <c r="Z206" i="2"/>
  <c r="Z227" i="2"/>
  <c r="Z237" i="2"/>
  <c r="Z241" i="2" s="1"/>
  <c r="Z260" i="2"/>
  <c r="Z262" i="2" s="1"/>
  <c r="Z270" i="2"/>
  <c r="Z280" i="2"/>
  <c r="Z301" i="2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13" i="2" s="1"/>
  <c r="Z521" i="2"/>
  <c r="BP550" i="2"/>
  <c r="V563" i="2"/>
  <c r="Y25" i="2"/>
  <c r="Z48" i="2"/>
  <c r="Z52" i="2" s="1"/>
  <c r="Z59" i="2"/>
  <c r="Y74" i="2"/>
  <c r="Z92" i="2"/>
  <c r="Z103" i="2"/>
  <c r="Z105" i="2" s="1"/>
  <c r="BP128" i="2"/>
  <c r="Z136" i="2"/>
  <c r="Z138" i="2" s="1"/>
  <c r="BN149" i="2"/>
  <c r="Z170" i="2"/>
  <c r="Z180" i="2"/>
  <c r="Z190" i="2"/>
  <c r="Z191" i="2" s="1"/>
  <c r="Z204" i="2"/>
  <c r="Z215" i="2"/>
  <c r="Z216" i="2" s="1"/>
  <c r="Z225" i="2"/>
  <c r="Z245" i="2"/>
  <c r="Z247" i="2" s="1"/>
  <c r="Z268" i="2"/>
  <c r="Z273" i="2" s="1"/>
  <c r="Z278" i="2"/>
  <c r="Z299" i="2"/>
  <c r="BN311" i="2"/>
  <c r="Z322" i="2"/>
  <c r="Z333" i="2"/>
  <c r="Z334" i="2" s="1"/>
  <c r="BN346" i="2"/>
  <c r="Z368" i="2"/>
  <c r="Z378" i="2"/>
  <c r="BN400" i="2"/>
  <c r="Z411" i="2"/>
  <c r="Z413" i="2" s="1"/>
  <c r="BN426" i="2"/>
  <c r="BN436" i="2"/>
  <c r="Y439" i="2"/>
  <c r="BN459" i="2"/>
  <c r="Z471" i="2"/>
  <c r="Z477" i="2" s="1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504" i="2"/>
  <c r="BN516" i="2"/>
  <c r="BN528" i="2"/>
  <c r="BN540" i="2"/>
  <c r="BN98" i="2"/>
  <c r="BN141" i="2"/>
  <c r="Z163" i="2"/>
  <c r="Z166" i="2" s="1"/>
  <c r="BN417" i="2"/>
  <c r="BN545" i="2"/>
  <c r="Y507" i="2"/>
  <c r="BP528" i="2"/>
  <c r="BP540" i="2"/>
  <c r="Y552" i="2"/>
  <c r="AB563" i="2"/>
  <c r="Z493" i="2" l="1"/>
  <c r="Z382" i="2"/>
  <c r="Z211" i="2"/>
  <c r="Z62" i="2"/>
  <c r="Z348" i="2"/>
  <c r="Z304" i="2"/>
  <c r="Z131" i="2"/>
  <c r="Z343" i="2"/>
  <c r="Z113" i="2"/>
  <c r="Z375" i="2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<sst xmlns="http://schemas.openxmlformats.org/spreadsheetml/2006/main" count="4208" uniqueCount="890">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</sst>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3"/>
  <sheetViews>
    <sheetView showGridLines="0" tabSelected="1" topLeftCell="A535" zoomScaleNormal="100" zoomScaleSheetLayoutView="100" workbookViewId="0">
      <selection activeCell="AA559" sqref="AA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46257</v>
      </c>
      <c r="R5" s="999"/>
      <c r="T5" s="1000" t="s">
        <v>3</v>
      </c>
      <c r="U5" s="1001"/>
      <c r="V5" s="1002" t="s">
        <v>871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872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Воскресенье</v>
      </c>
      <c r="R6" s="977"/>
      <c r="T6" s="978" t="s">
        <v>5</v>
      </c>
      <c r="U6" s="979"/>
      <c r="V6" s="980" t="s">
        <v>70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0.375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72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73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74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75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customHeight="1" x14ac:dyDescent="0.2">
      <c r="A19" s="664" t="s">
        <v>76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customHeight="1" x14ac:dyDescent="0.25">
      <c r="A20" s="657" t="s">
        <v>76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customHeight="1" x14ac:dyDescent="0.25">
      <c r="A21" s="658" t="s">
        <v>77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8" t="s">
        <v>86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customHeight="1" x14ac:dyDescent="0.25">
      <c r="A35" s="657" t="s">
        <v>104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customHeight="1" x14ac:dyDescent="0.25">
      <c r="A36" s="658" t="s">
        <v>86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653">
        <v>4680115889590</v>
      </c>
      <c r="E37" s="653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2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653">
        <v>4680115889354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653">
        <v>4680115888463</v>
      </c>
      <c r="E39" s="65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664" t="s">
        <v>123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customHeight="1" x14ac:dyDescent="0.25">
      <c r="A46" s="657" t="s">
        <v>124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customHeight="1" x14ac:dyDescent="0.25">
      <c r="A47" s="658" t="s">
        <v>125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30</v>
      </c>
      <c r="Y48" s="55">
        <f>IFERROR(IF(X48="",0,CEILING((X48/$H48),1)*$H48),"")</f>
        <v>32.400000000000006</v>
      </c>
      <c r="Z48" s="41">
        <f>IFERROR(IF(Y48=0,"",ROUNDUP(Y48/H48,0)*0.01898),"")</f>
        <v>5.6940000000000004E-2</v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31.138888888888889</v>
      </c>
      <c r="BN48" s="78">
        <f>IFERROR(Y48*I48/H48,"0")</f>
        <v>33.630000000000003</v>
      </c>
      <c r="BO48" s="78">
        <f>IFERROR(1/J48*(X48/H48),"0")</f>
        <v>4.3402777777777776E-2</v>
      </c>
      <c r="BP48" s="78">
        <f>IFERROR(1/J48*(Y48/H48),"0")</f>
        <v>4.6875000000000007E-2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2.7777777777777777</v>
      </c>
      <c r="Y52" s="43">
        <f>IFERROR(Y48/H48,"0")+IFERROR(Y49/H49,"0")+IFERROR(Y50/H50,"0")+IFERROR(Y51/H51,"0")</f>
        <v>3.0000000000000004</v>
      </c>
      <c r="Z52" s="43">
        <f>IFERROR(IF(Z48="",0,Z48),"0")+IFERROR(IF(Z49="",0,Z49),"0")+IFERROR(IF(Z50="",0,Z50),"0")+IFERROR(IF(Z51="",0,Z51),"0")</f>
        <v>5.6940000000000004E-2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30</v>
      </c>
      <c r="Y53" s="43">
        <f>IFERROR(SUM(Y48:Y51),"0")</f>
        <v>32.400000000000006</v>
      </c>
      <c r="Z53" s="42"/>
      <c r="AA53" s="67"/>
      <c r="AB53" s="67"/>
      <c r="AC53" s="67"/>
    </row>
    <row r="54" spans="1:68" ht="16.5" customHeight="1" x14ac:dyDescent="0.25">
      <c r="A54" s="657" t="s">
        <v>140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customHeight="1" x14ac:dyDescent="0.25">
      <c r="A55" s="658" t="s">
        <v>125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150</v>
      </c>
      <c r="Y57" s="55">
        <f t="shared" si="6"/>
        <v>151.20000000000002</v>
      </c>
      <c r="Z57" s="41">
        <f>IFERROR(IF(Y57=0,"",ROUNDUP(Y57/H57,0)*0.01898),"")</f>
        <v>0.26572000000000001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155.69444444444446</v>
      </c>
      <c r="BN57" s="78">
        <f t="shared" si="8"/>
        <v>156.94</v>
      </c>
      <c r="BO57" s="78">
        <f t="shared" si="9"/>
        <v>0.21701388888888887</v>
      </c>
      <c r="BP57" s="78">
        <f t="shared" si="10"/>
        <v>0.21875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27</v>
      </c>
      <c r="Y61" s="55">
        <f t="shared" si="6"/>
        <v>27</v>
      </c>
      <c r="Z61" s="41">
        <f>IFERROR(IF(Y61=0,"",ROUNDUP(Y61/H61,0)*0.00902),"")</f>
        <v>5.4120000000000001E-2</v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28.14</v>
      </c>
      <c r="BN61" s="78">
        <f t="shared" si="8"/>
        <v>28.14</v>
      </c>
      <c r="BO61" s="78">
        <f t="shared" si="9"/>
        <v>4.5454545454545456E-2</v>
      </c>
      <c r="BP61" s="78">
        <f t="shared" si="10"/>
        <v>4.5454545454545456E-2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19.888888888888886</v>
      </c>
      <c r="Y62" s="43">
        <f>IFERROR(Y56/H56,"0")+IFERROR(Y57/H57,"0")+IFERROR(Y58/H58,"0")+IFERROR(Y59/H59,"0")+IFERROR(Y60/H60,"0")+IFERROR(Y61/H61,"0")</f>
        <v>20</v>
      </c>
      <c r="Z62" s="43">
        <f>IFERROR(IF(Z56="",0,Z56),"0")+IFERROR(IF(Z57="",0,Z57),"0")+IFERROR(IF(Z58="",0,Z58),"0")+IFERROR(IF(Z59="",0,Z59),"0")+IFERROR(IF(Z60="",0,Z60),"0")+IFERROR(IF(Z61="",0,Z61),"0")</f>
        <v>0.31984000000000001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177</v>
      </c>
      <c r="Y63" s="43">
        <f>IFERROR(SUM(Y56:Y61),"0")</f>
        <v>178.20000000000002</v>
      </c>
      <c r="Z63" s="42"/>
      <c r="AA63" s="67"/>
      <c r="AB63" s="67"/>
      <c r="AC63" s="67"/>
    </row>
    <row r="64" spans="1:68" ht="14.25" customHeight="1" x14ac:dyDescent="0.25">
      <c r="A64" s="658" t="s">
        <v>158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/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8" t="s">
        <v>86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8" t="s">
        <v>175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/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7" t="s">
        <v>182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customHeight="1" x14ac:dyDescent="0.25">
      <c r="A82" s="658" t="s">
        <v>125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/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36</v>
      </c>
      <c r="Y86" s="55">
        <f>IFERROR(IF(X86="",0,CEILING((X86/$H86),1)*$H86),"")</f>
        <v>36</v>
      </c>
      <c r="Z86" s="41">
        <f>IFERROR(IF(Y86=0,"",ROUNDUP(Y86/H86,0)*0.00902),"")</f>
        <v>7.2160000000000002E-2</v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37.520000000000003</v>
      </c>
      <c r="BN86" s="78">
        <f>IFERROR(Y86*I86/H86,"0")</f>
        <v>37.520000000000003</v>
      </c>
      <c r="BO86" s="78">
        <f>IFERROR(1/J86*(X86/H86),"0")</f>
        <v>6.0606060606060608E-2</v>
      </c>
      <c r="BP86" s="78">
        <f>IFERROR(1/J86*(Y86/H86),"0")</f>
        <v>6.0606060606060608E-2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8</v>
      </c>
      <c r="Y87" s="43">
        <f>IFERROR(Y83/H83,"0")+IFERROR(Y84/H84,"0")+IFERROR(Y85/H85,"0")+IFERROR(Y86/H86,"0")</f>
        <v>8</v>
      </c>
      <c r="Z87" s="43">
        <f>IFERROR(IF(Z83="",0,Z83),"0")+IFERROR(IF(Z84="",0,Z84),"0")+IFERROR(IF(Z85="",0,Z85),"0")+IFERROR(IF(Z86="",0,Z86),"0")</f>
        <v>7.2160000000000002E-2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36</v>
      </c>
      <c r="Y88" s="43">
        <f>IFERROR(SUM(Y83:Y86),"0")</f>
        <v>36</v>
      </c>
      <c r="Z88" s="42"/>
      <c r="AA88" s="67"/>
      <c r="AB88" s="67"/>
      <c r="AC88" s="67"/>
    </row>
    <row r="89" spans="1:68" ht="14.25" customHeight="1" x14ac:dyDescent="0.25">
      <c r="A89" s="658" t="s">
        <v>86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16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16.975802469135804</v>
      </c>
      <c r="BN90" s="78">
        <f>IFERROR(Y90*I90/H90,"0")</f>
        <v>17.187999999999999</v>
      </c>
      <c r="BO90" s="78">
        <f>IFERROR(1/J90*(X90/H90),"0")</f>
        <v>3.0864197530864199E-2</v>
      </c>
      <c r="BP90" s="78">
        <f>IFERROR(1/J90*(Y90/H90),"0")</f>
        <v>3.125E-2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5.4</v>
      </c>
      <c r="Y92" s="55">
        <f>IFERROR(IF(X92="",0,CEILING((X92/$H92),1)*$H92),"")</f>
        <v>5.4</v>
      </c>
      <c r="Z92" s="41">
        <f>IFERROR(IF(Y92=0,"",ROUNDUP(Y92/H92,0)*0.00651),"")</f>
        <v>1.302E-2</v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5.9039999999999999</v>
      </c>
      <c r="BN92" s="78">
        <f>IFERROR(Y92*I92/H92,"0")</f>
        <v>5.9039999999999999</v>
      </c>
      <c r="BO92" s="78">
        <f>IFERROR(1/J92*(X92/H92),"0")</f>
        <v>1.098901098901099E-2</v>
      </c>
      <c r="BP92" s="78">
        <f>IFERROR(1/J92*(Y92/H92),"0")</f>
        <v>1.098901098901099E-2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3.9753086419753085</v>
      </c>
      <c r="Y94" s="43">
        <f>IFERROR(Y90/H90,"0")+IFERROR(Y91/H91,"0")+IFERROR(Y92/H92,"0")+IFERROR(Y93/H93,"0")</f>
        <v>4</v>
      </c>
      <c r="Z94" s="43">
        <f>IFERROR(IF(Z90="",0,Z90),"0")+IFERROR(IF(Z91="",0,Z91),"0")+IFERROR(IF(Z92="",0,Z92),"0")+IFERROR(IF(Z93="",0,Z93),"0")</f>
        <v>5.0979999999999998E-2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21.4</v>
      </c>
      <c r="Y95" s="43">
        <f>IFERROR(SUM(Y90:Y93),"0")</f>
        <v>21.6</v>
      </c>
      <c r="Z95" s="42"/>
      <c r="AA95" s="67"/>
      <c r="AB95" s="67"/>
      <c r="AC95" s="67"/>
    </row>
    <row r="96" spans="1:68" ht="16.5" customHeight="1" x14ac:dyDescent="0.25">
      <c r="A96" s="657" t="s">
        <v>203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customHeight="1" x14ac:dyDescent="0.25">
      <c r="A97" s="658" t="s">
        <v>125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/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8" t="s">
        <v>158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/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8" t="s">
        <v>86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150</v>
      </c>
      <c r="Y116" s="55">
        <f>IFERROR(IF(X116="",0,CEILING((X116/$H116),1)*$H116),"")</f>
        <v>153.9</v>
      </c>
      <c r="Z116" s="41">
        <f>IFERROR(IF(Y116=0,"",ROUNDUP(Y116/H116,0)*0.01898),"")</f>
        <v>0.36062</v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159.03703703703701</v>
      </c>
      <c r="BN116" s="78">
        <f>IFERROR(Y116*I116/H116,"0")</f>
        <v>163.172</v>
      </c>
      <c r="BO116" s="78">
        <f>IFERROR(1/J116*(X116/H116),"0")</f>
        <v>0.28935185185185186</v>
      </c>
      <c r="BP116" s="78">
        <f>IFERROR(1/J116*(Y116/H116),"0")</f>
        <v>0.296875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5.4</v>
      </c>
      <c r="Y118" s="55">
        <f>IFERROR(IF(X118="",0,CEILING((X118/$H118),1)*$H118),"")</f>
        <v>5.4</v>
      </c>
      <c r="Z118" s="41">
        <f>IFERROR(IF(Y118=0,"",ROUNDUP(Y118/H118,0)*0.00651),"")</f>
        <v>1.302E-2</v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5.9039999999999999</v>
      </c>
      <c r="BN118" s="78">
        <f>IFERROR(Y118*I118/H118,"0")</f>
        <v>5.9039999999999999</v>
      </c>
      <c r="BO118" s="78">
        <f>IFERROR(1/J118*(X118/H118),"0")</f>
        <v>1.098901098901099E-2</v>
      </c>
      <c r="BP118" s="78">
        <f>IFERROR(1/J118*(Y118/H118),"0")</f>
        <v>1.098901098901099E-2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20.518518518518519</v>
      </c>
      <c r="Y120" s="43">
        <f>IFERROR(Y116/H116,"0")+IFERROR(Y117/H117,"0")+IFERROR(Y118/H118,"0")+IFERROR(Y119/H119,"0")</f>
        <v>21</v>
      </c>
      <c r="Z120" s="43">
        <f>IFERROR(IF(Z116="",0,Z116),"0")+IFERROR(IF(Z117="",0,Z117),"0")+IFERROR(IF(Z118="",0,Z118),"0")+IFERROR(IF(Z119="",0,Z119),"0")</f>
        <v>0.37363999999999997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155.4</v>
      </c>
      <c r="Y121" s="43">
        <f>IFERROR(SUM(Y116:Y119),"0")</f>
        <v>159.30000000000001</v>
      </c>
      <c r="Z121" s="42"/>
      <c r="AA121" s="67"/>
      <c r="AB121" s="67"/>
      <c r="AC121" s="67"/>
    </row>
    <row r="122" spans="1:68" ht="14.25" customHeight="1" x14ac:dyDescent="0.25">
      <c r="A122" s="658" t="s">
        <v>175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7" t="s">
        <v>243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customHeight="1" x14ac:dyDescent="0.25">
      <c r="A127" s="658" t="s">
        <v>125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249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8" t="s">
        <v>77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customHeight="1" x14ac:dyDescent="0.25">
      <c r="A134" s="63" t="s">
        <v>253</v>
      </c>
      <c r="B134" s="63" t="s">
        <v>254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259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260</v>
      </c>
      <c r="B137" s="63" t="s">
        <v>261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8" t="s">
        <v>86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customHeight="1" x14ac:dyDescent="0.25">
      <c r="A141" s="63" t="s">
        <v>262</v>
      </c>
      <c r="B141" s="63" t="s">
        <v>263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266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7" t="s">
        <v>267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customHeight="1" x14ac:dyDescent="0.25">
      <c r="A147" s="658" t="s">
        <v>86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customHeight="1" x14ac:dyDescent="0.25">
      <c r="A148" s="63" t="s">
        <v>268</v>
      </c>
      <c r="B148" s="63" t="s">
        <v>269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271</v>
      </c>
      <c r="B149" s="63" t="s">
        <v>272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271</v>
      </c>
      <c r="B150" s="63" t="s">
        <v>274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275</v>
      </c>
      <c r="B151" s="63" t="s">
        <v>276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275</v>
      </c>
      <c r="B152" s="63" t="s">
        <v>278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/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279</v>
      </c>
      <c r="B154" s="63" t="s">
        <v>282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8" t="s">
        <v>283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customHeight="1" x14ac:dyDescent="0.25">
      <c r="A158" s="63" t="s">
        <v>284</v>
      </c>
      <c r="B158" s="63" t="s">
        <v>285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7" t="s">
        <v>123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customHeight="1" x14ac:dyDescent="0.25">
      <c r="A162" s="658" t="s">
        <v>125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customHeight="1" x14ac:dyDescent="0.25">
      <c r="A163" s="63" t="s">
        <v>290</v>
      </c>
      <c r="B163" s="63" t="s">
        <v>291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293</v>
      </c>
      <c r="B164" s="63" t="s">
        <v>294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296</v>
      </c>
      <c r="B165" s="63" t="s">
        <v>297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8" t="s">
        <v>158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302</v>
      </c>
      <c r="B170" s="63" t="s">
        <v>303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8" t="s">
        <v>77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21.085714285714285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4.3290043290043295E-2</v>
      </c>
      <c r="BP174" s="78">
        <f t="shared" ref="BP174:BP184" si="26">IFERROR(1/J174*(Y174/H174),"0")</f>
        <v>4.5454545454545456E-2</v>
      </c>
    </row>
    <row r="175" spans="1:68" ht="27" customHeight="1" x14ac:dyDescent="0.25">
      <c r="A175" s="63" t="s">
        <v>308</v>
      </c>
      <c r="B175" s="63" t="s">
        <v>309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/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/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22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126.51428571428572</v>
      </c>
      <c r="BN177" s="78">
        <f t="shared" si="24"/>
        <v>129.15</v>
      </c>
      <c r="BO177" s="78">
        <f t="shared" si="25"/>
        <v>0.25974025974025972</v>
      </c>
      <c r="BP177" s="78">
        <f t="shared" si="26"/>
        <v>0.26515151515151514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/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322</v>
      </c>
      <c r="B181" s="63" t="s">
        <v>325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/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328</v>
      </c>
      <c r="B183" s="63" t="s">
        <v>329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/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41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0.36981999999999998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140</v>
      </c>
      <c r="Y186" s="43">
        <f>IFERROR(SUM(Y174:Y184),"0")</f>
        <v>143.5</v>
      </c>
      <c r="Z186" s="42"/>
      <c r="AA186" s="67"/>
      <c r="AB186" s="67"/>
      <c r="AC186" s="67"/>
    </row>
    <row r="187" spans="1:68" ht="14.25" customHeight="1" x14ac:dyDescent="0.25">
      <c r="A187" s="658" t="s">
        <v>86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customHeight="1" x14ac:dyDescent="0.25">
      <c r="A188" s="63" t="s">
        <v>334</v>
      </c>
      <c r="B188" s="63" t="s">
        <v>335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/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340</v>
      </c>
      <c r="B190" s="63" t="s">
        <v>341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8" t="s">
        <v>283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customHeight="1" x14ac:dyDescent="0.25">
      <c r="A194" s="63" t="s">
        <v>343</v>
      </c>
      <c r="B194" s="63" t="s">
        <v>344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8" t="s">
        <v>347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customHeight="1" x14ac:dyDescent="0.25">
      <c r="A198" s="63" t="s">
        <v>348</v>
      </c>
      <c r="B198" s="63" t="s">
        <v>349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664" t="s">
        <v>351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customHeight="1" x14ac:dyDescent="0.25">
      <c r="A202" s="657" t="s">
        <v>352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customHeight="1" x14ac:dyDescent="0.25">
      <c r="A203" s="658" t="s">
        <v>125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customHeight="1" x14ac:dyDescent="0.25">
      <c r="A204" s="63" t="s">
        <v>353</v>
      </c>
      <c r="B204" s="63" t="s">
        <v>354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358</v>
      </c>
      <c r="B206" s="63" t="s">
        <v>359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364</v>
      </c>
      <c r="B208" s="63" t="s">
        <v>365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370</v>
      </c>
      <c r="B210" s="63" t="s">
        <v>371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7" t="s">
        <v>373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customHeight="1" x14ac:dyDescent="0.25">
      <c r="A214" s="658" t="s">
        <v>158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customHeight="1" x14ac:dyDescent="0.25">
      <c r="A215" s="63" t="s">
        <v>374</v>
      </c>
      <c r="B215" s="63" t="s">
        <v>375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8" t="s">
        <v>77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377</v>
      </c>
      <c r="B219" s="63" t="s">
        <v>378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391</v>
      </c>
      <c r="B224" s="63" t="s">
        <v>392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399</v>
      </c>
      <c r="B227" s="63" t="s">
        <v>400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402</v>
      </c>
      <c r="B228" s="63" t="s">
        <v>403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410</v>
      </c>
      <c r="B231" s="63" t="s">
        <v>411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412</v>
      </c>
      <c r="B232" s="63" t="s">
        <v>413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8" t="s">
        <v>86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customHeight="1" x14ac:dyDescent="0.25">
      <c r="A236" s="63" t="s">
        <v>415</v>
      </c>
      <c r="B236" s="63" t="s">
        <v>416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418</v>
      </c>
      <c r="B237" s="63" t="s">
        <v>419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421</v>
      </c>
      <c r="B238" s="63" t="s">
        <v>422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424</v>
      </c>
      <c r="B239" s="63" t="s">
        <v>425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427</v>
      </c>
      <c r="B240" s="63" t="s">
        <v>428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8" t="s">
        <v>283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8" t="s">
        <v>437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7" t="s">
        <v>440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customHeight="1" x14ac:dyDescent="0.25">
      <c r="A254" s="658" t="s">
        <v>125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customHeight="1" x14ac:dyDescent="0.25">
      <c r="A255" s="63" t="s">
        <v>441</v>
      </c>
      <c r="B255" s="63" t="s">
        <v>442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444</v>
      </c>
      <c r="B256" s="63" t="s">
        <v>445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8" t="s">
        <v>158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customHeight="1" x14ac:dyDescent="0.25">
      <c r="A260" s="63" t="s">
        <v>446</v>
      </c>
      <c r="B260" s="63" t="s">
        <v>447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449</v>
      </c>
      <c r="B261" s="63" t="s">
        <v>450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8" t="s">
        <v>77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130</v>
      </c>
      <c r="Y265" s="55">
        <f t="shared" ref="Y265:Y272" si="39">IFERROR(IF(X265="",0,CEILING((X265/$H265),1)*$H265),"")</f>
        <v>135</v>
      </c>
      <c r="Z265" s="41">
        <f>IFERROR(IF(Y265=0,"",ROUNDUP(Y265/H265,0)*0.00902),"")</f>
        <v>0.22550000000000001</v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134.57407407407405</v>
      </c>
      <c r="BN265" s="78">
        <f t="shared" ref="BN265:BN272" si="41">IFERROR(Y265*I265/H265,"0")</f>
        <v>139.75</v>
      </c>
      <c r="BO265" s="78">
        <f t="shared" ref="BO265:BO272" si="42">IFERROR(1/J265*(X265/H265),"0")</f>
        <v>0.18237934904601572</v>
      </c>
      <c r="BP265" s="78">
        <f t="shared" ref="BP265:BP272" si="43">IFERROR(1/J265*(Y265/H265),"0")</f>
        <v>0.18939393939393939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/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100</v>
      </c>
      <c r="Y268" s="55">
        <f t="shared" si="39"/>
        <v>102.60000000000001</v>
      </c>
      <c r="Z268" s="41">
        <f>IFERROR(IF(Y268=0,"",ROUNDUP(Y268/H268,0)*0.00902),"")</f>
        <v>0.17138</v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103.5185185185185</v>
      </c>
      <c r="BN268" s="78">
        <f t="shared" si="41"/>
        <v>106.21</v>
      </c>
      <c r="BO268" s="78">
        <f t="shared" si="42"/>
        <v>0.14029180695847362</v>
      </c>
      <c r="BP268" s="78">
        <f t="shared" si="43"/>
        <v>0.14393939393939395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1.8</v>
      </c>
      <c r="Y269" s="55">
        <f t="shared" si="39"/>
        <v>1.8</v>
      </c>
      <c r="Z269" s="41">
        <f>IFERROR(IF(Y269=0,"",ROUNDUP(Y269/H269,0)*0.00502),"")</f>
        <v>5.0200000000000002E-3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1.9299999999999997</v>
      </c>
      <c r="BN269" s="78">
        <f t="shared" si="41"/>
        <v>1.9299999999999997</v>
      </c>
      <c r="BO269" s="78">
        <f t="shared" si="42"/>
        <v>4.2735042735042739E-3</v>
      </c>
      <c r="BP269" s="78">
        <f t="shared" si="43"/>
        <v>4.2735042735042739E-3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62.111111111111114</v>
      </c>
      <c r="Y273" s="43">
        <f>IFERROR(Y265/H265,"0")+IFERROR(Y266/H266,"0")+IFERROR(Y267/H267,"0")+IFERROR(Y268/H268,"0")+IFERROR(Y269/H269,"0")+IFERROR(Y270/H270,"0")+IFERROR(Y271/H271,"0")+IFERROR(Y272/H272,"0")</f>
        <v>64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0.57328000000000001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331.8</v>
      </c>
      <c r="Y274" s="43">
        <f>IFERROR(SUM(Y265:Y272),"0")</f>
        <v>342.00000000000006</v>
      </c>
      <c r="Z274" s="42"/>
      <c r="AA274" s="67"/>
      <c r="AB274" s="67"/>
      <c r="AC274" s="67"/>
    </row>
    <row r="275" spans="1:68" ht="14.25" customHeight="1" x14ac:dyDescent="0.25">
      <c r="A275" s="658" t="s">
        <v>86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24</v>
      </c>
      <c r="Y276" s="55">
        <f t="shared" ref="Y276:Y287" si="44">IFERROR(IF(X276="",0,CEILING((X276/$H276),1)*$H276),"")</f>
        <v>24.299999999999997</v>
      </c>
      <c r="Z276" s="41">
        <f>IFERROR(IF(Y276=0,"",ROUNDUP(Y276/H276,0)*0.01898),"")</f>
        <v>5.6940000000000004E-2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25.4637037037037</v>
      </c>
      <c r="BN276" s="78">
        <f t="shared" ref="BN276:BN287" si="46">IFERROR(Y276*I276/H276,"0")</f>
        <v>25.781999999999996</v>
      </c>
      <c r="BO276" s="78">
        <f t="shared" ref="BO276:BO287" si="47">IFERROR(1/J276*(X276/H276),"0")</f>
        <v>4.6296296296296301E-2</v>
      </c>
      <c r="BP276" s="78">
        <f t="shared" ref="BP276:BP287" si="48">IFERROR(1/J276*(Y276/H276),"0")</f>
        <v>4.6875E-2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32</v>
      </c>
      <c r="Y277" s="55">
        <f t="shared" si="44"/>
        <v>32.4</v>
      </c>
      <c r="Z277" s="41">
        <f>IFERROR(IF(Y277=0,"",ROUNDUP(Y277/H277,0)*0.01898),"")</f>
        <v>7.5920000000000001E-2</v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33.8804938271605</v>
      </c>
      <c r="BN277" s="78">
        <f t="shared" si="46"/>
        <v>34.304000000000002</v>
      </c>
      <c r="BO277" s="78">
        <f t="shared" si="47"/>
        <v>6.1728395061728399E-2</v>
      </c>
      <c r="BP277" s="78">
        <f t="shared" si="48"/>
        <v>6.25E-2</v>
      </c>
    </row>
    <row r="278" spans="1:68" ht="27" customHeight="1" x14ac:dyDescent="0.25">
      <c r="A278" s="63" t="s">
        <v>477</v>
      </c>
      <c r="B278" s="63" t="s">
        <v>478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7.2</v>
      </c>
      <c r="Y282" s="55">
        <f t="shared" si="44"/>
        <v>7.1999999999999993</v>
      </c>
      <c r="Z282" s="41">
        <f>IFERROR(IF(Y282=0,"",ROUNDUP(Y282/H282,0)*0.00651),"")</f>
        <v>1.9529999999999999E-2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7.9560000000000004</v>
      </c>
      <c r="BN282" s="78">
        <f t="shared" si="46"/>
        <v>7.9560000000000004</v>
      </c>
      <c r="BO282" s="78">
        <f t="shared" si="47"/>
        <v>1.6483516483516484E-2</v>
      </c>
      <c r="BP282" s="78">
        <f t="shared" si="48"/>
        <v>1.6483516483516484E-2</v>
      </c>
    </row>
    <row r="283" spans="1:68" ht="27" customHeight="1" x14ac:dyDescent="0.25">
      <c r="A283" s="63" t="s">
        <v>489</v>
      </c>
      <c r="B283" s="63" t="s">
        <v>490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491</v>
      </c>
      <c r="B284" s="63" t="s">
        <v>492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496</v>
      </c>
      <c r="B286" s="63" t="s">
        <v>497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499</v>
      </c>
      <c r="B287" s="63" t="s">
        <v>500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9.9135802469135808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0.15239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63.2</v>
      </c>
      <c r="Y289" s="43">
        <f>IFERROR(SUM(Y276:Y287),"0")</f>
        <v>63.899999999999991</v>
      </c>
      <c r="Z289" s="42"/>
      <c r="AA289" s="67"/>
      <c r="AB289" s="67"/>
      <c r="AC289" s="67"/>
    </row>
    <row r="290" spans="1:68" ht="14.25" customHeight="1" x14ac:dyDescent="0.25">
      <c r="A290" s="658" t="s">
        <v>175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7.2</v>
      </c>
      <c r="Y291" s="55">
        <f>IFERROR(IF(X291="",0,CEILING((X291/$H291),1)*$H291),"")</f>
        <v>7.1999999999999993</v>
      </c>
      <c r="Z291" s="41">
        <f>IFERROR(IF(Y291=0,"",ROUNDUP(Y291/H291,0)*0.00651),"")</f>
        <v>1.9529999999999999E-2</v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7.9560000000000004</v>
      </c>
      <c r="BN291" s="78">
        <f>IFERROR(Y291*I291/H291,"0")</f>
        <v>7.9560000000000004</v>
      </c>
      <c r="BO291" s="78">
        <f>IFERROR(1/J291*(X291/H291),"0")</f>
        <v>1.6483516483516484E-2</v>
      </c>
      <c r="BP291" s="78">
        <f>IFERROR(1/J291*(Y291/H291),"0")</f>
        <v>1.6483516483516484E-2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3</v>
      </c>
      <c r="Y293" s="43">
        <f>IFERROR(Y291/H291,"0")+IFERROR(Y292/H292,"0")</f>
        <v>3</v>
      </c>
      <c r="Z293" s="43">
        <f>IFERROR(IF(Z291="",0,Z291),"0")+IFERROR(IF(Z292="",0,Z292),"0")</f>
        <v>1.9529999999999999E-2</v>
      </c>
      <c r="AA293" s="67"/>
      <c r="AB293" s="67"/>
      <c r="AC293" s="67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7.2</v>
      </c>
      <c r="Y294" s="43">
        <f>IFERROR(SUM(Y291:Y292),"0")</f>
        <v>7.1999999999999993</v>
      </c>
      <c r="Z294" s="42"/>
      <c r="AA294" s="67"/>
      <c r="AB294" s="67"/>
      <c r="AC294" s="67"/>
    </row>
    <row r="295" spans="1:68" ht="16.5" customHeight="1" x14ac:dyDescent="0.25">
      <c r="A295" s="657" t="s">
        <v>508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customHeight="1" x14ac:dyDescent="0.25">
      <c r="A296" s="658" t="s">
        <v>125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customHeight="1" x14ac:dyDescent="0.25">
      <c r="A297" s="63" t="s">
        <v>509</v>
      </c>
      <c r="B297" s="63" t="s">
        <v>510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512</v>
      </c>
      <c r="B298" s="63" t="s">
        <v>513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515</v>
      </c>
      <c r="B299" s="63" t="s">
        <v>516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519</v>
      </c>
      <c r="B301" s="63" t="s">
        <v>520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522</v>
      </c>
      <c r="B302" s="63" t="s">
        <v>523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8" t="s">
        <v>158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8" t="s">
        <v>530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8" t="s">
        <v>347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7" t="s">
        <v>541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customHeight="1" x14ac:dyDescent="0.25">
      <c r="A321" s="658" t="s">
        <v>125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542</v>
      </c>
      <c r="B322" s="63" t="s">
        <v>543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545</v>
      </c>
      <c r="B323" s="63" t="s">
        <v>546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27" customHeight="1" x14ac:dyDescent="0.25">
      <c r="A325" s="63" t="s">
        <v>551</v>
      </c>
      <c r="B325" s="63" t="s">
        <v>552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554</v>
      </c>
      <c r="B326" s="63" t="s">
        <v>555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4.6296296296296298</v>
      </c>
      <c r="Y327" s="43">
        <f>IFERROR(Y322/H322,"0")+IFERROR(Y323/H323,"0")+IFERROR(Y324/H324,"0")+IFERROR(Y325/H325,"0")+IFERROR(Y326/H326,"0")</f>
        <v>5</v>
      </c>
      <c r="Z327" s="43">
        <f>IFERROR(IF(Z322="",0,Z322),"0")+IFERROR(IF(Z323="",0,Z323),"0")+IFERROR(IF(Z324="",0,Z324),"0")+IFERROR(IF(Z325="",0,Z325),"0")+IFERROR(IF(Z326="",0,Z326),"0")</f>
        <v>9.4899999999999998E-2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50</v>
      </c>
      <c r="Y328" s="43">
        <f>IFERROR(SUM(Y322:Y326),"0")</f>
        <v>54</v>
      </c>
      <c r="Z328" s="42"/>
      <c r="AA328" s="67"/>
      <c r="AB328" s="67"/>
      <c r="AC328" s="67"/>
    </row>
    <row r="329" spans="1:68" ht="16.5" customHeight="1" x14ac:dyDescent="0.25">
      <c r="A329" s="657" t="s">
        <v>557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customHeight="1" x14ac:dyDescent="0.25">
      <c r="A330" s="658" t="s">
        <v>86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558</v>
      </c>
      <c r="B331" s="63" t="s">
        <v>559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7" t="s">
        <v>566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customHeight="1" x14ac:dyDescent="0.25">
      <c r="A337" s="658" t="s">
        <v>77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569</v>
      </c>
      <c r="B339" s="63" t="s">
        <v>570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572</v>
      </c>
      <c r="B340" s="63" t="s">
        <v>573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575</v>
      </c>
      <c r="B341" s="63" t="s">
        <v>576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578</v>
      </c>
      <c r="B342" s="63" t="s">
        <v>579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8" t="s">
        <v>86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customHeight="1" x14ac:dyDescent="0.25">
      <c r="A346" s="63" t="s">
        <v>581</v>
      </c>
      <c r="B346" s="63" t="s">
        <v>582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584</v>
      </c>
      <c r="B347" s="63" t="s">
        <v>585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7" t="s">
        <v>587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customHeight="1" x14ac:dyDescent="0.25">
      <c r="A351" s="658" t="s">
        <v>125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/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/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7" t="s">
        <v>596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customHeight="1" x14ac:dyDescent="0.25">
      <c r="A358" s="658" t="s">
        <v>125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600</v>
      </c>
      <c r="B360" s="63" t="s">
        <v>601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603</v>
      </c>
      <c r="B361" s="63" t="s">
        <v>604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606</v>
      </c>
      <c r="B362" s="63" t="s">
        <v>607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609</v>
      </c>
      <c r="B363" s="63" t="s">
        <v>610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611</v>
      </c>
      <c r="B364" s="63" t="s">
        <v>612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658" t="s">
        <v>77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25</v>
      </c>
      <c r="Y368" s="55">
        <f t="shared" ref="Y368:Y374" si="59">IFERROR(IF(X368="",0,CEILING((X368/$H368),1)*$H368),"")</f>
        <v>25.200000000000003</v>
      </c>
      <c r="Z368" s="41">
        <f>IFERROR(IF(Y368=0,"",ROUNDUP(Y368/H368,0)*0.00902),"")</f>
        <v>5.4120000000000001E-2</v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26.488095238095237</v>
      </c>
      <c r="BN368" s="78">
        <f t="shared" ref="BN368:BN374" si="61">IFERROR(Y368*I368/H368,"0")</f>
        <v>26.700000000000003</v>
      </c>
      <c r="BO368" s="78">
        <f t="shared" ref="BO368:BO374" si="62">IFERROR(1/J368*(X368/H368),"0")</f>
        <v>4.5093795093795096E-2</v>
      </c>
      <c r="BP368" s="78">
        <f t="shared" ref="BP368:BP374" si="63">IFERROR(1/J368*(Y368/H368),"0")</f>
        <v>4.5454545454545456E-2</v>
      </c>
    </row>
    <row r="369" spans="1:68" ht="27" customHeight="1" x14ac:dyDescent="0.25">
      <c r="A369" s="63" t="s">
        <v>617</v>
      </c>
      <c r="B369" s="63" t="s">
        <v>618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620</v>
      </c>
      <c r="B370" s="63" t="s">
        <v>621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623</v>
      </c>
      <c r="B371" s="63" t="s">
        <v>624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628</v>
      </c>
      <c r="B373" s="63" t="s">
        <v>629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630</v>
      </c>
      <c r="B374" s="63" t="s">
        <v>631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5.9523809523809526</v>
      </c>
      <c r="Y375" s="43">
        <f>IFERROR(Y368/H368,"0")+IFERROR(Y369/H369,"0")+IFERROR(Y370/H370,"0")+IFERROR(Y371/H371,"0")+IFERROR(Y372/H372,"0")+IFERROR(Y373/H373,"0")+IFERROR(Y374/H374,"0")</f>
        <v>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5.4120000000000001E-2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25</v>
      </c>
      <c r="Y376" s="43">
        <f>IFERROR(SUM(Y368:Y374),"0")</f>
        <v>25.200000000000003</v>
      </c>
      <c r="Z376" s="42"/>
      <c r="AA376" s="67"/>
      <c r="AB376" s="67"/>
      <c r="AC376" s="67"/>
    </row>
    <row r="377" spans="1:68" ht="14.25" customHeight="1" x14ac:dyDescent="0.25">
      <c r="A377" s="658" t="s">
        <v>86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633</v>
      </c>
      <c r="B378" s="63" t="s">
        <v>634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636</v>
      </c>
      <c r="B379" s="63" t="s">
        <v>637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639</v>
      </c>
      <c r="B380" s="63" t="s">
        <v>640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642</v>
      </c>
      <c r="B381" s="63" t="s">
        <v>643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58" t="s">
        <v>175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644</v>
      </c>
      <c r="B385" s="63" t="s">
        <v>645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45</v>
      </c>
      <c r="Y386" s="55">
        <f>IFERROR(IF(X386="",0,CEILING((X386/$H386),1)*$H386),"")</f>
        <v>46.8</v>
      </c>
      <c r="Z386" s="41">
        <f>IFERROR(IF(Y386=0,"",ROUNDUP(Y386/H386,0)*0.01898),"")</f>
        <v>0.11388000000000001</v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47.85</v>
      </c>
      <c r="BN386" s="78">
        <f>IFERROR(Y386*I386/H386,"0")</f>
        <v>49.764000000000003</v>
      </c>
      <c r="BO386" s="78">
        <f>IFERROR(1/J386*(X386/H386),"0")</f>
        <v>9.0144230769230768E-2</v>
      </c>
      <c r="BP386" s="78">
        <f>IFERROR(1/J386*(Y386/H386),"0")</f>
        <v>9.375E-2</v>
      </c>
    </row>
    <row r="387" spans="1:68" ht="27" customHeight="1" x14ac:dyDescent="0.25">
      <c r="A387" s="63" t="s">
        <v>650</v>
      </c>
      <c r="B387" s="63" t="s">
        <v>651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5.7692307692307692</v>
      </c>
      <c r="Y388" s="43">
        <f>IFERROR(Y385/H385,"0")+IFERROR(Y386/H386,"0")+IFERROR(Y387/H387,"0")</f>
        <v>6</v>
      </c>
      <c r="Z388" s="43">
        <f>IFERROR(IF(Z385="",0,Z385),"0")+IFERROR(IF(Z386="",0,Z386),"0")+IFERROR(IF(Z387="",0,Z387),"0")</f>
        <v>0.11388000000000001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45</v>
      </c>
      <c r="Y389" s="43">
        <f>IFERROR(SUM(Y385:Y387),"0")</f>
        <v>46.8</v>
      </c>
      <c r="Z389" s="42"/>
      <c r="AA389" s="67"/>
      <c r="AB389" s="67"/>
      <c r="AC389" s="67"/>
    </row>
    <row r="390" spans="1:68" ht="14.25" customHeight="1" x14ac:dyDescent="0.25">
      <c r="A390" s="658" t="s">
        <v>283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653</v>
      </c>
      <c r="B391" s="63" t="s">
        <v>654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6</v>
      </c>
      <c r="Y391" s="55">
        <f>IFERROR(IF(X391="",0,CEILING((X391/$H391),1)*$H391),"")</f>
        <v>6.08</v>
      </c>
      <c r="Z391" s="41">
        <f>IFERROR(IF(Y391=0,"",ROUNDUP(Y391/H391,0)*0.00902),"")</f>
        <v>1.804E-2</v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6.5328947368421053</v>
      </c>
      <c r="BN391" s="78">
        <f>IFERROR(Y391*I391/H391,"0")</f>
        <v>6.62</v>
      </c>
      <c r="BO391" s="78">
        <f>IFERROR(1/J391*(X391/H391),"0")</f>
        <v>1.4952153110047847E-2</v>
      </c>
      <c r="BP391" s="78">
        <f>IFERROR(1/J391*(Y391/H391),"0")</f>
        <v>1.5151515151515152E-2</v>
      </c>
    </row>
    <row r="392" spans="1:68" ht="27" customHeight="1" x14ac:dyDescent="0.25">
      <c r="A392" s="63" t="s">
        <v>656</v>
      </c>
      <c r="B392" s="63" t="s">
        <v>657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658</v>
      </c>
      <c r="B393" s="63" t="s">
        <v>659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660</v>
      </c>
      <c r="B394" s="63" t="s">
        <v>661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1.9736842105263157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1.804E-2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6</v>
      </c>
      <c r="Y396" s="43">
        <f>IFERROR(SUM(Y391:Y394),"0")</f>
        <v>6.08</v>
      </c>
      <c r="Z396" s="42"/>
      <c r="AA396" s="67"/>
      <c r="AB396" s="67"/>
      <c r="AC396" s="67"/>
    </row>
    <row r="397" spans="1:68" ht="14.25" customHeight="1" x14ac:dyDescent="0.25">
      <c r="A397" s="658" t="s">
        <v>662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customHeight="1" x14ac:dyDescent="0.25">
      <c r="A398" s="63" t="s">
        <v>663</v>
      </c>
      <c r="B398" s="63" t="s">
        <v>664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667</v>
      </c>
      <c r="B399" s="63" t="s">
        <v>668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669</v>
      </c>
      <c r="B400" s="63" t="s">
        <v>670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8" t="s">
        <v>671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3</v>
      </c>
      <c r="Y404" s="55">
        <f>IFERROR(IF(X404="",0,CEILING((X404/$H404),1)*$H404),"")</f>
        <v>3</v>
      </c>
      <c r="Z404" s="41">
        <f>IFERROR(IF(Y404=0,"",ROUNDUP(Y404/H404,0)*0.0045),"")</f>
        <v>4.4999999999999997E-3</v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3.22</v>
      </c>
      <c r="BN404" s="78">
        <f>IFERROR(Y404*I404/H404,"0")</f>
        <v>3.22</v>
      </c>
      <c r="BO404" s="78">
        <f>IFERROR(1/J404*(X404/H404),"0")</f>
        <v>4.464285714285714E-3</v>
      </c>
      <c r="BP404" s="78">
        <f>IFERROR(1/J404*(Y404/H404),"0")</f>
        <v>4.464285714285714E-3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/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3</v>
      </c>
      <c r="Y406" s="55">
        <f>IFERROR(IF(X406="",0,CEILING((X406/$H406),1)*$H406),"")</f>
        <v>3</v>
      </c>
      <c r="Z406" s="41">
        <f>IFERROR(IF(Y406=0,"",ROUNDUP(Y406/H406,0)*0.0045),"")</f>
        <v>4.4999999999999997E-3</v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3.22</v>
      </c>
      <c r="BN406" s="78">
        <f>IFERROR(Y406*I406/H406,"0")</f>
        <v>3.22</v>
      </c>
      <c r="BO406" s="78">
        <f>IFERROR(1/J406*(X406/H406),"0")</f>
        <v>4.464285714285714E-3</v>
      </c>
      <c r="BP406" s="78">
        <f>IFERROR(1/J406*(Y406/H406),"0")</f>
        <v>4.464285714285714E-3</v>
      </c>
    </row>
    <row r="407" spans="1:68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2</v>
      </c>
      <c r="Y407" s="43">
        <f>IFERROR(Y404/H404,"0")+IFERROR(Y405/H405,"0")+IFERROR(Y406/H406,"0")</f>
        <v>2</v>
      </c>
      <c r="Z407" s="43">
        <f>IFERROR(IF(Z404="",0,Z404),"0")+IFERROR(IF(Z405="",0,Z405),"0")+IFERROR(IF(Z406="",0,Z406),"0")</f>
        <v>8.9999999999999993E-3</v>
      </c>
      <c r="AA407" s="67"/>
      <c r="AB407" s="67"/>
      <c r="AC407" s="67"/>
    </row>
    <row r="408" spans="1:68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6</v>
      </c>
      <c r="Y408" s="43">
        <f>IFERROR(SUM(Y404:Y406),"0")</f>
        <v>6</v>
      </c>
      <c r="Z408" s="42"/>
      <c r="AA408" s="67"/>
      <c r="AB408" s="67"/>
      <c r="AC408" s="67"/>
    </row>
    <row r="409" spans="1:68" ht="16.5" customHeight="1" x14ac:dyDescent="0.25">
      <c r="A409" s="657" t="s">
        <v>680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customHeight="1" x14ac:dyDescent="0.25">
      <c r="A410" s="658" t="s">
        <v>86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15</v>
      </c>
      <c r="Y411" s="55">
        <f>IFERROR(IF(X411="",0,CEILING((X411/$H411),1)*$H411),"")</f>
        <v>15.6</v>
      </c>
      <c r="Z411" s="41">
        <f>IFERROR(IF(Y411=0,"",ROUNDUP(Y411/H411,0)*0.01898),"")</f>
        <v>3.7960000000000001E-2</v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15.78846153846154</v>
      </c>
      <c r="BN411" s="78">
        <f>IFERROR(Y411*I411/H411,"0")</f>
        <v>16.420000000000002</v>
      </c>
      <c r="BO411" s="78">
        <f>IFERROR(1/J411*(X411/H411),"0")</f>
        <v>3.0048076923076924E-2</v>
      </c>
      <c r="BP411" s="78">
        <f>IFERROR(1/J411*(Y411/H411),"0")</f>
        <v>3.125E-2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15</v>
      </c>
      <c r="Y412" s="55">
        <f>IFERROR(IF(X412="",0,CEILING((X412/$H412),1)*$H412),"")</f>
        <v>15.6</v>
      </c>
      <c r="Z412" s="41">
        <f>IFERROR(IF(Y412=0,"",ROUNDUP(Y412/H412,0)*0.01898),"")</f>
        <v>3.7960000000000001E-2</v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15.78846153846154</v>
      </c>
      <c r="BN412" s="78">
        <f>IFERROR(Y412*I412/H412,"0")</f>
        <v>16.420000000000002</v>
      </c>
      <c r="BO412" s="78">
        <f>IFERROR(1/J412*(X412/H412),"0")</f>
        <v>3.0048076923076924E-2</v>
      </c>
      <c r="BP412" s="78">
        <f>IFERROR(1/J412*(Y412/H412),"0")</f>
        <v>3.125E-2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3.8461538461538463</v>
      </c>
      <c r="Y413" s="43">
        <f>IFERROR(Y411/H411,"0")+IFERROR(Y412/H412,"0")</f>
        <v>4</v>
      </c>
      <c r="Z413" s="43">
        <f>IFERROR(IF(Z411="",0,Z411),"0")+IFERROR(IF(Z412="",0,Z412),"0")</f>
        <v>7.5920000000000001E-2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30</v>
      </c>
      <c r="Y414" s="43">
        <f>IFERROR(SUM(Y411:Y412),"0")</f>
        <v>31.2</v>
      </c>
      <c r="Z414" s="42"/>
      <c r="AA414" s="67"/>
      <c r="AB414" s="67"/>
      <c r="AC414" s="67"/>
    </row>
    <row r="415" spans="1:68" ht="16.5" customHeight="1" x14ac:dyDescent="0.25">
      <c r="A415" s="657" t="s">
        <v>687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customHeight="1" x14ac:dyDescent="0.25">
      <c r="A416" s="658" t="s">
        <v>86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688</v>
      </c>
      <c r="B417" s="63" t="s">
        <v>689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18.899999999999999</v>
      </c>
      <c r="Y418" s="55">
        <f>IFERROR(IF(X418="",0,CEILING((X418/$H418),1)*$H418),"")</f>
        <v>18.900000000000002</v>
      </c>
      <c r="Z418" s="41">
        <f>IFERROR(IF(Y418=0,"",ROUNDUP(Y418/H418,0)*0.00651),"")</f>
        <v>5.8590000000000003E-2</v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21.167999999999996</v>
      </c>
      <c r="BN418" s="78">
        <f>IFERROR(Y418*I418/H418,"0")</f>
        <v>21.167999999999999</v>
      </c>
      <c r="BO418" s="78">
        <f>IFERROR(1/J418*(X418/H418),"0")</f>
        <v>4.9450549450549441E-2</v>
      </c>
      <c r="BP418" s="78">
        <f>IFERROR(1/J418*(Y418/H418),"0")</f>
        <v>4.9450549450549455E-2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4.2</v>
      </c>
      <c r="Y419" s="55">
        <f>IFERROR(IF(X419="",0,CEILING((X419/$H419),1)*$H419),"")</f>
        <v>4.2</v>
      </c>
      <c r="Z419" s="41">
        <f>IFERROR(IF(Y419=0,"",ROUNDUP(Y419/H419,0)*0.00651),"")</f>
        <v>1.302E-2</v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4.68</v>
      </c>
      <c r="BN419" s="78">
        <f>IFERROR(Y419*I419/H419,"0")</f>
        <v>4.68</v>
      </c>
      <c r="BO419" s="78">
        <f>IFERROR(1/J419*(X419/H419),"0")</f>
        <v>1.098901098901099E-2</v>
      </c>
      <c r="BP419" s="78">
        <f>IFERROR(1/J419*(Y419/H419),"0")</f>
        <v>1.098901098901099E-2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10.999999999999998</v>
      </c>
      <c r="Y420" s="43">
        <f>IFERROR(Y417/H417,"0")+IFERROR(Y418/H418,"0")+IFERROR(Y419/H419,"0")</f>
        <v>11</v>
      </c>
      <c r="Z420" s="43">
        <f>IFERROR(IF(Z417="",0,Z417),"0")+IFERROR(IF(Z418="",0,Z418),"0")+IFERROR(IF(Z419="",0,Z419),"0")</f>
        <v>7.1610000000000007E-2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23.099999999999998</v>
      </c>
      <c r="Y421" s="43">
        <f>IFERROR(SUM(Y417:Y419),"0")</f>
        <v>23.1</v>
      </c>
      <c r="Z421" s="42"/>
      <c r="AA421" s="67"/>
      <c r="AB421" s="67"/>
      <c r="AC421" s="67"/>
    </row>
    <row r="422" spans="1:68" ht="27.75" customHeight="1" x14ac:dyDescent="0.2">
      <c r="A422" s="664" t="s">
        <v>697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customHeight="1" x14ac:dyDescent="0.25">
      <c r="A423" s="657" t="s">
        <v>698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customHeight="1" x14ac:dyDescent="0.25">
      <c r="A424" s="658" t="s">
        <v>125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699</v>
      </c>
      <c r="B425" s="63" t="s">
        <v>700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702</v>
      </c>
      <c r="B426" s="63" t="s">
        <v>703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100</v>
      </c>
      <c r="Y426" s="55">
        <f t="shared" si="64"/>
        <v>105</v>
      </c>
      <c r="Z426" s="41">
        <f>IFERROR(IF(Y426=0,"",ROUNDUP(Y426/H426,0)*0.02175),"")</f>
        <v>0.15225</v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103.13333333333334</v>
      </c>
      <c r="BN426" s="78">
        <f t="shared" si="66"/>
        <v>108.29</v>
      </c>
      <c r="BO426" s="78">
        <f t="shared" si="67"/>
        <v>0.1388888888888889</v>
      </c>
      <c r="BP426" s="78">
        <f t="shared" si="68"/>
        <v>0.14583333333333331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100</v>
      </c>
      <c r="Y427" s="55">
        <f t="shared" si="64"/>
        <v>105</v>
      </c>
      <c r="Z427" s="41">
        <f>IFERROR(IF(Y427=0,"",ROUNDUP(Y427/H427,0)*0.02175),"")</f>
        <v>0.15225</v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103.13333333333334</v>
      </c>
      <c r="BN427" s="78">
        <f t="shared" si="66"/>
        <v>108.29</v>
      </c>
      <c r="BO427" s="78">
        <f t="shared" si="67"/>
        <v>0.1388888888888889</v>
      </c>
      <c r="BP427" s="78">
        <f t="shared" si="68"/>
        <v>0.14583333333333331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250</v>
      </c>
      <c r="Y428" s="55">
        <f t="shared" si="64"/>
        <v>255</v>
      </c>
      <c r="Z428" s="41">
        <f>IFERROR(IF(Y428=0,"",ROUNDUP(Y428/H428,0)*0.02175),"")</f>
        <v>0.36974999999999997</v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257.83333333333331</v>
      </c>
      <c r="BN428" s="78">
        <f t="shared" si="66"/>
        <v>262.99</v>
      </c>
      <c r="BO428" s="78">
        <f t="shared" si="67"/>
        <v>0.34722222222222221</v>
      </c>
      <c r="BP428" s="78">
        <f t="shared" si="68"/>
        <v>0.35416666666666663</v>
      </c>
    </row>
    <row r="429" spans="1:68" ht="27" customHeight="1" x14ac:dyDescent="0.25">
      <c r="A429" s="63" t="s">
        <v>711</v>
      </c>
      <c r="B429" s="63" t="s">
        <v>712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714</v>
      </c>
      <c r="B430" s="63" t="s">
        <v>715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717</v>
      </c>
      <c r="B431" s="63" t="s">
        <v>718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720</v>
      </c>
      <c r="B432" s="63" t="s">
        <v>721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30</v>
      </c>
      <c r="Y433" s="43">
        <f>IFERROR(Y425/H425,"0")+IFERROR(Y426/H426,"0")+IFERROR(Y427/H427,"0")+IFERROR(Y428/H428,"0")+IFERROR(Y429/H429,"0")+IFERROR(Y430/H430,"0")+IFERROR(Y431/H431,"0")+IFERROR(Y432/H432,"0")</f>
        <v>31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0.67425000000000002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450</v>
      </c>
      <c r="Y434" s="43">
        <f>IFERROR(SUM(Y425:Y432),"0")</f>
        <v>465</v>
      </c>
      <c r="Z434" s="42"/>
      <c r="AA434" s="67"/>
      <c r="AB434" s="67"/>
      <c r="AC434" s="67"/>
    </row>
    <row r="435" spans="1:68" ht="14.25" customHeight="1" x14ac:dyDescent="0.25">
      <c r="A435" s="658" t="s">
        <v>158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200</v>
      </c>
      <c r="Y436" s="55">
        <f>IFERROR(IF(X436="",0,CEILING((X436/$H436),1)*$H436),"")</f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206.26666666666668</v>
      </c>
      <c r="BN436" s="78">
        <f>IFERROR(Y436*I436/H436,"0")</f>
        <v>216.58</v>
      </c>
      <c r="BO436" s="78">
        <f>IFERROR(1/J436*(X436/H436),"0")</f>
        <v>0.27777777777777779</v>
      </c>
      <c r="BP436" s="78">
        <f>IFERROR(1/J436*(Y436/H436),"0")</f>
        <v>0.29166666666666663</v>
      </c>
    </row>
    <row r="437" spans="1:68" ht="27" customHeight="1" x14ac:dyDescent="0.25">
      <c r="A437" s="63" t="s">
        <v>726</v>
      </c>
      <c r="B437" s="63" t="s">
        <v>727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729</v>
      </c>
      <c r="B438" s="63" t="s">
        <v>730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13.333333333333334</v>
      </c>
      <c r="Y439" s="43">
        <f>IFERROR(Y436/H436,"0")+IFERROR(Y437/H437,"0")+IFERROR(Y438/H438,"0")</f>
        <v>14</v>
      </c>
      <c r="Z439" s="43">
        <f>IFERROR(IF(Z436="",0,Z436),"0")+IFERROR(IF(Z437="",0,Z437),"0")+IFERROR(IF(Z438="",0,Z438),"0")</f>
        <v>0.30449999999999999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200</v>
      </c>
      <c r="Y440" s="43">
        <f>IFERROR(SUM(Y436:Y438),"0")</f>
        <v>210</v>
      </c>
      <c r="Z440" s="42"/>
      <c r="AA440" s="67"/>
      <c r="AB440" s="67"/>
      <c r="AC440" s="67"/>
    </row>
    <row r="441" spans="1:68" ht="14.25" customHeight="1" x14ac:dyDescent="0.25">
      <c r="A441" s="658" t="s">
        <v>86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732</v>
      </c>
      <c r="B442" s="63" t="s">
        <v>733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738</v>
      </c>
      <c r="B444" s="63" t="s">
        <v>739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58" t="s">
        <v>175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customHeight="1" x14ac:dyDescent="0.25">
      <c r="A448" s="63" t="s">
        <v>741</v>
      </c>
      <c r="B448" s="63" t="s">
        <v>742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744</v>
      </c>
      <c r="B449" s="63" t="s">
        <v>745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657" t="s">
        <v>747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customHeight="1" x14ac:dyDescent="0.25">
      <c r="A453" s="658" t="s">
        <v>125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/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751</v>
      </c>
      <c r="B455" s="63" t="s">
        <v>752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658" t="s">
        <v>77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customHeight="1" x14ac:dyDescent="0.25">
      <c r="A459" s="63" t="s">
        <v>753</v>
      </c>
      <c r="B459" s="63" t="s">
        <v>754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58" t="s">
        <v>86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27</v>
      </c>
      <c r="Y463" s="55">
        <f>IFERROR(IF(X463="",0,CEILING((X463/$H463),1)*$H463),"")</f>
        <v>27</v>
      </c>
      <c r="Z463" s="41">
        <f>IFERROR(IF(Y463=0,"",ROUNDUP(Y463/H463,0)*0.01898),"")</f>
        <v>5.6940000000000004E-2</v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28.481999999999996</v>
      </c>
      <c r="BN463" s="78">
        <f>IFERROR(Y463*I463/H463,"0")</f>
        <v>28.481999999999996</v>
      </c>
      <c r="BO463" s="78">
        <f>IFERROR(1/J463*(X463/H463),"0")</f>
        <v>4.6875E-2</v>
      </c>
      <c r="BP463" s="78">
        <f>IFERROR(1/J463*(Y463/H463),"0")</f>
        <v>4.6875E-2</v>
      </c>
    </row>
    <row r="464" spans="1:68" ht="27" customHeight="1" x14ac:dyDescent="0.25">
      <c r="A464" s="63" t="s">
        <v>759</v>
      </c>
      <c r="B464" s="63" t="s">
        <v>760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759</v>
      </c>
      <c r="B465" s="63" t="s">
        <v>761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3</v>
      </c>
      <c r="Y466" s="43">
        <f>IFERROR(Y463/H463,"0")+IFERROR(Y464/H464,"0")+IFERROR(Y465/H465,"0")</f>
        <v>3</v>
      </c>
      <c r="Z466" s="43">
        <f>IFERROR(IF(Z463="",0,Z463),"0")+IFERROR(IF(Z464="",0,Z464),"0")+IFERROR(IF(Z465="",0,Z465),"0")</f>
        <v>5.6940000000000004E-2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27</v>
      </c>
      <c r="Y467" s="43">
        <f>IFERROR(SUM(Y463:Y465),"0")</f>
        <v>27</v>
      </c>
      <c r="Z467" s="42"/>
      <c r="AA467" s="67"/>
      <c r="AB467" s="67"/>
      <c r="AC467" s="67"/>
    </row>
    <row r="468" spans="1:68" ht="27.75" customHeight="1" x14ac:dyDescent="0.2">
      <c r="A468" s="664" t="s">
        <v>763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customHeight="1" x14ac:dyDescent="0.25">
      <c r="A469" s="657" t="s">
        <v>764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customHeight="1" x14ac:dyDescent="0.25">
      <c r="A470" s="658" t="s">
        <v>77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10</v>
      </c>
      <c r="Y471" s="55">
        <f t="shared" ref="Y471:Y476" si="69">IFERROR(IF(X471="",0,CEILING((X471/$H471),1)*$H471),"")</f>
        <v>10.8</v>
      </c>
      <c r="Z471" s="41">
        <f>IFERROR(IF(Y471=0,"",ROUNDUP(Y471/H471,0)*0.00902),"")</f>
        <v>1.804E-2</v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10.351851851851851</v>
      </c>
      <c r="BN471" s="78">
        <f t="shared" ref="BN471:BN476" si="71">IFERROR(Y471*I471/H471,"0")</f>
        <v>11.18</v>
      </c>
      <c r="BO471" s="78">
        <f t="shared" ref="BO471:BO476" si="72">IFERROR(1/J471*(X471/H471),"0")</f>
        <v>1.4029180695847361E-2</v>
      </c>
      <c r="BP471" s="78">
        <f t="shared" ref="BP471:BP476" si="73">IFERROR(1/J471*(Y471/H471),"0")</f>
        <v>1.5151515151515152E-2</v>
      </c>
    </row>
    <row r="472" spans="1:68" ht="27" customHeight="1" x14ac:dyDescent="0.25">
      <c r="A472" s="63" t="s">
        <v>768</v>
      </c>
      <c r="B472" s="63" t="s">
        <v>769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15</v>
      </c>
      <c r="Y472" s="55">
        <f t="shared" si="69"/>
        <v>16.200000000000003</v>
      </c>
      <c r="Z472" s="41">
        <f>IFERROR(IF(Y472=0,"",ROUNDUP(Y472/H472,0)*0.00902),"")</f>
        <v>2.7060000000000001E-2</v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15.527777777777775</v>
      </c>
      <c r="BN472" s="78">
        <f t="shared" si="71"/>
        <v>16.77</v>
      </c>
      <c r="BO472" s="78">
        <f t="shared" si="72"/>
        <v>2.1043771043771045E-2</v>
      </c>
      <c r="BP472" s="78">
        <f t="shared" si="73"/>
        <v>2.2727272727272731E-2</v>
      </c>
    </row>
    <row r="473" spans="1:68" ht="27" customHeight="1" x14ac:dyDescent="0.25">
      <c r="A473" s="63" t="s">
        <v>771</v>
      </c>
      <c r="B473" s="63" t="s">
        <v>772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779</v>
      </c>
      <c r="B476" s="63" t="s">
        <v>780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4.6296296296296298</v>
      </c>
      <c r="Y477" s="43">
        <f>IFERROR(Y471/H471,"0")+IFERROR(Y472/H472,"0")+IFERROR(Y473/H473,"0")+IFERROR(Y474/H474,"0")+IFERROR(Y475/H475,"0")+IFERROR(Y476/H476,"0")</f>
        <v>5</v>
      </c>
      <c r="Z477" s="43">
        <f>IFERROR(IF(Z471="",0,Z471),"0")+IFERROR(IF(Z472="",0,Z472),"0")+IFERROR(IF(Z473="",0,Z473),"0")+IFERROR(IF(Z474="",0,Z474),"0")+IFERROR(IF(Z475="",0,Z475),"0")+IFERROR(IF(Z476="",0,Z476),"0")</f>
        <v>4.5100000000000001E-2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25</v>
      </c>
      <c r="Y478" s="43">
        <f>IFERROR(SUM(Y471:Y476),"0")</f>
        <v>27.000000000000004</v>
      </c>
      <c r="Z478" s="42"/>
      <c r="AA478" s="67"/>
      <c r="AB478" s="67"/>
      <c r="AC478" s="67"/>
    </row>
    <row r="479" spans="1:68" ht="14.25" customHeight="1" x14ac:dyDescent="0.25">
      <c r="A479" s="658" t="s">
        <v>86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customHeight="1" x14ac:dyDescent="0.25">
      <c r="A480" s="63" t="s">
        <v>781</v>
      </c>
      <c r="B480" s="63" t="s">
        <v>782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784</v>
      </c>
      <c r="B481" s="63" t="s">
        <v>785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57" t="s">
        <v>787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customHeight="1" x14ac:dyDescent="0.25">
      <c r="A485" s="658" t="s">
        <v>158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customHeight="1" x14ac:dyDescent="0.25">
      <c r="A486" s="63" t="s">
        <v>788</v>
      </c>
      <c r="B486" s="63" t="s">
        <v>789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658" t="s">
        <v>77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43.2</v>
      </c>
      <c r="Z490" s="41">
        <f>IFERROR(IF(Y490=0,"",ROUNDUP(Y490/H490,0)*0.00902),"")</f>
        <v>7.2160000000000002E-2</v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41.407407407407405</v>
      </c>
      <c r="BN490" s="78">
        <f>IFERROR(Y490*I490/H490,"0")</f>
        <v>44.72</v>
      </c>
      <c r="BO490" s="78">
        <f>IFERROR(1/J490*(X490/H490),"0")</f>
        <v>5.6116722783389444E-2</v>
      </c>
      <c r="BP490" s="78">
        <f>IFERROR(1/J490*(Y490/H490),"0")</f>
        <v>6.0606060606060608E-2</v>
      </c>
    </row>
    <row r="491" spans="1:68" ht="27" customHeight="1" x14ac:dyDescent="0.25">
      <c r="A491" s="63" t="s">
        <v>794</v>
      </c>
      <c r="B491" s="63" t="s">
        <v>795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7.4074074074074066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7.2160000000000002E-2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40</v>
      </c>
      <c r="Y494" s="43">
        <f>IFERROR(SUM(Y490:Y492),"0")</f>
        <v>43.2</v>
      </c>
      <c r="Z494" s="42"/>
      <c r="AA494" s="67"/>
      <c r="AB494" s="67"/>
      <c r="AC494" s="67"/>
    </row>
    <row r="495" spans="1:68" ht="27.75" customHeight="1" x14ac:dyDescent="0.2">
      <c r="A495" s="664" t="s">
        <v>799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customHeight="1" x14ac:dyDescent="0.25">
      <c r="A496" s="657" t="s">
        <v>799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customHeight="1" x14ac:dyDescent="0.25">
      <c r="A497" s="658" t="s">
        <v>125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/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802</v>
      </c>
      <c r="B499" s="63" t="s">
        <v>803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805</v>
      </c>
      <c r="B500" s="63" t="s">
        <v>806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/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100</v>
      </c>
      <c r="Y501" s="55">
        <f t="shared" si="74"/>
        <v>100.32000000000001</v>
      </c>
      <c r="Z501" s="41">
        <f t="shared" si="75"/>
        <v>0.22724</v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106.62878787878788</v>
      </c>
      <c r="BN501" s="78">
        <f t="shared" si="77"/>
        <v>106.97</v>
      </c>
      <c r="BO501" s="78">
        <f t="shared" si="78"/>
        <v>0.18210955710955709</v>
      </c>
      <c r="BP501" s="78">
        <f t="shared" si="79"/>
        <v>0.18269230769230771</v>
      </c>
    </row>
    <row r="502" spans="1:68" ht="16.5" customHeight="1" x14ac:dyDescent="0.25">
      <c r="A502" s="63" t="s">
        <v>811</v>
      </c>
      <c r="B502" s="63" t="s">
        <v>812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120</v>
      </c>
      <c r="Y503" s="55">
        <f t="shared" si="74"/>
        <v>121.44000000000001</v>
      </c>
      <c r="Z503" s="41">
        <f t="shared" si="75"/>
        <v>0.27507999999999999</v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127.95454545454545</v>
      </c>
      <c r="BN503" s="78">
        <f t="shared" si="77"/>
        <v>129.49</v>
      </c>
      <c r="BO503" s="78">
        <f t="shared" si="78"/>
        <v>0.21853146853146854</v>
      </c>
      <c r="BP503" s="78">
        <f t="shared" si="79"/>
        <v>0.22115384615384617</v>
      </c>
    </row>
    <row r="504" spans="1:68" ht="27" customHeight="1" x14ac:dyDescent="0.25">
      <c r="A504" s="63" t="s">
        <v>817</v>
      </c>
      <c r="B504" s="63" t="s">
        <v>818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41.666666666666664</v>
      </c>
      <c r="Y507" s="43">
        <f>IFERROR(Y498/H498,"0")+IFERROR(Y499/H499,"0")+IFERROR(Y500/H500,"0")+IFERROR(Y501/H501,"0")+IFERROR(Y502/H502,"0")+IFERROR(Y503/H503,"0")+IFERROR(Y504/H504,"0")+IFERROR(Y505/H505,"0")+IFERROR(Y506/H506,"0")</f>
        <v>42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0.50231999999999999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220</v>
      </c>
      <c r="Y508" s="43">
        <f>IFERROR(SUM(Y498:Y506),"0")</f>
        <v>221.76000000000002</v>
      </c>
      <c r="Z508" s="42"/>
      <c r="AA508" s="67"/>
      <c r="AB508" s="67"/>
      <c r="AC508" s="67"/>
    </row>
    <row r="509" spans="1:68" ht="14.25" customHeight="1" x14ac:dyDescent="0.25">
      <c r="A509" s="658" t="s">
        <v>158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50</v>
      </c>
      <c r="Y510" s="55">
        <f>IFERROR(IF(X510="",0,CEILING((X510/$H510),1)*$H510),"")</f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53.314393939393938</v>
      </c>
      <c r="BN510" s="78">
        <f>IFERROR(Y510*I510/H510,"0")</f>
        <v>56.3</v>
      </c>
      <c r="BO510" s="78">
        <f>IFERROR(1/J510*(X510/H510),"0")</f>
        <v>9.1054778554778545E-2</v>
      </c>
      <c r="BP510" s="78">
        <f>IFERROR(1/J510*(Y510/H510),"0")</f>
        <v>9.6153846153846159E-2</v>
      </c>
    </row>
    <row r="511" spans="1:68" ht="16.5" customHeight="1" x14ac:dyDescent="0.25">
      <c r="A511" s="63" t="s">
        <v>826</v>
      </c>
      <c r="B511" s="63" t="s">
        <v>827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9.4696969696969688</v>
      </c>
      <c r="Y513" s="43">
        <f>IFERROR(Y510/H510,"0")+IFERROR(Y511/H511,"0")+IFERROR(Y512/H512,"0")</f>
        <v>10</v>
      </c>
      <c r="Z513" s="43">
        <f>IFERROR(IF(Z510="",0,Z510),"0")+IFERROR(IF(Z511="",0,Z511),"0")+IFERROR(IF(Z512="",0,Z512),"0")</f>
        <v>0.1196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50</v>
      </c>
      <c r="Y514" s="43">
        <f>IFERROR(SUM(Y510:Y512),"0")</f>
        <v>52.800000000000004</v>
      </c>
      <c r="Z514" s="42"/>
      <c r="AA514" s="67"/>
      <c r="AB514" s="67"/>
      <c r="AC514" s="67"/>
    </row>
    <row r="515" spans="1:68" ht="14.25" customHeight="1" x14ac:dyDescent="0.25">
      <c r="A515" s="658" t="s">
        <v>77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50</v>
      </c>
      <c r="Y516" s="55">
        <f t="shared" ref="Y516:Y522" si="80">IFERROR(IF(X516="",0,CEILING((X516/$H516),1)*$H516),"")</f>
        <v>52.800000000000004</v>
      </c>
      <c r="Z516" s="41">
        <f>IFERROR(IF(Y516=0,"",ROUNDUP(Y516/H516,0)*0.01196),"")</f>
        <v>0.1196</v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53.314393939393938</v>
      </c>
      <c r="BN516" s="78">
        <f t="shared" ref="BN516:BN522" si="82">IFERROR(Y516*I516/H516,"0")</f>
        <v>56.3</v>
      </c>
      <c r="BO516" s="78">
        <f t="shared" ref="BO516:BO522" si="83">IFERROR(1/J516*(X516/H516),"0")</f>
        <v>9.1054778554778545E-2</v>
      </c>
      <c r="BP516" s="78">
        <f t="shared" ref="BP516:BP522" si="84">IFERROR(1/J516*(Y516/H516),"0")</f>
        <v>9.6153846153846159E-2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50</v>
      </c>
      <c r="Y517" s="55">
        <f t="shared" si="80"/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53.314393939393938</v>
      </c>
      <c r="BN517" s="78">
        <f t="shared" si="82"/>
        <v>56.3</v>
      </c>
      <c r="BO517" s="78">
        <f t="shared" si="83"/>
        <v>9.1054778554778545E-2</v>
      </c>
      <c r="BP517" s="78">
        <f t="shared" si="84"/>
        <v>9.6153846153846159E-2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80</v>
      </c>
      <c r="Y518" s="55">
        <f t="shared" si="80"/>
        <v>84.48</v>
      </c>
      <c r="Z518" s="41">
        <f>IFERROR(IF(Y518=0,"",ROUNDUP(Y518/H518,0)*0.01196),"")</f>
        <v>0.19136</v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85.303030303030297</v>
      </c>
      <c r="BN518" s="78">
        <f t="shared" si="82"/>
        <v>90.08</v>
      </c>
      <c r="BO518" s="78">
        <f t="shared" si="83"/>
        <v>0.14568764568764569</v>
      </c>
      <c r="BP518" s="78">
        <f t="shared" si="84"/>
        <v>0.15384615384615385</v>
      </c>
    </row>
    <row r="519" spans="1:68" ht="27" customHeight="1" x14ac:dyDescent="0.25">
      <c r="A519" s="63" t="s">
        <v>839</v>
      </c>
      <c r="B519" s="63" t="s">
        <v>840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841</v>
      </c>
      <c r="B521" s="63" t="s">
        <v>843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844</v>
      </c>
      <c r="B522" s="63" t="s">
        <v>845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34.090909090909086</v>
      </c>
      <c r="Y523" s="43">
        <f>IFERROR(Y516/H516,"0")+IFERROR(Y517/H517,"0")+IFERROR(Y518/H518,"0")+IFERROR(Y519/H519,"0")+IFERROR(Y520/H520,"0")+IFERROR(Y521/H521,"0")+IFERROR(Y522/H522,"0")</f>
        <v>36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0.43056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180</v>
      </c>
      <c r="Y524" s="43">
        <f>IFERROR(SUM(Y516:Y522),"0")</f>
        <v>190.08</v>
      </c>
      <c r="Z524" s="42"/>
      <c r="AA524" s="67"/>
      <c r="AB524" s="67"/>
      <c r="AC524" s="67"/>
    </row>
    <row r="525" spans="1:68" ht="27.75" customHeight="1" x14ac:dyDescent="0.2">
      <c r="A525" s="664" t="s">
        <v>846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customHeight="1" x14ac:dyDescent="0.25">
      <c r="A526" s="657" t="s">
        <v>846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customHeight="1" x14ac:dyDescent="0.25">
      <c r="A527" s="658" t="s">
        <v>125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847</v>
      </c>
      <c r="B528" s="63" t="s">
        <v>848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</v>
      </c>
      <c r="Y528" s="55">
        <f>IFERROR(IF(X528="",0,CEILING((X528/$H528),1)*$H528),"")</f>
        <v>12</v>
      </c>
      <c r="Z528" s="41">
        <f>IFERROR(IF(Y528=0,"",ROUNDUP(Y528/H528,0)*0.01898),"")</f>
        <v>1.898E-2</v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10.341666666666667</v>
      </c>
      <c r="BN528" s="78">
        <f>IFERROR(Y528*I528/H528,"0")</f>
        <v>12.410000000000002</v>
      </c>
      <c r="BO528" s="78">
        <f>IFERROR(1/J528*(X528/H528),"0")</f>
        <v>1.3020833333333334E-2</v>
      </c>
      <c r="BP528" s="78">
        <f>IFERROR(1/J528*(Y528/H528),"0")</f>
        <v>1.5625E-2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0.83333333333333337</v>
      </c>
      <c r="Y529" s="43">
        <f>IFERROR(Y528/H528,"0")</f>
        <v>1</v>
      </c>
      <c r="Z529" s="43">
        <f>IFERROR(IF(Z528="",0,Z528),"0")</f>
        <v>1.898E-2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</v>
      </c>
      <c r="Y530" s="43">
        <f>IFERROR(SUM(Y528:Y528),"0")</f>
        <v>12</v>
      </c>
      <c r="Z530" s="42"/>
      <c r="AA530" s="67"/>
      <c r="AB530" s="67"/>
      <c r="AC530" s="67"/>
    </row>
    <row r="531" spans="1:68" ht="14.25" customHeight="1" x14ac:dyDescent="0.25">
      <c r="A531" s="658" t="s">
        <v>158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customHeight="1" x14ac:dyDescent="0.25">
      <c r="A532" s="63" t="s">
        <v>850</v>
      </c>
      <c r="B532" s="63" t="s">
        <v>851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58" t="s">
        <v>77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853</v>
      </c>
      <c r="B536" s="63" t="s">
        <v>854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58" t="s">
        <v>86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100</v>
      </c>
      <c r="Y540" s="55">
        <f>IFERROR(IF(X540="",0,CEILING((X540/$H540),1)*$H540),"")</f>
        <v>108</v>
      </c>
      <c r="Z540" s="41">
        <f>IFERROR(IF(Y540=0,"",ROUNDUP(Y540/H540,0)*0.01898),"")</f>
        <v>0.22776000000000002</v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105.48888888888888</v>
      </c>
      <c r="BN540" s="78">
        <f>IFERROR(Y540*I540/H540,"0")</f>
        <v>113.92799999999998</v>
      </c>
      <c r="BO540" s="78">
        <f>IFERROR(1/J540*(X540/H540),"0")</f>
        <v>0.1736111111111111</v>
      </c>
      <c r="BP540" s="78">
        <f>IFERROR(1/J540*(Y540/H540),"0")</f>
        <v>0.1875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11.111111111111111</v>
      </c>
      <c r="Y541" s="43">
        <f>IFERROR(Y540/H540,"0")</f>
        <v>12</v>
      </c>
      <c r="Z541" s="43">
        <f>IFERROR(IF(Z540="",0,Z540),"0")</f>
        <v>0.22776000000000002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100</v>
      </c>
      <c r="Y542" s="43">
        <f>IFERROR(SUM(Y540:Y540),"0")</f>
        <v>108</v>
      </c>
      <c r="Z542" s="42"/>
      <c r="AA542" s="67"/>
      <c r="AB542" s="67"/>
      <c r="AC542" s="67"/>
    </row>
    <row r="543" spans="1:68" ht="14.25" customHeight="1" x14ac:dyDescent="0.25">
      <c r="A543" s="658" t="s">
        <v>175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862</v>
      </c>
      <c r="B545" s="63" t="s">
        <v>863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657" t="s">
        <v>865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customHeight="1" x14ac:dyDescent="0.25">
      <c r="A549" s="658" t="s">
        <v>158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customHeight="1" x14ac:dyDescent="0.25">
      <c r="A550" s="63" t="s">
        <v>866</v>
      </c>
      <c r="B550" s="63" t="s">
        <v>867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2449.1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2533.3200000000002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2565.1413473952948</v>
      </c>
      <c r="Y554" s="43">
        <f>IFERROR(SUM(BN22:BN550),"0")</f>
        <v>2653.1279999999997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5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2690.1413473952948</v>
      </c>
      <c r="Y556" s="43">
        <f>GrossWeightTotalR+PalletQtyTotalR*25</f>
        <v>2778.1279999999997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360.89835213519416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372</v>
      </c>
      <c r="Z557" s="42"/>
      <c r="AA557" s="67"/>
      <c r="AB557" s="67"/>
      <c r="AC557" s="67"/>
    </row>
    <row r="558" spans="1:68" ht="14.25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4.8782200000000007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640" t="s">
        <v>123</v>
      </c>
      <c r="E560" s="640" t="s">
        <v>123</v>
      </c>
      <c r="F560" s="640" t="s">
        <v>123</v>
      </c>
      <c r="G560" s="640" t="s">
        <v>123</v>
      </c>
      <c r="H560" s="640" t="s">
        <v>123</v>
      </c>
      <c r="I560" s="640" t="s">
        <v>123</v>
      </c>
      <c r="J560" s="640" t="s">
        <v>123</v>
      </c>
      <c r="K560" s="640" t="s">
        <v>351</v>
      </c>
      <c r="L560" s="640" t="s">
        <v>351</v>
      </c>
      <c r="M560" s="640" t="s">
        <v>351</v>
      </c>
      <c r="N560" s="641"/>
      <c r="O560" s="640" t="s">
        <v>351</v>
      </c>
      <c r="P560" s="640" t="s">
        <v>351</v>
      </c>
      <c r="Q560" s="640" t="s">
        <v>351</v>
      </c>
      <c r="R560" s="640" t="s">
        <v>351</v>
      </c>
      <c r="S560" s="640" t="s">
        <v>351</v>
      </c>
      <c r="T560" s="640" t="s">
        <v>351</v>
      </c>
      <c r="U560" s="640" t="s">
        <v>351</v>
      </c>
      <c r="V560" s="640" t="s">
        <v>351</v>
      </c>
      <c r="W560" s="640" t="s">
        <v>697</v>
      </c>
      <c r="X560" s="640" t="s">
        <v>697</v>
      </c>
      <c r="Y560" s="640" t="s">
        <v>763</v>
      </c>
      <c r="Z560" s="640" t="s">
        <v>763</v>
      </c>
      <c r="AA560" s="85" t="s">
        <v>799</v>
      </c>
      <c r="AB560" s="640" t="s">
        <v>846</v>
      </c>
      <c r="AC560" s="640" t="s">
        <v>846</v>
      </c>
      <c r="AF560" s="1"/>
    </row>
    <row r="561" spans="1:32" ht="14.25" customHeight="1" thickTop="1" x14ac:dyDescent="0.2">
      <c r="A561" s="642" t="s">
        <v>10</v>
      </c>
      <c r="B561" s="640" t="s">
        <v>76</v>
      </c>
      <c r="C561" s="640" t="s">
        <v>104</v>
      </c>
      <c r="D561" s="640" t="s">
        <v>124</v>
      </c>
      <c r="E561" s="640" t="s">
        <v>140</v>
      </c>
      <c r="F561" s="640" t="s">
        <v>182</v>
      </c>
      <c r="G561" s="640" t="s">
        <v>203</v>
      </c>
      <c r="H561" s="640" t="s">
        <v>243</v>
      </c>
      <c r="I561" s="640" t="s">
        <v>267</v>
      </c>
      <c r="J561" s="640" t="s">
        <v>123</v>
      </c>
      <c r="K561" s="640" t="s">
        <v>352</v>
      </c>
      <c r="L561" s="640" t="s">
        <v>373</v>
      </c>
      <c r="M561" s="640" t="s">
        <v>440</v>
      </c>
      <c r="N561" s="1"/>
      <c r="O561" s="640" t="s">
        <v>508</v>
      </c>
      <c r="P561" s="640" t="s">
        <v>541</v>
      </c>
      <c r="Q561" s="640" t="s">
        <v>557</v>
      </c>
      <c r="R561" s="640" t="s">
        <v>566</v>
      </c>
      <c r="S561" s="640" t="s">
        <v>587</v>
      </c>
      <c r="T561" s="640" t="s">
        <v>596</v>
      </c>
      <c r="U561" s="640" t="s">
        <v>680</v>
      </c>
      <c r="V561" s="640" t="s">
        <v>687</v>
      </c>
      <c r="W561" s="640" t="s">
        <v>698</v>
      </c>
      <c r="X561" s="640" t="s">
        <v>747</v>
      </c>
      <c r="Y561" s="640" t="s">
        <v>764</v>
      </c>
      <c r="Z561" s="640" t="s">
        <v>787</v>
      </c>
      <c r="AA561" s="640" t="s">
        <v>799</v>
      </c>
      <c r="AB561" s="640" t="s">
        <v>846</v>
      </c>
      <c r="AC561" s="640" t="s">
        <v>865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32.400000000000006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178.20000000000002</v>
      </c>
      <c r="F563" s="52">
        <f>IFERROR(Y83*1,"0")+IFERROR(Y84*1,"0")+IFERROR(Y85*1,"0")+IFERROR(Y86*1,"0")+IFERROR(Y90*1,"0")+IFERROR(Y91*1,"0")+IFERROR(Y92*1,"0")+IFERROR(Y93*1,"0")</f>
        <v>57.6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159.30000000000001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143.5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413.1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54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84.08</v>
      </c>
      <c r="U563" s="52">
        <f>IFERROR(Y411*1,"0")+IFERROR(Y412*1,"0")</f>
        <v>31.2</v>
      </c>
      <c r="V563" s="52">
        <f>IFERROR(Y417*1,"0")+IFERROR(Y418*1,"0")+IFERROR(Y419*1,"0")</f>
        <v>23.1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675</v>
      </c>
      <c r="X563" s="52">
        <f>IFERROR(Y454*1,"0")+IFERROR(Y455*1,"0")+IFERROR(Y459*1,"0")+IFERROR(Y463*1,"0")+IFERROR(Y464*1,"0")+IFERROR(Y465*1,"0")</f>
        <v>27</v>
      </c>
      <c r="Y563" s="52">
        <f>IFERROR(Y471*1,"0")+IFERROR(Y472*1,"0")+IFERROR(Y473*1,"0")+IFERROR(Y474*1,"0")+IFERROR(Y475*1,"0")+IFERROR(Y476*1,"0")+IFERROR(Y480*1,"0")+IFERROR(Y481*1,"0")</f>
        <v>27.000000000000004</v>
      </c>
      <c r="Z563" s="52">
        <f>IFERROR(Y486*1,"0")+IFERROR(Y490*1,"0")+IFERROR(Y491*1,"0")+IFERROR(Y492*1,"0")</f>
        <v>43.2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464.64000000000004</v>
      </c>
      <c r="AB563" s="52">
        <f>IFERROR(Y528*1,"0")+IFERROR(Y532*1,"0")+IFERROR(Y536*1,"0")+IFERROR(Y540*1,"0")+IFERROR(Y544*1,"0")+IFERROR(Y545*1,"0")</f>
        <v>120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1152</vt:i4>
      </vt:variant>
    </vt:vector>
  </HeadingPairs>
  <TitlesOfParts>
    <vt:vector size="11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2026-08-31T13:06:39Z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