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9015B93B-0037-4970-B973-D7EE4525EEC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Y479" i="2" s="1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Y452" i="2" s="1"/>
  <c r="P451" i="2"/>
  <c r="BO450" i="2"/>
  <c r="BM450" i="2"/>
  <c r="Z450" i="2"/>
  <c r="Y450" i="2"/>
  <c r="BN450" i="2" s="1"/>
  <c r="P450" i="2"/>
  <c r="X448" i="2"/>
  <c r="X447" i="2"/>
  <c r="BO446" i="2"/>
  <c r="BN446" i="2"/>
  <c r="BM446" i="2"/>
  <c r="Z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Y423" i="2" s="1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P407" i="2"/>
  <c r="BO407" i="2"/>
  <c r="BM407" i="2"/>
  <c r="Y407" i="2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Y403" i="2" s="1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Y397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P387" i="2"/>
  <c r="BO387" i="2"/>
  <c r="BN387" i="2"/>
  <c r="BM387" i="2"/>
  <c r="Z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P371" i="2"/>
  <c r="BO371" i="2"/>
  <c r="BN371" i="2"/>
  <c r="BM371" i="2"/>
  <c r="Z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Z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P334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N328" i="2"/>
  <c r="BM328" i="2"/>
  <c r="Z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N324" i="2"/>
  <c r="BM324" i="2"/>
  <c r="Z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Z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P286" i="2"/>
  <c r="BO286" i="2"/>
  <c r="BN286" i="2"/>
  <c r="BM286" i="2"/>
  <c r="Z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Y250" i="2" s="1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N231" i="2"/>
  <c r="BM231" i="2"/>
  <c r="Z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N227" i="2"/>
  <c r="BM227" i="2"/>
  <c r="Z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Z223" i="2"/>
  <c r="Y223" i="2"/>
  <c r="BN223" i="2" s="1"/>
  <c r="P223" i="2"/>
  <c r="BO222" i="2"/>
  <c r="BM222" i="2"/>
  <c r="Y222" i="2"/>
  <c r="BN222" i="2" s="1"/>
  <c r="P222" i="2"/>
  <c r="BO221" i="2"/>
  <c r="BM221" i="2"/>
  <c r="Z221" i="2"/>
  <c r="Y221" i="2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Z153" i="2"/>
  <c r="Y153" i="2"/>
  <c r="BN153" i="2" s="1"/>
  <c r="P153" i="2"/>
  <c r="BO152" i="2"/>
  <c r="BM152" i="2"/>
  <c r="Z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Z142" i="2"/>
  <c r="Y142" i="2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P136" i="2"/>
  <c r="BO136" i="2"/>
  <c r="BM136" i="2"/>
  <c r="Y136" i="2"/>
  <c r="Z136" i="2" s="1"/>
  <c r="P136" i="2"/>
  <c r="BO135" i="2"/>
  <c r="BM135" i="2"/>
  <c r="Z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Z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P113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P92" i="2"/>
  <c r="BO92" i="2"/>
  <c r="BM92" i="2"/>
  <c r="Y92" i="2"/>
  <c r="Z92" i="2" s="1"/>
  <c r="P92" i="2"/>
  <c r="BO91" i="2"/>
  <c r="BM91" i="2"/>
  <c r="Y91" i="2"/>
  <c r="BP91" i="2" s="1"/>
  <c r="P91" i="2"/>
  <c r="X89" i="2"/>
  <c r="X88" i="2"/>
  <c r="BO87" i="2"/>
  <c r="BM87" i="2"/>
  <c r="Y87" i="2"/>
  <c r="Z87" i="2" s="1"/>
  <c r="P87" i="2"/>
  <c r="BP86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N67" i="2"/>
  <c r="BM67" i="2"/>
  <c r="Z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P59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P40" i="2"/>
  <c r="BO40" i="2"/>
  <c r="BM40" i="2"/>
  <c r="Y40" i="2"/>
  <c r="BN40" i="2" s="1"/>
  <c r="P40" i="2"/>
  <c r="BO39" i="2"/>
  <c r="BN39" i="2"/>
  <c r="BM39" i="2"/>
  <c r="Z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P28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Y24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BN38" i="2" l="1"/>
  <c r="BN50" i="2"/>
  <c r="BP79" i="2"/>
  <c r="BP111" i="2"/>
  <c r="BN112" i="2"/>
  <c r="BN118" i="2"/>
  <c r="BN144" i="2"/>
  <c r="Y198" i="2"/>
  <c r="BN200" i="2"/>
  <c r="BN212" i="2"/>
  <c r="BN248" i="2"/>
  <c r="BN280" i="2"/>
  <c r="BN318" i="2"/>
  <c r="BP376" i="2"/>
  <c r="BP396" i="2"/>
  <c r="BN406" i="2"/>
  <c r="BN431" i="2"/>
  <c r="BN451" i="2"/>
  <c r="Y453" i="2"/>
  <c r="BN465" i="2"/>
  <c r="BP477" i="2"/>
  <c r="BN478" i="2"/>
  <c r="BN507" i="2"/>
  <c r="BP522" i="2"/>
  <c r="X559" i="2"/>
  <c r="Z27" i="2"/>
  <c r="Z30" i="2"/>
  <c r="BN30" i="2"/>
  <c r="Z58" i="2"/>
  <c r="BN58" i="2"/>
  <c r="Z61" i="2"/>
  <c r="BN68" i="2"/>
  <c r="Z79" i="2"/>
  <c r="Y81" i="2"/>
  <c r="Z91" i="2"/>
  <c r="BN91" i="2"/>
  <c r="Z94" i="2"/>
  <c r="BN94" i="2"/>
  <c r="Y107" i="2"/>
  <c r="BN101" i="2"/>
  <c r="Z111" i="2"/>
  <c r="BP135" i="2"/>
  <c r="Z138" i="2"/>
  <c r="BP152" i="2"/>
  <c r="BP170" i="2"/>
  <c r="BN195" i="2"/>
  <c r="Z196" i="2"/>
  <c r="Y201" i="2"/>
  <c r="Y202" i="2"/>
  <c r="BN206" i="2"/>
  <c r="Z210" i="2"/>
  <c r="BN210" i="2"/>
  <c r="BP223" i="2"/>
  <c r="BN224" i="2"/>
  <c r="BP225" i="2"/>
  <c r="BN233" i="2"/>
  <c r="Z238" i="2"/>
  <c r="BN242" i="2"/>
  <c r="Z247" i="2"/>
  <c r="BN247" i="2"/>
  <c r="BN252" i="2"/>
  <c r="Z274" i="2"/>
  <c r="BN274" i="2"/>
  <c r="Z294" i="2"/>
  <c r="BN294" i="2"/>
  <c r="Z343" i="2"/>
  <c r="BN343" i="2"/>
  <c r="BN349" i="2"/>
  <c r="Y367" i="2"/>
  <c r="Z374" i="2"/>
  <c r="BN374" i="2"/>
  <c r="Z376" i="2"/>
  <c r="Z383" i="2"/>
  <c r="BN395" i="2"/>
  <c r="Z396" i="2"/>
  <c r="BN440" i="2"/>
  <c r="BP444" i="2"/>
  <c r="BN466" i="2"/>
  <c r="Z475" i="2"/>
  <c r="BN476" i="2"/>
  <c r="Z477" i="2"/>
  <c r="BN521" i="2"/>
  <c r="Z522" i="2"/>
  <c r="Z534" i="2"/>
  <c r="Z535" i="2" s="1"/>
  <c r="Y535" i="2"/>
  <c r="Z546" i="2"/>
  <c r="Z520" i="2"/>
  <c r="Z512" i="2"/>
  <c r="Z515" i="2" s="1"/>
  <c r="BP512" i="2"/>
  <c r="BN503" i="2"/>
  <c r="BN502" i="2"/>
  <c r="Z429" i="2"/>
  <c r="Z420" i="2"/>
  <c r="BN420" i="2"/>
  <c r="Z370" i="2"/>
  <c r="BN370" i="2"/>
  <c r="Y378" i="2"/>
  <c r="Z325" i="2"/>
  <c r="BN325" i="2"/>
  <c r="Z284" i="2"/>
  <c r="BN284" i="2"/>
  <c r="BP278" i="2"/>
  <c r="BP268" i="2"/>
  <c r="BN270" i="2"/>
  <c r="Z183" i="2"/>
  <c r="Z176" i="2"/>
  <c r="BN178" i="2"/>
  <c r="BN84" i="2"/>
  <c r="BN62" i="2"/>
  <c r="X556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X558" i="2" s="1"/>
  <c r="BN27" i="2"/>
  <c r="BN31" i="2"/>
  <c r="Z38" i="2"/>
  <c r="Z47" i="2"/>
  <c r="BP47" i="2"/>
  <c r="Z50" i="2"/>
  <c r="Z55" i="2"/>
  <c r="BN61" i="2"/>
  <c r="Z62" i="2"/>
  <c r="Z66" i="2"/>
  <c r="Z70" i="2" s="1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95" i="2" s="1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Z249" i="2" s="1"/>
  <c r="Y260" i="2"/>
  <c r="Z269" i="2"/>
  <c r="Z279" i="2"/>
  <c r="BN289" i="2"/>
  <c r="Z300" i="2"/>
  <c r="Z334" i="2"/>
  <c r="Z336" i="2" s="1"/>
  <c r="Y350" i="2"/>
  <c r="Z389" i="2"/>
  <c r="Z390" i="2" s="1"/>
  <c r="BN401" i="2"/>
  <c r="Y415" i="2"/>
  <c r="Y436" i="2"/>
  <c r="Z445" i="2"/>
  <c r="Z447" i="2" s="1"/>
  <c r="Y459" i="2"/>
  <c r="BN482" i="2"/>
  <c r="Z493" i="2"/>
  <c r="Z495" i="2" s="1"/>
  <c r="Z505" i="2"/>
  <c r="Z509" i="2" s="1"/>
  <c r="Z552" i="2"/>
  <c r="Z553" i="2" s="1"/>
  <c r="R565" i="2"/>
  <c r="BN534" i="2"/>
  <c r="BN546" i="2"/>
  <c r="S565" i="2"/>
  <c r="Z23" i="2"/>
  <c r="Z24" i="2" s="1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32" i="2" s="1"/>
  <c r="Z40" i="2"/>
  <c r="BN55" i="2"/>
  <c r="Y76" i="2"/>
  <c r="Z86" i="2"/>
  <c r="BN99" i="2"/>
  <c r="Z130" i="2"/>
  <c r="Z132" i="2" s="1"/>
  <c r="BN142" i="2"/>
  <c r="Y156" i="2"/>
  <c r="Z164" i="2"/>
  <c r="Z167" i="2" s="1"/>
  <c r="Z184" i="2"/>
  <c r="Z208" i="2"/>
  <c r="BN221" i="2"/>
  <c r="Z229" i="2"/>
  <c r="Z239" i="2"/>
  <c r="Z243" i="2" s="1"/>
  <c r="Z262" i="2"/>
  <c r="Z264" i="2" s="1"/>
  <c r="Z272" i="2"/>
  <c r="Z282" i="2"/>
  <c r="Z303" i="2"/>
  <c r="Z326" i="2"/>
  <c r="Y351" i="2"/>
  <c r="Z362" i="2"/>
  <c r="Z372" i="2"/>
  <c r="Z377" i="2" s="1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75" i="2" s="1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25" i="2" s="1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Z357" i="2" s="1"/>
  <c r="BP356" i="2"/>
  <c r="Y390" i="2"/>
  <c r="Z419" i="2"/>
  <c r="Z422" i="2" s="1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468" i="2" l="1"/>
  <c r="Z156" i="2"/>
  <c r="Z479" i="2"/>
  <c r="Z121" i="2"/>
  <c r="Z441" i="2"/>
  <c r="Z329" i="2"/>
  <c r="Z51" i="2"/>
  <c r="Z397" i="2"/>
  <c r="Z409" i="2"/>
  <c r="Z213" i="2"/>
  <c r="Z145" i="2"/>
  <c r="Z295" i="2"/>
  <c r="Z345" i="2"/>
  <c r="Y556" i="2"/>
  <c r="Z63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<sst xmlns="http://schemas.openxmlformats.org/spreadsheetml/2006/main" count="4236" uniqueCount="895">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</sst>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5"/>
  <sheetViews>
    <sheetView showGridLines="0" tabSelected="1" zoomScaleNormal="100" zoomScaleSheetLayoutView="100" workbookViewId="0">
      <selection activeCell="P540" sqref="P540:V5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/>
      <c r="I5" s="1003"/>
      <c r="J5" s="1003"/>
      <c r="K5" s="1003"/>
      <c r="L5" s="1003"/>
      <c r="M5" s="1003"/>
      <c r="N5" s="72"/>
      <c r="P5" s="27" t="s">
        <v>4</v>
      </c>
      <c r="Q5" s="1005">
        <v>46243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877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Воскресенье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1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0.375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/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/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67.5</v>
      </c>
      <c r="Y62" s="55">
        <f t="shared" si="0"/>
        <v>67.5</v>
      </c>
      <c r="Z62" s="41">
        <f>IFERROR(IF(Y62=0,"",ROUNDUP(Y62/H62,0)*0.00902),"")</f>
        <v>0.1353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70.350000000000009</v>
      </c>
      <c r="BN62" s="78">
        <f t="shared" si="2"/>
        <v>70.350000000000009</v>
      </c>
      <c r="BO62" s="78">
        <f t="shared" si="3"/>
        <v>0.11363636363636365</v>
      </c>
      <c r="BP62" s="78">
        <f t="shared" si="4"/>
        <v>0.11363636363636365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15</v>
      </c>
      <c r="Y63" s="43">
        <f>IFERROR(Y55/H55,"0")+IFERROR(Y56/H56,"0")+IFERROR(Y57/H57,"0")+IFERROR(Y58/H58,"0")+IFERROR(Y59/H59,"0")+IFERROR(Y60/H60,"0")+IFERROR(Y61/H61,"0")+IFERROR(Y62/H62,"0")</f>
        <v>15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0.1353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67.5</v>
      </c>
      <c r="Y64" s="43">
        <f>IFERROR(SUM(Y55:Y62),"0")</f>
        <v>67.5</v>
      </c>
      <c r="Z64" s="42"/>
      <c r="AA64" s="67"/>
      <c r="AB64" s="67"/>
      <c r="AC64" s="67"/>
    </row>
    <row r="65" spans="1:68" ht="14.25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/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/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/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/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16</v>
      </c>
      <c r="Y91" s="55">
        <f>IFERROR(IF(X91="",0,CEILING((X91/$H91),1)*$H91),"")</f>
        <v>16.2</v>
      </c>
      <c r="Z91" s="41">
        <f>IFERROR(IF(Y91=0,"",ROUNDUP(Y91/H91,0)*0.01898),"")</f>
        <v>3.7960000000000001E-2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16.975802469135804</v>
      </c>
      <c r="BN91" s="78">
        <f>IFERROR(Y91*I91/H91,"0")</f>
        <v>17.187999999999999</v>
      </c>
      <c r="BO91" s="78">
        <f>IFERROR(1/J91*(X91/H91),"0")</f>
        <v>3.0864197530864199E-2</v>
      </c>
      <c r="BP91" s="78">
        <f>IFERROR(1/J91*(Y91/H91),"0")</f>
        <v>3.125E-2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/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1.9753086419753088</v>
      </c>
      <c r="Y95" s="43">
        <f>IFERROR(Y91/H91,"0")+IFERROR(Y92/H92,"0")+IFERROR(Y93/H93,"0")+IFERROR(Y94/H94,"0")</f>
        <v>2</v>
      </c>
      <c r="Z95" s="43">
        <f>IFERROR(IF(Z91="",0,Z91),"0")+IFERROR(IF(Z92="",0,Z92),"0")+IFERROR(IF(Z93="",0,Z93),"0")+IFERROR(IF(Z94="",0,Z94),"0")</f>
        <v>3.7960000000000001E-2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16</v>
      </c>
      <c r="Y96" s="43">
        <f>IFERROR(SUM(Y91:Y94),"0")</f>
        <v>16.2</v>
      </c>
      <c r="Z96" s="42"/>
      <c r="AA96" s="67"/>
      <c r="AB96" s="67"/>
      <c r="AC96" s="67"/>
    </row>
    <row r="97" spans="1:68" ht="16.5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/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/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200</v>
      </c>
      <c r="Y117" s="55">
        <f>IFERROR(IF(X117="",0,CEILING((X117/$H117),1)*$H117),"")</f>
        <v>202.5</v>
      </c>
      <c r="Z117" s="41">
        <f>IFERROR(IF(Y117=0,"",ROUNDUP(Y117/H117,0)*0.01898),"")</f>
        <v>0.47450000000000003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212.04938271604939</v>
      </c>
      <c r="BN117" s="78">
        <f>IFERROR(Y117*I117/H117,"0")</f>
        <v>214.7</v>
      </c>
      <c r="BO117" s="78">
        <f>IFERROR(1/J117*(X117/H117),"0")</f>
        <v>0.38580246913580246</v>
      </c>
      <c r="BP117" s="78">
        <f>IFERROR(1/J117*(Y117/H117),"0")</f>
        <v>0.390625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/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24.691358024691358</v>
      </c>
      <c r="Y121" s="43">
        <f>IFERROR(Y117/H117,"0")+IFERROR(Y118/H118,"0")+IFERROR(Y119/H119,"0")+IFERROR(Y120/H120,"0")</f>
        <v>25</v>
      </c>
      <c r="Z121" s="43">
        <f>IFERROR(IF(Z117="",0,Z117),"0")+IFERROR(IF(Z118="",0,Z118),"0")+IFERROR(IF(Z119="",0,Z119),"0")+IFERROR(IF(Z120="",0,Z120),"0")</f>
        <v>0.47450000000000003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200</v>
      </c>
      <c r="Y122" s="43">
        <f>IFERROR(SUM(Y117:Y120),"0")</f>
        <v>202.5</v>
      </c>
      <c r="Z122" s="42"/>
      <c r="AA122" s="67"/>
      <c r="AB122" s="67"/>
      <c r="AC122" s="67"/>
    </row>
    <row r="123" spans="1:68" ht="14.25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/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50</v>
      </c>
      <c r="Y175" s="55">
        <f t="shared" ref="Y175:Y185" si="16">IFERROR(IF(X175="",0,CEILING((X175/$H175),1)*$H175),"")</f>
        <v>52.5</v>
      </c>
      <c r="Z175" s="41">
        <f>IFERROR(IF(Y175=0,"",ROUNDUP(Y175/H175,0)*0.00902),"")</f>
        <v>0.1353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52.714285714285715</v>
      </c>
      <c r="BN175" s="78">
        <f t="shared" ref="BN175:BN185" si="18">IFERROR(Y175*I175/H175,"0")</f>
        <v>55.35</v>
      </c>
      <c r="BO175" s="78">
        <f t="shared" ref="BO175:BO185" si="19">IFERROR(1/J175*(X175/H175),"0")</f>
        <v>0.10822510822510824</v>
      </c>
      <c r="BP175" s="78">
        <f t="shared" ref="BP175:BP185" si="20">IFERROR(1/J175*(Y175/H175),"0")</f>
        <v>0.11363636363636365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/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/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80</v>
      </c>
      <c r="Y178" s="55">
        <f t="shared" si="16"/>
        <v>80.5</v>
      </c>
      <c r="Z178" s="41">
        <f>IFERROR(IF(Y178=0,"",ROUNDUP(Y178/H178,0)*0.00902),"")</f>
        <v>0.20746000000000001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84.342857142857142</v>
      </c>
      <c r="BN178" s="78">
        <f t="shared" si="18"/>
        <v>84.87</v>
      </c>
      <c r="BO178" s="78">
        <f t="shared" si="19"/>
        <v>0.17316017316017318</v>
      </c>
      <c r="BP178" s="78">
        <f t="shared" si="20"/>
        <v>0.17424242424242425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11.76</v>
      </c>
      <c r="Y180" s="55">
        <f t="shared" si="16"/>
        <v>11.76</v>
      </c>
      <c r="Z180" s="41">
        <f>IFERROR(IF(Y180=0,"",ROUNDUP(Y180/H180,0)*0.00502),"")</f>
        <v>3.5140000000000005E-2</v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12.46</v>
      </c>
      <c r="BN180" s="78">
        <f t="shared" si="18"/>
        <v>12.46</v>
      </c>
      <c r="BO180" s="78">
        <f t="shared" si="19"/>
        <v>2.9914529914529919E-2</v>
      </c>
      <c r="BP180" s="78">
        <f t="shared" si="20"/>
        <v>2.9914529914529919E-2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/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/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44.142857142857146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45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0.37790000000000001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141.76</v>
      </c>
      <c r="Y187" s="43">
        <f>IFERROR(SUM(Y175:Y185),"0")</f>
        <v>144.76</v>
      </c>
      <c r="Z187" s="42"/>
      <c r="AA187" s="67"/>
      <c r="AB187" s="67"/>
      <c r="AC187" s="67"/>
    </row>
    <row r="188" spans="1:68" ht="14.25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4</v>
      </c>
      <c r="Y239" s="55">
        <f>IFERROR(IF(X239="",0,CEILING((X239/$H239),1)*$H239),"")</f>
        <v>4.8</v>
      </c>
      <c r="Z239" s="41">
        <f>IFERROR(IF(Y239=0,"",ROUNDUP(Y239/H239,0)*0.01196),"")</f>
        <v>1.196E-2</v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4.3516666666666675</v>
      </c>
      <c r="BN239" s="78">
        <f>IFERROR(Y239*I239/H239,"0")</f>
        <v>5.2220000000000004</v>
      </c>
      <c r="BO239" s="78">
        <f>IFERROR(1/J239*(X239/H239),"0")</f>
        <v>8.0128205128205138E-3</v>
      </c>
      <c r="BP239" s="78">
        <f>IFERROR(1/J239*(Y239/H239),"0")</f>
        <v>9.6153846153846159E-3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0.83333333333333337</v>
      </c>
      <c r="Y243" s="43">
        <f>IFERROR(Y238/H238,"0")+IFERROR(Y239/H239,"0")+IFERROR(Y240/H240,"0")+IFERROR(Y241/H241,"0")+IFERROR(Y242/H242,"0")</f>
        <v>1</v>
      </c>
      <c r="Z243" s="43">
        <f>IFERROR(IF(Z238="",0,Z238),"0")+IFERROR(IF(Z239="",0,Z239),"0")+IFERROR(IF(Z240="",0,Z240),"0")+IFERROR(IF(Z241="",0,Z241),"0")+IFERROR(IF(Z242="",0,Z242),"0")</f>
        <v>1.196E-2</v>
      </c>
      <c r="AA243" s="67"/>
      <c r="AB243" s="67"/>
      <c r="AC243" s="67"/>
    </row>
    <row r="244" spans="1:68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4</v>
      </c>
      <c r="Y244" s="43">
        <f>IFERROR(SUM(Y238:Y242),"0")</f>
        <v>4.8</v>
      </c>
      <c r="Z244" s="42"/>
      <c r="AA244" s="67"/>
      <c r="AB244" s="67"/>
      <c r="AC244" s="67"/>
    </row>
    <row r="245" spans="1:68" ht="14.25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50</v>
      </c>
      <c r="Y267" s="55">
        <f t="shared" ref="Y267:Y274" si="33">IFERROR(IF(X267="",0,CEILING((X267/$H267),1)*$H267),"")</f>
        <v>54</v>
      </c>
      <c r="Z267" s="41">
        <f>IFERROR(IF(Y267=0,"",ROUNDUP(Y267/H267,0)*0.00902),"")</f>
        <v>9.0200000000000002E-2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51.759259259259252</v>
      </c>
      <c r="BN267" s="78">
        <f t="shared" ref="BN267:BN274" si="35">IFERROR(Y267*I267/H267,"0")</f>
        <v>55.9</v>
      </c>
      <c r="BO267" s="78">
        <f t="shared" ref="BO267:BO274" si="36">IFERROR(1/J267*(X267/H267),"0")</f>
        <v>7.0145903479236812E-2</v>
      </c>
      <c r="BP267" s="78">
        <f t="shared" ref="BP267:BP274" si="37">IFERROR(1/J267*(Y267/H267),"0")</f>
        <v>7.575757575757576E-2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/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40</v>
      </c>
      <c r="Y269" s="55">
        <f t="shared" si="33"/>
        <v>43.2</v>
      </c>
      <c r="Z269" s="41">
        <f>IFERROR(IF(Y269=0,"",ROUNDUP(Y269/H269,0)*0.00902),"")</f>
        <v>7.2160000000000002E-2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41.407407407407405</v>
      </c>
      <c r="BN269" s="78">
        <f t="shared" si="35"/>
        <v>44.72</v>
      </c>
      <c r="BO269" s="78">
        <f t="shared" si="36"/>
        <v>5.6116722783389444E-2</v>
      </c>
      <c r="BP269" s="78">
        <f t="shared" si="37"/>
        <v>6.0606060606060608E-2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40</v>
      </c>
      <c r="Y270" s="55">
        <f t="shared" si="33"/>
        <v>43.2</v>
      </c>
      <c r="Z270" s="41">
        <f>IFERROR(IF(Y270=0,"",ROUNDUP(Y270/H270,0)*0.00902),"")</f>
        <v>7.2160000000000002E-2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41.407407407407405</v>
      </c>
      <c r="BN270" s="78">
        <f t="shared" si="35"/>
        <v>44.72</v>
      </c>
      <c r="BO270" s="78">
        <f t="shared" si="36"/>
        <v>5.6116722783389444E-2</v>
      </c>
      <c r="BP270" s="78">
        <f t="shared" si="37"/>
        <v>6.0606060606060608E-2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24.074074074074069</v>
      </c>
      <c r="Y275" s="43">
        <f>IFERROR(Y267/H267,"0")+IFERROR(Y268/H268,"0")+IFERROR(Y269/H269,"0")+IFERROR(Y270/H270,"0")+IFERROR(Y271/H271,"0")+IFERROR(Y272/H272,"0")+IFERROR(Y273/H273,"0")+IFERROR(Y274/H274,"0")</f>
        <v>26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0.23452000000000001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130</v>
      </c>
      <c r="Y276" s="43">
        <f>IFERROR(SUM(Y267:Y274),"0")</f>
        <v>140.4</v>
      </c>
      <c r="Z276" s="42"/>
      <c r="AA276" s="67"/>
      <c r="AB276" s="67"/>
      <c r="AC276" s="67"/>
    </row>
    <row r="277" spans="1:68" ht="14.25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16</v>
      </c>
      <c r="Y278" s="55">
        <f t="shared" ref="Y278:Y289" si="38">IFERROR(IF(X278="",0,CEILING((X278/$H278),1)*$H278),"")</f>
        <v>16.2</v>
      </c>
      <c r="Z278" s="41">
        <f>IFERROR(IF(Y278=0,"",ROUNDUP(Y278/H278,0)*0.01898),"")</f>
        <v>3.7960000000000001E-2</v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16.975802469135804</v>
      </c>
      <c r="BN278" s="78">
        <f t="shared" ref="BN278:BN289" si="40">IFERROR(Y278*I278/H278,"0")</f>
        <v>17.187999999999999</v>
      </c>
      <c r="BO278" s="78">
        <f t="shared" ref="BO278:BO289" si="41">IFERROR(1/J278*(X278/H278),"0")</f>
        <v>3.0864197530864199E-2</v>
      </c>
      <c r="BP278" s="78">
        <f t="shared" ref="BP278:BP289" si="42">IFERROR(1/J278*(Y278/H278),"0")</f>
        <v>3.125E-2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24</v>
      </c>
      <c r="Y279" s="55">
        <f t="shared" si="38"/>
        <v>24.299999999999997</v>
      </c>
      <c r="Z279" s="41">
        <f>IFERROR(IF(Y279=0,"",ROUNDUP(Y279/H279,0)*0.01898),"")</f>
        <v>5.6940000000000004E-2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25.410370370370373</v>
      </c>
      <c r="BN279" s="78">
        <f t="shared" si="40"/>
        <v>25.727999999999998</v>
      </c>
      <c r="BO279" s="78">
        <f t="shared" si="41"/>
        <v>4.6296296296296301E-2</v>
      </c>
      <c r="BP279" s="78">
        <f t="shared" si="42"/>
        <v>4.6875E-2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9.6</v>
      </c>
      <c r="Y284" s="55">
        <f t="shared" si="38"/>
        <v>9.6</v>
      </c>
      <c r="Z284" s="41">
        <f>IFERROR(IF(Y284=0,"",ROUNDUP(Y284/H284,0)*0.00651),"")</f>
        <v>2.6040000000000001E-2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10.608000000000001</v>
      </c>
      <c r="BN284" s="78">
        <f t="shared" si="40"/>
        <v>10.608000000000001</v>
      </c>
      <c r="BO284" s="78">
        <f t="shared" si="41"/>
        <v>2.197802197802198E-2</v>
      </c>
      <c r="BP284" s="78">
        <f t="shared" si="42"/>
        <v>2.197802197802198E-2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8.9382716049382722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9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0.12094000000000002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49.6</v>
      </c>
      <c r="Y291" s="43">
        <f>IFERROR(SUM(Y278:Y289),"0")</f>
        <v>50.1</v>
      </c>
      <c r="Z291" s="42"/>
      <c r="AA291" s="67"/>
      <c r="AB291" s="67"/>
      <c r="AC291" s="67"/>
    </row>
    <row r="292" spans="1:68" ht="14.25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4.8</v>
      </c>
      <c r="Y293" s="55">
        <f>IFERROR(IF(X293="",0,CEILING((X293/$H293),1)*$H293),"")</f>
        <v>4.8</v>
      </c>
      <c r="Z293" s="41">
        <f>IFERROR(IF(Y293=0,"",ROUNDUP(Y293/H293,0)*0.00651),"")</f>
        <v>1.302E-2</v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5.3040000000000003</v>
      </c>
      <c r="BN293" s="78">
        <f>IFERROR(Y293*I293/H293,"0")</f>
        <v>5.3040000000000003</v>
      </c>
      <c r="BO293" s="78">
        <f>IFERROR(1/J293*(X293/H293),"0")</f>
        <v>1.098901098901099E-2</v>
      </c>
      <c r="BP293" s="78">
        <f>IFERROR(1/J293*(Y293/H293),"0")</f>
        <v>1.098901098901099E-2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2</v>
      </c>
      <c r="Y295" s="43">
        <f>IFERROR(Y293/H293,"0")+IFERROR(Y294/H294,"0")</f>
        <v>2</v>
      </c>
      <c r="Z295" s="43">
        <f>IFERROR(IF(Z293="",0,Z293),"0")+IFERROR(IF(Z294="",0,Z294),"0")</f>
        <v>1.302E-2</v>
      </c>
      <c r="AA295" s="67"/>
      <c r="AB295" s="67"/>
      <c r="AC295" s="67"/>
    </row>
    <row r="296" spans="1:68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4.8</v>
      </c>
      <c r="Y296" s="43">
        <f>IFERROR(SUM(Y293:Y294),"0")</f>
        <v>4.8</v>
      </c>
      <c r="Z296" s="42"/>
      <c r="AA296" s="67"/>
      <c r="AB296" s="67"/>
      <c r="AC296" s="67"/>
    </row>
    <row r="297" spans="1:68" ht="16.5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/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50</v>
      </c>
      <c r="Y326" s="55">
        <f>IFERROR(IF(X326="",0,CEILING((X326/$H326),1)*$H326),"")</f>
        <v>54</v>
      </c>
      <c r="Z326" s="41">
        <f>IFERROR(IF(Y326=0,"",ROUNDUP(Y326/H326,0)*0.01898),"")</f>
        <v>9.4899999999999998E-2</v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51.898148148148145</v>
      </c>
      <c r="BN326" s="78">
        <f>IFERROR(Y326*I326/H326,"0")</f>
        <v>56.05</v>
      </c>
      <c r="BO326" s="78">
        <f>IFERROR(1/J326*(X326/H326),"0")</f>
        <v>7.2337962962962965E-2</v>
      </c>
      <c r="BP326" s="78">
        <f>IFERROR(1/J326*(Y326/H326),"0")</f>
        <v>7.8125E-2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4.6296296296296298</v>
      </c>
      <c r="Y329" s="43">
        <f>IFERROR(Y324/H324,"0")+IFERROR(Y325/H325,"0")+IFERROR(Y326/H326,"0")+IFERROR(Y327/H327,"0")+IFERROR(Y328/H328,"0")</f>
        <v>5</v>
      </c>
      <c r="Z329" s="43">
        <f>IFERROR(IF(Z324="",0,Z324),"0")+IFERROR(IF(Z325="",0,Z325),"0")+IFERROR(IF(Z326="",0,Z326),"0")+IFERROR(IF(Z327="",0,Z327),"0")+IFERROR(IF(Z328="",0,Z328),"0")</f>
        <v>9.4899999999999998E-2</v>
      </c>
      <c r="AA329" s="67"/>
      <c r="AB329" s="67"/>
      <c r="AC329" s="67"/>
    </row>
    <row r="330" spans="1:68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50</v>
      </c>
      <c r="Y330" s="43">
        <f>IFERROR(SUM(Y324:Y328),"0")</f>
        <v>54</v>
      </c>
      <c r="Z330" s="42"/>
      <c r="AA330" s="67"/>
      <c r="AB330" s="67"/>
      <c r="AC330" s="67"/>
    </row>
    <row r="331" spans="1:68" ht="16.5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15</v>
      </c>
      <c r="Y355" s="55">
        <f>IFERROR(IF(X355="",0,CEILING((X355/$H355),1)*$H355),"")</f>
        <v>15.6</v>
      </c>
      <c r="Z355" s="41">
        <f>IFERROR(IF(Y355=0,"",ROUNDUP(Y355/H355,0)*0.01898),"")</f>
        <v>3.7960000000000001E-2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15.78846153846154</v>
      </c>
      <c r="BN355" s="78">
        <f>IFERROR(Y355*I355/H355,"0")</f>
        <v>16.420000000000002</v>
      </c>
      <c r="BO355" s="78">
        <f>IFERROR(1/J355*(X355/H355),"0")</f>
        <v>3.0048076923076924E-2</v>
      </c>
      <c r="BP355" s="78">
        <f>IFERROR(1/J355*(Y355/H355),"0")</f>
        <v>3.125E-2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15</v>
      </c>
      <c r="Y356" s="55">
        <f>IFERROR(IF(X356="",0,CEILING((X356/$H356),1)*$H356),"")</f>
        <v>15.6</v>
      </c>
      <c r="Z356" s="41">
        <f>IFERROR(IF(Y356=0,"",ROUNDUP(Y356/H356,0)*0.01898),"")</f>
        <v>3.7960000000000001E-2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15.78846153846154</v>
      </c>
      <c r="BN356" s="78">
        <f>IFERROR(Y356*I356/H356,"0")</f>
        <v>16.420000000000002</v>
      </c>
      <c r="BO356" s="78">
        <f>IFERROR(1/J356*(X356/H356),"0")</f>
        <v>3.0048076923076924E-2</v>
      </c>
      <c r="BP356" s="78">
        <f>IFERROR(1/J356*(Y356/H356),"0")</f>
        <v>3.125E-2</v>
      </c>
    </row>
    <row r="357" spans="1:68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3.8461538461538463</v>
      </c>
      <c r="Y357" s="43">
        <f>IFERROR(Y354/H354,"0")+IFERROR(Y355/H355,"0")+IFERROR(Y356/H356,"0")</f>
        <v>4</v>
      </c>
      <c r="Z357" s="43">
        <f>IFERROR(IF(Z354="",0,Z354),"0")+IFERROR(IF(Z355="",0,Z355),"0")+IFERROR(IF(Z356="",0,Z356),"0")</f>
        <v>7.5920000000000001E-2</v>
      </c>
      <c r="AA357" s="67"/>
      <c r="AB357" s="67"/>
      <c r="AC357" s="67"/>
    </row>
    <row r="358" spans="1:68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30</v>
      </c>
      <c r="Y358" s="43">
        <f>IFERROR(SUM(Y354:Y356),"0")</f>
        <v>31.2</v>
      </c>
      <c r="Z358" s="42"/>
      <c r="AA358" s="67"/>
      <c r="AB358" s="67"/>
      <c r="AC358" s="67"/>
    </row>
    <row r="359" spans="1:68" ht="16.5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25</v>
      </c>
      <c r="Y370" s="55">
        <f t="shared" ref="Y370:Y376" si="53">IFERROR(IF(X370="",0,CEILING((X370/$H370),1)*$H370),"")</f>
        <v>25.200000000000003</v>
      </c>
      <c r="Z370" s="41">
        <f>IFERROR(IF(Y370=0,"",ROUNDUP(Y370/H370,0)*0.00902),"")</f>
        <v>5.4120000000000001E-2</v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26.488095238095237</v>
      </c>
      <c r="BN370" s="78">
        <f t="shared" ref="BN370:BN376" si="55">IFERROR(Y370*I370/H370,"0")</f>
        <v>26.700000000000003</v>
      </c>
      <c r="BO370" s="78">
        <f t="shared" ref="BO370:BO376" si="56">IFERROR(1/J370*(X370/H370),"0")</f>
        <v>4.5093795093795096E-2</v>
      </c>
      <c r="BP370" s="78">
        <f t="shared" ref="BP370:BP376" si="57">IFERROR(1/J370*(Y370/H370),"0")</f>
        <v>4.5454545454545456E-2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5.9523809523809526</v>
      </c>
      <c r="Y377" s="43">
        <f>IFERROR(Y370/H370,"0")+IFERROR(Y371/H371,"0")+IFERROR(Y372/H372,"0")+IFERROR(Y373/H373,"0")+IFERROR(Y374/H374,"0")+IFERROR(Y375/H375,"0")+IFERROR(Y376/H376,"0")</f>
        <v>6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5.4120000000000001E-2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25</v>
      </c>
      <c r="Y378" s="43">
        <f>IFERROR(SUM(Y370:Y376),"0")</f>
        <v>25.200000000000003</v>
      </c>
      <c r="Z378" s="42"/>
      <c r="AA378" s="67"/>
      <c r="AB378" s="67"/>
      <c r="AC378" s="67"/>
    </row>
    <row r="379" spans="1:68" ht="14.25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100</v>
      </c>
      <c r="Y388" s="55">
        <f>IFERROR(IF(X388="",0,CEILING((X388/$H388),1)*$H388),"")</f>
        <v>101.39999999999999</v>
      </c>
      <c r="Z388" s="41">
        <f>IFERROR(IF(Y388=0,"",ROUNDUP(Y388/H388,0)*0.01898),"")</f>
        <v>0.24674000000000001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106.33333333333334</v>
      </c>
      <c r="BN388" s="78">
        <f>IFERROR(Y388*I388/H388,"0")</f>
        <v>107.82199999999999</v>
      </c>
      <c r="BO388" s="78">
        <f>IFERROR(1/J388*(X388/H388),"0")</f>
        <v>0.20032051282051283</v>
      </c>
      <c r="BP388" s="78">
        <f>IFERROR(1/J388*(Y388/H388),"0")</f>
        <v>0.203125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12.820512820512821</v>
      </c>
      <c r="Y390" s="43">
        <f>IFERROR(Y387/H387,"0")+IFERROR(Y388/H388,"0")+IFERROR(Y389/H389,"0")</f>
        <v>13</v>
      </c>
      <c r="Z390" s="43">
        <f>IFERROR(IF(Z387="",0,Z387),"0")+IFERROR(IF(Z388="",0,Z388),"0")+IFERROR(IF(Z389="",0,Z389),"0")</f>
        <v>0.24674000000000001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100</v>
      </c>
      <c r="Y391" s="43">
        <f>IFERROR(SUM(Y387:Y389),"0")</f>
        <v>101.39999999999999</v>
      </c>
      <c r="Z391" s="42"/>
      <c r="AA391" s="67"/>
      <c r="AB391" s="67"/>
      <c r="AC391" s="67"/>
    </row>
    <row r="392" spans="1:68" ht="14.25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3</v>
      </c>
      <c r="Y393" s="55">
        <f>IFERROR(IF(X393="",0,CEILING((X393/$H393),1)*$H393),"")</f>
        <v>3.04</v>
      </c>
      <c r="Z393" s="41">
        <f>IFERROR(IF(Y393=0,"",ROUNDUP(Y393/H393,0)*0.00902),"")</f>
        <v>9.0200000000000002E-3</v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3.2664473684210527</v>
      </c>
      <c r="BN393" s="78">
        <f>IFERROR(Y393*I393/H393,"0")</f>
        <v>3.31</v>
      </c>
      <c r="BO393" s="78">
        <f>IFERROR(1/J393*(X393/H393),"0")</f>
        <v>7.4760765550239234E-3</v>
      </c>
      <c r="BP393" s="78">
        <f>IFERROR(1/J393*(Y393/H393),"0")</f>
        <v>7.575757575757576E-3</v>
      </c>
    </row>
    <row r="394" spans="1:68" ht="27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0.98684210526315785</v>
      </c>
      <c r="Y397" s="43">
        <f>IFERROR(Y393/H393,"0")+IFERROR(Y394/H394,"0")+IFERROR(Y395/H395,"0")+IFERROR(Y396/H396,"0")</f>
        <v>1</v>
      </c>
      <c r="Z397" s="43">
        <f>IFERROR(IF(Z393="",0,Z393),"0")+IFERROR(IF(Z394="",0,Z394),"0")+IFERROR(IF(Z395="",0,Z395),"0")+IFERROR(IF(Z396="",0,Z396),"0")</f>
        <v>9.0200000000000002E-3</v>
      </c>
      <c r="AA397" s="67"/>
      <c r="AB397" s="67"/>
      <c r="AC397" s="67"/>
    </row>
    <row r="398" spans="1:68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3</v>
      </c>
      <c r="Y398" s="43">
        <f>IFERROR(SUM(Y393:Y396),"0")</f>
        <v>3.04</v>
      </c>
      <c r="Z398" s="42"/>
      <c r="AA398" s="67"/>
      <c r="AB398" s="67"/>
      <c r="AC398" s="67"/>
    </row>
    <row r="399" spans="1:68" ht="14.25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14.7</v>
      </c>
      <c r="Y420" s="55">
        <f>IFERROR(IF(X420="",0,CEILING((X420/$H420),1)*$H420),"")</f>
        <v>14.700000000000001</v>
      </c>
      <c r="Z420" s="41">
        <f>IFERROR(IF(Y420=0,"",ROUNDUP(Y420/H420,0)*0.00651),"")</f>
        <v>4.5569999999999999E-2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16.463999999999999</v>
      </c>
      <c r="BN420" s="78">
        <f>IFERROR(Y420*I420/H420,"0")</f>
        <v>16.463999999999999</v>
      </c>
      <c r="BO420" s="78">
        <f>IFERROR(1/J420*(X420/H420),"0")</f>
        <v>3.8461538461538457E-2</v>
      </c>
      <c r="BP420" s="78">
        <f>IFERROR(1/J420*(Y420/H420),"0")</f>
        <v>3.8461538461538464E-2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4.2</v>
      </c>
      <c r="Y421" s="55">
        <f>IFERROR(IF(X421="",0,CEILING((X421/$H421),1)*$H421),"")</f>
        <v>4.2</v>
      </c>
      <c r="Z421" s="41">
        <f>IFERROR(IF(Y421=0,"",ROUNDUP(Y421/H421,0)*0.00651),"")</f>
        <v>1.302E-2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4.68</v>
      </c>
      <c r="BN421" s="78">
        <f>IFERROR(Y421*I421/H421,"0")</f>
        <v>4.68</v>
      </c>
      <c r="BO421" s="78">
        <f>IFERROR(1/J421*(X421/H421),"0")</f>
        <v>1.098901098901099E-2</v>
      </c>
      <c r="BP421" s="78">
        <f>IFERROR(1/J421*(Y421/H421),"0")</f>
        <v>1.098901098901099E-2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9</v>
      </c>
      <c r="Y422" s="43">
        <f>IFERROR(Y419/H419,"0")+IFERROR(Y420/H420,"0")+IFERROR(Y421/H421,"0")</f>
        <v>9</v>
      </c>
      <c r="Z422" s="43">
        <f>IFERROR(IF(Z419="",0,Z419),"0")+IFERROR(IF(Z420="",0,Z420),"0")+IFERROR(IF(Z421="",0,Z421),"0")</f>
        <v>5.8590000000000003E-2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18.899999999999999</v>
      </c>
      <c r="Y423" s="43">
        <f>IFERROR(SUM(Y419:Y421),"0")</f>
        <v>18.900000000000002</v>
      </c>
      <c r="Z423" s="42"/>
      <c r="AA423" s="67"/>
      <c r="AB423" s="67"/>
      <c r="AC423" s="67"/>
    </row>
    <row r="424" spans="1:68" ht="27.75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60</v>
      </c>
      <c r="Y428" s="55">
        <f t="shared" si="58"/>
        <v>60</v>
      </c>
      <c r="Z428" s="41">
        <f>IFERROR(IF(Y428=0,"",ROUNDUP(Y428/H428,0)*0.02175),"")</f>
        <v>8.6999999999999994E-2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61.88</v>
      </c>
      <c r="BN428" s="78">
        <f t="shared" si="60"/>
        <v>61.88</v>
      </c>
      <c r="BO428" s="78">
        <f t="shared" si="61"/>
        <v>8.3333333333333329E-2</v>
      </c>
      <c r="BP428" s="78">
        <f t="shared" si="62"/>
        <v>8.3333333333333329E-2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150</v>
      </c>
      <c r="Y429" s="55">
        <f t="shared" si="58"/>
        <v>150</v>
      </c>
      <c r="Z429" s="41">
        <f>IFERROR(IF(Y429=0,"",ROUNDUP(Y429/H429,0)*0.02175),"")</f>
        <v>0.21749999999999997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154.69999999999999</v>
      </c>
      <c r="BN429" s="78">
        <f t="shared" si="60"/>
        <v>154.69999999999999</v>
      </c>
      <c r="BO429" s="78">
        <f t="shared" si="61"/>
        <v>0.20833333333333331</v>
      </c>
      <c r="BP429" s="78">
        <f t="shared" si="62"/>
        <v>0.20833333333333331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350</v>
      </c>
      <c r="Y430" s="55">
        <f t="shared" si="58"/>
        <v>360</v>
      </c>
      <c r="Z430" s="41">
        <f>IFERROR(IF(Y430=0,"",ROUNDUP(Y430/H430,0)*0.02175),"")</f>
        <v>0.52200000000000002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360.96666666666664</v>
      </c>
      <c r="BN430" s="78">
        <f t="shared" si="60"/>
        <v>371.28</v>
      </c>
      <c r="BO430" s="78">
        <f t="shared" si="61"/>
        <v>0.48611111111111105</v>
      </c>
      <c r="BP430" s="78">
        <f t="shared" si="62"/>
        <v>0.5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37.333333333333329</v>
      </c>
      <c r="Y435" s="43">
        <f>IFERROR(Y427/H427,"0")+IFERROR(Y428/H428,"0")+IFERROR(Y429/H429,"0")+IFERROR(Y430/H430,"0")+IFERROR(Y431/H431,"0")+IFERROR(Y432/H432,"0")+IFERROR(Y433/H433,"0")+IFERROR(Y434/H434,"0")</f>
        <v>38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0.82650000000000001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560</v>
      </c>
      <c r="Y436" s="43">
        <f>IFERROR(SUM(Y427:Y434),"0")</f>
        <v>570</v>
      </c>
      <c r="Z436" s="42"/>
      <c r="AA436" s="67"/>
      <c r="AB436" s="67"/>
      <c r="AC436" s="67"/>
    </row>
    <row r="437" spans="1:68" ht="14.25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200</v>
      </c>
      <c r="Y438" s="55">
        <f>IFERROR(IF(X438="",0,CEILING((X438/$H438),1)*$H438),"")</f>
        <v>210</v>
      </c>
      <c r="Z438" s="41">
        <f>IFERROR(IF(Y438=0,"",ROUNDUP(Y438/H438,0)*0.02175),"")</f>
        <v>0.30449999999999999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206.26666666666668</v>
      </c>
      <c r="BN438" s="78">
        <f>IFERROR(Y438*I438/H438,"0")</f>
        <v>216.58</v>
      </c>
      <c r="BO438" s="78">
        <f>IFERROR(1/J438*(X438/H438),"0")</f>
        <v>0.27777777777777779</v>
      </c>
      <c r="BP438" s="78">
        <f>IFERROR(1/J438*(Y438/H438),"0")</f>
        <v>0.29166666666666663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13.333333333333334</v>
      </c>
      <c r="Y441" s="43">
        <f>IFERROR(Y438/H438,"0")+IFERROR(Y439/H439,"0")+IFERROR(Y440/H440,"0")</f>
        <v>14</v>
      </c>
      <c r="Z441" s="43">
        <f>IFERROR(IF(Z438="",0,Z438),"0")+IFERROR(IF(Z439="",0,Z439),"0")+IFERROR(IF(Z440="",0,Z440),"0")</f>
        <v>0.30449999999999999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200</v>
      </c>
      <c r="Y442" s="43">
        <f>IFERROR(SUM(Y438:Y440),"0")</f>
        <v>210</v>
      </c>
      <c r="Z442" s="42"/>
      <c r="AA442" s="67"/>
      <c r="AB442" s="67"/>
      <c r="AC442" s="67"/>
    </row>
    <row r="443" spans="1:68" ht="14.25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20</v>
      </c>
      <c r="Y456" s="55">
        <f>IFERROR(IF(X456="",0,CEILING((X456/$H456),1)*$H456),"")</f>
        <v>24</v>
      </c>
      <c r="Z456" s="41">
        <f>IFERROR(IF(Y456=0,"",ROUNDUP(Y456/H456,0)*0.01898),"")</f>
        <v>3.7960000000000001E-2</v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20.683333333333334</v>
      </c>
      <c r="BN456" s="78">
        <f>IFERROR(Y456*I456/H456,"0")</f>
        <v>24.820000000000004</v>
      </c>
      <c r="BO456" s="78">
        <f>IFERROR(1/J456*(X456/H456),"0")</f>
        <v>2.6041666666666668E-2</v>
      </c>
      <c r="BP456" s="78">
        <f>IFERROR(1/J456*(Y456/H456),"0")</f>
        <v>3.125E-2</v>
      </c>
    </row>
    <row r="457" spans="1:68" ht="37.5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1.6666666666666667</v>
      </c>
      <c r="Y458" s="43">
        <f>IFERROR(Y456/H456,"0")+IFERROR(Y457/H457,"0")</f>
        <v>2</v>
      </c>
      <c r="Z458" s="43">
        <f>IFERROR(IF(Z456="",0,Z456),"0")+IFERROR(IF(Z457="",0,Z457),"0")</f>
        <v>3.7960000000000001E-2</v>
      </c>
      <c r="AA458" s="67"/>
      <c r="AB458" s="67"/>
      <c r="AC458" s="67"/>
    </row>
    <row r="459" spans="1:68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20</v>
      </c>
      <c r="Y459" s="43">
        <f>IFERROR(SUM(Y456:Y457),"0")</f>
        <v>24</v>
      </c>
      <c r="Z459" s="42"/>
      <c r="AA459" s="67"/>
      <c r="AB459" s="67"/>
      <c r="AC459" s="67"/>
    </row>
    <row r="460" spans="1:68" ht="14.25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/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20</v>
      </c>
      <c r="Y474" s="55">
        <f t="shared" si="63"/>
        <v>21.6</v>
      </c>
      <c r="Z474" s="41">
        <f>IFERROR(IF(Y474=0,"",ROUNDUP(Y474/H474,0)*0.00902),"")</f>
        <v>3.6080000000000001E-2</v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20.703703703703702</v>
      </c>
      <c r="BN474" s="78">
        <f t="shared" si="65"/>
        <v>22.36</v>
      </c>
      <c r="BO474" s="78">
        <f t="shared" si="66"/>
        <v>2.8058361391694722E-2</v>
      </c>
      <c r="BP474" s="78">
        <f t="shared" si="67"/>
        <v>3.0303030303030304E-2</v>
      </c>
    </row>
    <row r="475" spans="1:68" ht="27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3.7037037037037033</v>
      </c>
      <c r="Y479" s="43">
        <f>IFERROR(Y473/H473,"0")+IFERROR(Y474/H474,"0")+IFERROR(Y475/H475,"0")+IFERROR(Y476/H476,"0")+IFERROR(Y477/H477,"0")+IFERROR(Y478/H478,"0")</f>
        <v>4</v>
      </c>
      <c r="Z479" s="43">
        <f>IFERROR(IF(Z473="",0,Z473),"0")+IFERROR(IF(Z474="",0,Z474),"0")+IFERROR(IF(Z475="",0,Z475),"0")+IFERROR(IF(Z476="",0,Z476),"0")+IFERROR(IF(Z477="",0,Z477),"0")+IFERROR(IF(Z478="",0,Z478),"0")</f>
        <v>3.6080000000000001E-2</v>
      </c>
      <c r="AA479" s="67"/>
      <c r="AB479" s="67"/>
      <c r="AC479" s="67"/>
    </row>
    <row r="480" spans="1:68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20</v>
      </c>
      <c r="Y480" s="43">
        <f>IFERROR(SUM(Y473:Y478),"0")</f>
        <v>21.6</v>
      </c>
      <c r="Z480" s="42"/>
      <c r="AA480" s="67"/>
      <c r="AB480" s="67"/>
      <c r="AC480" s="67"/>
    </row>
    <row r="481" spans="1:68" ht="14.25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30</v>
      </c>
      <c r="Y492" s="55">
        <f>IFERROR(IF(X492="",0,CEILING((X492/$H492),1)*$H492),"")</f>
        <v>32.400000000000006</v>
      </c>
      <c r="Z492" s="41">
        <f>IFERROR(IF(Y492=0,"",ROUNDUP(Y492/H492,0)*0.00902),"")</f>
        <v>5.4120000000000001E-2</v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31.05555555555555</v>
      </c>
      <c r="BN492" s="78">
        <f>IFERROR(Y492*I492/H492,"0")</f>
        <v>33.54</v>
      </c>
      <c r="BO492" s="78">
        <f>IFERROR(1/J492*(X492/H492),"0")</f>
        <v>4.208754208754209E-2</v>
      </c>
      <c r="BP492" s="78">
        <f>IFERROR(1/J492*(Y492/H492),"0")</f>
        <v>4.5454545454545463E-2</v>
      </c>
    </row>
    <row r="493" spans="1:68" ht="27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5.5555555555555554</v>
      </c>
      <c r="Y495" s="43">
        <f>IFERROR(Y492/H492,"0")+IFERROR(Y493/H493,"0")+IFERROR(Y494/H494,"0")</f>
        <v>6.0000000000000009</v>
      </c>
      <c r="Z495" s="43">
        <f>IFERROR(IF(Z492="",0,Z492),"0")+IFERROR(IF(Z493="",0,Z493),"0")+IFERROR(IF(Z494="",0,Z494),"0")</f>
        <v>5.4120000000000001E-2</v>
      </c>
      <c r="AA495" s="67"/>
      <c r="AB495" s="67"/>
      <c r="AC495" s="67"/>
    </row>
    <row r="496" spans="1:68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30</v>
      </c>
      <c r="Y496" s="43">
        <f>IFERROR(SUM(Y492:Y494),"0")</f>
        <v>32.400000000000006</v>
      </c>
      <c r="Z496" s="42"/>
      <c r="AA496" s="67"/>
      <c r="AB496" s="67"/>
      <c r="AC496" s="67"/>
    </row>
    <row r="497" spans="1:68" ht="27.75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15</v>
      </c>
      <c r="Y500" s="55">
        <f t="shared" ref="Y500:Y508" si="68">IFERROR(IF(X500="",0,CEILING((X500/$H500),1)*$H500),"")</f>
        <v>15.84</v>
      </c>
      <c r="Z500" s="41">
        <f t="shared" ref="Z500:Z505" si="69">IFERROR(IF(Y500=0,"",ROUNDUP(Y500/H500,0)*0.01196),"")</f>
        <v>3.5880000000000002E-2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15.994318181818182</v>
      </c>
      <c r="BN500" s="78">
        <f t="shared" ref="BN500:BN508" si="71">IFERROR(Y500*I500/H500,"0")</f>
        <v>16.889999999999997</v>
      </c>
      <c r="BO500" s="78">
        <f t="shared" ref="BO500:BO508" si="72">IFERROR(1/J500*(X500/H500),"0")</f>
        <v>2.7316433566433568E-2</v>
      </c>
      <c r="BP500" s="78">
        <f t="shared" ref="BP500:BP508" si="73">IFERROR(1/J500*(Y500/H500),"0")</f>
        <v>2.8846153846153848E-2</v>
      </c>
    </row>
    <row r="501" spans="1:68" ht="16.5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/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/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/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2.8409090909090908</v>
      </c>
      <c r="Y509" s="43">
        <f>IFERROR(Y500/H500,"0")+IFERROR(Y501/H501,"0")+IFERROR(Y502/H502,"0")+IFERROR(Y503/H503,"0")+IFERROR(Y504/H504,"0")+IFERROR(Y505/H505,"0")+IFERROR(Y506/H506,"0")+IFERROR(Y507/H507,"0")+IFERROR(Y508/H508,"0")</f>
        <v>3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3.5880000000000002E-2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15</v>
      </c>
      <c r="Y510" s="43">
        <f>IFERROR(SUM(Y500:Y508),"0")</f>
        <v>15.84</v>
      </c>
      <c r="Z510" s="42"/>
      <c r="AA510" s="67"/>
      <c r="AB510" s="67"/>
      <c r="AC510" s="67"/>
    </row>
    <row r="511" spans="1:68" ht="14.25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60</v>
      </c>
      <c r="Y512" s="55">
        <f>IFERROR(IF(X512="",0,CEILING((X512/$H512),1)*$H512),"")</f>
        <v>63.36</v>
      </c>
      <c r="Z512" s="41">
        <f>IFERROR(IF(Y512=0,"",ROUNDUP(Y512/H512,0)*0.01196),"")</f>
        <v>0.14352000000000001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63.977272727272727</v>
      </c>
      <c r="BN512" s="78">
        <f>IFERROR(Y512*I512/H512,"0")</f>
        <v>67.559999999999988</v>
      </c>
      <c r="BO512" s="78">
        <f>IFERROR(1/J512*(X512/H512),"0")</f>
        <v>0.10926573426573427</v>
      </c>
      <c r="BP512" s="78">
        <f>IFERROR(1/J512*(Y512/H512),"0")</f>
        <v>0.11538461538461539</v>
      </c>
    </row>
    <row r="513" spans="1:68" ht="16.5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11.363636363636363</v>
      </c>
      <c r="Y515" s="43">
        <f>IFERROR(Y512/H512,"0")+IFERROR(Y513/H513,"0")+IFERROR(Y514/H514,"0")</f>
        <v>12</v>
      </c>
      <c r="Z515" s="43">
        <f>IFERROR(IF(Z512="",0,Z512),"0")+IFERROR(IF(Z513="",0,Z513),"0")+IFERROR(IF(Z514="",0,Z514),"0")</f>
        <v>0.14352000000000001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60</v>
      </c>
      <c r="Y516" s="43">
        <f>IFERROR(SUM(Y512:Y514),"0")</f>
        <v>63.36</v>
      </c>
      <c r="Z516" s="42"/>
      <c r="AA516" s="67"/>
      <c r="AB516" s="67"/>
      <c r="AC516" s="67"/>
    </row>
    <row r="517" spans="1:68" ht="14.25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15</v>
      </c>
      <c r="Y518" s="55">
        <f t="shared" ref="Y518:Y524" si="74">IFERROR(IF(X518="",0,CEILING((X518/$H518),1)*$H518),"")</f>
        <v>15.84</v>
      </c>
      <c r="Z518" s="41">
        <f>IFERROR(IF(Y518=0,"",ROUNDUP(Y518/H518,0)*0.01196),"")</f>
        <v>3.5880000000000002E-2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15.994318181818182</v>
      </c>
      <c r="BN518" s="78">
        <f t="shared" ref="BN518:BN524" si="76">IFERROR(Y518*I518/H518,"0")</f>
        <v>16.889999999999997</v>
      </c>
      <c r="BO518" s="78">
        <f t="shared" ref="BO518:BO524" si="77">IFERROR(1/J518*(X518/H518),"0")</f>
        <v>2.7316433566433568E-2</v>
      </c>
      <c r="BP518" s="78">
        <f t="shared" ref="BP518:BP524" si="78">IFERROR(1/J518*(Y518/H518),"0")</f>
        <v>2.8846153846153848E-2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/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50</v>
      </c>
      <c r="Y520" s="55">
        <f t="shared" si="74"/>
        <v>52.800000000000004</v>
      </c>
      <c r="Z520" s="41">
        <f>IFERROR(IF(Y520=0,"",ROUNDUP(Y520/H520,0)*0.01196),"")</f>
        <v>0.1196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53.314393939393938</v>
      </c>
      <c r="BN520" s="78">
        <f t="shared" si="76"/>
        <v>56.3</v>
      </c>
      <c r="BO520" s="78">
        <f t="shared" si="77"/>
        <v>9.1054778554778545E-2</v>
      </c>
      <c r="BP520" s="78">
        <f t="shared" si="78"/>
        <v>9.6153846153846159E-2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12.310606060606059</v>
      </c>
      <c r="Y525" s="43">
        <f>IFERROR(Y518/H518,"0")+IFERROR(Y519/H519,"0")+IFERROR(Y520/H520,"0")+IFERROR(Y521/H521,"0")+IFERROR(Y522/H522,"0")+IFERROR(Y523/H523,"0")+IFERROR(Y524/H524,"0")</f>
        <v>13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0.15548000000000001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65</v>
      </c>
      <c r="Y526" s="43">
        <f>IFERROR(SUM(Y518:Y524),"0")</f>
        <v>68.64</v>
      </c>
      <c r="Z526" s="42"/>
      <c r="AA526" s="67"/>
      <c r="AB526" s="67"/>
      <c r="AC526" s="67"/>
    </row>
    <row r="527" spans="1:68" ht="27.75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/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200</v>
      </c>
      <c r="Y542" s="55">
        <f>IFERROR(IF(X542="",0,CEILING((X542/$H542),1)*$H542),"")</f>
        <v>207</v>
      </c>
      <c r="Z542" s="41">
        <f>IFERROR(IF(Y542=0,"",ROUNDUP(Y542/H542,0)*0.01898),"")</f>
        <v>0.43653999999999998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210.97777777777776</v>
      </c>
      <c r="BN542" s="78">
        <f>IFERROR(Y542*I542/H542,"0")</f>
        <v>218.36199999999999</v>
      </c>
      <c r="BO542" s="78">
        <f>IFERROR(1/J542*(X542/H542),"0")</f>
        <v>0.34722222222222221</v>
      </c>
      <c r="BP542" s="78">
        <f>IFERROR(1/J542*(Y542/H542),"0")</f>
        <v>0.359375</v>
      </c>
    </row>
    <row r="543" spans="1:68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22.222222222222221</v>
      </c>
      <c r="Y543" s="43">
        <f>IFERROR(Y542/H542,"0")</f>
        <v>23</v>
      </c>
      <c r="Z543" s="43">
        <f>IFERROR(IF(Z542="",0,Z542),"0")</f>
        <v>0.43653999999999998</v>
      </c>
      <c r="AA543" s="67"/>
      <c r="AB543" s="67"/>
      <c r="AC543" s="67"/>
    </row>
    <row r="544" spans="1:68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200</v>
      </c>
      <c r="Y544" s="43">
        <f>IFERROR(SUM(Y542:Y542),"0")</f>
        <v>207</v>
      </c>
      <c r="Z544" s="42"/>
      <c r="AA544" s="67"/>
      <c r="AB544" s="67"/>
      <c r="AC544" s="67"/>
    </row>
    <row r="545" spans="1:68" ht="14.25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2010.56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2077.64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2103.337195521503</v>
      </c>
      <c r="Y556" s="43">
        <f>IFERROR(SUM(BN22:BN552),"0")</f>
        <v>2173.3359999999993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4</v>
      </c>
      <c r="Y557" s="44">
        <f>ROUNDUP(SUM(BP22:BP552),0)</f>
        <v>4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2203.337195521503</v>
      </c>
      <c r="Y558" s="43">
        <f>GrossWeightTotalR+PalletQtyTotalR*25</f>
        <v>2273.3359999999993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269.2206885057762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278</v>
      </c>
      <c r="Z559" s="42"/>
      <c r="AA559" s="67"/>
      <c r="AB559" s="67"/>
      <c r="AC559" s="67"/>
    </row>
    <row r="560" spans="1:68" ht="14.25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3.9759700000000002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67.5</v>
      </c>
      <c r="F565" s="52">
        <f>IFERROR(Y84*1,"0")+IFERROR(Y85*1,"0")+IFERROR(Y86*1,"0")+IFERROR(Y87*1,"0")+IFERROR(Y91*1,"0")+IFERROR(Y92*1,"0")+IFERROR(Y93*1,"0")+IFERROR(Y94*1,"0")</f>
        <v>16.2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202.5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144.76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4.8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195.29999999999998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54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31.2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129.63999999999999</v>
      </c>
      <c r="U565" s="52">
        <f>IFERROR(Y413*1,"0")+IFERROR(Y414*1,"0")</f>
        <v>0</v>
      </c>
      <c r="V565" s="52">
        <f>IFERROR(Y419*1,"0")+IFERROR(Y420*1,"0")+IFERROR(Y421*1,"0")</f>
        <v>18.900000000000002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780</v>
      </c>
      <c r="X565" s="52">
        <f>IFERROR(Y456*1,"0")+IFERROR(Y457*1,"0")+IFERROR(Y461*1,"0")+IFERROR(Y465*1,"0")+IFERROR(Y466*1,"0")+IFERROR(Y467*1,"0")</f>
        <v>24</v>
      </c>
      <c r="Y565" s="52">
        <f>IFERROR(Y473*1,"0")+IFERROR(Y474*1,"0")+IFERROR(Y475*1,"0")+IFERROR(Y476*1,"0")+IFERROR(Y477*1,"0")+IFERROR(Y478*1,"0")+IFERROR(Y482*1,"0")+IFERROR(Y483*1,"0")</f>
        <v>21.6</v>
      </c>
      <c r="Z565" s="52">
        <f>IFERROR(Y488*1,"0")+IFERROR(Y492*1,"0")+IFERROR(Y493*1,"0")+IFERROR(Y494*1,"0")</f>
        <v>32.400000000000006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147.84</v>
      </c>
      <c r="AB565" s="52">
        <f>IFERROR(Y530*1,"0")+IFERROR(Y534*1,"0")+IFERROR(Y538*1,"0")+IFERROR(Y542*1,"0")+IFERROR(Y546*1,"0")+IFERROR(Y547*1,"0")</f>
        <v>207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1160</vt:i4>
      </vt:variant>
    </vt:vector>
  </HeadingPairs>
  <TitlesOfParts>
    <vt:vector size="116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2026-08-17T11:34:11Z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