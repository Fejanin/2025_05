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AE1E4F91-EC27-4917-93FA-B95CD8958C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P423" i="2"/>
  <c r="BO423" i="2"/>
  <c r="BN423" i="2"/>
  <c r="BM423" i="2"/>
  <c r="Z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Z409" i="2"/>
  <c r="Y409" i="2"/>
  <c r="BP409" i="2" s="1"/>
  <c r="P409" i="2"/>
  <c r="BO408" i="2"/>
  <c r="BM408" i="2"/>
  <c r="Z408" i="2"/>
  <c r="Z411" i="2" s="1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Z335" i="2"/>
  <c r="Y335" i="2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P327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Z311" i="2"/>
  <c r="Z312" i="2" s="1"/>
  <c r="Y311" i="2"/>
  <c r="Y313" i="2" s="1"/>
  <c r="P311" i="2"/>
  <c r="X309" i="2"/>
  <c r="X308" i="2"/>
  <c r="BO307" i="2"/>
  <c r="BN307" i="2"/>
  <c r="BM307" i="2"/>
  <c r="Z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P296" i="2"/>
  <c r="BO295" i="2"/>
  <c r="BN295" i="2"/>
  <c r="BM295" i="2"/>
  <c r="Z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P248" i="2"/>
  <c r="BO248" i="2"/>
  <c r="BM248" i="2"/>
  <c r="Y248" i="2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Z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Z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Z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Z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Y85" i="2"/>
  <c r="X85" i="2"/>
  <c r="X84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54" i="2" l="1"/>
  <c r="BN121" i="2"/>
  <c r="BN140" i="2"/>
  <c r="BP161" i="2"/>
  <c r="BN202" i="2"/>
  <c r="BP240" i="2"/>
  <c r="BN241" i="2"/>
  <c r="BN264" i="2"/>
  <c r="BN269" i="2"/>
  <c r="BP269" i="2"/>
  <c r="BN273" i="2"/>
  <c r="BP273" i="2"/>
  <c r="BN284" i="2"/>
  <c r="BP329" i="2"/>
  <c r="BN342" i="2"/>
  <c r="BP342" i="2"/>
  <c r="Y369" i="2"/>
  <c r="BP366" i="2"/>
  <c r="BN417" i="2"/>
  <c r="Y437" i="2"/>
  <c r="BP457" i="2"/>
  <c r="BN479" i="2"/>
  <c r="Y531" i="2"/>
  <c r="D561" i="2"/>
  <c r="BN52" i="2"/>
  <c r="Z72" i="2"/>
  <c r="BP83" i="2"/>
  <c r="Z88" i="2"/>
  <c r="BN88" i="2"/>
  <c r="BP141" i="2"/>
  <c r="Z149" i="2"/>
  <c r="BN156" i="2"/>
  <c r="Z161" i="2"/>
  <c r="Z162" i="2" s="1"/>
  <c r="Y163" i="2"/>
  <c r="Z184" i="2"/>
  <c r="Y203" i="2"/>
  <c r="Y204" i="2"/>
  <c r="BP226" i="2"/>
  <c r="BN235" i="2"/>
  <c r="Z240" i="2"/>
  <c r="Z249" i="2"/>
  <c r="BN260" i="2"/>
  <c r="Y298" i="2"/>
  <c r="BP304" i="2"/>
  <c r="BN305" i="2"/>
  <c r="Z306" i="2"/>
  <c r="Z319" i="2"/>
  <c r="Z329" i="2"/>
  <c r="Z330" i="2"/>
  <c r="Z366" i="2"/>
  <c r="Z367" i="2"/>
  <c r="BN375" i="2"/>
  <c r="Z377" i="2"/>
  <c r="Y412" i="2"/>
  <c r="BP408" i="2"/>
  <c r="BP426" i="2"/>
  <c r="BP428" i="2"/>
  <c r="BN429" i="2"/>
  <c r="BN453" i="2"/>
  <c r="Z457" i="2"/>
  <c r="Z458" i="2" s="1"/>
  <c r="BN489" i="2"/>
  <c r="Z503" i="2"/>
  <c r="BN503" i="2"/>
  <c r="BN504" i="2"/>
  <c r="Z538" i="2"/>
  <c r="Z539" i="2" s="1"/>
  <c r="BN515" i="2"/>
  <c r="Z501" i="2"/>
  <c r="BP501" i="2"/>
  <c r="BP484" i="2"/>
  <c r="Z478" i="2"/>
  <c r="BP478" i="2"/>
  <c r="BN470" i="2"/>
  <c r="Z469" i="2"/>
  <c r="W561" i="2"/>
  <c r="Z441" i="2"/>
  <c r="BP441" i="2"/>
  <c r="Z434" i="2"/>
  <c r="BP434" i="2"/>
  <c r="Z427" i="2"/>
  <c r="Z425" i="2"/>
  <c r="Z416" i="2"/>
  <c r="BP416" i="2"/>
  <c r="Z415" i="2"/>
  <c r="BN396" i="2"/>
  <c r="BP391" i="2"/>
  <c r="BP385" i="2"/>
  <c r="BN384" i="2"/>
  <c r="Z383" i="2"/>
  <c r="Y387" i="2"/>
  <c r="BN383" i="2"/>
  <c r="Z372" i="2"/>
  <c r="BP365" i="2"/>
  <c r="Y370" i="2"/>
  <c r="Z365" i="2"/>
  <c r="BN364" i="2"/>
  <c r="Z363" i="2"/>
  <c r="BP363" i="2"/>
  <c r="Z346" i="2"/>
  <c r="Z344" i="2"/>
  <c r="BP344" i="2"/>
  <c r="Z337" i="2"/>
  <c r="BN328" i="2"/>
  <c r="Y331" i="2"/>
  <c r="Z327" i="2"/>
  <c r="BN290" i="2"/>
  <c r="Z283" i="2"/>
  <c r="BP283" i="2"/>
  <c r="Z282" i="2"/>
  <c r="Z275" i="2"/>
  <c r="Z272" i="2"/>
  <c r="BP244" i="2"/>
  <c r="Z242" i="2"/>
  <c r="BP234" i="2"/>
  <c r="Z232" i="2"/>
  <c r="BN231" i="2"/>
  <c r="Z230" i="2"/>
  <c r="BP230" i="2"/>
  <c r="BP225" i="2"/>
  <c r="Z225" i="2"/>
  <c r="Z191" i="2"/>
  <c r="Z187" i="2"/>
  <c r="BP187" i="2"/>
  <c r="Z185" i="2"/>
  <c r="BN185" i="2"/>
  <c r="Z178" i="2"/>
  <c r="BN166" i="2"/>
  <c r="Z166" i="2"/>
  <c r="Y170" i="2"/>
  <c r="H561" i="2"/>
  <c r="Z139" i="2"/>
  <c r="Y143" i="2"/>
  <c r="Z132" i="2"/>
  <c r="BP132" i="2"/>
  <c r="BN120" i="2"/>
  <c r="Z116" i="2"/>
  <c r="BP98" i="2"/>
  <c r="Z98" i="2"/>
  <c r="Z95" i="2"/>
  <c r="Z91" i="2"/>
  <c r="Y93" i="2"/>
  <c r="BN77" i="2"/>
  <c r="BN65" i="2"/>
  <c r="Z62" i="2"/>
  <c r="Z53" i="2"/>
  <c r="BN53" i="2"/>
  <c r="Z51" i="2"/>
  <c r="X555" i="2"/>
  <c r="Y55" i="2"/>
  <c r="BN42" i="2"/>
  <c r="Y47" i="2"/>
  <c r="BN41" i="2"/>
  <c r="Z41" i="2"/>
  <c r="BN29" i="2"/>
  <c r="BN30" i="2"/>
  <c r="Z28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Z338" i="2" s="1"/>
  <c r="Y352" i="2"/>
  <c r="Z391" i="2"/>
  <c r="BN403" i="2"/>
  <c r="Z426" i="2"/>
  <c r="Z431" i="2" s="1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136" i="2" l="1"/>
  <c r="Z322" i="2"/>
  <c r="Z454" i="2"/>
  <c r="Z437" i="2"/>
  <c r="Z369" i="2"/>
  <c r="Z331" i="2"/>
  <c r="Z99" i="2"/>
  <c r="Z55" i="2"/>
  <c r="Z379" i="2"/>
  <c r="Z292" i="2"/>
  <c r="Z277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<sst xmlns="http://schemas.openxmlformats.org/spreadsheetml/2006/main" count="4201" uniqueCount="895">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</sst>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zoomScaleNormal="100" zoomScaleSheetLayoutView="100" workbookViewId="0">
      <selection activeCell="Q10" sqref="Q10:R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3</v>
      </c>
      <c r="Y32" s="43">
        <f>IFERROR(Y27/H27,"0")+IFERROR(Y28/H28,"0")+IFERROR(Y29/H29,"0")+IFERROR(Y30/H30,"0")+IFERROR(Y31/H31,"0")</f>
        <v>3</v>
      </c>
      <c r="Z32" s="43">
        <f>IFERROR(IF(Z27="",0,Z27),"0")+IFERROR(IF(Z28="",0,Z28),"0")+IFERROR(IF(Z29="",0,Z29),"0")+IFERROR(IF(Z30="",0,Z30),"0")+IFERROR(IF(Z31="",0,Z31),"0")</f>
        <v>1.9529999999999999E-2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6.12</v>
      </c>
      <c r="Y33" s="43">
        <f>IFERROR(SUM(Y27:Y31),"0")</f>
        <v>6.12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1.92</v>
      </c>
      <c r="Y41" s="55">
        <f>IFERROR(IF(X41="",0,CEILING((X41/$H41),1)*$H41),"")</f>
        <v>1.92</v>
      </c>
      <c r="Z41" s="41">
        <f>IFERROR(IF(Y41=0,"",ROUNDUP(Y41/H41,0)*0.00651),"")</f>
        <v>6.5100000000000002E-3</v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2.1</v>
      </c>
      <c r="BN41" s="78">
        <f>IFERROR(Y41*I41/H41,"0")</f>
        <v>2.1</v>
      </c>
      <c r="BO41" s="78">
        <f>IFERROR(1/J41*(X41/H41),"0")</f>
        <v>5.4945054945054949E-3</v>
      </c>
      <c r="BP41" s="78">
        <f>IFERROR(1/J41*(Y41/H41),"0")</f>
        <v>5.4945054945054949E-3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1.92</v>
      </c>
      <c r="Y42" s="55">
        <f>IFERROR(IF(X42="",0,CEILING((X42/$H42),1)*$H42),"")</f>
        <v>1.92</v>
      </c>
      <c r="Z42" s="41">
        <f>IFERROR(IF(Y42=0,"",ROUNDUP(Y42/H42,0)*0.00651),"")</f>
        <v>6.5100000000000002E-3</v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2.1</v>
      </c>
      <c r="BN42" s="78">
        <f>IFERROR(Y42*I42/H42,"0")</f>
        <v>2.1</v>
      </c>
      <c r="BO42" s="78">
        <f>IFERROR(1/J42*(X42/H42),"0")</f>
        <v>5.4945054945054949E-3</v>
      </c>
      <c r="BP42" s="78">
        <f>IFERROR(1/J42*(Y42/H42),"0")</f>
        <v>5.4945054945054949E-3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1.92</v>
      </c>
      <c r="Y43" s="55">
        <f>IFERROR(IF(X43="",0,CEILING((X43/$H43),1)*$H43),"")</f>
        <v>1.92</v>
      </c>
      <c r="Z43" s="41">
        <f>IFERROR(IF(Y43=0,"",ROUNDUP(Y43/H43,0)*0.00651),"")</f>
        <v>6.5100000000000002E-3</v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2.1</v>
      </c>
      <c r="BN43" s="78">
        <f>IFERROR(Y43*I43/H43,"0")</f>
        <v>2.1</v>
      </c>
      <c r="BO43" s="78">
        <f>IFERROR(1/J43*(X43/H43),"0")</f>
        <v>5.4945054945054949E-3</v>
      </c>
      <c r="BP43" s="78">
        <f>IFERROR(1/J43*(Y43/H43),"0")</f>
        <v>5.4945054945054949E-3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3</v>
      </c>
      <c r="Y46" s="43">
        <f>IFERROR(Y41/H41,"0")+IFERROR(Y42/H42,"0")+IFERROR(Y43/H43,"0")+IFERROR(Y44/H44,"0")+IFERROR(Y45/H45,"0")</f>
        <v>3</v>
      </c>
      <c r="Z46" s="43">
        <f>IFERROR(IF(Z41="",0,Z41),"0")+IFERROR(IF(Z42="",0,Z42),"0")+IFERROR(IF(Z43="",0,Z43),"0")+IFERROR(IF(Z44="",0,Z44),"0")+IFERROR(IF(Z45="",0,Z45),"0")</f>
        <v>1.9529999999999999E-2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5.76</v>
      </c>
      <c r="Y47" s="43">
        <f>IFERROR(SUM(Y41:Y45),"0")</f>
        <v>5.76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108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112.1</v>
      </c>
      <c r="BN51" s="78">
        <f>IFERROR(Y51*I51/H51,"0")</f>
        <v>112.1</v>
      </c>
      <c r="BO51" s="78">
        <f>IFERROR(1/J51*(X51/H51),"0")</f>
        <v>0.15625</v>
      </c>
      <c r="BP51" s="78">
        <f>IFERROR(1/J51*(Y51/H51),"0")</f>
        <v>0.15625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28</v>
      </c>
      <c r="Y53" s="55">
        <f>IFERROR(IF(X53="",0,CEILING((X53/$H53),1)*$H53),"")</f>
        <v>28</v>
      </c>
      <c r="Z53" s="41">
        <f>IFERROR(IF(Y53=0,"",ROUNDUP(Y53/H53,0)*0.00902),"")</f>
        <v>6.3140000000000002E-2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29.330000000000002</v>
      </c>
      <c r="BN53" s="78">
        <f>IFERROR(Y53*I53/H53,"0")</f>
        <v>29.330000000000002</v>
      </c>
      <c r="BO53" s="78">
        <f>IFERROR(1/J53*(X53/H53),"0")</f>
        <v>5.3030303030303032E-2</v>
      </c>
      <c r="BP53" s="78">
        <f>IFERROR(1/J53*(Y53/H53),"0")</f>
        <v>5.3030303030303032E-2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17</v>
      </c>
      <c r="Y55" s="43">
        <f>IFERROR(Y51/H51,"0")+IFERROR(Y52/H52,"0")+IFERROR(Y53/H53,"0")+IFERROR(Y54/H54,"0")</f>
        <v>17</v>
      </c>
      <c r="Z55" s="43">
        <f>IFERROR(IF(Z51="",0,Z51),"0")+IFERROR(IF(Z52="",0,Z52),"0")+IFERROR(IF(Z53="",0,Z53),"0")+IFERROR(IF(Z54="",0,Z54),"0")</f>
        <v>0.25294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136</v>
      </c>
      <c r="Y56" s="43">
        <f>IFERROR(SUM(Y51:Y54),"0")</f>
        <v>136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4.2</v>
      </c>
      <c r="Y65" s="55">
        <f t="shared" si="0"/>
        <v>4.2</v>
      </c>
      <c r="Z65" s="41">
        <f>IFERROR(IF(Y65=0,"",ROUNDUP(Y65/H65,0)*0.00651),"")</f>
        <v>1.302E-2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4.5599999999999996</v>
      </c>
      <c r="BN65" s="78">
        <f t="shared" si="2"/>
        <v>4.5599999999999996</v>
      </c>
      <c r="BO65" s="78">
        <f t="shared" si="3"/>
        <v>1.098901098901099E-2</v>
      </c>
      <c r="BP65" s="78">
        <f t="shared" si="4"/>
        <v>1.098901098901099E-2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13</v>
      </c>
      <c r="Y67" s="43">
        <f>IFERROR(Y59/H59,"0")+IFERROR(Y60/H60,"0")+IFERROR(Y61/H61,"0")+IFERROR(Y62/H62,"0")+IFERROR(Y63/H63,"0")+IFERROR(Y64/H64,"0")+IFERROR(Y65/H65,"0")+IFERROR(Y66/H66,"0")</f>
        <v>13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0.14212000000000002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74.7</v>
      </c>
      <c r="Y68" s="43">
        <f>IFERROR(SUM(Y59:Y66),"0")</f>
        <v>74.699999999999989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108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112.1</v>
      </c>
      <c r="BN70" s="78">
        <f>IFERROR(Y70*I70/H70,"0")</f>
        <v>112.1</v>
      </c>
      <c r="BO70" s="78">
        <f>IFERROR(1/J70*(X70/H70),"0")</f>
        <v>0.15625</v>
      </c>
      <c r="BP70" s="78">
        <f>IFERROR(1/J70*(Y70/H70),"0")</f>
        <v>0.15625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21.6</v>
      </c>
      <c r="Y73" s="55">
        <f>IFERROR(IF(X73="",0,CEILING((X73/$H73),1)*$H73),"")</f>
        <v>21.6</v>
      </c>
      <c r="Z73" s="41">
        <f>IFERROR(IF(Y73=0,"",ROUNDUP(Y73/H73,0)*0.00651),"")</f>
        <v>5.2080000000000001E-2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23.04</v>
      </c>
      <c r="BN73" s="78">
        <f>IFERROR(Y73*I73/H73,"0")</f>
        <v>23.04</v>
      </c>
      <c r="BO73" s="78">
        <f>IFERROR(1/J73*(X73/H73),"0")</f>
        <v>4.3956043956043959E-2</v>
      </c>
      <c r="BP73" s="78">
        <f>IFERROR(1/J73*(Y73/H73),"0")</f>
        <v>4.3956043956043959E-2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18</v>
      </c>
      <c r="Y74" s="43">
        <f>IFERROR(Y70/H70,"0")+IFERROR(Y71/H71,"0")+IFERROR(Y72/H72,"0")+IFERROR(Y73/H73,"0")</f>
        <v>18</v>
      </c>
      <c r="Z74" s="43">
        <f>IFERROR(IF(Z70="",0,Z70),"0")+IFERROR(IF(Z71="",0,Z71),"0")+IFERROR(IF(Z72="",0,Z72),"0")+IFERROR(IF(Z73="",0,Z73),"0")</f>
        <v>0.24187999999999998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129.6</v>
      </c>
      <c r="Y75" s="43">
        <f>IFERROR(SUM(Y70:Y73),"0")</f>
        <v>129.6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1.8</v>
      </c>
      <c r="Y77" s="55">
        <f>IFERROR(IF(X77="",0,CEILING((X77/$H77),1)*$H77),"")</f>
        <v>1.8</v>
      </c>
      <c r="Z77" s="41">
        <f>IFERROR(IF(Y77=0,"",ROUNDUP(Y77/H77,0)*0.00651),"")</f>
        <v>6.5100000000000002E-3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2.0459999999999998</v>
      </c>
      <c r="BN77" s="78">
        <f>IFERROR(Y77*I77/H77,"0")</f>
        <v>2.0459999999999998</v>
      </c>
      <c r="BO77" s="78">
        <f>IFERROR(1/J77*(X77/H77),"0")</f>
        <v>5.4945054945054949E-3</v>
      </c>
      <c r="BP77" s="78">
        <f>IFERROR(1/J77*(Y77/H77),"0")</f>
        <v>5.4945054945054949E-3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13.5</v>
      </c>
      <c r="Y91" s="55">
        <f>IFERROR(IF(X91="",0,CEILING((X91/$H91),1)*$H91),"")</f>
        <v>13.5</v>
      </c>
      <c r="Z91" s="41">
        <f>IFERROR(IF(Y91=0,"",ROUNDUP(Y91/H91,0)*0.00902),"")</f>
        <v>2.7060000000000001E-2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14.07</v>
      </c>
      <c r="BN91" s="78">
        <f>IFERROR(Y91*I91/H91,"0")</f>
        <v>14.07</v>
      </c>
      <c r="BO91" s="78">
        <f>IFERROR(1/J91*(X91/H91),"0")</f>
        <v>2.2727272727272728E-2</v>
      </c>
      <c r="BP91" s="78">
        <f>IFERROR(1/J91*(Y91/H91),"0")</f>
        <v>2.2727272727272728E-2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3</v>
      </c>
      <c r="Y92" s="43">
        <f>IFERROR(Y88/H88,"0")+IFERROR(Y89/H89,"0")+IFERROR(Y90/H90,"0")+IFERROR(Y91/H91,"0")</f>
        <v>3</v>
      </c>
      <c r="Z92" s="43">
        <f>IFERROR(IF(Z88="",0,Z88),"0")+IFERROR(IF(Z89="",0,Z89),"0")+IFERROR(IF(Z90="",0,Z90),"0")+IFERROR(IF(Z91="",0,Z91),"0")</f>
        <v>2.7060000000000001E-2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13.5</v>
      </c>
      <c r="Y93" s="43">
        <f>IFERROR(SUM(Y88:Y91),"0")</f>
        <v>13.5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64.8</v>
      </c>
      <c r="Y95" s="55">
        <f>IFERROR(IF(X95="",0,CEILING((X95/$H95),1)*$H95),"")</f>
        <v>64.8</v>
      </c>
      <c r="Z95" s="41">
        <f>IFERROR(IF(Y95=0,"",ROUNDUP(Y95/H95,0)*0.01898),"")</f>
        <v>0.15184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68.751999999999995</v>
      </c>
      <c r="BN95" s="78">
        <f>IFERROR(Y95*I95/H95,"0")</f>
        <v>68.751999999999995</v>
      </c>
      <c r="BO95" s="78">
        <f>IFERROR(1/J95*(X95/H95),"0")</f>
        <v>0.125</v>
      </c>
      <c r="BP95" s="78">
        <f>IFERROR(1/J95*(Y95/H95),"0")</f>
        <v>0.125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2.7</v>
      </c>
      <c r="Y97" s="55">
        <f>IFERROR(IF(X97="",0,CEILING((X97/$H97),1)*$H97),"")</f>
        <v>2.7</v>
      </c>
      <c r="Z97" s="41">
        <f>IFERROR(IF(Y97=0,"",ROUNDUP(Y97/H97,0)*0.00651),"")</f>
        <v>6.5100000000000002E-3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2.952</v>
      </c>
      <c r="BN97" s="78">
        <f>IFERROR(Y97*I97/H97,"0")</f>
        <v>2.952</v>
      </c>
      <c r="BO97" s="78">
        <f>IFERROR(1/J97*(X97/H97),"0")</f>
        <v>5.4945054945054949E-3</v>
      </c>
      <c r="BP97" s="78">
        <f>IFERROR(1/J97*(Y97/H97),"0")</f>
        <v>5.4945054945054949E-3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10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0.16485999999999998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69.48</v>
      </c>
      <c r="Y100" s="43">
        <f>IFERROR(SUM(Y95:Y98),"0")</f>
        <v>69.48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13.5</v>
      </c>
      <c r="Y107" s="55">
        <f t="shared" si="5"/>
        <v>13.5</v>
      </c>
      <c r="Z107" s="41">
        <f>IFERROR(IF(Y107=0,"",ROUNDUP(Y107/H107,0)*0.00902),"")</f>
        <v>2.7060000000000001E-2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14.07</v>
      </c>
      <c r="BN107" s="78">
        <f t="shared" si="7"/>
        <v>14.07</v>
      </c>
      <c r="BO107" s="78">
        <f t="shared" si="8"/>
        <v>2.2727272727272728E-2</v>
      </c>
      <c r="BP107" s="78">
        <f t="shared" si="9"/>
        <v>2.2727272727272728E-2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5</v>
      </c>
      <c r="Y109" s="43">
        <f>IFERROR(Y103/H103,"0")+IFERROR(Y104/H104,"0")+IFERROR(Y105/H105,"0")+IFERROR(Y106/H106,"0")+IFERROR(Y107/H107,"0")+IFERROR(Y108/H108,"0")</f>
        <v>5</v>
      </c>
      <c r="Z109" s="43">
        <f>IFERROR(IF(Z103="",0,Z103),"0")+IFERROR(IF(Z104="",0,Z104),"0")+IFERROR(IF(Z105="",0,Z105),"0")+IFERROR(IF(Z106="",0,Z106),"0")+IFERROR(IF(Z107="",0,Z107),"0")+IFERROR(IF(Z108="",0,Z108),"0")</f>
        <v>4.5100000000000001E-2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22.5</v>
      </c>
      <c r="Y110" s="43">
        <f>IFERROR(SUM(Y103:Y108),"0")</f>
        <v>22.5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32.4</v>
      </c>
      <c r="Y112" s="55">
        <f>IFERROR(IF(X112="",0,CEILING((X112/$H112),1)*$H112),"")</f>
        <v>32.400000000000006</v>
      </c>
      <c r="Z112" s="41">
        <f>IFERROR(IF(Y112=0,"",ROUNDUP(Y112/H112,0)*0.01898),"")</f>
        <v>5.6940000000000004E-2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33.629999999999995</v>
      </c>
      <c r="BN112" s="78">
        <f>IFERROR(Y112*I112/H112,"0")</f>
        <v>33.630000000000003</v>
      </c>
      <c r="BO112" s="78">
        <f>IFERROR(1/J112*(X112/H112),"0")</f>
        <v>4.6874999999999993E-2</v>
      </c>
      <c r="BP112" s="78">
        <f>IFERROR(1/J112*(Y112/H112),"0")</f>
        <v>4.6875000000000007E-2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7.2</v>
      </c>
      <c r="Y116" s="55">
        <f>IFERROR(IF(X116="",0,CEILING((X116/$H116),1)*$H116),"")</f>
        <v>7.1999999999999993</v>
      </c>
      <c r="Z116" s="41">
        <f>IFERROR(IF(Y116=0,"",ROUNDUP(Y116/H116,0)*0.00651),"")</f>
        <v>1.9529999999999999E-2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7.74</v>
      </c>
      <c r="BN116" s="78">
        <f>IFERROR(Y116*I116/H116,"0")</f>
        <v>7.7399999999999993</v>
      </c>
      <c r="BO116" s="78">
        <f>IFERROR(1/J116*(X116/H116),"0")</f>
        <v>1.6483516483516484E-2</v>
      </c>
      <c r="BP116" s="78">
        <f>IFERROR(1/J116*(Y116/H116),"0")</f>
        <v>1.6483516483516484E-2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6</v>
      </c>
      <c r="Y117" s="43">
        <f>IFERROR(Y112/H112,"0")+IFERROR(Y113/H113,"0")+IFERROR(Y114/H114,"0")+IFERROR(Y115/H115,"0")+IFERROR(Y116/H116,"0")</f>
        <v>6</v>
      </c>
      <c r="Z117" s="43">
        <f>IFERROR(IF(Z112="",0,Z112),"0")+IFERROR(IF(Z113="",0,Z113),"0")+IFERROR(IF(Z114="",0,Z114),"0")+IFERROR(IF(Z115="",0,Z115),"0")+IFERROR(IF(Z116="",0,Z116),"0")</f>
        <v>7.647000000000001E-2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39.6</v>
      </c>
      <c r="Y118" s="43">
        <f>IFERROR(SUM(Y112:Y116),"0")</f>
        <v>39.600000000000009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64.8</v>
      </c>
      <c r="Y120" s="55">
        <f>IFERROR(IF(X120="",0,CEILING((X120/$H120),1)*$H120),"")</f>
        <v>64.8</v>
      </c>
      <c r="Z120" s="41">
        <f>IFERROR(IF(Y120=0,"",ROUNDUP(Y120/H120,0)*0.01898),"")</f>
        <v>0.15184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68.703999999999994</v>
      </c>
      <c r="BN120" s="78">
        <f>IFERROR(Y120*I120/H120,"0")</f>
        <v>68.703999999999994</v>
      </c>
      <c r="BO120" s="78">
        <f>IFERROR(1/J120*(X120/H120),"0")</f>
        <v>0.125</v>
      </c>
      <c r="BP120" s="78">
        <f>IFERROR(1/J120*(Y120/H120),"0")</f>
        <v>0.125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2.7</v>
      </c>
      <c r="Y122" s="55">
        <f>IFERROR(IF(X122="",0,CEILING((X122/$H122),1)*$H122),"")</f>
        <v>2.7</v>
      </c>
      <c r="Z122" s="41">
        <f>IFERROR(IF(Y122=0,"",ROUNDUP(Y122/H122,0)*0.00651),"")</f>
        <v>6.5100000000000002E-3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2.952</v>
      </c>
      <c r="BN122" s="78">
        <f>IFERROR(Y122*I122/H122,"0")</f>
        <v>2.952</v>
      </c>
      <c r="BO122" s="78">
        <f>IFERROR(1/J122*(X122/H122),"0")</f>
        <v>5.4945054945054949E-3</v>
      </c>
      <c r="BP122" s="78">
        <f>IFERROR(1/J122*(Y122/H122),"0")</f>
        <v>5.4945054945054949E-3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9</v>
      </c>
      <c r="Y124" s="43">
        <f>IFERROR(Y120/H120,"0")+IFERROR(Y121/H121,"0")+IFERROR(Y122/H122,"0")+IFERROR(Y123/H123,"0")</f>
        <v>9</v>
      </c>
      <c r="Z124" s="43">
        <f>IFERROR(IF(Z120="",0,Z120),"0")+IFERROR(IF(Z121="",0,Z121),"0")+IFERROR(IF(Z122="",0,Z122),"0")+IFERROR(IF(Z123="",0,Z123),"0")</f>
        <v>0.15834999999999999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67.5</v>
      </c>
      <c r="Y125" s="43">
        <f>IFERROR(SUM(Y120:Y123),"0")</f>
        <v>67.5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12</v>
      </c>
      <c r="Y132" s="55">
        <f>IFERROR(IF(X132="",0,CEILING((X132/$H132),1)*$H132),"")</f>
        <v>12</v>
      </c>
      <c r="Z132" s="41">
        <f>IFERROR(IF(Y132=0,"",ROUNDUP(Y132/H132,0)*0.01196),"")</f>
        <v>2.392E-2</v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12.76</v>
      </c>
      <c r="BN132" s="78">
        <f>IFERROR(Y132*I132/H132,"0")</f>
        <v>12.76</v>
      </c>
      <c r="BO132" s="78">
        <f>IFERROR(1/J132*(X132/H132),"0")</f>
        <v>1.9230769230769232E-2</v>
      </c>
      <c r="BP132" s="78">
        <f>IFERROR(1/J132*(Y132/H132),"0")</f>
        <v>1.9230769230769232E-2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2</v>
      </c>
      <c r="Y136" s="43">
        <f>IFERROR(Y132/H132,"0")+IFERROR(Y133/H133,"0")+IFERROR(Y134/H134,"0")+IFERROR(Y135/H135,"0")</f>
        <v>2</v>
      </c>
      <c r="Z136" s="43">
        <f>IFERROR(IF(Z132="",0,Z132),"0")+IFERROR(IF(Z133="",0,Z133),"0")+IFERROR(IF(Z134="",0,Z134),"0")+IFERROR(IF(Z135="",0,Z135),"0")</f>
        <v>2.392E-2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12</v>
      </c>
      <c r="Y137" s="43">
        <f>IFERROR(SUM(Y132:Y135),"0")</f>
        <v>12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8.4</v>
      </c>
      <c r="Y139" s="55">
        <f>IFERROR(IF(X139="",0,CEILING((X139/$H139),1)*$H139),"")</f>
        <v>8.4</v>
      </c>
      <c r="Z139" s="41">
        <f>IFERROR(IF(Y139=0,"",ROUNDUP(Y139/H139,0)*0.01196),"")</f>
        <v>2.392E-2</v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9.16</v>
      </c>
      <c r="BN139" s="78">
        <f>IFERROR(Y139*I139/H139,"0")</f>
        <v>9.16</v>
      </c>
      <c r="BO139" s="78">
        <f>IFERROR(1/J139*(X139/H139),"0")</f>
        <v>1.9230769230769232E-2</v>
      </c>
      <c r="BP139" s="78">
        <f>IFERROR(1/J139*(Y139/H139),"0")</f>
        <v>1.9230769230769232E-2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2</v>
      </c>
      <c r="Y143" s="43">
        <f>IFERROR(Y139/H139,"0")+IFERROR(Y140/H140,"0")+IFERROR(Y141/H141,"0")+IFERROR(Y142/H142,"0")</f>
        <v>2</v>
      </c>
      <c r="Z143" s="43">
        <f>IFERROR(IF(Z139="",0,Z139),"0")+IFERROR(IF(Z140="",0,Z140),"0")+IFERROR(IF(Z141="",0,Z141),"0")+IFERROR(IF(Z142="",0,Z142),"0")</f>
        <v>2.392E-2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8.4</v>
      </c>
      <c r="Y144" s="43">
        <f>IFERROR(SUM(Y139:Y142),"0")</f>
        <v>8.4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8</v>
      </c>
      <c r="Y146" s="55">
        <f>IFERROR(IF(X146="",0,CEILING((X146/$H146),1)*$H146),"")</f>
        <v>8</v>
      </c>
      <c r="Z146" s="41">
        <f>IFERROR(IF(Y146=0,"",ROUNDUP(Y146/H146,0)*0.01196),"")</f>
        <v>2.392E-2</v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8.74</v>
      </c>
      <c r="BN146" s="78">
        <f>IFERROR(Y146*I146/H146,"0")</f>
        <v>8.74</v>
      </c>
      <c r="BO146" s="78">
        <f>IFERROR(1/J146*(X146/H146),"0")</f>
        <v>1.9230769230769232E-2</v>
      </c>
      <c r="BP146" s="78">
        <f>IFERROR(1/J146*(Y146/H146),"0")</f>
        <v>1.9230769230769232E-2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2</v>
      </c>
      <c r="Y150" s="43">
        <f>IFERROR(Y146/H146,"0")+IFERROR(Y147/H147,"0")+IFERROR(Y148/H148,"0")+IFERROR(Y149/H149,"0")</f>
        <v>2</v>
      </c>
      <c r="Z150" s="43">
        <f>IFERROR(IF(Z146="",0,Z146),"0")+IFERROR(IF(Z147="",0,Z147),"0")+IFERROR(IF(Z148="",0,Z148),"0")+IFERROR(IF(Z149="",0,Z149),"0")</f>
        <v>2.392E-2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8</v>
      </c>
      <c r="Y151" s="43">
        <f>IFERROR(SUM(Y146:Y149),"0")</f>
        <v>8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8</v>
      </c>
      <c r="Y168" s="55">
        <f>IFERROR(IF(X168="",0,CEILING((X168/$H168),1)*$H168),"")</f>
        <v>8</v>
      </c>
      <c r="Z168" s="41">
        <f>IFERROR(IF(Y168=0,"",ROUNDUP(Y168/H168,0)*0.00902),"")</f>
        <v>1.804E-2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8.3800000000000008</v>
      </c>
      <c r="BN168" s="78">
        <f>IFERROR(Y168*I168/H168,"0")</f>
        <v>8.3800000000000008</v>
      </c>
      <c r="BO168" s="78">
        <f>IFERROR(1/J168*(X168/H168),"0")</f>
        <v>1.5151515151515152E-2</v>
      </c>
      <c r="BP168" s="78">
        <f>IFERROR(1/J168*(Y168/H168),"0")</f>
        <v>1.5151515151515152E-2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5</v>
      </c>
      <c r="Y169" s="43">
        <f>IFERROR(Y166/H166,"0")+IFERROR(Y167/H167,"0")+IFERROR(Y168/H168,"0")</f>
        <v>5</v>
      </c>
      <c r="Z169" s="43">
        <f>IFERROR(IF(Z166="",0,Z166),"0")+IFERROR(IF(Z167="",0,Z167),"0")+IFERROR(IF(Z168="",0,Z168),"0")</f>
        <v>3.7569999999999999E-2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15.74</v>
      </c>
      <c r="Y170" s="43">
        <f>IFERROR(SUM(Y166:Y168),"0")</f>
        <v>15.74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17.5</v>
      </c>
      <c r="Y177" s="55">
        <f t="shared" ref="Y177:Y187" si="10">IFERROR(IF(X177="",0,CEILING((X177/$H177),1)*$H177),"")</f>
        <v>17.5</v>
      </c>
      <c r="Z177" s="41">
        <f>IFERROR(IF(Y177=0,"",ROUNDUP(Y177/H177,0)*0.00902),"")</f>
        <v>4.5100000000000001E-2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18.45</v>
      </c>
      <c r="BN177" s="78">
        <f t="shared" ref="BN177:BN187" si="12">IFERROR(Y177*I177/H177,"0")</f>
        <v>18.45</v>
      </c>
      <c r="BO177" s="78">
        <f t="shared" ref="BO177:BO187" si="13">IFERROR(1/J177*(X177/H177),"0")</f>
        <v>3.787878787878788E-2</v>
      </c>
      <c r="BP177" s="78">
        <f t="shared" ref="BP177:BP187" si="14">IFERROR(1/J177*(Y177/H177),"0")</f>
        <v>3.787878787878788E-2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10.5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11.295</v>
      </c>
      <c r="BN178" s="78">
        <f t="shared" si="12"/>
        <v>11.295</v>
      </c>
      <c r="BO178" s="78">
        <f t="shared" si="13"/>
        <v>2.2727272727272728E-2</v>
      </c>
      <c r="BP178" s="78">
        <f t="shared" si="14"/>
        <v>2.2727272727272728E-2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10.5</v>
      </c>
      <c r="Y179" s="55">
        <f t="shared" si="10"/>
        <v>10.5</v>
      </c>
      <c r="Z179" s="41">
        <f>IFERROR(IF(Y179=0,"",ROUNDUP(Y179/H179,0)*0.00902),"")</f>
        <v>2.7060000000000001E-2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11.069999999999999</v>
      </c>
      <c r="BN179" s="78">
        <f t="shared" si="12"/>
        <v>11.069999999999999</v>
      </c>
      <c r="BO179" s="78">
        <f t="shared" si="13"/>
        <v>2.2727272727272728E-2</v>
      </c>
      <c r="BP179" s="78">
        <f t="shared" si="14"/>
        <v>2.2727272727272728E-2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17.5</v>
      </c>
      <c r="Y180" s="55">
        <f t="shared" si="10"/>
        <v>17.5</v>
      </c>
      <c r="Z180" s="41">
        <f>IFERROR(IF(Y180=0,"",ROUNDUP(Y180/H180,0)*0.00902),"")</f>
        <v>4.5100000000000001E-2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18.45</v>
      </c>
      <c r="BN180" s="78">
        <f t="shared" si="12"/>
        <v>18.45</v>
      </c>
      <c r="BO180" s="78">
        <f t="shared" si="13"/>
        <v>3.787878787878788E-2</v>
      </c>
      <c r="BP180" s="78">
        <f t="shared" si="14"/>
        <v>3.787878787878788E-2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0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8.9000000000000021</v>
      </c>
      <c r="BN182" s="78">
        <f t="shared" si="12"/>
        <v>8.9000000000000021</v>
      </c>
      <c r="BO182" s="78">
        <f t="shared" si="13"/>
        <v>2.1367521367521368E-2</v>
      </c>
      <c r="BP182" s="78">
        <f t="shared" si="14"/>
        <v>2.1367521367521368E-2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8.4</v>
      </c>
      <c r="Y185" s="55">
        <f t="shared" si="10"/>
        <v>8.4</v>
      </c>
      <c r="Z185" s="41">
        <f>IFERROR(IF(Y185=0,"",ROUNDUP(Y185/H185,0)*0.00502),"")</f>
        <v>2.5100000000000001E-2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8.9000000000000021</v>
      </c>
      <c r="BN185" s="78">
        <f t="shared" si="12"/>
        <v>8.9000000000000021</v>
      </c>
      <c r="BO185" s="78">
        <f t="shared" si="13"/>
        <v>2.1367521367521368E-2</v>
      </c>
      <c r="BP185" s="78">
        <f t="shared" si="14"/>
        <v>2.1367521367521368E-2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8.4</v>
      </c>
      <c r="Y187" s="55">
        <f t="shared" si="10"/>
        <v>8.4</v>
      </c>
      <c r="Z187" s="41">
        <f>IFERROR(IF(Y187=0,"",ROUNDUP(Y187/H187,0)*0.00502),"")</f>
        <v>2.5100000000000001E-2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8.9000000000000021</v>
      </c>
      <c r="BN187" s="78">
        <f t="shared" si="12"/>
        <v>8.9000000000000021</v>
      </c>
      <c r="BO187" s="78">
        <f t="shared" si="13"/>
        <v>2.1367521367521368E-2</v>
      </c>
      <c r="BP187" s="78">
        <f t="shared" si="14"/>
        <v>2.1367521367521368E-2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31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31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0.21962000000000004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81.200000000000017</v>
      </c>
      <c r="Y189" s="43">
        <f>IFERROR(SUM(Y177:Y187),"0")</f>
        <v>81.200000000000017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2.52</v>
      </c>
      <c r="Y191" s="55">
        <f>IFERROR(IF(X191="",0,CEILING((X191/$H191),1)*$H191),"")</f>
        <v>2.52</v>
      </c>
      <c r="Z191" s="41">
        <f>IFERROR(IF(Y191=0,"",ROUNDUP(Y191/H191,0)*0.00651),"")</f>
        <v>6.5100000000000002E-3</v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2.766</v>
      </c>
      <c r="BN191" s="78">
        <f>IFERROR(Y191*I191/H191,"0")</f>
        <v>2.766</v>
      </c>
      <c r="BO191" s="78">
        <f>IFERROR(1/J191*(X191/H191),"0")</f>
        <v>5.4945054945054949E-3</v>
      </c>
      <c r="BP191" s="78">
        <f>IFERROR(1/J191*(Y191/H191),"0")</f>
        <v>5.4945054945054949E-3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2.52</v>
      </c>
      <c r="Y192" s="55">
        <f>IFERROR(IF(X192="",0,CEILING((X192/$H192),1)*$H192),"")</f>
        <v>2.52</v>
      </c>
      <c r="Z192" s="41">
        <f>IFERROR(IF(Y192=0,"",ROUNDUP(Y192/H192,0)*0.00651),"")</f>
        <v>6.5100000000000002E-3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2.766</v>
      </c>
      <c r="BN192" s="78">
        <f>IFERROR(Y192*I192/H192,"0")</f>
        <v>2.766</v>
      </c>
      <c r="BO192" s="78">
        <f>IFERROR(1/J192*(X192/H192),"0")</f>
        <v>5.4945054945054949E-3</v>
      </c>
      <c r="BP192" s="78">
        <f>IFERROR(1/J192*(Y192/H192),"0")</f>
        <v>5.4945054945054949E-3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1.8</v>
      </c>
      <c r="Y193" s="55">
        <f>IFERROR(IF(X193="",0,CEILING((X193/$H193),1)*$H193),"")</f>
        <v>1.8</v>
      </c>
      <c r="Z193" s="41">
        <f>IFERROR(IF(Y193=0,"",ROUNDUP(Y193/H193,0)*0.00651),"")</f>
        <v>6.5100000000000002E-3</v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2.0579999999999998</v>
      </c>
      <c r="BN193" s="78">
        <f>IFERROR(Y193*I193/H193,"0")</f>
        <v>2.0579999999999998</v>
      </c>
      <c r="BO193" s="78">
        <f>IFERROR(1/J193*(X193/H193),"0")</f>
        <v>5.4945054945054949E-3</v>
      </c>
      <c r="BP193" s="78">
        <f>IFERROR(1/J193*(Y193/H193),"0")</f>
        <v>5.4945054945054949E-3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3</v>
      </c>
      <c r="Y194" s="43">
        <f>IFERROR(Y191/H191,"0")+IFERROR(Y192/H192,"0")+IFERROR(Y193/H193,"0")</f>
        <v>3</v>
      </c>
      <c r="Z194" s="43">
        <f>IFERROR(IF(Z191="",0,Z191),"0")+IFERROR(IF(Z192="",0,Z192),"0")+IFERROR(IF(Z193="",0,Z193),"0")</f>
        <v>1.9529999999999999E-2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6.84</v>
      </c>
      <c r="Y195" s="43">
        <f>IFERROR(SUM(Y191:Y193),"0")</f>
        <v>6.84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21</v>
      </c>
      <c r="Y223" s="55">
        <f t="shared" ref="Y223:Y236" si="21">IFERROR(IF(X223="",0,CEILING((X223/$H223),1)*$H223),"")</f>
        <v>21</v>
      </c>
      <c r="Z223" s="41">
        <f>IFERROR(IF(Y223=0,"",ROUNDUP(Y223/H223,0)*0.00902),"")</f>
        <v>4.5100000000000001E-2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22.25</v>
      </c>
      <c r="BN223" s="78">
        <f t="shared" ref="BN223:BN236" si="23">IFERROR(Y223*I223/H223,"0")</f>
        <v>22.25</v>
      </c>
      <c r="BO223" s="78">
        <f t="shared" ref="BO223:BO236" si="24">IFERROR(1/J223*(X223/H223),"0")</f>
        <v>3.787878787878788E-2</v>
      </c>
      <c r="BP223" s="78">
        <f t="shared" ref="BP223:BP236" si="25">IFERROR(1/J223*(Y223/H223),"0")</f>
        <v>3.787878787878788E-2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12.6</v>
      </c>
      <c r="Y224" s="55">
        <f t="shared" si="21"/>
        <v>12.600000000000001</v>
      </c>
      <c r="Z224" s="41">
        <f>IFERROR(IF(Y224=0,"",ROUNDUP(Y224/H224,0)*0.00902),"")</f>
        <v>2.7060000000000001E-2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13.35</v>
      </c>
      <c r="BN224" s="78">
        <f t="shared" si="23"/>
        <v>13.350000000000001</v>
      </c>
      <c r="BO224" s="78">
        <f t="shared" si="24"/>
        <v>2.2727272727272728E-2</v>
      </c>
      <c r="BP224" s="78">
        <f t="shared" si="25"/>
        <v>2.2727272727272728E-2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21</v>
      </c>
      <c r="Y225" s="55">
        <f t="shared" si="21"/>
        <v>21</v>
      </c>
      <c r="Z225" s="41">
        <f>IFERROR(IF(Y225=0,"",ROUNDUP(Y225/H225,0)*0.00902),"")</f>
        <v>4.5100000000000001E-2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21.95</v>
      </c>
      <c r="BN225" s="78">
        <f t="shared" si="23"/>
        <v>21.95</v>
      </c>
      <c r="BO225" s="78">
        <f t="shared" si="24"/>
        <v>3.787878787878788E-2</v>
      </c>
      <c r="BP225" s="78">
        <f t="shared" si="25"/>
        <v>3.787878787878788E-2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7.2</v>
      </c>
      <c r="Y228" s="55">
        <f t="shared" si="21"/>
        <v>7.2</v>
      </c>
      <c r="Z228" s="41">
        <f t="shared" si="26"/>
        <v>2.0080000000000001E-2</v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7.6</v>
      </c>
      <c r="BN228" s="78">
        <f t="shared" si="23"/>
        <v>7.6</v>
      </c>
      <c r="BO228" s="78">
        <f t="shared" si="24"/>
        <v>1.7094017094017096E-2</v>
      </c>
      <c r="BP228" s="78">
        <f t="shared" si="25"/>
        <v>1.7094017094017096E-2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1"/>
        <v>10.5</v>
      </c>
      <c r="Z229" s="41">
        <f t="shared" si="26"/>
        <v>2.5100000000000001E-2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11.149999999999999</v>
      </c>
      <c r="BN229" s="78">
        <f t="shared" si="23"/>
        <v>11.149999999999999</v>
      </c>
      <c r="BO229" s="78">
        <f t="shared" si="24"/>
        <v>2.1367521367521368E-2</v>
      </c>
      <c r="BP229" s="78">
        <f t="shared" si="25"/>
        <v>2.1367521367521368E-2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/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6.3</v>
      </c>
      <c r="Y231" s="55">
        <f t="shared" si="21"/>
        <v>6.3000000000000007</v>
      </c>
      <c r="Z231" s="41">
        <f t="shared" si="26"/>
        <v>1.506E-2</v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6.6000000000000005</v>
      </c>
      <c r="BN231" s="78">
        <f t="shared" si="23"/>
        <v>6.6000000000000014</v>
      </c>
      <c r="BO231" s="78">
        <f t="shared" si="24"/>
        <v>1.2820512820512822E-2</v>
      </c>
      <c r="BP231" s="78">
        <f t="shared" si="25"/>
        <v>1.2820512820512822E-2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9</v>
      </c>
      <c r="Y232" s="55">
        <f t="shared" si="21"/>
        <v>9</v>
      </c>
      <c r="Z232" s="41">
        <f t="shared" si="26"/>
        <v>2.5100000000000001E-2</v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9.65</v>
      </c>
      <c r="BN232" s="78">
        <f t="shared" si="23"/>
        <v>9.65</v>
      </c>
      <c r="BO232" s="78">
        <f t="shared" si="24"/>
        <v>2.1367521367521368E-2</v>
      </c>
      <c r="BP232" s="78">
        <f t="shared" si="25"/>
        <v>2.1367521367521368E-2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10.5</v>
      </c>
      <c r="Y234" s="55">
        <f t="shared" si="21"/>
        <v>10.5</v>
      </c>
      <c r="Z234" s="41">
        <f>IFERROR(IF(Y234=0,"",ROUNDUP(Y234/H234,0)*0.00502),"")</f>
        <v>2.5100000000000001E-2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11</v>
      </c>
      <c r="BN234" s="78">
        <f t="shared" si="23"/>
        <v>11</v>
      </c>
      <c r="BO234" s="78">
        <f t="shared" si="24"/>
        <v>2.1367521367521368E-2</v>
      </c>
      <c r="BP234" s="78">
        <f t="shared" si="25"/>
        <v>2.1367521367521368E-2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35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35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0.22770000000000004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98.100000000000009</v>
      </c>
      <c r="Y238" s="43">
        <f>IFERROR(SUM(Y223:Y236),"0")</f>
        <v>98.100000000000009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2.16</v>
      </c>
      <c r="Y242" s="55">
        <f>IFERROR(IF(X242="",0,CEILING((X242/$H242),1)*$H242),"")</f>
        <v>2.16</v>
      </c>
      <c r="Z242" s="41">
        <f>IFERROR(IF(Y242=0,"",ROUNDUP(Y242/H242,0)*0.00902),"")</f>
        <v>9.0200000000000002E-3</v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2.4220000000000002</v>
      </c>
      <c r="BN242" s="78">
        <f>IFERROR(Y242*I242/H242,"0")</f>
        <v>2.4220000000000002</v>
      </c>
      <c r="BO242" s="78">
        <f>IFERROR(1/J242*(X242/H242),"0")</f>
        <v>7.575757575757576E-3</v>
      </c>
      <c r="BP242" s="78">
        <f>IFERROR(1/J242*(Y242/H242),"0")</f>
        <v>7.575757575757576E-3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1.92</v>
      </c>
      <c r="Y243" s="55">
        <f>IFERROR(IF(X243="",0,CEILING((X243/$H243),1)*$H243),"")</f>
        <v>1.92</v>
      </c>
      <c r="Z243" s="41">
        <f>IFERROR(IF(Y243=0,"",ROUNDUP(Y243/H243,0)*0.00902),"")</f>
        <v>9.0200000000000002E-3</v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2.1819999999999999</v>
      </c>
      <c r="BN243" s="78">
        <f>IFERROR(Y243*I243/H243,"0")</f>
        <v>2.1819999999999999</v>
      </c>
      <c r="BO243" s="78">
        <f>IFERROR(1/J243*(X243/H243),"0")</f>
        <v>7.575757575757576E-3</v>
      </c>
      <c r="BP243" s="78">
        <f>IFERROR(1/J243*(Y243/H243),"0")</f>
        <v>7.575757575757576E-3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2.16</v>
      </c>
      <c r="Y244" s="55">
        <f>IFERROR(IF(X244="",0,CEILING((X244/$H244),1)*$H244),"")</f>
        <v>2.16</v>
      </c>
      <c r="Z244" s="41">
        <f>IFERROR(IF(Y244=0,"",ROUNDUP(Y244/H244,0)*0.00902),"")</f>
        <v>9.0200000000000002E-3</v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2.4220000000000002</v>
      </c>
      <c r="BN244" s="78">
        <f>IFERROR(Y244*I244/H244,"0")</f>
        <v>2.4220000000000002</v>
      </c>
      <c r="BO244" s="78">
        <f>IFERROR(1/J244*(X244/H244),"0")</f>
        <v>7.575757575757576E-3</v>
      </c>
      <c r="BP244" s="78">
        <f>IFERROR(1/J244*(Y244/H244),"0")</f>
        <v>7.575757575757576E-3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3</v>
      </c>
      <c r="Y245" s="43">
        <f>IFERROR(Y240/H240,"0")+IFERROR(Y241/H241,"0")+IFERROR(Y242/H242,"0")+IFERROR(Y243/H243,"0")+IFERROR(Y244/H244,"0")</f>
        <v>3</v>
      </c>
      <c r="Z245" s="43">
        <f>IFERROR(IF(Z240="",0,Z240),"0")+IFERROR(IF(Z241="",0,Z241),"0")+IFERROR(IF(Z242="",0,Z242),"0")+IFERROR(IF(Z243="",0,Z243),"0")+IFERROR(IF(Z244="",0,Z244),"0")</f>
        <v>2.7060000000000001E-2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6.24</v>
      </c>
      <c r="Y246" s="43">
        <f>IFERROR(SUM(Y240:Y244),"0")</f>
        <v>6.24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ref="Y269:Y276" si="27">IFERROR(IF(X269="",0,CEILING((X269/$H269),1)*$H269),"")</f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27.95</v>
      </c>
      <c r="BN269" s="78">
        <f t="shared" ref="BN269:BN276" si="29">IFERROR(Y269*I269/H269,"0")</f>
        <v>27.95</v>
      </c>
      <c r="BO269" s="78">
        <f t="shared" ref="BO269:BO276" si="30">IFERROR(1/J269*(X269/H269),"0")</f>
        <v>3.787878787878788E-2</v>
      </c>
      <c r="BP269" s="78">
        <f t="shared" ref="BP269:BP276" si="31">IFERROR(1/J269*(Y269/H269),"0")</f>
        <v>3.787878787878788E-2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27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27.95</v>
      </c>
      <c r="BN270" s="78">
        <f t="shared" si="29"/>
        <v>27.95</v>
      </c>
      <c r="BO270" s="78">
        <f t="shared" si="30"/>
        <v>3.787878787878788E-2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27</v>
      </c>
      <c r="Y271" s="55">
        <f t="shared" si="27"/>
        <v>27</v>
      </c>
      <c r="Z271" s="41">
        <f>IFERROR(IF(Y271=0,"",ROUNDUP(Y271/H271,0)*0.00902),"")</f>
        <v>4.5100000000000001E-2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27.95</v>
      </c>
      <c r="BN271" s="78">
        <f t="shared" si="29"/>
        <v>27.95</v>
      </c>
      <c r="BO271" s="78">
        <f t="shared" si="30"/>
        <v>3.787878787878788E-2</v>
      </c>
      <c r="BP271" s="78">
        <f t="shared" si="31"/>
        <v>3.787878787878788E-2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si="27"/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27.95</v>
      </c>
      <c r="BN272" s="78">
        <f t="shared" si="29"/>
        <v>27.95</v>
      </c>
      <c r="BO272" s="78">
        <f t="shared" si="30"/>
        <v>3.787878787878788E-2</v>
      </c>
      <c r="BP272" s="78">
        <f t="shared" si="31"/>
        <v>3.787878787878788E-2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7.2</v>
      </c>
      <c r="Y273" s="55">
        <f t="shared" si="27"/>
        <v>7.2</v>
      </c>
      <c r="Z273" s="41">
        <f>IFERROR(IF(Y273=0,"",ROUNDUP(Y273/H273,0)*0.00502),"")</f>
        <v>2.0080000000000001E-2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7.7199999999999989</v>
      </c>
      <c r="BN273" s="78">
        <f t="shared" si="29"/>
        <v>7.7199999999999989</v>
      </c>
      <c r="BO273" s="78">
        <f t="shared" si="30"/>
        <v>1.7094017094017096E-2</v>
      </c>
      <c r="BP273" s="78">
        <f t="shared" si="31"/>
        <v>1.7094017094017096E-2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7.2</v>
      </c>
      <c r="Y274" s="55">
        <f t="shared" si="27"/>
        <v>7.2</v>
      </c>
      <c r="Z274" s="41">
        <f>IFERROR(IF(Y274=0,"",ROUNDUP(Y274/H274,0)*0.00502),"")</f>
        <v>2.0080000000000001E-2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7.6</v>
      </c>
      <c r="BN274" s="78">
        <f t="shared" si="29"/>
        <v>7.6</v>
      </c>
      <c r="BO274" s="78">
        <f t="shared" si="30"/>
        <v>1.7094017094017096E-2</v>
      </c>
      <c r="BP274" s="78">
        <f t="shared" si="31"/>
        <v>1.7094017094017096E-2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7.2</v>
      </c>
      <c r="Y275" s="55">
        <f t="shared" si="27"/>
        <v>7.2</v>
      </c>
      <c r="Z275" s="41">
        <f>IFERROR(IF(Y275=0,"",ROUNDUP(Y275/H275,0)*0.00502),"")</f>
        <v>2.0080000000000001E-2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7.6</v>
      </c>
      <c r="BN275" s="78">
        <f t="shared" si="29"/>
        <v>7.6</v>
      </c>
      <c r="BO275" s="78">
        <f t="shared" si="30"/>
        <v>1.7094017094017096E-2</v>
      </c>
      <c r="BP275" s="78">
        <f t="shared" si="31"/>
        <v>1.7094017094017096E-2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7.2</v>
      </c>
      <c r="Y276" s="55">
        <f t="shared" si="27"/>
        <v>7.2</v>
      </c>
      <c r="Z276" s="41">
        <f>IFERROR(IF(Y276=0,"",ROUNDUP(Y276/H276,0)*0.00502),"")</f>
        <v>2.0080000000000001E-2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7.6</v>
      </c>
      <c r="BN276" s="78">
        <f t="shared" si="29"/>
        <v>7.6</v>
      </c>
      <c r="BO276" s="78">
        <f t="shared" si="30"/>
        <v>1.7094017094017096E-2</v>
      </c>
      <c r="BP276" s="78">
        <f t="shared" si="31"/>
        <v>1.7094017094017096E-2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36</v>
      </c>
      <c r="Y277" s="43">
        <f>IFERROR(Y269/H269,"0")+IFERROR(Y270/H270,"0")+IFERROR(Y271/H271,"0")+IFERROR(Y272/H272,"0")+IFERROR(Y273/H273,"0")+IFERROR(Y274/H274,"0")+IFERROR(Y275/H275,"0")+IFERROR(Y276/H276,"0")</f>
        <v>36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0.26071999999999995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136.79999999999998</v>
      </c>
      <c r="Y278" s="43">
        <f>IFERROR(SUM(Y269:Y276),"0")</f>
        <v>136.79999999999998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16.2</v>
      </c>
      <c r="Y280" s="55">
        <f t="shared" ref="Y280:Y291" si="32">IFERROR(IF(X280="",0,CEILING((X280/$H280),1)*$H280),"")</f>
        <v>16.2</v>
      </c>
      <c r="Z280" s="41">
        <f>IFERROR(IF(Y280=0,"",ROUNDUP(Y280/H280,0)*0.01898),"")</f>
        <v>3.7960000000000001E-2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17.187999999999999</v>
      </c>
      <c r="BN280" s="78">
        <f t="shared" ref="BN280:BN291" si="34">IFERROR(Y280*I280/H280,"0")</f>
        <v>17.187999999999999</v>
      </c>
      <c r="BO280" s="78">
        <f t="shared" ref="BO280:BO291" si="35">IFERROR(1/J280*(X280/H280),"0")</f>
        <v>3.125E-2</v>
      </c>
      <c r="BP280" s="78">
        <f t="shared" ref="BP280:BP291" si="36">IFERROR(1/J280*(Y280/H280),"0")</f>
        <v>3.125E-2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16.2</v>
      </c>
      <c r="Y281" s="55">
        <f t="shared" si="32"/>
        <v>16.2</v>
      </c>
      <c r="Z281" s="41">
        <f>IFERROR(IF(Y281=0,"",ROUNDUP(Y281/H281,0)*0.01898),"")</f>
        <v>3.7960000000000001E-2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17.152000000000001</v>
      </c>
      <c r="BN281" s="78">
        <f t="shared" si="34"/>
        <v>17.152000000000001</v>
      </c>
      <c r="BO281" s="78">
        <f t="shared" si="35"/>
        <v>3.125E-2</v>
      </c>
      <c r="BP281" s="78">
        <f t="shared" si="36"/>
        <v>3.125E-2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17.399999999999999</v>
      </c>
      <c r="Y282" s="55">
        <f t="shared" si="32"/>
        <v>17.399999999999999</v>
      </c>
      <c r="Z282" s="41">
        <f>IFERROR(IF(Y282=0,"",ROUNDUP(Y282/H282,0)*0.01898),"")</f>
        <v>3.7960000000000001E-2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18.388000000000002</v>
      </c>
      <c r="BN282" s="78">
        <f t="shared" si="34"/>
        <v>18.388000000000002</v>
      </c>
      <c r="BO282" s="78">
        <f t="shared" si="35"/>
        <v>3.125E-2</v>
      </c>
      <c r="BP282" s="78">
        <f t="shared" si="36"/>
        <v>3.125E-2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2.4</v>
      </c>
      <c r="Y283" s="55">
        <f t="shared" si="32"/>
        <v>2.4</v>
      </c>
      <c r="Z283" s="41">
        <f>IFERROR(IF(Y283=0,"",ROUNDUP(Y283/H283,0)*0.00651),"")</f>
        <v>6.5100000000000002E-3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2.67</v>
      </c>
      <c r="BN283" s="78">
        <f t="shared" si="34"/>
        <v>2.67</v>
      </c>
      <c r="BO283" s="78">
        <f t="shared" si="35"/>
        <v>5.4945054945054949E-3</v>
      </c>
      <c r="BP283" s="78">
        <f t="shared" si="36"/>
        <v>5.4945054945054949E-3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2.4</v>
      </c>
      <c r="Y286" s="55">
        <f t="shared" si="32"/>
        <v>2.4</v>
      </c>
      <c r="Z286" s="41">
        <f>IFERROR(IF(Y286=0,"",ROUNDUP(Y286/H286,0)*0.00651),"")</f>
        <v>6.5100000000000002E-3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2.6520000000000001</v>
      </c>
      <c r="BN286" s="78">
        <f t="shared" si="34"/>
        <v>2.6520000000000001</v>
      </c>
      <c r="BO286" s="78">
        <f t="shared" si="35"/>
        <v>5.4945054945054949E-3</v>
      </c>
      <c r="BP286" s="78">
        <f t="shared" si="36"/>
        <v>5.4945054945054949E-3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2.4</v>
      </c>
      <c r="Y288" s="55">
        <f t="shared" si="32"/>
        <v>2.4</v>
      </c>
      <c r="Z288" s="41">
        <f>IFERROR(IF(Y288=0,"",ROUNDUP(Y288/H288,0)*0.00651),"")</f>
        <v>6.5100000000000002E-3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2.6520000000000001</v>
      </c>
      <c r="BN288" s="78">
        <f t="shared" si="34"/>
        <v>2.6520000000000001</v>
      </c>
      <c r="BO288" s="78">
        <f t="shared" si="35"/>
        <v>5.4945054945054949E-3</v>
      </c>
      <c r="BP288" s="78">
        <f t="shared" si="36"/>
        <v>5.4945054945054949E-3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2.4</v>
      </c>
      <c r="Y289" s="55">
        <f t="shared" si="32"/>
        <v>2.4</v>
      </c>
      <c r="Z289" s="41">
        <f>IFERROR(IF(Y289=0,"",ROUNDUP(Y289/H289,0)*0.00651),"")</f>
        <v>6.5100000000000002E-3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2.6520000000000001</v>
      </c>
      <c r="BN289" s="78">
        <f t="shared" si="34"/>
        <v>2.6520000000000001</v>
      </c>
      <c r="BO289" s="78">
        <f t="shared" si="35"/>
        <v>5.4945054945054949E-3</v>
      </c>
      <c r="BP289" s="78">
        <f t="shared" si="36"/>
        <v>5.4945054945054949E-3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2.4</v>
      </c>
      <c r="Y290" s="55">
        <f t="shared" si="32"/>
        <v>2.4</v>
      </c>
      <c r="Z290" s="41">
        <f>IFERROR(IF(Y290=0,"",ROUNDUP(Y290/H290,0)*0.00651),"")</f>
        <v>6.5100000000000002E-3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2.6579999999999999</v>
      </c>
      <c r="BN290" s="78">
        <f t="shared" si="34"/>
        <v>2.6579999999999999</v>
      </c>
      <c r="BO290" s="78">
        <f t="shared" si="35"/>
        <v>5.4945054945054949E-3</v>
      </c>
      <c r="BP290" s="78">
        <f t="shared" si="36"/>
        <v>5.4945054945054949E-3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2.4</v>
      </c>
      <c r="Y291" s="55">
        <f t="shared" si="32"/>
        <v>2.4</v>
      </c>
      <c r="Z291" s="41">
        <f>IFERROR(IF(Y291=0,"",ROUNDUP(Y291/H291,0)*0.00651),"")</f>
        <v>6.5100000000000002E-3</v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2.6520000000000001</v>
      </c>
      <c r="BN291" s="78">
        <f t="shared" si="34"/>
        <v>2.6520000000000001</v>
      </c>
      <c r="BO291" s="78">
        <f t="shared" si="35"/>
        <v>5.4945054945054949E-3</v>
      </c>
      <c r="BP291" s="78">
        <f t="shared" si="36"/>
        <v>5.4945054945054949E-3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0.15293999999999996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64.199999999999989</v>
      </c>
      <c r="Y293" s="43">
        <f>IFERROR(SUM(Y280:Y291),"0")</f>
        <v>64.199999999999989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/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54</v>
      </c>
      <c r="Y327" s="55">
        <f>IFERROR(IF(X327="",0,CEILING((X327/$H327),1)*$H327),"")</f>
        <v>54</v>
      </c>
      <c r="Z327" s="41">
        <f>IFERROR(IF(Y327=0,"",ROUNDUP(Y327/H327,0)*0.01898),"")</f>
        <v>9.4899999999999998E-2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56.05</v>
      </c>
      <c r="BN327" s="78">
        <f>IFERROR(Y327*I327/H327,"0")</f>
        <v>56.05</v>
      </c>
      <c r="BO327" s="78">
        <f>IFERROR(1/J327*(X327/H327),"0")</f>
        <v>7.8125E-2</v>
      </c>
      <c r="BP327" s="78">
        <f>IFERROR(1/J327*(Y327/H327),"0")</f>
        <v>7.8125E-2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15</v>
      </c>
      <c r="Y331" s="43">
        <f>IFERROR(Y326/H326,"0")+IFERROR(Y327/H327,"0")+IFERROR(Y328/H328,"0")+IFERROR(Y329/H329,"0")+IFERROR(Y330/H330,"0")</f>
        <v>15</v>
      </c>
      <c r="Z331" s="43">
        <f>IFERROR(IF(Z326="",0,Z326),"0")+IFERROR(IF(Z327="",0,Z327),"0")+IFERROR(IF(Z328="",0,Z328),"0")+IFERROR(IF(Z329="",0,Z329),"0")+IFERROR(IF(Z330="",0,Z330),"0")</f>
        <v>0.28470000000000001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162</v>
      </c>
      <c r="Y332" s="43">
        <f>IFERROR(SUM(Y326:Y330),"0")</f>
        <v>162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7.2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7.9560000000000004</v>
      </c>
      <c r="BN336" s="78">
        <f>IFERROR(Y336*I336/H336,"0")</f>
        <v>7.9560000000000004</v>
      </c>
      <c r="BO336" s="78">
        <f>IFERROR(1/J336*(X336/H336),"0")</f>
        <v>1.6483516483516484E-2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7.2</v>
      </c>
      <c r="Y337" s="55">
        <f>IFERROR(IF(X337="",0,CEILING((X337/$H337),1)*$H337),"")</f>
        <v>7.1999999999999993</v>
      </c>
      <c r="Z337" s="41">
        <f>IFERROR(IF(Y337=0,"",ROUNDUP(Y337/H337,0)*0.00651),"")</f>
        <v>1.9529999999999999E-2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7.74</v>
      </c>
      <c r="BN337" s="78">
        <f>IFERROR(Y337*I337/H337,"0")</f>
        <v>7.7399999999999993</v>
      </c>
      <c r="BO337" s="78">
        <f>IFERROR(1/J337*(X337/H337),"0")</f>
        <v>1.6483516483516484E-2</v>
      </c>
      <c r="BP337" s="78">
        <f>IFERROR(1/J337*(Y337/H337),"0")</f>
        <v>1.6483516483516484E-2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6</v>
      </c>
      <c r="Y338" s="43">
        <f>IFERROR(Y335/H335,"0")+IFERROR(Y336/H336,"0")+IFERROR(Y337/H337,"0")</f>
        <v>6</v>
      </c>
      <c r="Z338" s="43">
        <f>IFERROR(IF(Z335="",0,Z335),"0")+IFERROR(IF(Z336="",0,Z336),"0")+IFERROR(IF(Z337="",0,Z337),"0")</f>
        <v>3.9059999999999997E-2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14.4</v>
      </c>
      <c r="Y339" s="43">
        <f>IFERROR(SUM(Y335:Y337),"0")</f>
        <v>14.399999999999999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10.5</v>
      </c>
      <c r="Y342" s="55">
        <f>IFERROR(IF(X342="",0,CEILING((X342/$H342),1)*$H342),"")</f>
        <v>10.5</v>
      </c>
      <c r="Z342" s="41">
        <f>IFERROR(IF(Y342=0,"",ROUNDUP(Y342/H342,0)*0.00502),"")</f>
        <v>2.5100000000000001E-2</v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11.149999999999999</v>
      </c>
      <c r="BN342" s="78">
        <f>IFERROR(Y342*I342/H342,"0")</f>
        <v>11.149999999999999</v>
      </c>
      <c r="BO342" s="78">
        <f>IFERROR(1/J342*(X342/H342),"0")</f>
        <v>2.1367521367521368E-2</v>
      </c>
      <c r="BP342" s="78">
        <f>IFERROR(1/J342*(Y342/H342),"0")</f>
        <v>2.1367521367521368E-2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2.3199999999999998</v>
      </c>
      <c r="Y343" s="55">
        <f>IFERROR(IF(X343="",0,CEILING((X343/$H343),1)*$H343),"")</f>
        <v>2.3199999999999998</v>
      </c>
      <c r="Z343" s="41">
        <f>IFERROR(IF(Y343=0,"",ROUNDUP(Y343/H343,0)*0.00502),"")</f>
        <v>5.0200000000000002E-3</v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2.42</v>
      </c>
      <c r="BN343" s="78">
        <f>IFERROR(Y343*I343/H343,"0")</f>
        <v>2.42</v>
      </c>
      <c r="BO343" s="78">
        <f>IFERROR(1/J343*(X343/H343),"0")</f>
        <v>4.2735042735042739E-3</v>
      </c>
      <c r="BP343" s="78">
        <f>IFERROR(1/J343*(Y343/H343),"0")</f>
        <v>4.2735042735042739E-3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8.4</v>
      </c>
      <c r="Y344" s="55">
        <f>IFERROR(IF(X344="",0,CEILING((X344/$H344),1)*$H344),"")</f>
        <v>8.4</v>
      </c>
      <c r="Z344" s="41">
        <f>IFERROR(IF(Y344=0,"",ROUNDUP(Y344/H344,0)*0.00502),"")</f>
        <v>2.5100000000000001E-2</v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8.9000000000000021</v>
      </c>
      <c r="BN344" s="78">
        <f>IFERROR(Y344*I344/H344,"0")</f>
        <v>8.9000000000000021</v>
      </c>
      <c r="BO344" s="78">
        <f>IFERROR(1/J344*(X344/H344),"0")</f>
        <v>2.1367521367521368E-2</v>
      </c>
      <c r="BP344" s="78">
        <f>IFERROR(1/J344*(Y344/H344),"0")</f>
        <v>2.1367521367521368E-2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12</v>
      </c>
      <c r="Y345" s="55">
        <f>IFERROR(IF(X345="",0,CEILING((X345/$H345),1)*$H345),"")</f>
        <v>12</v>
      </c>
      <c r="Z345" s="41">
        <f>IFERROR(IF(Y345=0,"",ROUNDUP(Y345/H345,0)*0.00651),"")</f>
        <v>3.2550000000000003E-2</v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12.9</v>
      </c>
      <c r="BN345" s="78">
        <f>IFERROR(Y345*I345/H345,"0")</f>
        <v>12.9</v>
      </c>
      <c r="BO345" s="78">
        <f>IFERROR(1/J345*(X345/H345),"0")</f>
        <v>2.7472527472527476E-2</v>
      </c>
      <c r="BP345" s="78">
        <f>IFERROR(1/J345*(Y345/H345),"0")</f>
        <v>2.7472527472527476E-2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8.4</v>
      </c>
      <c r="Y346" s="55">
        <f>IFERROR(IF(X346="",0,CEILING((X346/$H346),1)*$H346),"")</f>
        <v>8.4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12.5</v>
      </c>
      <c r="BN346" s="78">
        <f>IFERROR(Y346*I346/H346,"0")</f>
        <v>12.5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21</v>
      </c>
      <c r="Y347" s="43">
        <f>IFERROR(Y342/H342,"0")+IFERROR(Y343/H343,"0")+IFERROR(Y344/H344,"0")+IFERROR(Y345/H345,"0")+IFERROR(Y346/H346,"0")</f>
        <v>21</v>
      </c>
      <c r="Z347" s="43">
        <f>IFERROR(IF(Z342="",0,Z342),"0")+IFERROR(IF(Z343="",0,Z343),"0")+IFERROR(IF(Z344="",0,Z344),"0")+IFERROR(IF(Z345="",0,Z345),"0")+IFERROR(IF(Z346="",0,Z346),"0")</f>
        <v>0.11287000000000001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41.62</v>
      </c>
      <c r="Y348" s="43">
        <f>IFERROR(SUM(Y342:Y346),"0")</f>
        <v>41.62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23.4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24.630000000000003</v>
      </c>
      <c r="BN356" s="78">
        <f>IFERROR(Y356*I356/H356,"0")</f>
        <v>24.630000000000003</v>
      </c>
      <c r="BO356" s="78">
        <f>IFERROR(1/J356*(X356/H356),"0")</f>
        <v>4.6875E-2</v>
      </c>
      <c r="BP356" s="78">
        <f>IFERROR(1/J356*(Y356/H356),"0")</f>
        <v>4.6875E-2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23.4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24.630000000000003</v>
      </c>
      <c r="BN357" s="78">
        <f>IFERROR(Y357*I357/H357,"0")</f>
        <v>24.630000000000003</v>
      </c>
      <c r="BO357" s="78">
        <f>IFERROR(1/J357*(X357/H357),"0")</f>
        <v>4.6875E-2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23.4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24.630000000000003</v>
      </c>
      <c r="BN358" s="78">
        <f>IFERROR(Y358*I358/H358,"0")</f>
        <v>24.630000000000003</v>
      </c>
      <c r="BO358" s="78">
        <f>IFERROR(1/J358*(X358/H358),"0")</f>
        <v>4.6875E-2</v>
      </c>
      <c r="BP358" s="78">
        <f>IFERROR(1/J358*(Y358/H358),"0")</f>
        <v>4.6875E-2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9</v>
      </c>
      <c r="Y359" s="43">
        <f>IFERROR(Y356/H356,"0")+IFERROR(Y357/H357,"0")+IFERROR(Y358/H358,"0")</f>
        <v>9</v>
      </c>
      <c r="Z359" s="43">
        <f>IFERROR(IF(Z356="",0,Z356),"0")+IFERROR(IF(Z357="",0,Z357),"0")+IFERROR(IF(Z358="",0,Z358),"0")</f>
        <v>0.17082000000000003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70.199999999999989</v>
      </c>
      <c r="Y360" s="43">
        <f>IFERROR(SUM(Y356:Y358),"0")</f>
        <v>70.199999999999989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691.2</v>
      </c>
      <c r="Y363" s="55">
        <f t="shared" ref="Y363:Y368" si="42">IFERROR(IF(X363="",0,CEILING((X363/$H363),1)*$H363),"")</f>
        <v>691.2</v>
      </c>
      <c r="Z363" s="41">
        <f>IFERROR(IF(Y363=0,"",ROUNDUP(Y363/H363,0)*0.01898),"")</f>
        <v>1.21472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717.44</v>
      </c>
      <c r="BN363" s="78">
        <f t="shared" ref="BN363:BN368" si="44">IFERROR(Y363*I363/H363,"0")</f>
        <v>717.44</v>
      </c>
      <c r="BO363" s="78">
        <f t="shared" ref="BO363:BO368" si="45">IFERROR(1/J363*(X363/H363),"0")</f>
        <v>1</v>
      </c>
      <c r="BP363" s="78">
        <f t="shared" ref="BP363:BP368" si="46">IFERROR(1/J363*(Y363/H363),"0")</f>
        <v>1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108</v>
      </c>
      <c r="Y365" s="55">
        <f t="shared" si="42"/>
        <v>108</v>
      </c>
      <c r="Z365" s="41">
        <f>IFERROR(IF(Y365=0,"",ROUNDUP(Y365/H365,0)*0.01898),"")</f>
        <v>0.1898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112.1</v>
      </c>
      <c r="BN365" s="78">
        <f t="shared" si="44"/>
        <v>112.1</v>
      </c>
      <c r="BO365" s="78">
        <f t="shared" si="45"/>
        <v>0.15625</v>
      </c>
      <c r="BP365" s="78">
        <f t="shared" si="46"/>
        <v>0.15625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32</v>
      </c>
      <c r="Y368" s="55">
        <f t="shared" si="42"/>
        <v>32</v>
      </c>
      <c r="Z368" s="41">
        <f>IFERROR(IF(Y368=0,"",ROUNDUP(Y368/H368,0)*0.00902),"")</f>
        <v>7.2160000000000002E-2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33.520000000000003</v>
      </c>
      <c r="BN368" s="78">
        <f t="shared" si="44"/>
        <v>33.520000000000003</v>
      </c>
      <c r="BO368" s="78">
        <f t="shared" si="45"/>
        <v>6.0606060606060608E-2</v>
      </c>
      <c r="BP368" s="78">
        <f t="shared" si="46"/>
        <v>6.0606060606060608E-2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92</v>
      </c>
      <c r="Y369" s="43">
        <f>IFERROR(Y363/H363,"0")+IFERROR(Y364/H364,"0")+IFERROR(Y365/H365,"0")+IFERROR(Y366/H366,"0")+IFERROR(Y367/H367,"0")+IFERROR(Y368/H368,"0")</f>
        <v>92</v>
      </c>
      <c r="Z369" s="43">
        <f>IFERROR(IF(Z363="",0,Z363),"0")+IFERROR(IF(Z364="",0,Z364),"0")+IFERROR(IF(Z365="",0,Z365),"0")+IFERROR(IF(Z366="",0,Z366),"0")+IFERROR(IF(Z367="",0,Z367),"0")+IFERROR(IF(Z368="",0,Z368),"0")</f>
        <v>1.66648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939.2</v>
      </c>
      <c r="Y370" s="43">
        <f>IFERROR(SUM(Y363:Y368),"0")</f>
        <v>939.2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21.9</v>
      </c>
      <c r="Y374" s="55">
        <f t="shared" si="47"/>
        <v>21.9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23.15</v>
      </c>
      <c r="BN374" s="78">
        <f t="shared" si="49"/>
        <v>23.15</v>
      </c>
      <c r="BO374" s="78">
        <f t="shared" si="50"/>
        <v>3.787878787878788E-2</v>
      </c>
      <c r="BP374" s="78">
        <f t="shared" si="51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21</v>
      </c>
      <c r="Y375" s="55">
        <f t="shared" si="47"/>
        <v>21</v>
      </c>
      <c r="Z375" s="41">
        <f>IFERROR(IF(Y375=0,"",ROUNDUP(Y375/H375,0)*0.00502),"")</f>
        <v>5.0200000000000002E-2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22.299999999999997</v>
      </c>
      <c r="BN375" s="78">
        <f t="shared" si="49"/>
        <v>22.299999999999997</v>
      </c>
      <c r="BO375" s="78">
        <f t="shared" si="50"/>
        <v>4.2735042735042736E-2</v>
      </c>
      <c r="BP375" s="78">
        <f t="shared" si="51"/>
        <v>4.2735042735042736E-2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21</v>
      </c>
      <c r="Y376" s="55">
        <f t="shared" si="47"/>
        <v>21</v>
      </c>
      <c r="Z376" s="41">
        <f>IFERROR(IF(Y376=0,"",ROUNDUP(Y376/H376,0)*0.00502),"")</f>
        <v>5.0200000000000002E-2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22</v>
      </c>
      <c r="BN376" s="78">
        <f t="shared" si="49"/>
        <v>22</v>
      </c>
      <c r="BO376" s="78">
        <f t="shared" si="50"/>
        <v>4.2735042735042736E-2</v>
      </c>
      <c r="BP376" s="78">
        <f t="shared" si="51"/>
        <v>4.2735042735042736E-2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45</v>
      </c>
      <c r="Y379" s="43">
        <f>IFERROR(Y372/H372,"0")+IFERROR(Y373/H373,"0")+IFERROR(Y374/H374,"0")+IFERROR(Y375/H375,"0")+IFERROR(Y376/H376,"0")+IFERROR(Y377/H377,"0")+IFERROR(Y378/H378,"0")</f>
        <v>45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0.32590000000000002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147.9</v>
      </c>
      <c r="Y380" s="43">
        <f>IFERROR(SUM(Y372:Y378),"0")</f>
        <v>147.9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998.4</v>
      </c>
      <c r="Y382" s="55">
        <f>IFERROR(IF(X382="",0,CEILING((X382/$H382),1)*$H382),"")</f>
        <v>998.4</v>
      </c>
      <c r="Z382" s="41">
        <f>IFERROR(IF(Y382=0,"",ROUNDUP(Y382/H382,0)*0.01898),"")</f>
        <v>2.42944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1060.864</v>
      </c>
      <c r="BN382" s="78">
        <f>IFERROR(Y382*I382/H382,"0")</f>
        <v>1060.864</v>
      </c>
      <c r="BO382" s="78">
        <f>IFERROR(1/J382*(X382/H382),"0")</f>
        <v>2</v>
      </c>
      <c r="BP382" s="78">
        <f>IFERROR(1/J382*(Y382/H382),"0")</f>
        <v>2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31.2</v>
      </c>
      <c r="Y383" s="55">
        <f>IFERROR(IF(X383="",0,CEILING((X383/$H383),1)*$H383),"")</f>
        <v>31.2</v>
      </c>
      <c r="Z383" s="41">
        <f>IFERROR(IF(Y383=0,"",ROUNDUP(Y383/H383,0)*0.01898),"")</f>
        <v>7.5920000000000001E-2</v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33.176000000000002</v>
      </c>
      <c r="BN383" s="78">
        <f>IFERROR(Y383*I383/H383,"0")</f>
        <v>33.176000000000002</v>
      </c>
      <c r="BO383" s="78">
        <f>IFERROR(1/J383*(X383/H383),"0")</f>
        <v>6.25E-2</v>
      </c>
      <c r="BP383" s="78">
        <f>IFERROR(1/J383*(Y383/H383),"0")</f>
        <v>6.25E-2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32.4</v>
      </c>
      <c r="Y384" s="55">
        <f>IFERROR(IF(X384="",0,CEILING((X384/$H384),1)*$H384),"")</f>
        <v>32.4</v>
      </c>
      <c r="Z384" s="41">
        <f>IFERROR(IF(Y384=0,"",ROUNDUP(Y384/H384,0)*0.01898),"")</f>
        <v>7.5920000000000001E-2</v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34.304000000000002</v>
      </c>
      <c r="BN384" s="78">
        <f>IFERROR(Y384*I384/H384,"0")</f>
        <v>34.304000000000002</v>
      </c>
      <c r="BO384" s="78">
        <f>IFERROR(1/J384*(X384/H384),"0")</f>
        <v>6.25E-2</v>
      </c>
      <c r="BP384" s="78">
        <f>IFERROR(1/J384*(Y384/H384),"0")</f>
        <v>6.25E-2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141</v>
      </c>
      <c r="Y386" s="43">
        <f>IFERROR(Y382/H382,"0")+IFERROR(Y383/H383,"0")+IFERROR(Y384/H384,"0")+IFERROR(Y385/H385,"0")</f>
        <v>141</v>
      </c>
      <c r="Z386" s="43">
        <f>IFERROR(IF(Z382="",0,Z382),"0")+IFERROR(IF(Z383="",0,Z383),"0")+IFERROR(IF(Z384="",0,Z384),"0")+IFERROR(IF(Z385="",0,Z385),"0")</f>
        <v>2.6138300000000001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1077</v>
      </c>
      <c r="Y387" s="43">
        <f>IFERROR(SUM(Y382:Y385),"0")</f>
        <v>1077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58.8</v>
      </c>
      <c r="Y389" s="55">
        <f>IFERROR(IF(X389="",0,CEILING((X389/$H389),1)*$H389),"")</f>
        <v>58.800000000000004</v>
      </c>
      <c r="Z389" s="41">
        <f>IFERROR(IF(Y389=0,"",ROUNDUP(Y389/H389,0)*0.01898),"")</f>
        <v>0.13286000000000001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62.257999999999988</v>
      </c>
      <c r="BN389" s="78">
        <f>IFERROR(Y389*I389/H389,"0")</f>
        <v>62.258000000000003</v>
      </c>
      <c r="BO389" s="78">
        <f>IFERROR(1/J389*(X389/H389),"0")</f>
        <v>0.10937499999999999</v>
      </c>
      <c r="BP389" s="78">
        <f>IFERROR(1/J389*(Y389/H389),"0")</f>
        <v>0.109375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54.6</v>
      </c>
      <c r="Y390" s="55">
        <f>IFERROR(IF(X390="",0,CEILING((X390/$H390),1)*$H390),"")</f>
        <v>54.6</v>
      </c>
      <c r="Z390" s="41">
        <f>IFERROR(IF(Y390=0,"",ROUNDUP(Y390/H390,0)*0.01898),"")</f>
        <v>0.13286000000000001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58.058000000000007</v>
      </c>
      <c r="BN390" s="78">
        <f>IFERROR(Y390*I390/H390,"0")</f>
        <v>58.058000000000007</v>
      </c>
      <c r="BO390" s="78">
        <f>IFERROR(1/J390*(X390/H390),"0")</f>
        <v>0.109375</v>
      </c>
      <c r="BP390" s="78">
        <f>IFERROR(1/J390*(Y390/H390),"0")</f>
        <v>0.109375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197.4</v>
      </c>
      <c r="Y393" s="43">
        <f>IFERROR(SUM(Y389:Y391),"0")</f>
        <v>197.4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6.08</v>
      </c>
      <c r="Y395" s="55">
        <f>IFERROR(IF(X395="",0,CEILING((X395/$H395),1)*$H395),"")</f>
        <v>6.08</v>
      </c>
      <c r="Z395" s="41">
        <f>IFERROR(IF(Y395=0,"",ROUNDUP(Y395/H395,0)*0.00902),"")</f>
        <v>1.804E-2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6.62</v>
      </c>
      <c r="BN395" s="78">
        <f>IFERROR(Y395*I395/H395,"0")</f>
        <v>6.62</v>
      </c>
      <c r="BO395" s="78">
        <f>IFERROR(1/J395*(X395/H395),"0")</f>
        <v>1.5151515151515152E-2</v>
      </c>
      <c r="BP395" s="78">
        <f>IFERROR(1/J395*(Y395/H395),"0")</f>
        <v>1.5151515151515152E-2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6.08</v>
      </c>
      <c r="Y396" s="55">
        <f>IFERROR(IF(X396="",0,CEILING((X396/$H396),1)*$H396),"")</f>
        <v>6.08</v>
      </c>
      <c r="Z396" s="41">
        <f>IFERROR(IF(Y396=0,"",ROUNDUP(Y396/H396,0)*0.00902),"")</f>
        <v>1.804E-2</v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6.5399999999999991</v>
      </c>
      <c r="BN396" s="78">
        <f>IFERROR(Y396*I396/H396,"0")</f>
        <v>6.5399999999999991</v>
      </c>
      <c r="BO396" s="78">
        <f>IFERROR(1/J396*(X396/H396),"0")</f>
        <v>1.5151515151515152E-2</v>
      </c>
      <c r="BP396" s="78">
        <f>IFERROR(1/J396*(Y396/H396),"0")</f>
        <v>1.5151515151515152E-2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6.2120000000000009E-2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22.36</v>
      </c>
      <c r="Y400" s="43">
        <f>IFERROR(SUM(Y395:Y398),"0")</f>
        <v>22.36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720</v>
      </c>
      <c r="Y424" s="55">
        <f t="shared" si="52"/>
        <v>720</v>
      </c>
      <c r="Z424" s="41">
        <f>IFERROR(IF(Y424=0,"",ROUNDUP(Y424/H424,0)*0.02175),"")</f>
        <v>1.044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742.56</v>
      </c>
      <c r="BN424" s="78">
        <f t="shared" si="54"/>
        <v>742.56</v>
      </c>
      <c r="BO424" s="78">
        <f t="shared" si="55"/>
        <v>1</v>
      </c>
      <c r="BP424" s="78">
        <f t="shared" si="56"/>
        <v>1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720</v>
      </c>
      <c r="Y425" s="55">
        <f t="shared" si="52"/>
        <v>720</v>
      </c>
      <c r="Z425" s="41">
        <f>IFERROR(IF(Y425=0,"",ROUNDUP(Y425/H425,0)*0.02175),"")</f>
        <v>1.044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742.56</v>
      </c>
      <c r="BN425" s="78">
        <f t="shared" si="54"/>
        <v>742.56</v>
      </c>
      <c r="BO425" s="78">
        <f t="shared" si="55"/>
        <v>1</v>
      </c>
      <c r="BP425" s="78">
        <f t="shared" si="56"/>
        <v>1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52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742.56</v>
      </c>
      <c r="BN427" s="78">
        <f t="shared" si="54"/>
        <v>742.56</v>
      </c>
      <c r="BO427" s="78">
        <f t="shared" si="55"/>
        <v>1</v>
      </c>
      <c r="BP427" s="78">
        <f t="shared" si="56"/>
        <v>1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144</v>
      </c>
      <c r="Y431" s="43">
        <f>IFERROR(Y423/H423,"0")+IFERROR(Y424/H424,"0")+IFERROR(Y425/H425,"0")+IFERROR(Y426/H426,"0")+IFERROR(Y427/H427,"0")+IFERROR(Y428/H428,"0")+IFERROR(Y429/H429,"0")+IFERROR(Y430/H430,"0")</f>
        <v>144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3.1320000000000001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2160</v>
      </c>
      <c r="Y432" s="43">
        <f>IFERROR(SUM(Y423:Y430),"0")</f>
        <v>2160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720</v>
      </c>
      <c r="Y434" s="55">
        <f>IFERROR(IF(X434="",0,CEILING((X434/$H434),1)*$H434),"")</f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742.56</v>
      </c>
      <c r="BN434" s="78">
        <f>IFERROR(Y434*I434/H434,"0")</f>
        <v>742.56</v>
      </c>
      <c r="BO434" s="78">
        <f>IFERROR(1/J434*(X434/H434),"0")</f>
        <v>1</v>
      </c>
      <c r="BP434" s="78">
        <f>IFERROR(1/J434*(Y434/H434),"0")</f>
        <v>1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48</v>
      </c>
      <c r="Y437" s="43">
        <f>IFERROR(Y434/H434,"0")+IFERROR(Y435/H435,"0")+IFERROR(Y436/H436,"0")</f>
        <v>48</v>
      </c>
      <c r="Z437" s="43">
        <f>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720</v>
      </c>
      <c r="Y438" s="43">
        <f>IFERROR(SUM(Y434:Y436),"0")</f>
        <v>720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45</v>
      </c>
      <c r="Y440" s="55">
        <f>IFERROR(IF(X440="",0,CEILING((X440/$H440),1)*$H440),"")</f>
        <v>45</v>
      </c>
      <c r="Z440" s="41">
        <f>IFERROR(IF(Y440=0,"",ROUNDUP(Y440/H440,0)*0.01898),"")</f>
        <v>9.4899999999999998E-2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47.5</v>
      </c>
      <c r="BN440" s="78">
        <f>IFERROR(Y440*I440/H440,"0")</f>
        <v>47.5</v>
      </c>
      <c r="BO440" s="78">
        <f>IFERROR(1/J440*(X440/H440),"0")</f>
        <v>7.8125E-2</v>
      </c>
      <c r="BP440" s="78">
        <f>IFERROR(1/J440*(Y440/H440),"0")</f>
        <v>7.8125E-2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9</v>
      </c>
      <c r="Y441" s="55">
        <f>IFERROR(IF(X441="",0,CEILING((X441/$H441),1)*$H441),"")</f>
        <v>9</v>
      </c>
      <c r="Z441" s="41">
        <f>IFERROR(IF(Y441=0,"",ROUNDUP(Y441/H441,0)*0.01898),"")</f>
        <v>1.898E-2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9.4939999999999998</v>
      </c>
      <c r="BN441" s="78">
        <f>IFERROR(Y441*I441/H441,"0")</f>
        <v>9.4939999999999998</v>
      </c>
      <c r="BO441" s="78">
        <f>IFERROR(1/J441*(X441/H441),"0")</f>
        <v>1.5625E-2</v>
      </c>
      <c r="BP441" s="78">
        <f>IFERROR(1/J441*(Y441/H441),"0")</f>
        <v>1.5625E-2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9.6</v>
      </c>
      <c r="Y442" s="55">
        <f>IFERROR(IF(X442="",0,CEILING((X442/$H442),1)*$H442),"")</f>
        <v>9.6</v>
      </c>
      <c r="Z442" s="41">
        <f>IFERROR(IF(Y442=0,"",ROUNDUP(Y442/H442,0)*0.01196),"")</f>
        <v>2.392E-2</v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10.432</v>
      </c>
      <c r="BN442" s="78">
        <f>IFERROR(Y442*I442/H442,"0")</f>
        <v>10.432</v>
      </c>
      <c r="BO442" s="78">
        <f>IFERROR(1/J442*(X442/H442),"0")</f>
        <v>1.9230769230769232E-2</v>
      </c>
      <c r="BP442" s="78">
        <f>IFERROR(1/J442*(Y442/H442),"0")</f>
        <v>1.9230769230769232E-2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0.13780000000000001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63.6</v>
      </c>
      <c r="Y444" s="43">
        <f>IFERROR(SUM(Y440:Y442),"0")</f>
        <v>63.6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8.4</v>
      </c>
      <c r="Y446" s="55">
        <f>IFERROR(IF(X446="",0,CEILING((X446/$H446),1)*$H446),"")</f>
        <v>8.4</v>
      </c>
      <c r="Z446" s="41">
        <f>IFERROR(IF(Y446=0,"",ROUNDUP(Y446/H446,0)*0.01196),"")</f>
        <v>2.392E-2</v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9.2319999999999993</v>
      </c>
      <c r="BN446" s="78">
        <f>IFERROR(Y446*I446/H446,"0")</f>
        <v>9.2319999999999993</v>
      </c>
      <c r="BO446" s="78">
        <f>IFERROR(1/J446*(X446/H446),"0")</f>
        <v>1.9230769230769232E-2</v>
      </c>
      <c r="BP446" s="78">
        <f>IFERROR(1/J446*(Y446/H446),"0")</f>
        <v>1.9230769230769232E-2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4</v>
      </c>
      <c r="Y448" s="43">
        <f>IFERROR(Y446/H446,"0")+IFERROR(Y447/H447,"0")</f>
        <v>4</v>
      </c>
      <c r="Z448" s="43">
        <f>IFERROR(IF(Z446="",0,Z446),"0")+IFERROR(IF(Z447="",0,Z447),"0")</f>
        <v>6.1880000000000004E-2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26.4</v>
      </c>
      <c r="Y449" s="43">
        <f>IFERROR(SUM(Y446:Y447),"0")</f>
        <v>26.4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18</v>
      </c>
      <c r="Y461" s="55">
        <f>IFERROR(IF(X461="",0,CEILING((X461/$H461),1)*$H461),"")</f>
        <v>18</v>
      </c>
      <c r="Z461" s="41">
        <f>IFERROR(IF(Y461=0,"",ROUNDUP(Y461/H461,0)*0.01898),"")</f>
        <v>3.7960000000000001E-2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18.988</v>
      </c>
      <c r="BN461" s="78">
        <f>IFERROR(Y461*I461/H461,"0")</f>
        <v>18.988</v>
      </c>
      <c r="BO461" s="78">
        <f>IFERROR(1/J461*(X461/H461),"0")</f>
        <v>3.125E-2</v>
      </c>
      <c r="BP461" s="78">
        <f>IFERROR(1/J461*(Y461/H461),"0")</f>
        <v>3.125E-2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2</v>
      </c>
      <c r="Y464" s="43">
        <f>IFERROR(Y461/H461,"0")+IFERROR(Y462/H462,"0")+IFERROR(Y463/H463,"0")</f>
        <v>2</v>
      </c>
      <c r="Z464" s="43">
        <f>IFERROR(IF(Z461="",0,Z461),"0")+IFERROR(IF(Z462="",0,Z462),"0")+IFERROR(IF(Z463="",0,Z463),"0")</f>
        <v>3.7960000000000001E-2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18</v>
      </c>
      <c r="Y465" s="43">
        <f>IFERROR(SUM(Y461:Y463),"0")</f>
        <v>18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16.2</v>
      </c>
      <c r="Y469" s="55">
        <f t="shared" ref="Y469:Y474" si="57">IFERROR(IF(X469="",0,CEILING((X469/$H469),1)*$H469),"")</f>
        <v>16.200000000000003</v>
      </c>
      <c r="Z469" s="41">
        <f>IFERROR(IF(Y469=0,"",ROUNDUP(Y469/H469,0)*0.00902),"")</f>
        <v>2.7060000000000001E-2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16.769999999999996</v>
      </c>
      <c r="BN469" s="78">
        <f t="shared" ref="BN469:BN474" si="59">IFERROR(Y469*I469/H469,"0")</f>
        <v>16.77</v>
      </c>
      <c r="BO469" s="78">
        <f t="shared" ref="BO469:BO474" si="60">IFERROR(1/J469*(X469/H469),"0")</f>
        <v>2.2727272727272724E-2</v>
      </c>
      <c r="BP469" s="78">
        <f t="shared" ref="BP469:BP474" si="61">IFERROR(1/J469*(Y469/H469),"0")</f>
        <v>2.2727272727272731E-2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16.2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16.769999999999996</v>
      </c>
      <c r="BN470" s="78">
        <f t="shared" si="59"/>
        <v>16.77</v>
      </c>
      <c r="BO470" s="78">
        <f t="shared" si="60"/>
        <v>2.2727272727272724E-2</v>
      </c>
      <c r="BP470" s="78">
        <f t="shared" si="61"/>
        <v>2.2727272727272731E-2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5.9999999999999991</v>
      </c>
      <c r="Y475" s="43">
        <f>IFERROR(Y469/H469,"0")+IFERROR(Y470/H470,"0")+IFERROR(Y471/H471,"0")+IFERROR(Y472/H472,"0")+IFERROR(Y473/H473,"0")+IFERROR(Y474/H474,"0")</f>
        <v>6.0000000000000009</v>
      </c>
      <c r="Z475" s="43">
        <f>IFERROR(IF(Z469="",0,Z469),"0")+IFERROR(IF(Z470="",0,Z470),"0")+IFERROR(IF(Z471="",0,Z471),"0")+IFERROR(IF(Z472="",0,Z472),"0")+IFERROR(IF(Z473="",0,Z473),"0")+IFERROR(IF(Z474="",0,Z474),"0")</f>
        <v>5.4120000000000001E-2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32.4</v>
      </c>
      <c r="Y476" s="43">
        <f>IFERROR(SUM(Y469:Y474),"0")</f>
        <v>32.400000000000006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7.2</v>
      </c>
      <c r="Y478" s="55">
        <f>IFERROR(IF(X478="",0,CEILING((X478/$H478),1)*$H478),"")</f>
        <v>7.1999999999999993</v>
      </c>
      <c r="Z478" s="41">
        <f>IFERROR(IF(Y478=0,"",ROUNDUP(Y478/H478,0)*0.00902),"")</f>
        <v>2.7060000000000001E-2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7.8780000000000001</v>
      </c>
      <c r="BN478" s="78">
        <f>IFERROR(Y478*I478/H478,"0")</f>
        <v>7.8779999999999983</v>
      </c>
      <c r="BO478" s="78">
        <f>IFERROR(1/J478*(X478/H478),"0")</f>
        <v>2.2727272727272728E-2</v>
      </c>
      <c r="BP478" s="78">
        <f>IFERROR(1/J478*(Y478/H478),"0")</f>
        <v>2.2727272727272728E-2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3</v>
      </c>
      <c r="Y480" s="43">
        <f>IFERROR(Y478/H478,"0")+IFERROR(Y479/H479,"0")</f>
        <v>3</v>
      </c>
      <c r="Z480" s="43">
        <f>IFERROR(IF(Z478="",0,Z478),"0")+IFERROR(IF(Z479="",0,Z479),"0")</f>
        <v>2.7060000000000001E-2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7.2</v>
      </c>
      <c r="Y481" s="43">
        <f>IFERROR(SUM(Y478:Y479),"0")</f>
        <v>7.1999999999999993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6.3</v>
      </c>
      <c r="Y484" s="55">
        <f>IFERROR(IF(X484="",0,CEILING((X484/$H484),1)*$H484),"")</f>
        <v>6.3000000000000007</v>
      </c>
      <c r="Z484" s="41">
        <f>IFERROR(IF(Y484=0,"",ROUNDUP(Y484/H484,0)*0.00651),"")</f>
        <v>1.9529999999999999E-2</v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6.9299999999999988</v>
      </c>
      <c r="BN484" s="78">
        <f>IFERROR(Y484*I484/H484,"0")</f>
        <v>6.9300000000000006</v>
      </c>
      <c r="BO484" s="78">
        <f>IFERROR(1/J484*(X484/H484),"0")</f>
        <v>1.6483516483516484E-2</v>
      </c>
      <c r="BP484" s="78">
        <f>IFERROR(1/J484*(Y484/H484),"0")</f>
        <v>1.6483516483516484E-2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3</v>
      </c>
      <c r="Y485" s="43">
        <f>IFERROR(Y484/H484,"0")</f>
        <v>3</v>
      </c>
      <c r="Z485" s="43">
        <f>IFERROR(IF(Z484="",0,Z484),"0")</f>
        <v>1.9529999999999999E-2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6.3</v>
      </c>
      <c r="Y486" s="43">
        <f>IFERROR(SUM(Y484:Y484),"0")</f>
        <v>6.3000000000000007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16.2</v>
      </c>
      <c r="Y488" s="55">
        <f>IFERROR(IF(X488="",0,CEILING((X488/$H488),1)*$H488),"")</f>
        <v>16.200000000000003</v>
      </c>
      <c r="Z488" s="41">
        <f>IFERROR(IF(Y488=0,"",ROUNDUP(Y488/H488,0)*0.00902),"")</f>
        <v>2.7060000000000001E-2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16.769999999999996</v>
      </c>
      <c r="BN488" s="78">
        <f>IFERROR(Y488*I488/H488,"0")</f>
        <v>16.77</v>
      </c>
      <c r="BO488" s="78">
        <f>IFERROR(1/J488*(X488/H488),"0")</f>
        <v>2.2727272727272724E-2</v>
      </c>
      <c r="BP488" s="78">
        <f>IFERROR(1/J488*(Y488/H488),"0")</f>
        <v>2.2727272727272731E-2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6.3</v>
      </c>
      <c r="Y490" s="55">
        <f>IFERROR(IF(X490="",0,CEILING((X490/$H490),1)*$H490),"")</f>
        <v>6.3000000000000007</v>
      </c>
      <c r="Z490" s="41">
        <f>IFERROR(IF(Y490=0,"",ROUNDUP(Y490/H490,0)*0.00502),"")</f>
        <v>1.506E-2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6.6899999999999995</v>
      </c>
      <c r="BN490" s="78">
        <f>IFERROR(Y490*I490/H490,"0")</f>
        <v>6.69</v>
      </c>
      <c r="BO490" s="78">
        <f>IFERROR(1/J490*(X490/H490),"0")</f>
        <v>1.2820512820512822E-2</v>
      </c>
      <c r="BP490" s="78">
        <f>IFERROR(1/J490*(Y490/H490),"0")</f>
        <v>1.2820512820512822E-2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6</v>
      </c>
      <c r="Y491" s="43">
        <f>IFERROR(Y488/H488,"0")+IFERROR(Y489/H489,"0")+IFERROR(Y490/H490,"0")</f>
        <v>6</v>
      </c>
      <c r="Z491" s="43">
        <f>IFERROR(IF(Z488="",0,Z488),"0")+IFERROR(IF(Z489="",0,Z489),"0")+IFERROR(IF(Z490="",0,Z490),"0")</f>
        <v>4.2120000000000005E-2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22.5</v>
      </c>
      <c r="Y492" s="43">
        <f>IFERROR(SUM(Y488:Y490),"0")</f>
        <v>22.500000000000004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15.84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16.889999999999997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2.8846153846153848E-2</v>
      </c>
      <c r="BP496" s="78">
        <f t="shared" ref="BP496:BP504" si="67">IFERROR(1/J496*(Y496/H496),"0")</f>
        <v>2.8846153846153848E-2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15.84</v>
      </c>
      <c r="Y497" s="55">
        <f t="shared" si="62"/>
        <v>15.84</v>
      </c>
      <c r="Z497" s="41">
        <f t="shared" si="63"/>
        <v>3.5880000000000002E-2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16.889999999999997</v>
      </c>
      <c r="BN497" s="78">
        <f t="shared" si="65"/>
        <v>16.889999999999997</v>
      </c>
      <c r="BO497" s="78">
        <f t="shared" si="66"/>
        <v>2.8846153846153848E-2</v>
      </c>
      <c r="BP497" s="78">
        <f t="shared" si="67"/>
        <v>2.8846153846153848E-2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15.84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16.889999999999997</v>
      </c>
      <c r="BN499" s="78">
        <f t="shared" si="65"/>
        <v>16.889999999999997</v>
      </c>
      <c r="BO499" s="78">
        <f t="shared" si="66"/>
        <v>2.8846153846153848E-2</v>
      </c>
      <c r="BP499" s="78">
        <f t="shared" si="67"/>
        <v>2.8846153846153848E-2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/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15.84</v>
      </c>
      <c r="Y501" s="55">
        <f t="shared" si="62"/>
        <v>15.84</v>
      </c>
      <c r="Z501" s="41">
        <f t="shared" si="63"/>
        <v>3.5880000000000002E-2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16.889999999999997</v>
      </c>
      <c r="BN501" s="78">
        <f t="shared" si="65"/>
        <v>16.889999999999997</v>
      </c>
      <c r="BO501" s="78">
        <f t="shared" si="66"/>
        <v>2.8846153846153848E-2</v>
      </c>
      <c r="BP501" s="78">
        <f t="shared" si="67"/>
        <v>2.8846153846153848E-2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12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63.36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15.84</v>
      </c>
      <c r="Y508" s="55">
        <f>IFERROR(IF(X508="",0,CEILING((X508/$H508),1)*$H508),"")</f>
        <v>15.84</v>
      </c>
      <c r="Z508" s="41">
        <f>IFERROR(IF(Y508=0,"",ROUNDUP(Y508/H508,0)*0.01196),"")</f>
        <v>3.5880000000000002E-2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16.889999999999997</v>
      </c>
      <c r="BN508" s="78">
        <f>IFERROR(Y508*I508/H508,"0")</f>
        <v>16.889999999999997</v>
      </c>
      <c r="BO508" s="78">
        <f>IFERROR(1/J508*(X508/H508),"0")</f>
        <v>2.8846153846153848E-2</v>
      </c>
      <c r="BP508" s="78">
        <f>IFERROR(1/J508*(Y508/H508),"0")</f>
        <v>2.8846153846153848E-2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15.84</v>
      </c>
      <c r="Y512" s="43">
        <f>IFERROR(SUM(Y508:Y510),"0")</f>
        <v>15.84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15.84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16.889999999999997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2.8846153846153848E-2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15.84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16.889999999999997</v>
      </c>
      <c r="BN515" s="78">
        <f t="shared" si="70"/>
        <v>16.889999999999997</v>
      </c>
      <c r="BO515" s="78">
        <f t="shared" si="71"/>
        <v>2.8846153846153848E-2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15.84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16.889999999999997</v>
      </c>
      <c r="BN516" s="78">
        <f t="shared" si="70"/>
        <v>16.889999999999997</v>
      </c>
      <c r="BO516" s="78">
        <f t="shared" si="71"/>
        <v>2.8846153846153848E-2</v>
      </c>
      <c r="BP516" s="78">
        <f t="shared" si="72"/>
        <v>2.8846153846153848E-2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9</v>
      </c>
      <c r="Y521" s="43">
        <f>IFERROR(Y514/H514,"0")+IFERROR(Y515/H515,"0")+IFERROR(Y516/H516,"0")+IFERROR(Y517/H517,"0")+IFERROR(Y518/H518,"0")+IFERROR(Y519/H519,"0")+IFERROR(Y520/H520,"0")</f>
        <v>9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0.10764000000000001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47.519999999999996</v>
      </c>
      <c r="Y522" s="43">
        <f>IFERROR(SUM(Y514:Y520),"0")</f>
        <v>47.519999999999996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25.2</v>
      </c>
      <c r="Y534" s="55">
        <f>IFERROR(IF(X534="",0,CEILING((X534/$H534),1)*$H534),"")</f>
        <v>25.200000000000003</v>
      </c>
      <c r="Z534" s="41">
        <f>IFERROR(IF(Y534=0,"",ROUNDUP(Y534/H534,0)*0.00902),"")</f>
        <v>5.4120000000000001E-2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26.7</v>
      </c>
      <c r="BN534" s="78">
        <f>IFERROR(Y534*I534/H534,"0")</f>
        <v>26.700000000000003</v>
      </c>
      <c r="BO534" s="78">
        <f>IFERROR(1/J534*(X534/H534),"0")</f>
        <v>4.5454545454545456E-2</v>
      </c>
      <c r="BP534" s="78">
        <f>IFERROR(1/J534*(Y534/H534),"0")</f>
        <v>4.5454545454545456E-2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6</v>
      </c>
      <c r="Y535" s="43">
        <f>IFERROR(Y534/H534,"0")</f>
        <v>6</v>
      </c>
      <c r="Z535" s="43">
        <f>IFERROR(IF(Z534="",0,Z534),"0")</f>
        <v>5.4120000000000001E-2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25.2</v>
      </c>
      <c r="Y536" s="43">
        <f>IFERROR(SUM(Y534:Y534),"0")</f>
        <v>25.200000000000003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45</v>
      </c>
      <c r="Y538" s="55">
        <f>IFERROR(IF(X538="",0,CEILING((X538/$H538),1)*$H538),"")</f>
        <v>45</v>
      </c>
      <c r="Z538" s="41">
        <f>IFERROR(IF(Y538=0,"",ROUNDUP(Y538/H538,0)*0.01898),"")</f>
        <v>9.4899999999999998E-2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47.47</v>
      </c>
      <c r="BN538" s="78">
        <f>IFERROR(Y538*I538/H538,"0")</f>
        <v>47.47</v>
      </c>
      <c r="BO538" s="78">
        <f>IFERROR(1/J538*(X538/H538),"0")</f>
        <v>7.8125E-2</v>
      </c>
      <c r="BP538" s="78">
        <f>IFERROR(1/J538*(Y538/H538),"0")</f>
        <v>7.8125E-2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5</v>
      </c>
      <c r="Y539" s="43">
        <f>IFERROR(Y538/H538,"0")</f>
        <v>5</v>
      </c>
      <c r="Z539" s="43">
        <f>IFERROR(IF(Z538="",0,Z538),"0")</f>
        <v>9.4899999999999998E-2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45</v>
      </c>
      <c r="Y540" s="43">
        <f>IFERROR(SUM(Y538:Y538),"0")</f>
        <v>45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9</v>
      </c>
      <c r="Y542" s="55">
        <f>IFERROR(IF(X542="",0,CEILING((X542/$H542),1)*$H542),"")</f>
        <v>9</v>
      </c>
      <c r="Z542" s="41">
        <f>IFERROR(IF(Y542=0,"",ROUNDUP(Y542/H542,0)*0.01898),"")</f>
        <v>1.898E-2</v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9.41</v>
      </c>
      <c r="BN542" s="78">
        <f>IFERROR(Y542*I542/H542,"0")</f>
        <v>9.41</v>
      </c>
      <c r="BO542" s="78">
        <f>IFERROR(1/J542*(X542/H542),"0")</f>
        <v>1.5625E-2</v>
      </c>
      <c r="BP542" s="78">
        <f>IFERROR(1/J542*(Y542/H542),"0")</f>
        <v>1.5625E-2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9</v>
      </c>
      <c r="Y543" s="55">
        <f>IFERROR(IF(X543="",0,CEILING((X543/$H543),1)*$H543),"")</f>
        <v>9</v>
      </c>
      <c r="Z543" s="41">
        <f>IFERROR(IF(Y543=0,"",ROUNDUP(Y543/H543,0)*0.01898),"")</f>
        <v>1.898E-2</v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9.41</v>
      </c>
      <c r="BN543" s="78">
        <f>IFERROR(Y543*I543/H543,"0")</f>
        <v>9.41</v>
      </c>
      <c r="BO543" s="78">
        <f>IFERROR(1/J543*(X543/H543),"0")</f>
        <v>1.5625E-2</v>
      </c>
      <c r="BP543" s="78">
        <f>IFERROR(1/J543*(Y543/H543),"0")</f>
        <v>1.5625E-2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2</v>
      </c>
      <c r="Y544" s="43">
        <f>IFERROR(Y542/H542,"0")+IFERROR(Y543/H543,"0")</f>
        <v>2</v>
      </c>
      <c r="Z544" s="43">
        <f>IFERROR(IF(Z542="",0,Z542),"0")+IFERROR(IF(Z543="",0,Z543),"0")</f>
        <v>3.7960000000000001E-2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18</v>
      </c>
      <c r="Y545" s="43">
        <f>IFERROR(SUM(Y542:Y543),"0")</f>
        <v>18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7059.08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7059.08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7379.0330000000031</v>
      </c>
      <c r="Y552" s="43">
        <f>IFERROR(SUM(BN22:BN548),"0")</f>
        <v>7379.0330000000031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12</v>
      </c>
      <c r="Y553" s="44">
        <f>ROUNDUP(SUM(BP22:BP548),0)</f>
        <v>12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7679.0330000000031</v>
      </c>
      <c r="Y554" s="43">
        <f>GrossWeightTotalR+PalletQtyTotalR*25</f>
        <v>7679.0330000000031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863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863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13.213430000000002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6.12</v>
      </c>
      <c r="C561" s="52">
        <f>IFERROR(Y41*1,"0")+IFERROR(Y42*1,"0")+IFERROR(Y43*1,"0")+IFERROR(Y44*1,"0")+IFERROR(Y45*1,"0")</f>
        <v>5.76</v>
      </c>
      <c r="D561" s="52">
        <f>IFERROR(Y51*1,"0")+IFERROR(Y52*1,"0")+IFERROR(Y53*1,"0")+IFERROR(Y54*1,"0")</f>
        <v>136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215.70000000000002</v>
      </c>
      <c r="F561" s="52">
        <f>IFERROR(Y88*1,"0")+IFERROR(Y89*1,"0")+IFERROR(Y90*1,"0")+IFERROR(Y91*1,"0")+IFERROR(Y95*1,"0")+IFERROR(Y96*1,"0")+IFERROR(Y97*1,"0")+IFERROR(Y98*1,"0")</f>
        <v>82.98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129.6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28.4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103.78000000000002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104.34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201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162</v>
      </c>
      <c r="Q561" s="52">
        <f>IFERROR(Y335*1,"0")+IFERROR(Y336*1,"0")+IFERROR(Y337*1,"0")</f>
        <v>14.399999999999999</v>
      </c>
      <c r="R561" s="52">
        <f>IFERROR(Y342*1,"0")+IFERROR(Y343*1,"0")+IFERROR(Y344*1,"0")+IFERROR(Y345*1,"0")+IFERROR(Y346*1,"0")+IFERROR(Y350*1,"0")+IFERROR(Y351*1,"0")</f>
        <v>41.62</v>
      </c>
      <c r="S561" s="52">
        <f>IFERROR(Y356*1,"0")+IFERROR(Y357*1,"0")+IFERROR(Y358*1,"0")</f>
        <v>70.199999999999989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2383.8599999999997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2970</v>
      </c>
      <c r="W561" s="52">
        <f>IFERROR(Y452*1,"0")+IFERROR(Y453*1,"0")+IFERROR(Y457*1,"0")+IFERROR(Y461*1,"0")+IFERROR(Y462*1,"0")+IFERROR(Y463*1,"0")</f>
        <v>18</v>
      </c>
      <c r="X561" s="52">
        <f>IFERROR(Y469*1,"0")+IFERROR(Y470*1,"0")+IFERROR(Y471*1,"0")+IFERROR(Y472*1,"0")+IFERROR(Y473*1,"0")+IFERROR(Y474*1,"0")+IFERROR(Y478*1,"0")+IFERROR(Y479*1,"0")</f>
        <v>39.600000000000009</v>
      </c>
      <c r="Y561" s="52">
        <f>IFERROR(Y484*1,"0")+IFERROR(Y488*1,"0")+IFERROR(Y489*1,"0")+IFERROR(Y490*1,"0")</f>
        <v>28.800000000000004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126.72000000000001</v>
      </c>
      <c r="AA561" s="52">
        <f>IFERROR(Y526*1,"0")+IFERROR(Y530*1,"0")+IFERROR(Y534*1,"0")+IFERROR(Y538*1,"0")+IFERROR(Y542*1,"0")+IFERROR(Y543*1,"0")</f>
        <v>88.2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bb0b2827-4eb3-461f-8866-28597c48f473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1150</vt:i4>
      </vt:variant>
    </vt:vector>
  </HeadingPairs>
  <TitlesOfParts>
    <vt:vector size="115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2026-08-04T12:04:11Z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