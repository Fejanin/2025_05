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5C0EB7-CD1C-46E5-9B55-25535CCF17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BP498" i="2" s="1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Y487" i="2" s="1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P412" i="2"/>
  <c r="BO411" i="2"/>
  <c r="BM411" i="2"/>
  <c r="Y411" i="2"/>
  <c r="Y414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BP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Y319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Y95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Z102" i="2" l="1"/>
  <c r="BN102" i="2"/>
  <c r="Z339" i="2"/>
  <c r="Z221" i="2"/>
  <c r="Z158" i="2"/>
  <c r="Z159" i="2" s="1"/>
  <c r="BN158" i="2"/>
  <c r="BP158" i="2"/>
  <c r="Y159" i="2"/>
  <c r="Z170" i="2"/>
  <c r="BN170" i="2"/>
  <c r="Z297" i="2"/>
  <c r="BN297" i="2"/>
  <c r="Z380" i="2"/>
  <c r="BN380" i="2"/>
  <c r="Z459" i="2"/>
  <c r="Z460" i="2" s="1"/>
  <c r="BN459" i="2"/>
  <c r="Z471" i="2"/>
  <c r="BN471" i="2"/>
  <c r="Z136" i="2"/>
  <c r="BN136" i="2"/>
  <c r="Z188" i="2"/>
  <c r="BN188" i="2"/>
  <c r="Z244" i="2"/>
  <c r="BN244" i="2"/>
  <c r="Z322" i="2"/>
  <c r="BN322" i="2"/>
  <c r="Z360" i="2"/>
  <c r="BN360" i="2"/>
  <c r="Z394" i="2"/>
  <c r="Z432" i="2"/>
  <c r="BN432" i="2"/>
  <c r="Z505" i="2"/>
  <c r="BN505" i="2"/>
  <c r="Z67" i="2"/>
  <c r="BN67" i="2"/>
  <c r="Z153" i="2"/>
  <c r="Y200" i="2"/>
  <c r="Z223" i="2"/>
  <c r="BN223" i="2"/>
  <c r="Z278" i="2"/>
  <c r="BN278" i="2"/>
  <c r="BP303" i="2"/>
  <c r="Z331" i="2"/>
  <c r="BN331" i="2"/>
  <c r="BP331" i="2"/>
  <c r="BP341" i="2"/>
  <c r="Z370" i="2"/>
  <c r="BN370" i="2"/>
  <c r="Z387" i="2"/>
  <c r="BN387" i="2"/>
  <c r="Z428" i="2"/>
  <c r="BN428" i="2"/>
  <c r="Z448" i="2"/>
  <c r="Z450" i="2" s="1"/>
  <c r="BN448" i="2"/>
  <c r="Z486" i="2"/>
  <c r="Z487" i="2" s="1"/>
  <c r="BN486" i="2"/>
  <c r="BP486" i="2"/>
  <c r="Z498" i="2"/>
  <c r="BN498" i="2"/>
  <c r="Z528" i="2"/>
  <c r="Z529" i="2" s="1"/>
  <c r="BP58" i="2"/>
  <c r="BN58" i="2"/>
  <c r="BP112" i="2"/>
  <c r="BN112" i="2"/>
  <c r="Z112" i="2"/>
  <c r="BP174" i="2"/>
  <c r="BN174" i="2"/>
  <c r="Z174" i="2"/>
  <c r="BP190" i="2"/>
  <c r="BN190" i="2"/>
  <c r="Z190" i="2"/>
  <c r="BN222" i="2"/>
  <c r="Z222" i="2"/>
  <c r="BP276" i="2"/>
  <c r="BN276" i="2"/>
  <c r="Z276" i="2"/>
  <c r="BP299" i="2"/>
  <c r="BN299" i="2"/>
  <c r="Z299" i="2"/>
  <c r="BN326" i="2"/>
  <c r="BP326" i="2"/>
  <c r="BN340" i="2"/>
  <c r="Z340" i="2"/>
  <c r="BN362" i="2"/>
  <c r="BP362" i="2"/>
  <c r="Y401" i="2"/>
  <c r="BP400" i="2"/>
  <c r="BN400" i="2"/>
  <c r="Z400" i="2"/>
  <c r="BP425" i="2"/>
  <c r="BN425" i="2"/>
  <c r="Z425" i="2"/>
  <c r="BP438" i="2"/>
  <c r="BN438" i="2"/>
  <c r="Z438" i="2"/>
  <c r="BP480" i="2"/>
  <c r="BN480" i="2"/>
  <c r="Z480" i="2"/>
  <c r="BP516" i="2"/>
  <c r="BN516" i="2"/>
  <c r="Z516" i="2"/>
  <c r="D563" i="2"/>
  <c r="Z58" i="2"/>
  <c r="BP73" i="2"/>
  <c r="BN73" i="2"/>
  <c r="Z73" i="2"/>
  <c r="BP91" i="2"/>
  <c r="BN91" i="2"/>
  <c r="Z91" i="2"/>
  <c r="Y139" i="2"/>
  <c r="BP134" i="2"/>
  <c r="BN134" i="2"/>
  <c r="Z134" i="2"/>
  <c r="BN154" i="2"/>
  <c r="Z154" i="2"/>
  <c r="BP179" i="2"/>
  <c r="BN179" i="2"/>
  <c r="Z179" i="2"/>
  <c r="Y217" i="2"/>
  <c r="Y216" i="2"/>
  <c r="BP215" i="2"/>
  <c r="BN215" i="2"/>
  <c r="Z215" i="2"/>
  <c r="Z216" i="2" s="1"/>
  <c r="BP225" i="2"/>
  <c r="BN225" i="2"/>
  <c r="Z225" i="2"/>
  <c r="BN282" i="2"/>
  <c r="BP282" i="2"/>
  <c r="Y309" i="2"/>
  <c r="Y308" i="2"/>
  <c r="BP307" i="2"/>
  <c r="BN307" i="2"/>
  <c r="Z307" i="2"/>
  <c r="Z308" i="2" s="1"/>
  <c r="BP333" i="2"/>
  <c r="BN333" i="2"/>
  <c r="Z333" i="2"/>
  <c r="BP346" i="2"/>
  <c r="BN346" i="2"/>
  <c r="Z346" i="2"/>
  <c r="Z348" i="2" s="1"/>
  <c r="BN372" i="2"/>
  <c r="BP372" i="2"/>
  <c r="BN393" i="2"/>
  <c r="Z393" i="2"/>
  <c r="BN500" i="2"/>
  <c r="BP500" i="2"/>
  <c r="Y534" i="2"/>
  <c r="Z532" i="2"/>
  <c r="Z533" i="2" s="1"/>
  <c r="Y186" i="2"/>
  <c r="Y248" i="2"/>
  <c r="Y334" i="2"/>
  <c r="Y523" i="2"/>
  <c r="BP23" i="2"/>
  <c r="Y24" i="2"/>
  <c r="Y25" i="2"/>
  <c r="BN27" i="2"/>
  <c r="BN40" i="2"/>
  <c r="Z48" i="2"/>
  <c r="BN48" i="2"/>
  <c r="BP48" i="2"/>
  <c r="BN49" i="2"/>
  <c r="BP49" i="2"/>
  <c r="Z56" i="2"/>
  <c r="Z57" i="2"/>
  <c r="BN57" i="2"/>
  <c r="Z59" i="2"/>
  <c r="BN59" i="2"/>
  <c r="BN60" i="2"/>
  <c r="BP60" i="2"/>
  <c r="Y69" i="2"/>
  <c r="BP65" i="2"/>
  <c r="Y70" i="2"/>
  <c r="BP66" i="2"/>
  <c r="Z68" i="2"/>
  <c r="BN68" i="2"/>
  <c r="BN77" i="2"/>
  <c r="Y80" i="2"/>
  <c r="F563" i="2"/>
  <c r="BN83" i="2"/>
  <c r="BP83" i="2"/>
  <c r="BN85" i="2"/>
  <c r="Y87" i="2"/>
  <c r="Z90" i="2"/>
  <c r="BN90" i="2"/>
  <c r="BP90" i="2"/>
  <c r="Z92" i="2"/>
  <c r="BN92" i="2"/>
  <c r="BN93" i="2"/>
  <c r="Z99" i="2"/>
  <c r="Z100" i="2"/>
  <c r="Z101" i="2"/>
  <c r="BN101" i="2"/>
  <c r="Z103" i="2"/>
  <c r="BN103" i="2"/>
  <c r="BN104" i="2"/>
  <c r="Z109" i="2"/>
  <c r="Z110" i="2"/>
  <c r="Z111" i="2"/>
  <c r="BN111" i="2"/>
  <c r="Z117" i="2"/>
  <c r="BN117" i="2"/>
  <c r="Z119" i="2"/>
  <c r="BN130" i="2"/>
  <c r="BP130" i="2"/>
  <c r="Z135" i="2"/>
  <c r="BN135" i="2"/>
  <c r="Y138" i="2"/>
  <c r="Z142" i="2"/>
  <c r="Z143" i="2"/>
  <c r="Z148" i="2"/>
  <c r="BN148" i="2"/>
  <c r="Z151" i="2"/>
  <c r="BN151" i="2"/>
  <c r="BP153" i="2"/>
  <c r="BP154" i="2"/>
  <c r="Z169" i="2"/>
  <c r="Z171" i="2" s="1"/>
  <c r="BN169" i="2"/>
  <c r="BP169" i="2"/>
  <c r="BN177" i="2"/>
  <c r="Z177" i="2"/>
  <c r="BP180" i="2"/>
  <c r="BN180" i="2"/>
  <c r="Z180" i="2"/>
  <c r="BN182" i="2"/>
  <c r="BP182" i="2"/>
  <c r="BN183" i="2"/>
  <c r="BN28" i="2"/>
  <c r="Y33" i="2"/>
  <c r="BN37" i="2"/>
  <c r="BP37" i="2"/>
  <c r="BN39" i="2"/>
  <c r="Y44" i="2"/>
  <c r="BN51" i="2"/>
  <c r="Y53" i="2"/>
  <c r="BN86" i="2"/>
  <c r="Y94" i="2"/>
  <c r="BP99" i="2"/>
  <c r="BP100" i="2"/>
  <c r="BP109" i="2"/>
  <c r="BP110" i="2"/>
  <c r="BP119" i="2"/>
  <c r="BN129" i="2"/>
  <c r="BN137" i="2"/>
  <c r="BP142" i="2"/>
  <c r="BP143" i="2"/>
  <c r="BN164" i="2"/>
  <c r="BP164" i="2"/>
  <c r="Y171" i="2"/>
  <c r="BN176" i="2"/>
  <c r="Z176" i="2"/>
  <c r="BP177" i="2"/>
  <c r="BP178" i="2"/>
  <c r="BN178" i="2"/>
  <c r="Z178" i="2"/>
  <c r="Y191" i="2"/>
  <c r="Y192" i="2"/>
  <c r="Y212" i="2"/>
  <c r="BN206" i="2"/>
  <c r="BP206" i="2"/>
  <c r="BN207" i="2"/>
  <c r="BN226" i="2"/>
  <c r="BN229" i="2"/>
  <c r="BP229" i="2"/>
  <c r="BN236" i="2"/>
  <c r="Y247" i="2"/>
  <c r="BN260" i="2"/>
  <c r="BP260" i="2"/>
  <c r="BN261" i="2"/>
  <c r="BP265" i="2"/>
  <c r="Z267" i="2"/>
  <c r="BN267" i="2"/>
  <c r="Y274" i="2"/>
  <c r="BN270" i="2"/>
  <c r="Z277" i="2"/>
  <c r="BN277" i="2"/>
  <c r="Y289" i="2"/>
  <c r="BN280" i="2"/>
  <c r="Z285" i="2"/>
  <c r="BN286" i="2"/>
  <c r="Z287" i="2"/>
  <c r="BN287" i="2"/>
  <c r="BN291" i="2"/>
  <c r="BP292" i="2"/>
  <c r="Y293" i="2"/>
  <c r="Y294" i="2"/>
  <c r="O563" i="2"/>
  <c r="Z298" i="2"/>
  <c r="BN298" i="2"/>
  <c r="Y305" i="2"/>
  <c r="BN301" i="2"/>
  <c r="Z311" i="2"/>
  <c r="Z312" i="2" s="1"/>
  <c r="BN311" i="2"/>
  <c r="BP311" i="2"/>
  <c r="Y312" i="2"/>
  <c r="BP315" i="2"/>
  <c r="P563" i="2"/>
  <c r="Y328" i="2"/>
  <c r="BN324" i="2"/>
  <c r="BN325" i="2"/>
  <c r="Y327" i="2"/>
  <c r="BP332" i="2"/>
  <c r="BN332" i="2"/>
  <c r="Z332" i="2"/>
  <c r="BP342" i="2"/>
  <c r="BN342" i="2"/>
  <c r="Z342" i="2"/>
  <c r="BN361" i="2"/>
  <c r="BP368" i="2"/>
  <c r="BN368" i="2"/>
  <c r="Z368" i="2"/>
  <c r="BN381" i="2"/>
  <c r="BP386" i="2"/>
  <c r="BN386" i="2"/>
  <c r="Z386" i="2"/>
  <c r="U563" i="2"/>
  <c r="BP411" i="2"/>
  <c r="BN411" i="2"/>
  <c r="Z411" i="2"/>
  <c r="BN418" i="2"/>
  <c r="Z418" i="2"/>
  <c r="BP426" i="2"/>
  <c r="BN426" i="2"/>
  <c r="Z426" i="2"/>
  <c r="BN430" i="2"/>
  <c r="Z430" i="2"/>
  <c r="Y440" i="2"/>
  <c r="BP436" i="2"/>
  <c r="BN436" i="2"/>
  <c r="Z436" i="2"/>
  <c r="Y451" i="2"/>
  <c r="BP473" i="2"/>
  <c r="BN473" i="2"/>
  <c r="Z473" i="2"/>
  <c r="BN475" i="2"/>
  <c r="BP475" i="2"/>
  <c r="Y483" i="2"/>
  <c r="Y541" i="2"/>
  <c r="Z540" i="2"/>
  <c r="Z541" i="2" s="1"/>
  <c r="BN181" i="2"/>
  <c r="BN184" i="2"/>
  <c r="BP184" i="2"/>
  <c r="Z189" i="2"/>
  <c r="BN189" i="2"/>
  <c r="Z194" i="2"/>
  <c r="Z195" i="2" s="1"/>
  <c r="BN194" i="2"/>
  <c r="BP194" i="2"/>
  <c r="Y195" i="2"/>
  <c r="Z204" i="2"/>
  <c r="BN204" i="2"/>
  <c r="BN205" i="2"/>
  <c r="BN208" i="2"/>
  <c r="BP208" i="2"/>
  <c r="L563" i="2"/>
  <c r="Z219" i="2"/>
  <c r="BN219" i="2"/>
  <c r="BP221" i="2"/>
  <c r="BP222" i="2"/>
  <c r="Z224" i="2"/>
  <c r="BN224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Y288" i="2"/>
  <c r="BN279" i="2"/>
  <c r="BN281" i="2"/>
  <c r="BN300" i="2"/>
  <c r="BN302" i="2"/>
  <c r="Y304" i="2"/>
  <c r="BN323" i="2"/>
  <c r="R563" i="2"/>
  <c r="BP338" i="2"/>
  <c r="BN338" i="2"/>
  <c r="Z338" i="2"/>
  <c r="BP352" i="2"/>
  <c r="Y356" i="2"/>
  <c r="BN371" i="2"/>
  <c r="BP378" i="2"/>
  <c r="BN378" i="2"/>
  <c r="Z378" i="2"/>
  <c r="BP392" i="2"/>
  <c r="BN392" i="2"/>
  <c r="Z392" i="2"/>
  <c r="BP399" i="2"/>
  <c r="BN399" i="2"/>
  <c r="Z399" i="2"/>
  <c r="Y421" i="2"/>
  <c r="Z417" i="2"/>
  <c r="BN419" i="2"/>
  <c r="BP419" i="2"/>
  <c r="BN429" i="2"/>
  <c r="Z429" i="2"/>
  <c r="BN431" i="2"/>
  <c r="BP431" i="2"/>
  <c r="BN444" i="2"/>
  <c r="BN449" i="2"/>
  <c r="BP455" i="2"/>
  <c r="BN455" i="2"/>
  <c r="Z455" i="2"/>
  <c r="Y467" i="2"/>
  <c r="BP463" i="2"/>
  <c r="BP481" i="2"/>
  <c r="BN481" i="2"/>
  <c r="Z481" i="2"/>
  <c r="BN492" i="2"/>
  <c r="BN499" i="2"/>
  <c r="BN504" i="2"/>
  <c r="BP506" i="2"/>
  <c r="BN506" i="2"/>
  <c r="Z506" i="2"/>
  <c r="Y507" i="2"/>
  <c r="BN518" i="2"/>
  <c r="BP518" i="2"/>
  <c r="BN519" i="2"/>
  <c r="BP540" i="2"/>
  <c r="BP544" i="2"/>
  <c r="Z544" i="2"/>
  <c r="Q563" i="2"/>
  <c r="BP339" i="2"/>
  <c r="BP340" i="2"/>
  <c r="T563" i="2"/>
  <c r="Y376" i="2"/>
  <c r="Y383" i="2"/>
  <c r="Y389" i="2"/>
  <c r="BP393" i="2"/>
  <c r="BP394" i="2"/>
  <c r="BN398" i="2"/>
  <c r="Y408" i="2"/>
  <c r="Y413" i="2"/>
  <c r="W563" i="2"/>
  <c r="Y450" i="2"/>
  <c r="X563" i="2"/>
  <c r="Y460" i="2"/>
  <c r="Y563" i="2"/>
  <c r="BN474" i="2"/>
  <c r="Y477" i="2"/>
  <c r="Y482" i="2"/>
  <c r="Z563" i="2"/>
  <c r="AA563" i="2"/>
  <c r="Y524" i="2"/>
  <c r="BP528" i="2"/>
  <c r="BP532" i="2"/>
  <c r="Y533" i="2"/>
  <c r="Y552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419" i="2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13" i="2" l="1"/>
  <c r="Z247" i="2"/>
  <c r="Z401" i="2"/>
  <c r="Z52" i="2"/>
  <c r="Z439" i="2"/>
  <c r="Z74" i="2"/>
  <c r="Z144" i="2"/>
  <c r="Z69" i="2"/>
  <c r="Z334" i="2"/>
  <c r="Z257" i="2"/>
  <c r="Z420" i="2"/>
  <c r="Z343" i="2"/>
  <c r="Z32" i="2"/>
  <c r="Z382" i="2"/>
  <c r="Z138" i="2"/>
  <c r="Z120" i="2"/>
  <c r="Z395" i="2"/>
  <c r="Z191" i="2"/>
  <c r="Z62" i="2"/>
  <c r="Z166" i="2"/>
  <c r="Z546" i="2"/>
  <c r="Z456" i="2"/>
  <c r="Z433" i="2"/>
  <c r="Z388" i="2"/>
  <c r="Z304" i="2"/>
  <c r="Z94" i="2"/>
  <c r="Z113" i="2"/>
  <c r="Z482" i="2"/>
  <c r="Z407" i="2"/>
  <c r="Z523" i="2"/>
  <c r="Z477" i="2"/>
  <c r="Z327" i="2"/>
  <c r="Z24" i="2"/>
  <c r="Y553" i="2"/>
  <c r="Y557" i="2"/>
  <c r="Z105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65" i="2"/>
  <c r="Z79" i="2"/>
  <c r="Z273" i="2"/>
  <c r="Z155" i="2"/>
  <c r="Z466" i="2"/>
  <c r="Z87" i="2"/>
  <c r="Z318" i="2"/>
  <c r="Z43" i="2"/>
  <c r="Y555" i="2"/>
  <c r="Y556" i="2" l="1"/>
  <c r="Z558" i="2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<sst xmlns="http://schemas.openxmlformats.org/spreadsheetml/2006/main" count="4216" uniqueCount="893">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</sst>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108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112.1</v>
      </c>
      <c r="BN48" s="78">
        <f>IFERROR(Y48*I48/H48,"0")</f>
        <v>112.1</v>
      </c>
      <c r="BO48" s="78">
        <f>IFERROR(1/J48*(X48/H48),"0")</f>
        <v>0.15625</v>
      </c>
      <c r="BP48" s="78">
        <f>IFERROR(1/J48*(Y48/H48),"0")</f>
        <v>0.15625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40</v>
      </c>
      <c r="Y50" s="55">
        <f>IFERROR(IF(X50="",0,CEILING((X50/$H50),1)*$H50),"")</f>
        <v>40</v>
      </c>
      <c r="Z50" s="41">
        <f>IFERROR(IF(Y50=0,"",ROUNDUP(Y50/H50,0)*0.00902),"")</f>
        <v>9.0200000000000002E-2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41.900000000000006</v>
      </c>
      <c r="BN50" s="78">
        <f>IFERROR(Y50*I50/H50,"0")</f>
        <v>41.900000000000006</v>
      </c>
      <c r="BO50" s="78">
        <f>IFERROR(1/J50*(X50/H50),"0")</f>
        <v>7.575757575757576E-2</v>
      </c>
      <c r="BP50" s="78">
        <f>IFERROR(1/J50*(Y50/H50),"0")</f>
        <v>7.575757575757576E-2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20</v>
      </c>
      <c r="Y52" s="43">
        <f>IFERROR(Y48/H48,"0")+IFERROR(Y49/H49,"0")+IFERROR(Y50/H50,"0")+IFERROR(Y51/H51,"0")</f>
        <v>20</v>
      </c>
      <c r="Z52" s="43">
        <f>IFERROR(IF(Z48="",0,Z48),"0")+IFERROR(IF(Z49="",0,Z49),"0")+IFERROR(IF(Z50="",0,Z50),"0")+IFERROR(IF(Z51="",0,Z51),"0")</f>
        <v>0.28000000000000003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148</v>
      </c>
      <c r="Y53" s="43">
        <f>IFERROR(SUM(Y48:Y51),"0")</f>
        <v>148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691.2</v>
      </c>
      <c r="Y57" s="55">
        <f t="shared" si="6"/>
        <v>691.2</v>
      </c>
      <c r="Z57" s="41">
        <f>IFERROR(IF(Y57=0,"",ROUNDUP(Y57/H57,0)*0.01898),"")</f>
        <v>1.21472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717.44</v>
      </c>
      <c r="BN57" s="78">
        <f t="shared" si="8"/>
        <v>717.44</v>
      </c>
      <c r="BO57" s="78">
        <f t="shared" si="9"/>
        <v>1</v>
      </c>
      <c r="BP57" s="78">
        <f t="shared" si="10"/>
        <v>1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40</v>
      </c>
      <c r="Y59" s="55">
        <f t="shared" si="6"/>
        <v>40</v>
      </c>
      <c r="Z59" s="41">
        <f>IFERROR(IF(Y59=0,"",ROUNDUP(Y59/H59,0)*0.00902),"")</f>
        <v>9.0200000000000002E-2</v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41.900000000000006</v>
      </c>
      <c r="BN59" s="78">
        <f t="shared" si="8"/>
        <v>41.900000000000006</v>
      </c>
      <c r="BO59" s="78">
        <f t="shared" si="9"/>
        <v>7.575757575757576E-2</v>
      </c>
      <c r="BP59" s="78">
        <f t="shared" si="10"/>
        <v>7.575757575757576E-2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74</v>
      </c>
      <c r="Y62" s="43">
        <f>IFERROR(Y56/H56,"0")+IFERROR(Y57/H57,"0")+IFERROR(Y58/H58,"0")+IFERROR(Y59/H59,"0")+IFERROR(Y60/H60,"0")+IFERROR(Y61/H61,"0")</f>
        <v>74</v>
      </c>
      <c r="Z62" s="43">
        <f>IFERROR(IF(Z56="",0,Z56),"0")+IFERROR(IF(Z57="",0,Z57),"0")+IFERROR(IF(Z58="",0,Z58),"0")+IFERROR(IF(Z59="",0,Z59),"0")+IFERROR(IF(Z60="",0,Z60),"0")+IFERROR(IF(Z61="",0,Z61),"0")</f>
        <v>1.3049200000000001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731.2</v>
      </c>
      <c r="Y63" s="43">
        <f>IFERROR(SUM(Y56:Y61),"0")</f>
        <v>731.2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162</v>
      </c>
      <c r="Y65" s="55">
        <f>IFERROR(IF(X65="",0,CEILING((X65/$H65),1)*$H65),"")</f>
        <v>162</v>
      </c>
      <c r="Z65" s="41">
        <f>IFERROR(IF(Y65=0,"",ROUNDUP(Y65/H65,0)*0.01898),"")</f>
        <v>0.28470000000000001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168.15</v>
      </c>
      <c r="BN65" s="78">
        <f>IFERROR(Y65*I65/H65,"0")</f>
        <v>168.15</v>
      </c>
      <c r="BO65" s="78">
        <f>IFERROR(1/J65*(X65/H65),"0")</f>
        <v>0.23437499999999997</v>
      </c>
      <c r="BP65" s="78">
        <f>IFERROR(1/J65*(Y65/H65),"0")</f>
        <v>0.23437499999999997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25</v>
      </c>
      <c r="Y69" s="43">
        <f>IFERROR(Y65/H65,"0")+IFERROR(Y66/H66,"0")+IFERROR(Y67/H67,"0")+IFERROR(Y68/H68,"0")</f>
        <v>25</v>
      </c>
      <c r="Z69" s="43">
        <f>IFERROR(IF(Z65="",0,Z65),"0")+IFERROR(IF(Z66="",0,Z66),"0")+IFERROR(IF(Z67="",0,Z67),"0")+IFERROR(IF(Z68="",0,Z68),"0")</f>
        <v>0.3498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189</v>
      </c>
      <c r="Y70" s="43">
        <f>IFERROR(SUM(Y65:Y68),"0")</f>
        <v>189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121.5</v>
      </c>
      <c r="Y90" s="55">
        <f>IFERROR(IF(X90="",0,CEILING((X90/$H90),1)*$H90),"")</f>
        <v>121.5</v>
      </c>
      <c r="Z90" s="41">
        <f>IFERROR(IF(Y90=0,"",ROUNDUP(Y90/H90,0)*0.01898),"")</f>
        <v>0.28470000000000001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128.91</v>
      </c>
      <c r="BN90" s="78">
        <f>IFERROR(Y90*I90/H90,"0")</f>
        <v>128.91</v>
      </c>
      <c r="BO90" s="78">
        <f>IFERROR(1/J90*(X90/H90),"0")</f>
        <v>0.234375</v>
      </c>
      <c r="BP90" s="78">
        <f>IFERROR(1/J90*(Y90/H90),"0")</f>
        <v>0.234375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15</v>
      </c>
      <c r="Y94" s="43">
        <f>IFERROR(Y90/H90,"0")+IFERROR(Y91/H91,"0")+IFERROR(Y92/H92,"0")+IFERROR(Y93/H93,"0")</f>
        <v>15</v>
      </c>
      <c r="Z94" s="43">
        <f>IFERROR(IF(Z90="",0,Z90),"0")+IFERROR(IF(Z91="",0,Z91),"0")+IFERROR(IF(Z92="",0,Z92),"0")+IFERROR(IF(Z93="",0,Z93),"0")</f>
        <v>0.28470000000000001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121.5</v>
      </c>
      <c r="Y95" s="43">
        <f>IFERROR(SUM(Y90:Y93),"0")</f>
        <v>121.5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121.5</v>
      </c>
      <c r="Y116" s="55">
        <f>IFERROR(IF(X116="",0,CEILING((X116/$H116),1)*$H116),"")</f>
        <v>121.5</v>
      </c>
      <c r="Z116" s="41">
        <f>IFERROR(IF(Y116=0,"",ROUNDUP(Y116/H116,0)*0.01898),"")</f>
        <v>0.28470000000000001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128.82</v>
      </c>
      <c r="BN116" s="78">
        <f>IFERROR(Y116*I116/H116,"0")</f>
        <v>128.82</v>
      </c>
      <c r="BO116" s="78">
        <f>IFERROR(1/J116*(X116/H116),"0")</f>
        <v>0.234375</v>
      </c>
      <c r="BP116" s="78">
        <f>IFERROR(1/J116*(Y116/H116),"0")</f>
        <v>0.234375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15</v>
      </c>
      <c r="Y120" s="43">
        <f>IFERROR(Y116/H116,"0")+IFERROR(Y117/H117,"0")+IFERROR(Y118/H118,"0")+IFERROR(Y119/H119,"0")</f>
        <v>15</v>
      </c>
      <c r="Z120" s="43">
        <f>IFERROR(IF(Z116="",0,Z116),"0")+IFERROR(IF(Z117="",0,Z117),"0")+IFERROR(IF(Z118="",0,Z118),"0")+IFERROR(IF(Z119="",0,Z119),"0")</f>
        <v>0.28470000000000001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121.5</v>
      </c>
      <c r="Y121" s="43">
        <f>IFERROR(SUM(Y116:Y119),"0")</f>
        <v>121.5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35</v>
      </c>
      <c r="Y175" s="55">
        <f t="shared" si="22"/>
        <v>35</v>
      </c>
      <c r="Z175" s="41">
        <f>IFERROR(IF(Y175=0,"",ROUNDUP(Y175/H175,0)*0.00902),"")</f>
        <v>9.0200000000000002E-2</v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37.65</v>
      </c>
      <c r="BN175" s="78">
        <f t="shared" si="24"/>
        <v>37.65</v>
      </c>
      <c r="BO175" s="78">
        <f t="shared" si="25"/>
        <v>7.575757575757576E-2</v>
      </c>
      <c r="BP175" s="78">
        <f t="shared" si="26"/>
        <v>7.575757575757576E-2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9.0200000000000002E-2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35</v>
      </c>
      <c r="Y186" s="43">
        <f>IFERROR(SUM(Y174:Y184),"0")</f>
        <v>35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108</v>
      </c>
      <c r="Y324" s="55">
        <f>IFERROR(IF(X324="",0,CEILING((X324/$H324),1)*$H324),"")</f>
        <v>108</v>
      </c>
      <c r="Z324" s="41">
        <f>IFERROR(IF(Y324=0,"",ROUNDUP(Y324/H324,0)*0.01898),"")</f>
        <v>0.1898</v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112.1</v>
      </c>
      <c r="BN324" s="78">
        <f>IFERROR(Y324*I324/H324,"0")</f>
        <v>112.1</v>
      </c>
      <c r="BO324" s="78">
        <f>IFERROR(1/J324*(X324/H324),"0")</f>
        <v>0.15625</v>
      </c>
      <c r="BP324" s="78">
        <f>IFERROR(1/J324*(Y324/H324),"0")</f>
        <v>0.15625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10</v>
      </c>
      <c r="Y327" s="43">
        <f>IFERROR(Y322/H322,"0")+IFERROR(Y323/H323,"0")+IFERROR(Y324/H324,"0")+IFERROR(Y325/H325,"0")+IFERROR(Y326/H326,"0")</f>
        <v>10</v>
      </c>
      <c r="Z327" s="43">
        <f>IFERROR(IF(Z322="",0,Z322),"0")+IFERROR(IF(Z323="",0,Z323),"0")+IFERROR(IF(Z324="",0,Z324),"0")+IFERROR(IF(Z325="",0,Z325),"0")+IFERROR(IF(Z326="",0,Z326),"0")</f>
        <v>0.1898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108</v>
      </c>
      <c r="Y328" s="43">
        <f>IFERROR(SUM(Y322:Y326),"0")</f>
        <v>108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691.2</v>
      </c>
      <c r="Y359" s="55">
        <f t="shared" ref="Y359:Y364" si="54">IFERROR(IF(X359="",0,CEILING((X359/$H359),1)*$H359),"")</f>
        <v>691.2</v>
      </c>
      <c r="Z359" s="41">
        <f>IFERROR(IF(Y359=0,"",ROUNDUP(Y359/H359,0)*0.01898),"")</f>
        <v>1.21472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717.44</v>
      </c>
      <c r="BN359" s="78">
        <f t="shared" ref="BN359:BN364" si="56">IFERROR(Y359*I359/H359,"0")</f>
        <v>717.44</v>
      </c>
      <c r="BO359" s="78">
        <f t="shared" ref="BO359:BO364" si="57">IFERROR(1/J359*(X359/H359),"0")</f>
        <v>1</v>
      </c>
      <c r="BP359" s="78">
        <f t="shared" ref="BP359:BP364" si="58">IFERROR(1/J359*(Y359/H359),"0")</f>
        <v>1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108</v>
      </c>
      <c r="Y360" s="55">
        <f t="shared" si="54"/>
        <v>108</v>
      </c>
      <c r="Z360" s="41">
        <f>IFERROR(IF(Y360=0,"",ROUNDUP(Y360/H360,0)*0.01898),"")</f>
        <v>0.1898</v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112.1</v>
      </c>
      <c r="BN360" s="78">
        <f t="shared" si="56"/>
        <v>112.1</v>
      </c>
      <c r="BO360" s="78">
        <f t="shared" si="57"/>
        <v>0.15625</v>
      </c>
      <c r="BP360" s="78">
        <f t="shared" si="58"/>
        <v>0.15625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40</v>
      </c>
      <c r="Y364" s="55">
        <f t="shared" si="54"/>
        <v>40</v>
      </c>
      <c r="Z364" s="41">
        <f>IFERROR(IF(Y364=0,"",ROUNDUP(Y364/H364,0)*0.00902),"")</f>
        <v>9.0200000000000002E-2</v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41.900000000000006</v>
      </c>
      <c r="BN364" s="78">
        <f t="shared" si="56"/>
        <v>41.900000000000006</v>
      </c>
      <c r="BO364" s="78">
        <f t="shared" si="57"/>
        <v>7.575757575757576E-2</v>
      </c>
      <c r="BP364" s="78">
        <f t="shared" si="58"/>
        <v>7.575757575757576E-2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84</v>
      </c>
      <c r="Y365" s="43">
        <f>IFERROR(Y359/H359,"0")+IFERROR(Y360/H360,"0")+IFERROR(Y361/H361,"0")+IFERROR(Y362/H362,"0")+IFERROR(Y363/H363,"0")+IFERROR(Y364/H364,"0")</f>
        <v>84</v>
      </c>
      <c r="Z365" s="43">
        <f>IFERROR(IF(Z359="",0,Z359),"0")+IFERROR(IF(Z360="",0,Z360),"0")+IFERROR(IF(Z361="",0,Z361),"0")+IFERROR(IF(Z362="",0,Z362),"0")+IFERROR(IF(Z363="",0,Z363),"0")+IFERROR(IF(Z364="",0,Z364),"0")</f>
        <v>1.49472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839.2</v>
      </c>
      <c r="Y366" s="43">
        <f>IFERROR(SUM(Y359:Y364),"0")</f>
        <v>839.2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63</v>
      </c>
      <c r="Y368" s="55">
        <f t="shared" ref="Y368:Y374" si="59">IFERROR(IF(X368="",0,CEILING((X368/$H368),1)*$H368),"")</f>
        <v>63</v>
      </c>
      <c r="Z368" s="41">
        <f>IFERROR(IF(Y368=0,"",ROUNDUP(Y368/H368,0)*0.00902),"")</f>
        <v>0.1353</v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66.75</v>
      </c>
      <c r="BN368" s="78">
        <f t="shared" ref="BN368:BN374" si="61">IFERROR(Y368*I368/H368,"0")</f>
        <v>66.75</v>
      </c>
      <c r="BO368" s="78">
        <f t="shared" ref="BO368:BO374" si="62">IFERROR(1/J368*(X368/H368),"0")</f>
        <v>0.11363636363636365</v>
      </c>
      <c r="BP368" s="78">
        <f t="shared" ref="BP368:BP374" si="63">IFERROR(1/J368*(Y368/H368),"0")</f>
        <v>0.11363636363636365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63</v>
      </c>
      <c r="Y369" s="55">
        <f t="shared" si="59"/>
        <v>63</v>
      </c>
      <c r="Z369" s="41">
        <f>IFERROR(IF(Y369=0,"",ROUNDUP(Y369/H369,0)*0.00902),"")</f>
        <v>0.1353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66.75</v>
      </c>
      <c r="BN369" s="78">
        <f t="shared" si="61"/>
        <v>66.75</v>
      </c>
      <c r="BO369" s="78">
        <f t="shared" si="62"/>
        <v>0.11363636363636365</v>
      </c>
      <c r="BP369" s="78">
        <f t="shared" si="63"/>
        <v>0.11363636363636365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10.5</v>
      </c>
      <c r="Y371" s="55">
        <f t="shared" si="59"/>
        <v>10.5</v>
      </c>
      <c r="Z371" s="41">
        <f>IFERROR(IF(Y371=0,"",ROUNDUP(Y371/H371,0)*0.00502),"")</f>
        <v>2.5100000000000001E-2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11.149999999999999</v>
      </c>
      <c r="BN371" s="78">
        <f t="shared" si="61"/>
        <v>11.149999999999999</v>
      </c>
      <c r="BO371" s="78">
        <f t="shared" si="62"/>
        <v>2.1367521367521368E-2</v>
      </c>
      <c r="BP371" s="78">
        <f t="shared" si="63"/>
        <v>2.1367521367521368E-2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35</v>
      </c>
      <c r="Y375" s="43">
        <f>IFERROR(Y368/H368,"0")+IFERROR(Y369/H369,"0")+IFERROR(Y370/H370,"0")+IFERROR(Y371/H371,"0")+IFERROR(Y372/H372,"0")+IFERROR(Y373/H373,"0")+IFERROR(Y374/H374,"0")</f>
        <v>35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0.29570000000000002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136.5</v>
      </c>
      <c r="Y376" s="43">
        <f>IFERROR(SUM(Y368:Y374),"0")</f>
        <v>136.5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2496</v>
      </c>
      <c r="Y378" s="55">
        <f>IFERROR(IF(X378="",0,CEILING((X378/$H378),1)*$H378),"")</f>
        <v>2496</v>
      </c>
      <c r="Z378" s="41">
        <f>IFERROR(IF(Y378=0,"",ROUNDUP(Y378/H378,0)*0.01898),"")</f>
        <v>6.0735999999999999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2652.1600000000003</v>
      </c>
      <c r="BN378" s="78">
        <f>IFERROR(Y378*I378/H378,"0")</f>
        <v>2652.1600000000003</v>
      </c>
      <c r="BO378" s="78">
        <f>IFERROR(1/J378*(X378/H378),"0")</f>
        <v>5</v>
      </c>
      <c r="BP378" s="78">
        <f>IFERROR(1/J378*(Y378/H378),"0")</f>
        <v>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15</v>
      </c>
      <c r="Y381" s="55">
        <f>IFERROR(IF(X381="",0,CEILING((X381/$H381),1)*$H381),"")</f>
        <v>15</v>
      </c>
      <c r="Z381" s="41">
        <f>IFERROR(IF(Y381=0,"",ROUNDUP(Y381/H381,0)*0.00651),"")</f>
        <v>3.2550000000000003E-2</v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16.23</v>
      </c>
      <c r="BN381" s="78">
        <f>IFERROR(Y381*I381/H381,"0")</f>
        <v>16.23</v>
      </c>
      <c r="BO381" s="78">
        <f>IFERROR(1/J381*(X381/H381),"0")</f>
        <v>2.7472527472527476E-2</v>
      </c>
      <c r="BP381" s="78">
        <f>IFERROR(1/J381*(Y381/H381),"0")</f>
        <v>2.7472527472527476E-2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325</v>
      </c>
      <c r="Y382" s="43">
        <f>IFERROR(Y378/H378,"0")+IFERROR(Y379/H379,"0")+IFERROR(Y380/H380,"0")+IFERROR(Y381/H381,"0")</f>
        <v>325</v>
      </c>
      <c r="Z382" s="43">
        <f>IFERROR(IF(Z378="",0,Z378),"0")+IFERROR(IF(Z379="",0,Z379),"0")+IFERROR(IF(Z380="",0,Z380),"0")+IFERROR(IF(Z381="",0,Z381),"0")</f>
        <v>6.1061499999999995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2511</v>
      </c>
      <c r="Y383" s="43">
        <f>IFERROR(SUM(Y378:Y381),"0")</f>
        <v>2511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117</v>
      </c>
      <c r="Y386" s="55">
        <f>IFERROR(IF(X386="",0,CEILING((X386/$H386),1)*$H386),"")</f>
        <v>117</v>
      </c>
      <c r="Z386" s="41">
        <f>IFERROR(IF(Y386=0,"",ROUNDUP(Y386/H386,0)*0.01898),"")</f>
        <v>0.28470000000000001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124.41000000000001</v>
      </c>
      <c r="BN386" s="78">
        <f>IFERROR(Y386*I386/H386,"0")</f>
        <v>124.41000000000001</v>
      </c>
      <c r="BO386" s="78">
        <f>IFERROR(1/J386*(X386/H386),"0")</f>
        <v>0.234375</v>
      </c>
      <c r="BP386" s="78">
        <f>IFERROR(1/J386*(Y386/H386),"0")</f>
        <v>0.234375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15</v>
      </c>
      <c r="Y388" s="43">
        <f>IFERROR(Y385/H385,"0")+IFERROR(Y386/H386,"0")+IFERROR(Y387/H387,"0")</f>
        <v>15</v>
      </c>
      <c r="Z388" s="43">
        <f>IFERROR(IF(Z385="",0,Z385),"0")+IFERROR(IF(Z386="",0,Z386),"0")+IFERROR(IF(Z387="",0,Z387),"0")</f>
        <v>0.28470000000000001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117</v>
      </c>
      <c r="Y389" s="43">
        <f>IFERROR(SUM(Y385:Y387),"0")</f>
        <v>117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81</v>
      </c>
      <c r="Y417" s="55">
        <f>IFERROR(IF(X417="",0,CEILING((X417/$H417),1)*$H417),"")</f>
        <v>81</v>
      </c>
      <c r="Z417" s="41">
        <f>IFERROR(IF(Y417=0,"",ROUNDUP(Y417/H417,0)*0.01898),"")</f>
        <v>0.1898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85.94</v>
      </c>
      <c r="BN417" s="78">
        <f>IFERROR(Y417*I417/H417,"0")</f>
        <v>85.94</v>
      </c>
      <c r="BO417" s="78">
        <f>IFERROR(1/J417*(X417/H417),"0")</f>
        <v>0.15625</v>
      </c>
      <c r="BP417" s="78">
        <f>IFERROR(1/J417*(Y417/H417),"0")</f>
        <v>0.15625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10.5</v>
      </c>
      <c r="Y418" s="55">
        <f>IFERROR(IF(X418="",0,CEILING((X418/$H418),1)*$H418),"")</f>
        <v>10.5</v>
      </c>
      <c r="Z418" s="41">
        <f>IFERROR(IF(Y418=0,"",ROUNDUP(Y418/H418,0)*0.00651),"")</f>
        <v>3.2550000000000003E-2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11.759999999999998</v>
      </c>
      <c r="BN418" s="78">
        <f>IFERROR(Y418*I418/H418,"0")</f>
        <v>11.759999999999998</v>
      </c>
      <c r="BO418" s="78">
        <f>IFERROR(1/J418*(X418/H418),"0")</f>
        <v>2.7472527472527476E-2</v>
      </c>
      <c r="BP418" s="78">
        <f>IFERROR(1/J418*(Y418/H418),"0")</f>
        <v>2.7472527472527476E-2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10.5</v>
      </c>
      <c r="Y419" s="55">
        <f>IFERROR(IF(X419="",0,CEILING((X419/$H419),1)*$H419),"")</f>
        <v>10.5</v>
      </c>
      <c r="Z419" s="41">
        <f>IFERROR(IF(Y419=0,"",ROUNDUP(Y419/H419,0)*0.00651),"")</f>
        <v>3.2550000000000003E-2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11.7</v>
      </c>
      <c r="BN419" s="78">
        <f>IFERROR(Y419*I419/H419,"0")</f>
        <v>11.7</v>
      </c>
      <c r="BO419" s="78">
        <f>IFERROR(1/J419*(X419/H419),"0")</f>
        <v>2.7472527472527476E-2</v>
      </c>
      <c r="BP419" s="78">
        <f>IFERROR(1/J419*(Y419/H419),"0")</f>
        <v>2.7472527472527476E-2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20</v>
      </c>
      <c r="Y420" s="43">
        <f>IFERROR(Y417/H417,"0")+IFERROR(Y418/H418,"0")+IFERROR(Y419/H419,"0")</f>
        <v>20</v>
      </c>
      <c r="Z420" s="43">
        <f>IFERROR(IF(Z417="",0,Z417),"0")+IFERROR(IF(Z418="",0,Z418),"0")+IFERROR(IF(Z419="",0,Z419),"0")</f>
        <v>0.25490000000000002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102</v>
      </c>
      <c r="Y421" s="43">
        <f>IFERROR(SUM(Y417:Y419),"0")</f>
        <v>102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64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742.56</v>
      </c>
      <c r="BN427" s="78">
        <f t="shared" si="66"/>
        <v>742.56</v>
      </c>
      <c r="BO427" s="78">
        <f t="shared" si="67"/>
        <v>1</v>
      </c>
      <c r="BP427" s="78">
        <f t="shared" si="68"/>
        <v>1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1440</v>
      </c>
      <c r="Y428" s="55">
        <f t="shared" si="64"/>
        <v>1440</v>
      </c>
      <c r="Z428" s="41">
        <f>IFERROR(IF(Y428=0,"",ROUNDUP(Y428/H428,0)*0.02175),"")</f>
        <v>2.0880000000000001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1485.12</v>
      </c>
      <c r="BN428" s="78">
        <f t="shared" si="66"/>
        <v>1485.12</v>
      </c>
      <c r="BO428" s="78">
        <f t="shared" si="67"/>
        <v>2</v>
      </c>
      <c r="BP428" s="78">
        <f t="shared" si="68"/>
        <v>2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144</v>
      </c>
      <c r="Y433" s="43">
        <f>IFERROR(Y425/H425,"0")+IFERROR(Y426/H426,"0")+IFERROR(Y427/H427,"0")+IFERROR(Y428/H428,"0")+IFERROR(Y429/H429,"0")+IFERROR(Y430/H430,"0")+IFERROR(Y431/H431,"0")+IFERROR(Y432/H432,"0")</f>
        <v>144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3.1320000000000001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2160</v>
      </c>
      <c r="Y434" s="43">
        <f>IFERROR(SUM(Y425:Y432),"0")</f>
        <v>2160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1440</v>
      </c>
      <c r="Y436" s="55">
        <f>IFERROR(IF(X436="",0,CEILING((X436/$H436),1)*$H436),"")</f>
        <v>1440</v>
      </c>
      <c r="Z436" s="41">
        <f>IFERROR(IF(Y436=0,"",ROUNDUP(Y436/H436,0)*0.02175),"")</f>
        <v>2.0880000000000001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1485.12</v>
      </c>
      <c r="BN436" s="78">
        <f>IFERROR(Y436*I436/H436,"0")</f>
        <v>1485.12</v>
      </c>
      <c r="BO436" s="78">
        <f>IFERROR(1/J436*(X436/H436),"0")</f>
        <v>2</v>
      </c>
      <c r="BP436" s="78">
        <f>IFERROR(1/J436*(Y436/H436),"0")</f>
        <v>2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96</v>
      </c>
      <c r="Y439" s="43">
        <f>IFERROR(Y436/H436,"0")+IFERROR(Y437/H437,"0")+IFERROR(Y438/H438,"0")</f>
        <v>96</v>
      </c>
      <c r="Z439" s="43">
        <f>IFERROR(IF(Z436="",0,Z436),"0")+IFERROR(IF(Z437="",0,Z437),"0")+IFERROR(IF(Z438="",0,Z438),"0")</f>
        <v>2.0880000000000001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1440</v>
      </c>
      <c r="Y440" s="43">
        <f>IFERROR(SUM(Y436:Y438),"0")</f>
        <v>1440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90</v>
      </c>
      <c r="Y442" s="55">
        <f>IFERROR(IF(X442="",0,CEILING((X442/$H442),1)*$H442),"")</f>
        <v>90</v>
      </c>
      <c r="Z442" s="41">
        <f>IFERROR(IF(Y442=0,"",ROUNDUP(Y442/H442,0)*0.01898),"")</f>
        <v>0.1898</v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95</v>
      </c>
      <c r="BN442" s="78">
        <f>IFERROR(Y442*I442/H442,"0")</f>
        <v>95</v>
      </c>
      <c r="BO442" s="78">
        <f>IFERROR(1/J442*(X442/H442),"0")</f>
        <v>0.15625</v>
      </c>
      <c r="BP442" s="78">
        <f>IFERROR(1/J442*(Y442/H442),"0")</f>
        <v>0.15625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18</v>
      </c>
      <c r="Y443" s="55">
        <f>IFERROR(IF(X443="",0,CEILING((X443/$H443),1)*$H443),"")</f>
        <v>18</v>
      </c>
      <c r="Z443" s="41">
        <f>IFERROR(IF(Y443=0,"",ROUNDUP(Y443/H443,0)*0.01898),"")</f>
        <v>3.7960000000000001E-2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18.988</v>
      </c>
      <c r="BN443" s="78">
        <f>IFERROR(Y443*I443/H443,"0")</f>
        <v>18.988</v>
      </c>
      <c r="BO443" s="78">
        <f>IFERROR(1/J443*(X443/H443),"0")</f>
        <v>3.125E-2</v>
      </c>
      <c r="BP443" s="78">
        <f>IFERROR(1/J443*(Y443/H443),"0")</f>
        <v>3.125E-2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12</v>
      </c>
      <c r="Y445" s="43">
        <f>IFERROR(Y442/H442,"0")+IFERROR(Y443/H443,"0")+IFERROR(Y444/H444,"0")</f>
        <v>12</v>
      </c>
      <c r="Z445" s="43">
        <f>IFERROR(IF(Z442="",0,Z442),"0")+IFERROR(IF(Z443="",0,Z443),"0")+IFERROR(IF(Z444="",0,Z444),"0")</f>
        <v>0.22775999999999999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108</v>
      </c>
      <c r="Y446" s="43">
        <f>IFERROR(SUM(Y442:Y444),"0")</f>
        <v>108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52.8</v>
      </c>
      <c r="Y501" s="55">
        <f t="shared" si="74"/>
        <v>52.800000000000004</v>
      </c>
      <c r="Z501" s="41">
        <f t="shared" si="75"/>
        <v>0.1196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56.29999999999999</v>
      </c>
      <c r="BN501" s="78">
        <f t="shared" si="77"/>
        <v>56.3</v>
      </c>
      <c r="BO501" s="78">
        <f t="shared" si="78"/>
        <v>9.6153846153846145E-2</v>
      </c>
      <c r="BP501" s="78">
        <f t="shared" si="79"/>
        <v>9.6153846153846159E-2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52.8</v>
      </c>
      <c r="Y503" s="55">
        <f t="shared" si="74"/>
        <v>52.800000000000004</v>
      </c>
      <c r="Z503" s="41">
        <f t="shared" si="75"/>
        <v>0.1196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56.29999999999999</v>
      </c>
      <c r="BN503" s="78">
        <f t="shared" si="77"/>
        <v>56.3</v>
      </c>
      <c r="BO503" s="78">
        <f t="shared" si="78"/>
        <v>9.6153846153846145E-2</v>
      </c>
      <c r="BP503" s="78">
        <f t="shared" si="79"/>
        <v>9.6153846153846159E-2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19.999999999999996</v>
      </c>
      <c r="Y507" s="43">
        <f>IFERROR(Y498/H498,"0")+IFERROR(Y499/H499,"0")+IFERROR(Y500/H500,"0")+IFERROR(Y501/H501,"0")+IFERROR(Y502/H502,"0")+IFERROR(Y503/H503,"0")+IFERROR(Y504/H504,"0")+IFERROR(Y505/H505,"0")+IFERROR(Y506/H506,"0")</f>
        <v>20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0.2392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105.6</v>
      </c>
      <c r="Y508" s="43">
        <f>IFERROR(SUM(Y498:Y506),"0")</f>
        <v>105.60000000000001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52.8</v>
      </c>
      <c r="Y510" s="55">
        <f>IFERROR(IF(X510="",0,CEILING((X510/$H510),1)*$H510),"")</f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56.29999999999999</v>
      </c>
      <c r="BN510" s="78">
        <f>IFERROR(Y510*I510/H510,"0")</f>
        <v>56.3</v>
      </c>
      <c r="BO510" s="78">
        <f>IFERROR(1/J510*(X510/H510),"0")</f>
        <v>9.6153846153846145E-2</v>
      </c>
      <c r="BP510" s="78">
        <f>IFERROR(1/J510*(Y510/H510),"0")</f>
        <v>9.6153846153846159E-2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9.9999999999999982</v>
      </c>
      <c r="Y513" s="43">
        <f>IFERROR(Y510/H510,"0")+IFERROR(Y511/H511,"0")+IFERROR(Y512/H512,"0")</f>
        <v>10</v>
      </c>
      <c r="Z513" s="43">
        <f>IFERROR(IF(Z510="",0,Z510),"0")+IFERROR(IF(Z511="",0,Z511),"0")+IFERROR(IF(Z512="",0,Z512),"0")</f>
        <v>0.1196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52.8</v>
      </c>
      <c r="Y514" s="43">
        <f>IFERROR(SUM(Y510:Y512),"0")</f>
        <v>52.800000000000004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52.8</v>
      </c>
      <c r="Y518" s="55">
        <f t="shared" si="80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56.29999999999999</v>
      </c>
      <c r="BN518" s="78">
        <f t="shared" si="82"/>
        <v>56.3</v>
      </c>
      <c r="BO518" s="78">
        <f t="shared" si="83"/>
        <v>9.6153846153846145E-2</v>
      </c>
      <c r="BP518" s="78">
        <f t="shared" si="84"/>
        <v>9.6153846153846159E-2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9.9999999999999982</v>
      </c>
      <c r="Y523" s="43">
        <f>IFERROR(Y516/H516,"0")+IFERROR(Y517/H517,"0")+IFERROR(Y518/H518,"0")+IFERROR(Y519/H519,"0")+IFERROR(Y520/H520,"0")+IFERROR(Y521/H521,"0")+IFERROR(Y522/H522,"0")</f>
        <v>10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0.1196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52.8</v>
      </c>
      <c r="Y524" s="43">
        <f>IFERROR(SUM(Y516:Y522),"0")</f>
        <v>52.800000000000004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42</v>
      </c>
      <c r="Y536" s="55">
        <f>IFERROR(IF(X536="",0,CEILING((X536/$H536),1)*$H536),"")</f>
        <v>42</v>
      </c>
      <c r="Z536" s="41">
        <f>IFERROR(IF(Y536=0,"",ROUNDUP(Y536/H536,0)*0.00902),"")</f>
        <v>9.0200000000000002E-2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44.5</v>
      </c>
      <c r="BN536" s="78">
        <f>IFERROR(Y536*I536/H536,"0")</f>
        <v>44.5</v>
      </c>
      <c r="BO536" s="78">
        <f>IFERROR(1/J536*(X536/H536),"0")</f>
        <v>7.575757575757576E-2</v>
      </c>
      <c r="BP536" s="78">
        <f>IFERROR(1/J536*(Y536/H536),"0")</f>
        <v>7.575757575757576E-2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10</v>
      </c>
      <c r="Y537" s="43">
        <f>IFERROR(Y536/H536,"0")</f>
        <v>10</v>
      </c>
      <c r="Z537" s="43">
        <f>IFERROR(IF(Z536="",0,Z536),"0")</f>
        <v>9.0200000000000002E-2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42</v>
      </c>
      <c r="Y538" s="43">
        <f>IFERROR(SUM(Y536:Y536),"0")</f>
        <v>42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9121.0999999999985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9121.0999999999985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9532.5479999999952</v>
      </c>
      <c r="Y554" s="43">
        <f>IFERROR(SUM(BN22:BN550),"0")</f>
        <v>9532.5479999999952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15</v>
      </c>
      <c r="Y555" s="44">
        <f>ROUNDUP(SUM(BP22:BP550),0)</f>
        <v>15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9907.5479999999952</v>
      </c>
      <c r="Y556" s="43">
        <f>GrossWeightTotalR+PalletQtyTotalR*25</f>
        <v>9907.5479999999952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950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950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17.236649999999994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148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920.2</v>
      </c>
      <c r="F563" s="52">
        <f>IFERROR(Y83*1,"0")+IFERROR(Y84*1,"0")+IFERROR(Y85*1,"0")+IFERROR(Y86*1,"0")+IFERROR(Y90*1,"0")+IFERROR(Y91*1,"0")+IFERROR(Y92*1,"0")+IFERROR(Y93*1,"0")</f>
        <v>121.5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121.5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35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108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3603.7</v>
      </c>
      <c r="U563" s="52">
        <f>IFERROR(Y411*1,"0")+IFERROR(Y412*1,"0")</f>
        <v>0</v>
      </c>
      <c r="V563" s="52">
        <f>IFERROR(Y417*1,"0")+IFERROR(Y418*1,"0")+IFERROR(Y419*1,"0")</f>
        <v>102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3708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211.20000000000002</v>
      </c>
      <c r="AB563" s="52">
        <f>IFERROR(Y528*1,"0")+IFERROR(Y532*1,"0")+IFERROR(Y536*1,"0")+IFERROR(Y540*1,"0")+IFERROR(Y544*1,"0")+IFERROR(Y545*1,"0")</f>
        <v>42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2,00"/>
        <filter val="105,60"/>
        <filter val="108,00"/>
        <filter val="117,00"/>
        <filter val="12,00"/>
        <filter val="121,50"/>
        <filter val="136,50"/>
        <filter val="144,00"/>
        <filter val="148,00"/>
        <filter val="15"/>
        <filter val="15,00"/>
        <filter val="162,00"/>
        <filter val="18,00"/>
        <filter val="189,00"/>
        <filter val="2 160,00"/>
        <filter val="2 496,00"/>
        <filter val="2 511,00"/>
        <filter val="20,00"/>
        <filter val="25,00"/>
        <filter val="27,00"/>
        <filter val="325,00"/>
        <filter val="35,00"/>
        <filter val="40,00"/>
        <filter val="42,00"/>
        <filter val="52,80"/>
        <filter val="63,00"/>
        <filter val="691,20"/>
        <filter val="720,00"/>
        <filter val="731,20"/>
        <filter val="74,00"/>
        <filter val="81,00"/>
        <filter val="839,20"/>
        <filter val="84,00"/>
        <filter val="9 121,10"/>
        <filter val="9 532,55"/>
        <filter val="9 907,55"/>
        <filter val="90,00"/>
        <filter val="950,00"/>
        <filter val="96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2026-08-26T06:59:32Z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