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C94931B7-E297-47BC-B595-5DA79EC0C3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Y480" i="2" l="1"/>
  <c r="BP66" i="2"/>
  <c r="Z183" i="2"/>
  <c r="Z372" i="2"/>
  <c r="Z439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259" i="2" l="1"/>
  <c r="Z484" i="2"/>
  <c r="Z350" i="2"/>
  <c r="Z197" i="2"/>
  <c r="Z264" i="2"/>
  <c r="Z422" i="2"/>
  <c r="Z415" i="2"/>
  <c r="Z357" i="2"/>
  <c r="Z441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<sst xmlns="http://schemas.openxmlformats.org/spreadsheetml/2006/main" count="4244" uniqueCount="900">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</sst>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1" zoomScaleNormal="100" zoomScaleSheetLayoutView="100" workbookViewId="0">
      <selection activeCell="X555" sqref="X5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800</v>
      </c>
      <c r="Y47" s="55">
        <f>IFERROR(IF(X47="",0,CEILING((X47/$H47),1)*$H47),"")</f>
        <v>810</v>
      </c>
      <c r="Z47" s="41">
        <f>IFERROR(IF(Y47=0,"",ROUNDUP(Y47/H47,0)*0.01898),"")</f>
        <v>1.4235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830.37037037037032</v>
      </c>
      <c r="BN47" s="78">
        <f>IFERROR(Y47*I47/H47,"0")</f>
        <v>840.75</v>
      </c>
      <c r="BO47" s="78">
        <f>IFERROR(1/J47*(X47/H47),"0")</f>
        <v>1.1574074074074074</v>
      </c>
      <c r="BP47" s="78">
        <f>IFERROR(1/J47*(Y47/H47),"0")</f>
        <v>1.171875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74.074074074074076</v>
      </c>
      <c r="Y51" s="43">
        <f>IFERROR(Y47/H47,"0")+IFERROR(Y48/H48,"0")+IFERROR(Y49/H49,"0")+IFERROR(Y50/H50,"0")</f>
        <v>75</v>
      </c>
      <c r="Z51" s="43">
        <f>IFERROR(IF(Z47="",0,Z47),"0")+IFERROR(IF(Z48="",0,Z48),"0")+IFERROR(IF(Z49="",0,Z49),"0")+IFERROR(IF(Z50="",0,Z50),"0")</f>
        <v>1.4235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800</v>
      </c>
      <c r="Y52" s="43">
        <f>IFERROR(SUM(Y47:Y50),"0")</f>
        <v>810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350</v>
      </c>
      <c r="Y57" s="55">
        <f t="shared" si="0"/>
        <v>356.40000000000003</v>
      </c>
      <c r="Z57" s="41">
        <f>IFERROR(IF(Y57=0,"",ROUNDUP(Y57/H57,0)*0.01898),"")</f>
        <v>0.62634000000000001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363.28703703703707</v>
      </c>
      <c r="BN57" s="78">
        <f t="shared" si="2"/>
        <v>369.93</v>
      </c>
      <c r="BO57" s="78">
        <f t="shared" si="3"/>
        <v>0.5063657407407407</v>
      </c>
      <c r="BP57" s="78">
        <f t="shared" si="4"/>
        <v>0.515625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32.407407407407405</v>
      </c>
      <c r="Y63" s="43">
        <f>IFERROR(Y55/H55,"0")+IFERROR(Y56/H56,"0")+IFERROR(Y57/H57,"0")+IFERROR(Y58/H58,"0")+IFERROR(Y59/H59,"0")+IFERROR(Y60/H60,"0")+IFERROR(Y61/H61,"0")+IFERROR(Y62/H62,"0")</f>
        <v>33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0.62634000000000001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350</v>
      </c>
      <c r="Y64" s="43">
        <f>IFERROR(SUM(Y55:Y62),"0")</f>
        <v>356.40000000000003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200</v>
      </c>
      <c r="Y66" s="55">
        <f>IFERROR(IF(X66="",0,CEILING((X66/$H66),1)*$H66),"")</f>
        <v>205.20000000000002</v>
      </c>
      <c r="Z66" s="41">
        <f>IFERROR(IF(Y66=0,"",ROUNDUP(Y66/H66,0)*0.01898),"")</f>
        <v>0.36062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207.59259259259258</v>
      </c>
      <c r="BN66" s="78">
        <f>IFERROR(Y66*I66/H66,"0")</f>
        <v>212.99</v>
      </c>
      <c r="BO66" s="78">
        <f>IFERROR(1/J66*(X66/H66),"0")</f>
        <v>0.28935185185185186</v>
      </c>
      <c r="BP66" s="78">
        <f>IFERROR(1/J66*(Y66/H66),"0")</f>
        <v>0.296875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18.518518518518519</v>
      </c>
      <c r="Y70" s="43">
        <f>IFERROR(Y66/H66,"0")+IFERROR(Y67/H67,"0")+IFERROR(Y68/H68,"0")+IFERROR(Y69/H69,"0")</f>
        <v>19</v>
      </c>
      <c r="Z70" s="43">
        <f>IFERROR(IF(Z66="",0,Z66),"0")+IFERROR(IF(Z67="",0,Z67),"0")+IFERROR(IF(Z68="",0,Z68),"0")+IFERROR(IF(Z69="",0,Z69),"0")</f>
        <v>0.36062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200</v>
      </c>
      <c r="Y71" s="43">
        <f>IFERROR(SUM(Y66:Y69),"0")</f>
        <v>205.20000000000002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50</v>
      </c>
      <c r="Y78" s="55">
        <f>IFERROR(IF(X78="",0,CEILING((X78/$H78),1)*$H78),"")</f>
        <v>54.6</v>
      </c>
      <c r="Z78" s="41">
        <f>IFERROR(IF(Y78=0,"",ROUNDUP(Y78/H78,0)*0.01898),"")</f>
        <v>0.13286000000000001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52.628205128205138</v>
      </c>
      <c r="BN78" s="78">
        <f>IFERROR(Y78*I78/H78,"0")</f>
        <v>57.470000000000013</v>
      </c>
      <c r="BO78" s="78">
        <f>IFERROR(1/J78*(X78/H78),"0")</f>
        <v>0.10016025641025642</v>
      </c>
      <c r="BP78" s="78">
        <f>IFERROR(1/J78*(Y78/H78),"0")</f>
        <v>0.109375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6.4102564102564106</v>
      </c>
      <c r="Y80" s="43">
        <f>IFERROR(Y78/H78,"0")+IFERROR(Y79/H79,"0")</f>
        <v>7</v>
      </c>
      <c r="Z80" s="43">
        <f>IFERROR(IF(Z78="",0,Z78),"0")+IFERROR(IF(Z79="",0,Z79),"0")</f>
        <v>0.13286000000000001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50</v>
      </c>
      <c r="Y81" s="43">
        <f>IFERROR(SUM(Y78:Y79),"0")</f>
        <v>54.6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400</v>
      </c>
      <c r="Y84" s="55">
        <f>IFERROR(IF(X84="",0,CEILING((X84/$H84),1)*$H84),"")</f>
        <v>410.40000000000003</v>
      </c>
      <c r="Z84" s="41">
        <f>IFERROR(IF(Y84=0,"",ROUNDUP(Y84/H84,0)*0.01898),"")</f>
        <v>0.72123999999999999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415.18518518518516</v>
      </c>
      <c r="BN84" s="78">
        <f>IFERROR(Y84*I84/H84,"0")</f>
        <v>425.98</v>
      </c>
      <c r="BO84" s="78">
        <f>IFERROR(1/J84*(X84/H84),"0")</f>
        <v>0.57870370370370372</v>
      </c>
      <c r="BP84" s="78">
        <f>IFERROR(1/J84*(Y84/H84),"0")</f>
        <v>0.59375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37.037037037037038</v>
      </c>
      <c r="Y88" s="43">
        <f>IFERROR(Y84/H84,"0")+IFERROR(Y85/H85,"0")+IFERROR(Y86/H86,"0")+IFERROR(Y87/H87,"0")</f>
        <v>38</v>
      </c>
      <c r="Z88" s="43">
        <f>IFERROR(IF(Z84="",0,Z84),"0")+IFERROR(IF(Z85="",0,Z85),"0")+IFERROR(IF(Z86="",0,Z86),"0")+IFERROR(IF(Z87="",0,Z87),"0")</f>
        <v>0.72123999999999999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400</v>
      </c>
      <c r="Y89" s="43">
        <f>IFERROR(SUM(Y84:Y87),"0")</f>
        <v>410.40000000000003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300</v>
      </c>
      <c r="Y91" s="55">
        <f>IFERROR(IF(X91="",0,CEILING((X91/$H91),1)*$H91),"")</f>
        <v>307.8</v>
      </c>
      <c r="Z91" s="41">
        <f>IFERROR(IF(Y91=0,"",ROUNDUP(Y91/H91,0)*0.01898),"")</f>
        <v>0.72123999999999999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318.2962962962963</v>
      </c>
      <c r="BN91" s="78">
        <f>IFERROR(Y91*I91/H91,"0")</f>
        <v>326.572</v>
      </c>
      <c r="BO91" s="78">
        <f>IFERROR(1/J91*(X91/H91),"0")</f>
        <v>0.57870370370370372</v>
      </c>
      <c r="BP91" s="78">
        <f>IFERROR(1/J91*(Y91/H91),"0")</f>
        <v>0.59375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37.037037037037038</v>
      </c>
      <c r="Y95" s="43">
        <f>IFERROR(Y91/H91,"0")+IFERROR(Y92/H92,"0")+IFERROR(Y93/H93,"0")+IFERROR(Y94/H94,"0")</f>
        <v>38</v>
      </c>
      <c r="Z95" s="43">
        <f>IFERROR(IF(Z91="",0,Z91),"0")+IFERROR(IF(Z92="",0,Z92),"0")+IFERROR(IF(Z93="",0,Z93),"0")+IFERROR(IF(Z94="",0,Z94),"0")</f>
        <v>0.72123999999999999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300</v>
      </c>
      <c r="Y96" s="43">
        <f>IFERROR(SUM(Y91:Y94),"0")</f>
        <v>307.8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300</v>
      </c>
      <c r="Y99" s="55">
        <f t="shared" ref="Y99:Y105" si="5">IFERROR(IF(X99="",0,CEILING((X99/$H99),1)*$H99),"")</f>
        <v>302.40000000000003</v>
      </c>
      <c r="Z99" s="41">
        <f>IFERROR(IF(Y99=0,"",ROUNDUP(Y99/H99,0)*0.01898),"")</f>
        <v>0.53144000000000002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311.38888888888891</v>
      </c>
      <c r="BN99" s="78">
        <f t="shared" ref="BN99:BN105" si="7">IFERROR(Y99*I99/H99,"0")</f>
        <v>313.88</v>
      </c>
      <c r="BO99" s="78">
        <f t="shared" ref="BO99:BO105" si="8">IFERROR(1/J99*(X99/H99),"0")</f>
        <v>0.43402777777777773</v>
      </c>
      <c r="BP99" s="78">
        <f t="shared" ref="BP99:BP105" si="9">IFERROR(1/J99*(Y99/H99),"0")</f>
        <v>0.4375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27.777777777777775</v>
      </c>
      <c r="Y106" s="43">
        <f>IFERROR(Y99/H99,"0")+IFERROR(Y100/H100,"0")+IFERROR(Y101/H101,"0")+IFERROR(Y102/H102,"0")+IFERROR(Y103/H103,"0")+IFERROR(Y104/H104,"0")+IFERROR(Y105/H105,"0")</f>
        <v>28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0.53144000000000002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300</v>
      </c>
      <c r="Y107" s="43">
        <f>IFERROR(SUM(Y99:Y105),"0")</f>
        <v>302.40000000000003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1600</v>
      </c>
      <c r="Y117" s="55">
        <f>IFERROR(IF(X117="",0,CEILING((X117/$H117),1)*$H117),"")</f>
        <v>1603.8</v>
      </c>
      <c r="Z117" s="41">
        <f>IFERROR(IF(Y117=0,"",ROUNDUP(Y117/H117,0)*0.01898),"")</f>
        <v>3.7580400000000003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1696.3950617283951</v>
      </c>
      <c r="BN117" s="78">
        <f>IFERROR(Y117*I117/H117,"0")</f>
        <v>1700.4239999999998</v>
      </c>
      <c r="BO117" s="78">
        <f>IFERROR(1/J117*(X117/H117),"0")</f>
        <v>3.0864197530864197</v>
      </c>
      <c r="BP117" s="78">
        <f>IFERROR(1/J117*(Y117/H117),"0")</f>
        <v>3.09375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197.53086419753086</v>
      </c>
      <c r="Y121" s="43">
        <f>IFERROR(Y117/H117,"0")+IFERROR(Y118/H118,"0")+IFERROR(Y119/H119,"0")+IFERROR(Y120/H120,"0")</f>
        <v>198</v>
      </c>
      <c r="Z121" s="43">
        <f>IFERROR(IF(Z117="",0,Z117),"0")+IFERROR(IF(Z118="",0,Z118),"0")+IFERROR(IF(Z119="",0,Z119),"0")+IFERROR(IF(Z120="",0,Z120),"0")</f>
        <v>3.7580400000000003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1600</v>
      </c>
      <c r="Y122" s="43">
        <f>IFERROR(SUM(Y117:Y120),"0")</f>
        <v>1603.8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6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52.714285714285715</v>
      </c>
      <c r="BN177" s="78">
        <f t="shared" si="18"/>
        <v>55.35</v>
      </c>
      <c r="BO177" s="78">
        <f t="shared" si="19"/>
        <v>0.10822510822510824</v>
      </c>
      <c r="BP177" s="78">
        <f t="shared" si="20"/>
        <v>0.11363636363636365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6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52.714285714285715</v>
      </c>
      <c r="BN178" s="78">
        <f t="shared" si="18"/>
        <v>55.35</v>
      </c>
      <c r="BO178" s="78">
        <f t="shared" si="19"/>
        <v>0.10822510822510824</v>
      </c>
      <c r="BP178" s="78">
        <f t="shared" si="20"/>
        <v>0.11363636363636365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0.27060000000000001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100</v>
      </c>
      <c r="Y187" s="43">
        <f>IFERROR(SUM(Y175:Y185),"0")</f>
        <v>105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40</v>
      </c>
      <c r="Y221" s="55">
        <f t="shared" ref="Y221:Y234" si="27">IFERROR(IF(X221="",0,CEILING((X221/$H221),1)*$H221),"")</f>
        <v>42</v>
      </c>
      <c r="Z221" s="41">
        <f>IFERROR(IF(Y221=0,"",ROUNDUP(Y221/H221,0)*0.00902),"")</f>
        <v>9.0200000000000002E-2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42.38095238095238</v>
      </c>
      <c r="BN221" s="78">
        <f t="shared" ref="BN221:BN234" si="29">IFERROR(Y221*I221/H221,"0")</f>
        <v>44.5</v>
      </c>
      <c r="BO221" s="78">
        <f t="shared" ref="BO221:BO234" si="30">IFERROR(1/J221*(X221/H221),"0")</f>
        <v>7.2150072150072145E-2</v>
      </c>
      <c r="BP221" s="78">
        <f t="shared" ref="BP221:BP234" si="31">IFERROR(1/J221*(Y221/H221),"0")</f>
        <v>7.575757575757576E-2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9.5238095238095237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9.0200000000000002E-2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40</v>
      </c>
      <c r="Y236" s="43">
        <f>IFERROR(SUM(Y221:Y234),"0")</f>
        <v>42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70</v>
      </c>
      <c r="Y267" s="55">
        <f t="shared" ref="Y267:Y274" si="33">IFERROR(IF(X267="",0,CEILING((X267/$H267),1)*$H267),"")</f>
        <v>70.2</v>
      </c>
      <c r="Z267" s="41">
        <f>IFERROR(IF(Y267=0,"",ROUNDUP(Y267/H267,0)*0.00902),"")</f>
        <v>0.11726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72.462962962962962</v>
      </c>
      <c r="BN267" s="78">
        <f t="shared" ref="BN267:BN274" si="35">IFERROR(Y267*I267/H267,"0")</f>
        <v>72.67</v>
      </c>
      <c r="BO267" s="78">
        <f t="shared" ref="BO267:BO274" si="36">IFERROR(1/J267*(X267/H267),"0")</f>
        <v>9.8204264870931535E-2</v>
      </c>
      <c r="BP267" s="78">
        <f t="shared" ref="BP267:BP274" si="37">IFERROR(1/J267*(Y267/H267),"0")</f>
        <v>9.8484848484848481E-2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40</v>
      </c>
      <c r="Y268" s="55">
        <f t="shared" si="33"/>
        <v>43.2</v>
      </c>
      <c r="Z268" s="41">
        <f>IFERROR(IF(Y268=0,"",ROUNDUP(Y268/H268,0)*0.00902),"")</f>
        <v>7.2160000000000002E-2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41.407407407407405</v>
      </c>
      <c r="BN268" s="78">
        <f t="shared" si="35"/>
        <v>44.72</v>
      </c>
      <c r="BO268" s="78">
        <f t="shared" si="36"/>
        <v>5.6116722783389444E-2</v>
      </c>
      <c r="BP268" s="78">
        <f t="shared" si="37"/>
        <v>6.0606060606060608E-2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si="33"/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51.759259259259252</v>
      </c>
      <c r="BN269" s="78">
        <f t="shared" si="35"/>
        <v>55.9</v>
      </c>
      <c r="BO269" s="78">
        <f t="shared" si="36"/>
        <v>7.0145903479236812E-2</v>
      </c>
      <c r="BP269" s="78">
        <f t="shared" si="37"/>
        <v>7.575757575757576E-2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3"/>
        <v>64.800000000000011</v>
      </c>
      <c r="Z270" s="41">
        <f>IFERROR(IF(Y270=0,"",ROUNDUP(Y270/H270,0)*0.00902),"")</f>
        <v>0.10824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62.1111111111111</v>
      </c>
      <c r="BN270" s="78">
        <f t="shared" si="35"/>
        <v>67.08</v>
      </c>
      <c r="BO270" s="78">
        <f t="shared" si="36"/>
        <v>8.4175084175084181E-2</v>
      </c>
      <c r="BP270" s="78">
        <f t="shared" si="37"/>
        <v>9.0909090909090925E-2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40.740740740740733</v>
      </c>
      <c r="Y275" s="43">
        <f>IFERROR(Y267/H267,"0")+IFERROR(Y268/H268,"0")+IFERROR(Y269/H269,"0")+IFERROR(Y270/H270,"0")+IFERROR(Y271/H271,"0")+IFERROR(Y272/H272,"0")+IFERROR(Y273/H273,"0")+IFERROR(Y274/H274,"0")</f>
        <v>43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0.38785999999999998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220</v>
      </c>
      <c r="Y276" s="43">
        <f>IFERROR(SUM(Y267:Y274),"0")</f>
        <v>232.20000000000002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50</v>
      </c>
      <c r="Y280" s="55">
        <f t="shared" si="38"/>
        <v>52.199999999999996</v>
      </c>
      <c r="Z280" s="41">
        <f>IFERROR(IF(Y280=0,"",ROUNDUP(Y280/H280,0)*0.01898),"")</f>
        <v>0.11388000000000001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52.839080459770123</v>
      </c>
      <c r="BN280" s="78">
        <f t="shared" si="40"/>
        <v>55.164000000000009</v>
      </c>
      <c r="BO280" s="78">
        <f t="shared" si="41"/>
        <v>8.9798850574712652E-2</v>
      </c>
      <c r="BP280" s="78">
        <f t="shared" si="42"/>
        <v>9.375E-2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5.7471264367816097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0.11388000000000001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50</v>
      </c>
      <c r="Y291" s="43">
        <f>IFERROR(SUM(Y278:Y289),"0")</f>
        <v>52.199999999999996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4.6296296296296298</v>
      </c>
      <c r="Y329" s="43">
        <f>IFERROR(Y324/H324,"0")+IFERROR(Y325/H325,"0")+IFERROR(Y326/H326,"0")+IFERROR(Y327/H327,"0")+IFERROR(Y328/H328,"0")</f>
        <v>5</v>
      </c>
      <c r="Z329" s="43">
        <f>IFERROR(IF(Z324="",0,Z324),"0")+IFERROR(IF(Z325="",0,Z325),"0")+IFERROR(IF(Z326="",0,Z326),"0")+IFERROR(IF(Z327="",0,Z327),"0")+IFERROR(IF(Z328="",0,Z328),"0")</f>
        <v>9.4899999999999998E-2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50</v>
      </c>
      <c r="Y330" s="43">
        <f>IFERROR(SUM(Y324:Y328),"0")</f>
        <v>54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100</v>
      </c>
      <c r="Y380" s="55">
        <f>IFERROR(IF(X380="",0,CEILING((X380/$H380),1)*$H380),"")</f>
        <v>101.39999999999999</v>
      </c>
      <c r="Z380" s="41">
        <f>IFERROR(IF(Y380=0,"",ROUNDUP(Y380/H380,0)*0.01898),"")</f>
        <v>0.24674000000000001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106.25641025641026</v>
      </c>
      <c r="BN380" s="78">
        <f>IFERROR(Y380*I380/H380,"0")</f>
        <v>107.744</v>
      </c>
      <c r="BO380" s="78">
        <f>IFERROR(1/J380*(X380/H380),"0")</f>
        <v>0.20032051282051283</v>
      </c>
      <c r="BP380" s="78">
        <f>IFERROR(1/J380*(Y380/H380),"0")</f>
        <v>0.203125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12.820512820512821</v>
      </c>
      <c r="Y384" s="43">
        <f>IFERROR(Y380/H380,"0")+IFERROR(Y381/H381,"0")+IFERROR(Y382/H382,"0")+IFERROR(Y383/H383,"0")</f>
        <v>13</v>
      </c>
      <c r="Z384" s="43">
        <f>IFERROR(IF(Z380="",0,Z380),"0")+IFERROR(IF(Z381="",0,Z381),"0")+IFERROR(IF(Z382="",0,Z382),"0")+IFERROR(IF(Z383="",0,Z383),"0")</f>
        <v>0.24674000000000001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100</v>
      </c>
      <c r="Y385" s="43">
        <f>IFERROR(SUM(Y380:Y383),"0")</f>
        <v>101.39999999999999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900</v>
      </c>
      <c r="Y388" s="55">
        <f>IFERROR(IF(X388="",0,CEILING((X388/$H388),1)*$H388),"")</f>
        <v>904.8</v>
      </c>
      <c r="Z388" s="41">
        <f>IFERROR(IF(Y388=0,"",ROUNDUP(Y388/H388,0)*0.01898),"")</f>
        <v>2.2016800000000001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957.00000000000011</v>
      </c>
      <c r="BN388" s="78">
        <f>IFERROR(Y388*I388/H388,"0")</f>
        <v>962.10400000000004</v>
      </c>
      <c r="BO388" s="78">
        <f>IFERROR(1/J388*(X388/H388),"0")</f>
        <v>1.8028846153846154</v>
      </c>
      <c r="BP388" s="78">
        <f>IFERROR(1/J388*(Y388/H388),"0")</f>
        <v>1.8125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115.38461538461539</v>
      </c>
      <c r="Y390" s="43">
        <f>IFERROR(Y387/H387,"0")+IFERROR(Y388/H388,"0")+IFERROR(Y389/H389,"0")</f>
        <v>116</v>
      </c>
      <c r="Z390" s="43">
        <f>IFERROR(IF(Z387="",0,Z387),"0")+IFERROR(IF(Z388="",0,Z388),"0")+IFERROR(IF(Z389="",0,Z389),"0")</f>
        <v>2.2016800000000001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900</v>
      </c>
      <c r="Y391" s="43">
        <f>IFERROR(SUM(Y387:Y389),"0")</f>
        <v>904.8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100</v>
      </c>
      <c r="Y419" s="55">
        <f>IFERROR(IF(X419="",0,CEILING((X419/$H419),1)*$H419),"")</f>
        <v>105.3</v>
      </c>
      <c r="Z419" s="41">
        <f>IFERROR(IF(Y419=0,"",ROUNDUP(Y419/H419,0)*0.01898),"")</f>
        <v>0.24674000000000001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106.09876543209877</v>
      </c>
      <c r="BN419" s="78">
        <f>IFERROR(Y419*I419/H419,"0")</f>
        <v>111.72199999999999</v>
      </c>
      <c r="BO419" s="78">
        <f>IFERROR(1/J419*(X419/H419),"0")</f>
        <v>0.19290123456790123</v>
      </c>
      <c r="BP419" s="78">
        <f>IFERROR(1/J419*(Y419/H419),"0")</f>
        <v>0.203125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12.345679012345679</v>
      </c>
      <c r="Y422" s="43">
        <f>IFERROR(Y419/H419,"0")+IFERROR(Y420/H420,"0")+IFERROR(Y421/H421,"0")</f>
        <v>13</v>
      </c>
      <c r="Z422" s="43">
        <f>IFERROR(IF(Z419="",0,Z419),"0")+IFERROR(IF(Z420="",0,Z420),"0")+IFERROR(IF(Z421="",0,Z421),"0")</f>
        <v>0.24674000000000001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100</v>
      </c>
      <c r="Y423" s="43">
        <f>IFERROR(SUM(Y419:Y421),"0")</f>
        <v>105.3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300</v>
      </c>
      <c r="Y427" s="55">
        <f t="shared" ref="Y427:Y434" si="58">IFERROR(IF(X427="",0,CEILING((X427/$H427),1)*$H427),"")</f>
        <v>300</v>
      </c>
      <c r="Z427" s="41">
        <f>IFERROR(IF(Y427=0,"",ROUNDUP(Y427/H427,0)*0.02175),"")</f>
        <v>0.43499999999999994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309.39999999999998</v>
      </c>
      <c r="BN427" s="78">
        <f t="shared" ref="BN427:BN434" si="60">IFERROR(Y427*I427/H427,"0")</f>
        <v>309.39999999999998</v>
      </c>
      <c r="BO427" s="78">
        <f t="shared" ref="BO427:BO434" si="61">IFERROR(1/J427*(X427/H427),"0")</f>
        <v>0.41666666666666663</v>
      </c>
      <c r="BP427" s="78">
        <f t="shared" ref="BP427:BP434" si="62">IFERROR(1/J427*(Y427/H427),"0")</f>
        <v>0.41666666666666663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5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1031.3333333333333</v>
      </c>
      <c r="BN428" s="78">
        <f t="shared" si="60"/>
        <v>1036.49</v>
      </c>
      <c r="BO428" s="78">
        <f t="shared" si="61"/>
        <v>1.3888888888888888</v>
      </c>
      <c r="BP428" s="78">
        <f t="shared" si="62"/>
        <v>1.3958333333333333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1000</v>
      </c>
      <c r="Y429" s="55">
        <f t="shared" si="58"/>
        <v>1005</v>
      </c>
      <c r="Z429" s="41">
        <f>IFERROR(IF(Y429=0,"",ROUNDUP(Y429/H429,0)*0.02175),"")</f>
        <v>1.4572499999999999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1031.3333333333333</v>
      </c>
      <c r="BN429" s="78">
        <f t="shared" si="60"/>
        <v>1036.49</v>
      </c>
      <c r="BO429" s="78">
        <f t="shared" si="61"/>
        <v>1.3888888888888888</v>
      </c>
      <c r="BP429" s="78">
        <f t="shared" si="62"/>
        <v>1.3958333333333333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1547</v>
      </c>
      <c r="BN430" s="78">
        <f t="shared" si="60"/>
        <v>1547</v>
      </c>
      <c r="BO430" s="78">
        <f t="shared" si="61"/>
        <v>2.083333333333333</v>
      </c>
      <c r="BP430" s="78">
        <f t="shared" si="62"/>
        <v>2.083333333333333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500</v>
      </c>
      <c r="Y431" s="55">
        <f t="shared" si="58"/>
        <v>510</v>
      </c>
      <c r="Z431" s="41">
        <f>IFERROR(IF(Y431=0,"",ROUNDUP(Y431/H431,0)*0.02175),"")</f>
        <v>0.73949999999999994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515.66666666666663</v>
      </c>
      <c r="BN431" s="78">
        <f t="shared" si="60"/>
        <v>525.98</v>
      </c>
      <c r="BO431" s="78">
        <f t="shared" si="61"/>
        <v>0.69444444444444442</v>
      </c>
      <c r="BP431" s="78">
        <f t="shared" si="62"/>
        <v>0.70833333333333326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286.66666666666669</v>
      </c>
      <c r="Y435" s="43">
        <f>IFERROR(Y427/H427,"0")+IFERROR(Y428/H428,"0")+IFERROR(Y429/H429,"0")+IFERROR(Y430/H430,"0")+IFERROR(Y431/H431,"0")+IFERROR(Y432/H432,"0")+IFERROR(Y433/H433,"0")+IFERROR(Y434/H434,"0")</f>
        <v>288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6.2639999999999993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4300</v>
      </c>
      <c r="Y436" s="43">
        <f>IFERROR(SUM(Y427:Y434),"0")</f>
        <v>4320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1000</v>
      </c>
      <c r="Y438" s="55">
        <f>IFERROR(IF(X438="",0,CEILING((X438/$H438),1)*$H438),"")</f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1031.3333333333333</v>
      </c>
      <c r="BN438" s="78">
        <f>IFERROR(Y438*I438/H438,"0")</f>
        <v>1036.49</v>
      </c>
      <c r="BO438" s="78">
        <f>IFERROR(1/J438*(X438/H438),"0")</f>
        <v>1.3888888888888888</v>
      </c>
      <c r="BP438" s="78">
        <f>IFERROR(1/J438*(Y438/H438),"0")</f>
        <v>1.3958333333333333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300</v>
      </c>
      <c r="Y439" s="55">
        <f>IFERROR(IF(X439="",0,CEILING((X439/$H439),1)*$H439),"")</f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309.39999999999998</v>
      </c>
      <c r="BN439" s="78">
        <f>IFERROR(Y439*I439/H439,"0")</f>
        <v>309.39999999999998</v>
      </c>
      <c r="BO439" s="78">
        <f>IFERROR(1/J439*(X439/H439),"0")</f>
        <v>0.41666666666666663</v>
      </c>
      <c r="BP439" s="78">
        <f>IFERROR(1/J439*(Y439/H439),"0")</f>
        <v>0.41666666666666663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86.666666666666671</v>
      </c>
      <c r="Y441" s="43">
        <f>IFERROR(Y438/H438,"0")+IFERROR(Y439/H439,"0")+IFERROR(Y440/H440,"0")</f>
        <v>87</v>
      </c>
      <c r="Z441" s="43">
        <f>IFERROR(IF(Z438="",0,Z438),"0")+IFERROR(IF(Z439="",0,Z439),"0")+IFERROR(IF(Z440="",0,Z440),"0")</f>
        <v>1.8922499999999998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1300</v>
      </c>
      <c r="Y442" s="43">
        <f>IFERROR(SUM(Y438:Y440),"0")</f>
        <v>1305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200</v>
      </c>
      <c r="Y444" s="55">
        <f>IFERROR(IF(X444="",0,CEILING((X444/$H444),1)*$H444),"")</f>
        <v>207</v>
      </c>
      <c r="Z444" s="41">
        <f>IFERROR(IF(Y444=0,"",ROUNDUP(Y444/H444,0)*0.01898),"")</f>
        <v>0.43653999999999998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211.11111111111111</v>
      </c>
      <c r="BN444" s="78">
        <f>IFERROR(Y444*I444/H444,"0")</f>
        <v>218.5</v>
      </c>
      <c r="BO444" s="78">
        <f>IFERROR(1/J444*(X444/H444),"0")</f>
        <v>0.34722222222222221</v>
      </c>
      <c r="BP444" s="78">
        <f>IFERROR(1/J444*(Y444/H444),"0")</f>
        <v>0.359375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22.222222222222221</v>
      </c>
      <c r="Y447" s="43">
        <f>IFERROR(Y444/H444,"0")+IFERROR(Y445/H445,"0")+IFERROR(Y446/H446,"0")</f>
        <v>23</v>
      </c>
      <c r="Z447" s="43">
        <f>IFERROR(IF(Z444="",0,Z444),"0")+IFERROR(IF(Z445="",0,Z445),"0")+IFERROR(IF(Z446="",0,Z446),"0")</f>
        <v>0.43653999999999998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200</v>
      </c>
      <c r="Y448" s="43">
        <f>IFERROR(SUM(Y444:Y446),"0")</f>
        <v>207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60</v>
      </c>
      <c r="Y451" s="55">
        <f>IFERROR(IF(X451="",0,CEILING((X451/$H451),1)*$H451),"")</f>
        <v>63</v>
      </c>
      <c r="Z451" s="41">
        <f>IFERROR(IF(Y451=0,"",ROUNDUP(Y451/H451,0)*0.01898),"")</f>
        <v>0.13286000000000001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63.293333333333329</v>
      </c>
      <c r="BN451" s="78">
        <f>IFERROR(Y451*I451/H451,"0")</f>
        <v>66.457999999999998</v>
      </c>
      <c r="BO451" s="78">
        <f>IFERROR(1/J451*(X451/H451),"0")</f>
        <v>0.10416666666666667</v>
      </c>
      <c r="BP451" s="78">
        <f>IFERROR(1/J451*(Y451/H451),"0")</f>
        <v>0.109375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6.666666666666667</v>
      </c>
      <c r="Y452" s="43">
        <f>IFERROR(Y450/H450,"0")+IFERROR(Y451/H451,"0")</f>
        <v>7</v>
      </c>
      <c r="Z452" s="43">
        <f>IFERROR(IF(Z450="",0,Z450),"0")+IFERROR(IF(Z451="",0,Z451),"0")</f>
        <v>0.13286000000000001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60</v>
      </c>
      <c r="Y453" s="43">
        <f>IFERROR(SUM(Y450:Y451),"0")</f>
        <v>63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50</v>
      </c>
      <c r="Y474" s="55">
        <f t="shared" si="63"/>
        <v>54</v>
      </c>
      <c r="Z474" s="41">
        <f>IFERROR(IF(Y474=0,"",ROUNDUP(Y474/H474,0)*0.00902),"")</f>
        <v>9.0200000000000002E-2</v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51.759259259259252</v>
      </c>
      <c r="BN474" s="78">
        <f t="shared" si="65"/>
        <v>55.9</v>
      </c>
      <c r="BO474" s="78">
        <f t="shared" si="66"/>
        <v>7.0145903479236812E-2</v>
      </c>
      <c r="BP474" s="78">
        <f t="shared" si="67"/>
        <v>7.575757575757576E-2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9.2592592592592595</v>
      </c>
      <c r="Y479" s="43">
        <f>IFERROR(Y473/H473,"0")+IFERROR(Y474/H474,"0")+IFERROR(Y475/H475,"0")+IFERROR(Y476/H476,"0")+IFERROR(Y477/H477,"0")+IFERROR(Y478/H478,"0")</f>
        <v>10</v>
      </c>
      <c r="Z479" s="43">
        <f>IFERROR(IF(Z473="",0,Z473),"0")+IFERROR(IF(Z474="",0,Z474),"0")+IFERROR(IF(Z475="",0,Z475),"0")+IFERROR(IF(Z476="",0,Z476),"0")+IFERROR(IF(Z477="",0,Z477),"0")+IFERROR(IF(Z478="",0,Z478),"0")</f>
        <v>9.0200000000000002E-2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50</v>
      </c>
      <c r="Y480" s="43">
        <f>IFERROR(SUM(Y473:Y478),"0")</f>
        <v>54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40</v>
      </c>
      <c r="Y492" s="55">
        <f>IFERROR(IF(X492="",0,CEILING((X492/$H492),1)*$H492),"")</f>
        <v>43.2</v>
      </c>
      <c r="Z492" s="41">
        <f>IFERROR(IF(Y492=0,"",ROUNDUP(Y492/H492,0)*0.00902),"")</f>
        <v>7.2160000000000002E-2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41.407407407407405</v>
      </c>
      <c r="BN492" s="78">
        <f>IFERROR(Y492*I492/H492,"0")</f>
        <v>44.72</v>
      </c>
      <c r="BO492" s="78">
        <f>IFERROR(1/J492*(X492/H492),"0")</f>
        <v>5.6116722783389444E-2</v>
      </c>
      <c r="BP492" s="78">
        <f>IFERROR(1/J492*(Y492/H492),"0")</f>
        <v>6.0606060606060608E-2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7.4074074074074066</v>
      </c>
      <c r="Y495" s="43">
        <f>IFERROR(Y492/H492,"0")+IFERROR(Y493/H493,"0")+IFERROR(Y494/H494,"0")</f>
        <v>8</v>
      </c>
      <c r="Z495" s="43">
        <f>IFERROR(IF(Z492="",0,Z492),"0")+IFERROR(IF(Z493="",0,Z493),"0")+IFERROR(IF(Z494="",0,Z494),"0")</f>
        <v>7.2160000000000002E-2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40</v>
      </c>
      <c r="Y496" s="43">
        <f>IFERROR(SUM(Y492:Y494),"0")</f>
        <v>43.2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500</v>
      </c>
      <c r="Y500" s="55">
        <f t="shared" ref="Y500:Y508" si="68">IFERROR(IF(X500="",0,CEILING((X500/$H500),1)*$H500),"")</f>
        <v>501.6</v>
      </c>
      <c r="Z500" s="41">
        <f t="shared" ref="Z500:Z505" si="69">IFERROR(IF(Y500=0,"",ROUNDUP(Y500/H500,0)*0.01196),"")</f>
        <v>1.1362000000000001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533.14393939393938</v>
      </c>
      <c r="BN500" s="78">
        <f t="shared" ref="BN500:BN508" si="71">IFERROR(Y500*I500/H500,"0")</f>
        <v>534.85</v>
      </c>
      <c r="BO500" s="78">
        <f t="shared" ref="BO500:BO508" si="72">IFERROR(1/J500*(X500/H500),"0")</f>
        <v>0.91054778554778548</v>
      </c>
      <c r="BP500" s="78">
        <f t="shared" ref="BP500:BP508" si="73">IFERROR(1/J500*(Y500/H500),"0")</f>
        <v>0.91346153846153855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300</v>
      </c>
      <c r="Y502" s="55">
        <f t="shared" si="68"/>
        <v>300.96000000000004</v>
      </c>
      <c r="Z502" s="41">
        <f t="shared" si="69"/>
        <v>0.68171999999999999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319.88636363636363</v>
      </c>
      <c r="BN502" s="78">
        <f t="shared" si="71"/>
        <v>320.91000000000003</v>
      </c>
      <c r="BO502" s="78">
        <f t="shared" si="72"/>
        <v>0.54632867132867136</v>
      </c>
      <c r="BP502" s="78">
        <f t="shared" si="73"/>
        <v>0.54807692307692313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1000</v>
      </c>
      <c r="Y503" s="55">
        <f t="shared" si="68"/>
        <v>1003.2</v>
      </c>
      <c r="Z503" s="41">
        <f t="shared" si="69"/>
        <v>2.2724000000000002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1066.2878787878788</v>
      </c>
      <c r="BN503" s="78">
        <f t="shared" si="71"/>
        <v>1069.7</v>
      </c>
      <c r="BO503" s="78">
        <f t="shared" si="72"/>
        <v>1.821095571095571</v>
      </c>
      <c r="BP503" s="78">
        <f t="shared" si="73"/>
        <v>1.8269230769230771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1000</v>
      </c>
      <c r="Y505" s="55">
        <f t="shared" si="68"/>
        <v>1003.2</v>
      </c>
      <c r="Z505" s="41">
        <f t="shared" si="69"/>
        <v>2.2724000000000002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1066.2878787878788</v>
      </c>
      <c r="BN505" s="78">
        <f t="shared" si="71"/>
        <v>1069.7</v>
      </c>
      <c r="BO505" s="78">
        <f t="shared" si="72"/>
        <v>1.821095571095571</v>
      </c>
      <c r="BP505" s="78">
        <f t="shared" si="73"/>
        <v>1.8269230769230771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530.30303030303025</v>
      </c>
      <c r="Y509" s="43">
        <f>IFERROR(Y500/H500,"0")+IFERROR(Y501/H501,"0")+IFERROR(Y502/H502,"0")+IFERROR(Y503/H503,"0")+IFERROR(Y504/H504,"0")+IFERROR(Y505/H505,"0")+IFERROR(Y506/H506,"0")+IFERROR(Y507/H507,"0")+IFERROR(Y508/H508,"0")</f>
        <v>532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6.3627200000000004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2800</v>
      </c>
      <c r="Y510" s="43">
        <f>IFERROR(SUM(Y500:Y508),"0")</f>
        <v>2808.96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1000</v>
      </c>
      <c r="Y512" s="55">
        <f>IFERROR(IF(X512="",0,CEILING((X512/$H512),1)*$H512),"")</f>
        <v>1003.2</v>
      </c>
      <c r="Z512" s="41">
        <f>IFERROR(IF(Y512=0,"",ROUNDUP(Y512/H512,0)*0.01196),"")</f>
        <v>2.2724000000000002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1066.2878787878788</v>
      </c>
      <c r="BN512" s="78">
        <f>IFERROR(Y512*I512/H512,"0")</f>
        <v>1069.7</v>
      </c>
      <c r="BO512" s="78">
        <f>IFERROR(1/J512*(X512/H512),"0")</f>
        <v>1.821095571095571</v>
      </c>
      <c r="BP512" s="78">
        <f>IFERROR(1/J512*(Y512/H512),"0")</f>
        <v>1.8269230769230771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189.39393939393938</v>
      </c>
      <c r="Y515" s="43">
        <f>IFERROR(Y512/H512,"0")+IFERROR(Y513/H513,"0")+IFERROR(Y514/H514,"0")</f>
        <v>190</v>
      </c>
      <c r="Z515" s="43">
        <f>IFERROR(IF(Z512="",0,Z512),"0")+IFERROR(IF(Z513="",0,Z513),"0")+IFERROR(IF(Z514="",0,Z514),"0")</f>
        <v>2.2724000000000002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1000</v>
      </c>
      <c r="Y516" s="43">
        <f>IFERROR(SUM(Y512:Y514),"0")</f>
        <v>1003.2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500</v>
      </c>
      <c r="Y518" s="55">
        <f t="shared" ref="Y518:Y524" si="74">IFERROR(IF(X518="",0,CEILING((X518/$H518),1)*$H518),"")</f>
        <v>501.6</v>
      </c>
      <c r="Z518" s="41">
        <f>IFERROR(IF(Y518=0,"",ROUNDUP(Y518/H518,0)*0.01196),"")</f>
        <v>1.1362000000000001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533.14393939393938</v>
      </c>
      <c r="BN518" s="78">
        <f t="shared" ref="BN518:BN524" si="76">IFERROR(Y518*I518/H518,"0")</f>
        <v>534.85</v>
      </c>
      <c r="BO518" s="78">
        <f t="shared" ref="BO518:BO524" si="77">IFERROR(1/J518*(X518/H518),"0")</f>
        <v>0.91054778554778548</v>
      </c>
      <c r="BP518" s="78">
        <f t="shared" ref="BP518:BP524" si="78">IFERROR(1/J518*(Y518/H518),"0")</f>
        <v>0.91346153846153855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750</v>
      </c>
      <c r="Y519" s="55">
        <f t="shared" si="74"/>
        <v>755.04000000000008</v>
      </c>
      <c r="Z519" s="41">
        <f>IFERROR(IF(Y519=0,"",ROUNDUP(Y519/H519,0)*0.01196),"")</f>
        <v>1.71028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799.71590909090901</v>
      </c>
      <c r="BN519" s="78">
        <f t="shared" si="76"/>
        <v>805.09</v>
      </c>
      <c r="BO519" s="78">
        <f t="shared" si="77"/>
        <v>1.3658216783216783</v>
      </c>
      <c r="BP519" s="78">
        <f t="shared" si="78"/>
        <v>1.375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1200</v>
      </c>
      <c r="Y520" s="55">
        <f t="shared" si="74"/>
        <v>1203.8400000000001</v>
      </c>
      <c r="Z520" s="41">
        <f>IFERROR(IF(Y520=0,"",ROUNDUP(Y520/H520,0)*0.01196),"")</f>
        <v>2.72688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1279.5454545454545</v>
      </c>
      <c r="BN520" s="78">
        <f t="shared" si="76"/>
        <v>1283.6400000000001</v>
      </c>
      <c r="BO520" s="78">
        <f t="shared" si="77"/>
        <v>2.1853146853146854</v>
      </c>
      <c r="BP520" s="78">
        <f t="shared" si="78"/>
        <v>2.1923076923076925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464.0151515151515</v>
      </c>
      <c r="Y525" s="43">
        <f>IFERROR(Y518/H518,"0")+IFERROR(Y519/H519,"0")+IFERROR(Y520/H520,"0")+IFERROR(Y521/H521,"0")+IFERROR(Y522/H522,"0")+IFERROR(Y523/H523,"0")+IFERROR(Y524/H524,"0")</f>
        <v>466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5.5733600000000001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2450</v>
      </c>
      <c r="Y526" s="43">
        <f>IFERROR(SUM(Y518:Y524),"0")</f>
        <v>2460.4800000000005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200</v>
      </c>
      <c r="Y530" s="55">
        <f>IFERROR(IF(X530="",0,CEILING((X530/$H530),1)*$H530),"")</f>
        <v>204</v>
      </c>
      <c r="Z530" s="41">
        <f>IFERROR(IF(Y530=0,"",ROUNDUP(Y530/H530,0)*0.01898),"")</f>
        <v>0.32266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206.83333333333334</v>
      </c>
      <c r="BN530" s="78">
        <f>IFERROR(Y530*I530/H530,"0")</f>
        <v>210.97</v>
      </c>
      <c r="BO530" s="78">
        <f>IFERROR(1/J530*(X530/H530),"0")</f>
        <v>0.26041666666666669</v>
      </c>
      <c r="BP530" s="78">
        <f>IFERROR(1/J530*(Y530/H530),"0")</f>
        <v>0.265625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16.666666666666668</v>
      </c>
      <c r="Y531" s="43">
        <f>IFERROR(Y530/H530,"0")</f>
        <v>17</v>
      </c>
      <c r="Z531" s="43">
        <f>IFERROR(IF(Z530="",0,Z530),"0")</f>
        <v>0.32266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200</v>
      </c>
      <c r="Y532" s="43">
        <f>IFERROR(SUM(Y530:Y530),"0")</f>
        <v>204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17960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18116.34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18858.956659609012</v>
      </c>
      <c r="Y556" s="43">
        <f>IFERROR(SUM(BN22:BN552),"0")</f>
        <v>19022.588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30</v>
      </c>
      <c r="Y557" s="44">
        <f>ROUNDUP(SUM(BP22:BP552),0)</f>
        <v>30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19608.956659609012</v>
      </c>
      <c r="Y558" s="43">
        <f>GrossWeightTotalR+PalletQtyTotalR*25</f>
        <v>19772.588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2279.8241913471797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2300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35.347030000000004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810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616.20000000000005</v>
      </c>
      <c r="F565" s="52">
        <f>IFERROR(Y84*1,"0")+IFERROR(Y85*1,"0")+IFERROR(Y86*1,"0")+IFERROR(Y87*1,"0")+IFERROR(Y91*1,"0")+IFERROR(Y92*1,"0")+IFERROR(Y93*1,"0")+IFERROR(Y94*1,"0")</f>
        <v>718.2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1906.2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284.40000000000003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54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1006.1999999999999</v>
      </c>
      <c r="U565" s="52">
        <f>IFERROR(Y413*1,"0")+IFERROR(Y414*1,"0")</f>
        <v>0</v>
      </c>
      <c r="V565" s="52">
        <f>IFERROR(Y419*1,"0")+IFERROR(Y420*1,"0")+IFERROR(Y421*1,"0")</f>
        <v>105.3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5895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54</v>
      </c>
      <c r="Z565" s="52">
        <f>IFERROR(Y488*1,"0")+IFERROR(Y492*1,"0")+IFERROR(Y493*1,"0")+IFERROR(Y494*1,"0")</f>
        <v>43.2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6272.64</v>
      </c>
      <c r="AB565" s="52">
        <f>IFERROR(Y530*1,"0")+IFERROR(Y534*1,"0")+IFERROR(Y538*1,"0")+IFERROR(Y542*1,"0")+IFERROR(Y546*1,"0")+IFERROR(Y547*1,"0")</f>
        <v>204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2026-08-14T14:34:22Z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