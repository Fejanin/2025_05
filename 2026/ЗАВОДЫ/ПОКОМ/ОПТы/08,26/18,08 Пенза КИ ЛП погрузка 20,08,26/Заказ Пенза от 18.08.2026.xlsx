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7759CB0E-61C6-4397-B351-D3F799A532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Y334" i="2" s="1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P325" i="2"/>
  <c r="BO325" i="2"/>
  <c r="BM325" i="2"/>
  <c r="Y325" i="2"/>
  <c r="BN325" i="2" s="1"/>
  <c r="P325" i="2"/>
  <c r="BO324" i="2"/>
  <c r="BM324" i="2"/>
  <c r="Y324" i="2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Z284" i="2"/>
  <c r="Y284" i="2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Z236" i="2"/>
  <c r="Z237" i="2" s="1"/>
  <c r="Y236" i="2"/>
  <c r="BN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Z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Y193" i="2"/>
  <c r="X193" i="2"/>
  <c r="Y192" i="2"/>
  <c r="X192" i="2"/>
  <c r="BP191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4" i="2"/>
  <c r="X183" i="2"/>
  <c r="BO182" i="2"/>
  <c r="BM182" i="2"/>
  <c r="Z182" i="2"/>
  <c r="Z183" i="2" s="1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Y167" i="2"/>
  <c r="X167" i="2"/>
  <c r="X166" i="2"/>
  <c r="BO165" i="2"/>
  <c r="BN165" i="2"/>
  <c r="BM165" i="2"/>
  <c r="Z165" i="2"/>
  <c r="Z166" i="2" s="1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BP155" i="2" s="1"/>
  <c r="P155" i="2"/>
  <c r="BO154" i="2"/>
  <c r="BM154" i="2"/>
  <c r="Z154" i="2"/>
  <c r="Y154" i="2"/>
  <c r="P154" i="2"/>
  <c r="BO153" i="2"/>
  <c r="BM153" i="2"/>
  <c r="Y153" i="2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Y144" i="2"/>
  <c r="X144" i="2"/>
  <c r="Y143" i="2"/>
  <c r="X143" i="2"/>
  <c r="BP142" i="2"/>
  <c r="BO142" i="2"/>
  <c r="BN142" i="2"/>
  <c r="BM142" i="2"/>
  <c r="Z142" i="2"/>
  <c r="Y142" i="2"/>
  <c r="P142" i="2"/>
  <c r="BO141" i="2"/>
  <c r="BN141" i="2"/>
  <c r="BM141" i="2"/>
  <c r="Z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Y43" i="2"/>
  <c r="X43" i="2"/>
  <c r="Y42" i="2"/>
  <c r="X42" i="2"/>
  <c r="BP41" i="2"/>
  <c r="BO41" i="2"/>
  <c r="BN41" i="2"/>
  <c r="BM41" i="2"/>
  <c r="Z41" i="2"/>
  <c r="Z42" i="2" s="1"/>
  <c r="Y41" i="2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P34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BN23" i="2" l="1"/>
  <c r="BN36" i="2"/>
  <c r="Z33" i="2"/>
  <c r="Z50" i="2"/>
  <c r="BN50" i="2"/>
  <c r="Y51" i="2"/>
  <c r="Z76" i="2"/>
  <c r="Z155" i="2"/>
  <c r="BN155" i="2"/>
  <c r="BP174" i="2"/>
  <c r="Z186" i="2"/>
  <c r="BN186" i="2"/>
  <c r="Z199" i="2"/>
  <c r="BN199" i="2"/>
  <c r="Z200" i="2"/>
  <c r="BN200" i="2"/>
  <c r="Z231" i="2"/>
  <c r="BN231" i="2"/>
  <c r="BN286" i="2"/>
  <c r="BN300" i="2"/>
  <c r="Y329" i="2"/>
  <c r="BP339" i="2"/>
  <c r="BN347" i="2"/>
  <c r="BP350" i="2"/>
  <c r="Z385" i="2"/>
  <c r="BN385" i="2"/>
  <c r="BN137" i="2"/>
  <c r="Z143" i="2"/>
  <c r="BN282" i="2"/>
  <c r="BN287" i="2"/>
  <c r="BN295" i="2"/>
  <c r="BN311" i="2"/>
  <c r="BN327" i="2"/>
  <c r="Y519" i="2"/>
  <c r="Y78" i="2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485" i="2" l="1"/>
  <c r="Z51" i="2"/>
  <c r="Z25" i="2"/>
  <c r="Z87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<sst xmlns="http://schemas.openxmlformats.org/spreadsheetml/2006/main" count="3933" uniqueCount="845">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</sst>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topLeftCell="A448" zoomScaleNormal="100" zoomScaleSheetLayoutView="100" workbookViewId="0">
      <selection activeCell="X403" sqref="X40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/>
      <c r="I5" s="598"/>
      <c r="J5" s="598"/>
      <c r="K5" s="598"/>
      <c r="L5" s="598"/>
      <c r="M5" s="598"/>
      <c r="N5" s="69"/>
      <c r="P5" s="26" t="s">
        <v>4</v>
      </c>
      <c r="Q5" s="600">
        <v>46254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/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/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/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/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/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/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hidden="1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/>
      <c r="Y56" s="53">
        <f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0</v>
      </c>
      <c r="BN56" s="75">
        <f>IFERROR(Y56*I56/H56,"0")</f>
        <v>0</v>
      </c>
      <c r="BO56" s="75">
        <f>IFERROR(1/J56*(X56/H56),"0")</f>
        <v>0</v>
      </c>
      <c r="BP56" s="75">
        <f>IFERROR(1/J56*(Y56/H56),"0")</f>
        <v>0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hidden="1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/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idden="1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0</v>
      </c>
      <c r="Y60" s="41">
        <f>IFERROR(Y56/H56,"0")+IFERROR(Y57/H57,"0")+IFERROR(Y58/H58,"0")+IFERROR(Y59/H59,"0")</f>
        <v>0</v>
      </c>
      <c r="Z60" s="41">
        <f>IFERROR(IF(Z56="",0,Z56),"0")+IFERROR(IF(Z57="",0,Z57),"0")+IFERROR(IF(Z58="",0,Z58),"0")+IFERROR(IF(Z59="",0,Z59),"0")</f>
        <v>0</v>
      </c>
      <c r="AA60" s="64"/>
      <c r="AB60" s="64"/>
      <c r="AC60" s="64"/>
    </row>
    <row r="61" spans="1:68" hidden="1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0</v>
      </c>
      <c r="Y61" s="41">
        <f>IFERROR(SUM(Y56:Y59),"0")</f>
        <v>0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>
        <v>30</v>
      </c>
      <c r="Y64" s="53">
        <f t="shared" ref="Y64:Y69" si="6">IFERROR(IF(X64="",0,CEILING((X64/$H64),1)*$H64),"")</f>
        <v>33.599999999999994</v>
      </c>
      <c r="Z64" s="39">
        <f>IFERROR(IF(Y64=0,"",ROUNDUP(Y64/H64,0)*0.01898),"")</f>
        <v>5.6940000000000004E-2</v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31.098214285714285</v>
      </c>
      <c r="BN64" s="75">
        <f t="shared" ref="BN64:BN69" si="8">IFERROR(Y64*I64/H64,"0")</f>
        <v>34.829999999999991</v>
      </c>
      <c r="BO64" s="75">
        <f t="shared" ref="BO64:BO69" si="9">IFERROR(1/J64*(X64/H64),"0")</f>
        <v>4.1852678571428575E-2</v>
      </c>
      <c r="BP64" s="75">
        <f t="shared" ref="BP64:BP69" si="10">IFERROR(1/J64*(Y64/H64),"0")</f>
        <v>4.6874999999999993E-2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>
        <v>380</v>
      </c>
      <c r="Y65" s="53">
        <f t="shared" si="6"/>
        <v>388.8</v>
      </c>
      <c r="Z65" s="39">
        <f>IFERROR(IF(Y65=0,"",ROUNDUP(Y65/H65,0)*0.01898),"")</f>
        <v>0.68328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394.42592592592592</v>
      </c>
      <c r="BN65" s="75">
        <f t="shared" si="8"/>
        <v>403.56</v>
      </c>
      <c r="BO65" s="75">
        <f t="shared" si="9"/>
        <v>0.54976851851851849</v>
      </c>
      <c r="BP65" s="75">
        <f t="shared" si="10"/>
        <v>0.5625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37.863756613756614</v>
      </c>
      <c r="Y70" s="41">
        <f>IFERROR(Y64/H64,"0")+IFERROR(Y65/H65,"0")+IFERROR(Y66/H66,"0")+IFERROR(Y67/H67,"0")+IFERROR(Y68/H68,"0")+IFERROR(Y69/H69,"0")</f>
        <v>39</v>
      </c>
      <c r="Z70" s="41">
        <f>IFERROR(IF(Z64="",0,Z64),"0")+IFERROR(IF(Z65="",0,Z65),"0")+IFERROR(IF(Z66="",0,Z66),"0")+IFERROR(IF(Z67="",0,Z67),"0")+IFERROR(IF(Z68="",0,Z68),"0")+IFERROR(IF(Z69="",0,Z69),"0")</f>
        <v>0.74021999999999999</v>
      </c>
      <c r="AA70" s="64"/>
      <c r="AB70" s="64"/>
      <c r="AC70" s="64"/>
    </row>
    <row r="71" spans="1:68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410</v>
      </c>
      <c r="Y71" s="41">
        <f>IFERROR(SUM(Y64:Y69),"0")</f>
        <v>422.4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60</v>
      </c>
      <c r="Y73" s="53">
        <f>IFERROR(IF(X73="",0,CEILING((X73/$H73),1)*$H73),"")</f>
        <v>64.800000000000011</v>
      </c>
      <c r="Z73" s="39">
        <f>IFERROR(IF(Y73=0,"",ROUNDUP(Y73/H73,0)*0.01898),"")</f>
        <v>0.11388000000000001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62.277777777777779</v>
      </c>
      <c r="BN73" s="75">
        <f>IFERROR(Y73*I73/H73,"0")</f>
        <v>67.260000000000005</v>
      </c>
      <c r="BO73" s="75">
        <f>IFERROR(1/J73*(X73/H73),"0")</f>
        <v>8.6805555555555552E-2</v>
      </c>
      <c r="BP73" s="75">
        <f>IFERROR(1/J73*(Y73/H73),"0")</f>
        <v>9.3750000000000014E-2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5.5555555555555554</v>
      </c>
      <c r="Y77" s="41">
        <f>IFERROR(Y73/H73,"0")+IFERROR(Y74/H74,"0")+IFERROR(Y75/H75,"0")+IFERROR(Y76/H76,"0")</f>
        <v>6.0000000000000009</v>
      </c>
      <c r="Z77" s="41">
        <f>IFERROR(IF(Z73="",0,Z73),"0")+IFERROR(IF(Z74="",0,Z74),"0")+IFERROR(IF(Z75="",0,Z75),"0")+IFERROR(IF(Z76="",0,Z76),"0")</f>
        <v>0.11388000000000001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60</v>
      </c>
      <c r="Y78" s="41">
        <f>IFERROR(SUM(Y73:Y76),"0")</f>
        <v>64.800000000000011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110</v>
      </c>
      <c r="Y85" s="53">
        <f>IFERROR(IF(X85="",0,CEILING((X85/$H85),1)*$H85),"")</f>
        <v>117</v>
      </c>
      <c r="Z85" s="39">
        <f>IFERROR(IF(Y85=0,"",ROUNDUP(Y85/H85,0)*0.01898),"")</f>
        <v>0.28470000000000001</v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115.7820512820513</v>
      </c>
      <c r="BN85" s="75">
        <f>IFERROR(Y85*I85/H85,"0")</f>
        <v>123.15</v>
      </c>
      <c r="BO85" s="75">
        <f>IFERROR(1/J85*(X85/H85),"0")</f>
        <v>0.2203525641025641</v>
      </c>
      <c r="BP85" s="75">
        <f>IFERROR(1/J85*(Y85/H85),"0")</f>
        <v>0.234375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14.102564102564102</v>
      </c>
      <c r="Y87" s="41">
        <f>IFERROR(Y85/H85,"0")+IFERROR(Y86/H86,"0")</f>
        <v>15</v>
      </c>
      <c r="Z87" s="41">
        <f>IFERROR(IF(Z85="",0,Z85),"0")+IFERROR(IF(Z86="",0,Z86),"0")</f>
        <v>0.28470000000000001</v>
      </c>
      <c r="AA87" s="64"/>
      <c r="AB87" s="64"/>
      <c r="AC87" s="64"/>
    </row>
    <row r="88" spans="1:68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110</v>
      </c>
      <c r="Y88" s="41">
        <f>IFERROR(SUM(Y85:Y86),"0")</f>
        <v>117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220</v>
      </c>
      <c r="Y91" s="53">
        <f>IFERROR(IF(X91="",0,CEILING((X91/$H91),1)*$H91),"")</f>
        <v>226.8</v>
      </c>
      <c r="Z91" s="39">
        <f>IFERROR(IF(Y91=0,"",ROUNDUP(Y91/H91,0)*0.01898),"")</f>
        <v>0.39857999999999999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228.35185185185188</v>
      </c>
      <c r="BN91" s="75">
        <f>IFERROR(Y91*I91/H91,"0")</f>
        <v>235.41000000000003</v>
      </c>
      <c r="BO91" s="75">
        <f>IFERROR(1/J91*(X91/H91),"0")</f>
        <v>0.31828703703703703</v>
      </c>
      <c r="BP91" s="75">
        <f>IFERROR(1/J91*(Y91/H91),"0")</f>
        <v>0.328125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27</v>
      </c>
      <c r="Y94" s="53">
        <f>IFERROR(IF(X94="",0,CEILING((X94/$H94),1)*$H94),"")</f>
        <v>27</v>
      </c>
      <c r="Z94" s="39">
        <f>IFERROR(IF(Y94=0,"",ROUNDUP(Y94/H94,0)*0.00902),"")</f>
        <v>5.4120000000000001E-2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28.14</v>
      </c>
      <c r="BN94" s="75">
        <f>IFERROR(Y94*I94/H94,"0")</f>
        <v>28.14</v>
      </c>
      <c r="BO94" s="75">
        <f>IFERROR(1/J94*(X94/H94),"0")</f>
        <v>4.5454545454545456E-2</v>
      </c>
      <c r="BP94" s="75">
        <f>IFERROR(1/J94*(Y94/H94),"0")</f>
        <v>4.5454545454545456E-2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26.37037037037037</v>
      </c>
      <c r="Y95" s="41">
        <f>IFERROR(Y91/H91,"0")+IFERROR(Y92/H92,"0")+IFERROR(Y93/H93,"0")+IFERROR(Y94/H94,"0")</f>
        <v>27</v>
      </c>
      <c r="Z95" s="41">
        <f>IFERROR(IF(Z91="",0,Z91),"0")+IFERROR(IF(Z92="",0,Z92),"0")+IFERROR(IF(Z93="",0,Z93),"0")+IFERROR(IF(Z94="",0,Z94),"0")</f>
        <v>0.45269999999999999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247</v>
      </c>
      <c r="Y96" s="41">
        <f>IFERROR(SUM(Y91:Y94),"0")</f>
        <v>253.8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384</v>
      </c>
      <c r="Y98" s="53">
        <f>IFERROR(IF(X98="",0,CEILING((X98/$H98),1)*$H98),"")</f>
        <v>388.79999999999995</v>
      </c>
      <c r="Z98" s="39">
        <f>IFERROR(IF(Y98=0,"",ROUNDUP(Y98/H98,0)*0.01898),"")</f>
        <v>0.91104000000000007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407.41925925925921</v>
      </c>
      <c r="BN98" s="75">
        <f>IFERROR(Y98*I98/H98,"0")</f>
        <v>412.51199999999994</v>
      </c>
      <c r="BO98" s="75">
        <f>IFERROR(1/J98*(X98/H98),"0")</f>
        <v>0.74074074074074081</v>
      </c>
      <c r="BP98" s="75">
        <f>IFERROR(1/J98*(Y98/H98),"0")</f>
        <v>0.75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>
        <v>91.8</v>
      </c>
      <c r="Y100" s="53">
        <f>IFERROR(IF(X100="",0,CEILING((X100/$H100),1)*$H100),"")</f>
        <v>91.800000000000011</v>
      </c>
      <c r="Z100" s="39">
        <f>IFERROR(IF(Y100=0,"",ROUNDUP(Y100/H100,0)*0.00651),"")</f>
        <v>0.22134000000000001</v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100.36799999999999</v>
      </c>
      <c r="BN100" s="75">
        <f>IFERROR(Y100*I100/H100,"0")</f>
        <v>100.36799999999999</v>
      </c>
      <c r="BO100" s="75">
        <f>IFERROR(1/J100*(X100/H100),"0")</f>
        <v>0.18681318681318682</v>
      </c>
      <c r="BP100" s="75">
        <f>IFERROR(1/J100*(Y100/H100),"0")</f>
        <v>0.18681318681318682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81.407407407407419</v>
      </c>
      <c r="Y102" s="41">
        <f>IFERROR(Y98/H98,"0")+IFERROR(Y99/H99,"0")+IFERROR(Y100/H100,"0")+IFERROR(Y101/H101,"0")</f>
        <v>82</v>
      </c>
      <c r="Z102" s="41">
        <f>IFERROR(IF(Z98="",0,Z98),"0")+IFERROR(IF(Z99="",0,Z99),"0")+IFERROR(IF(Z100="",0,Z100),"0")+IFERROR(IF(Z101="",0,Z101),"0")</f>
        <v>1.1323800000000002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475.8</v>
      </c>
      <c r="Y103" s="41">
        <f>IFERROR(SUM(Y98:Y101),"0")</f>
        <v>480.59999999999997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160</v>
      </c>
      <c r="Y106" s="53">
        <f t="shared" ref="Y106:Y112" si="11">IFERROR(IF(X106="",0,CEILING((X106/$H106),1)*$H106),"")</f>
        <v>162</v>
      </c>
      <c r="Z106" s="39">
        <f>IFERROR(IF(Y106=0,"",ROUNDUP(Y106/H106,0)*0.01898),"")</f>
        <v>0.28470000000000001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166.07407407407408</v>
      </c>
      <c r="BN106" s="75">
        <f t="shared" ref="BN106:BN112" si="13">IFERROR(Y106*I106/H106,"0")</f>
        <v>168.15</v>
      </c>
      <c r="BO106" s="75">
        <f t="shared" ref="BO106:BO112" si="14">IFERROR(1/J106*(X106/H106),"0")</f>
        <v>0.23148148148148145</v>
      </c>
      <c r="BP106" s="75">
        <f t="shared" ref="BP106:BP112" si="15">IFERROR(1/J106*(Y106/H106),"0")</f>
        <v>0.23437499999999997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27</v>
      </c>
      <c r="Y111" s="53">
        <f t="shared" si="11"/>
        <v>27</v>
      </c>
      <c r="Z111" s="39">
        <f>IFERROR(IF(Y111=0,"",ROUNDUP(Y111/H111,0)*0.00902),"")</f>
        <v>5.4120000000000001E-2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28.14</v>
      </c>
      <c r="BN111" s="75">
        <f t="shared" si="13"/>
        <v>28.14</v>
      </c>
      <c r="BO111" s="75">
        <f t="shared" si="14"/>
        <v>4.5454545454545456E-2</v>
      </c>
      <c r="BP111" s="75">
        <f t="shared" si="15"/>
        <v>4.5454545454545456E-2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20.814814814814813</v>
      </c>
      <c r="Y113" s="41">
        <f>IFERROR(Y106/H106,"0")+IFERROR(Y107/H107,"0")+IFERROR(Y108/H108,"0")+IFERROR(Y109/H109,"0")+IFERROR(Y110/H110,"0")+IFERROR(Y111/H111,"0")+IFERROR(Y112/H112,"0")</f>
        <v>21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0.33882000000000001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187</v>
      </c>
      <c r="Y114" s="41">
        <f>IFERROR(SUM(Y106:Y112),"0")</f>
        <v>189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426</v>
      </c>
      <c r="Y124" s="53">
        <f>IFERROR(IF(X124="",0,CEILING((X124/$H124),1)*$H124),"")</f>
        <v>429.29999999999995</v>
      </c>
      <c r="Z124" s="39">
        <f>IFERROR(IF(Y124=0,"",ROUNDUP(Y124/H124,0)*0.01898),"")</f>
        <v>1.0059400000000001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451.66518518518518</v>
      </c>
      <c r="BN124" s="75">
        <f>IFERROR(Y124*I124/H124,"0")</f>
        <v>455.16399999999993</v>
      </c>
      <c r="BO124" s="75">
        <f>IFERROR(1/J124*(X124/H124),"0")</f>
        <v>0.8217592592592593</v>
      </c>
      <c r="BP124" s="75">
        <f>IFERROR(1/J124*(Y124/H124),"0")</f>
        <v>0.828125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>
        <v>45.9</v>
      </c>
      <c r="Y126" s="53">
        <f>IFERROR(IF(X126="",0,CEILING((X126/$H126),1)*$H126),"")</f>
        <v>45.900000000000006</v>
      </c>
      <c r="Z126" s="39">
        <f>IFERROR(IF(Y126=0,"",ROUNDUP(Y126/H126,0)*0.00651),"")</f>
        <v>0.11067</v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50.183999999999997</v>
      </c>
      <c r="BN126" s="75">
        <f>IFERROR(Y126*I126/H126,"0")</f>
        <v>50.183999999999997</v>
      </c>
      <c r="BO126" s="75">
        <f>IFERROR(1/J126*(X126/H126),"0")</f>
        <v>9.3406593406593408E-2</v>
      </c>
      <c r="BP126" s="75">
        <f>IFERROR(1/J126*(Y126/H126),"0")</f>
        <v>9.3406593406593408E-2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69.592592592592595</v>
      </c>
      <c r="Y128" s="41">
        <f>IFERROR(Y124/H124,"0")+IFERROR(Y125/H125,"0")+IFERROR(Y126/H126,"0")+IFERROR(Y127/H127,"0")</f>
        <v>70</v>
      </c>
      <c r="Z128" s="41">
        <f>IFERROR(IF(Z124="",0,Z124),"0")+IFERROR(IF(Z125="",0,Z125),"0")+IFERROR(IF(Z126="",0,Z126),"0")+IFERROR(IF(Z127="",0,Z127),"0")</f>
        <v>1.1166100000000001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471.9</v>
      </c>
      <c r="Y129" s="41">
        <f>IFERROR(SUM(Y124:Y127),"0")</f>
        <v>475.19999999999993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>
        <v>35</v>
      </c>
      <c r="Y169" s="53">
        <f t="shared" ref="Y169:Y178" si="16">IFERROR(IF(X169="",0,CEILING((X169/$H169),1)*$H169),"")</f>
        <v>35</v>
      </c>
      <c r="Z169" s="39">
        <f>IFERROR(IF(Y169=0,"",ROUNDUP(Y169/H169,0)*0.00902),"")</f>
        <v>9.0200000000000002E-2</v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36.9</v>
      </c>
      <c r="BN169" s="75">
        <f t="shared" ref="BN169:BN178" si="18">IFERROR(Y169*I169/H169,"0")</f>
        <v>36.9</v>
      </c>
      <c r="BO169" s="75">
        <f t="shared" ref="BO169:BO178" si="19">IFERROR(1/J169*(X169/H169),"0")</f>
        <v>7.575757575757576E-2</v>
      </c>
      <c r="BP169" s="75">
        <f t="shared" ref="BP169:BP178" si="20">IFERROR(1/J169*(Y169/H169),"0")</f>
        <v>7.575757575757576E-2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>
        <v>40</v>
      </c>
      <c r="Y170" s="53">
        <f t="shared" si="16"/>
        <v>45</v>
      </c>
      <c r="Z170" s="39">
        <f>IFERROR(IF(Y170=0,"",ROUNDUP(Y170/H170,0)*0.01898),"")</f>
        <v>9.4899999999999998E-2</v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42.488888888888894</v>
      </c>
      <c r="BN170" s="75">
        <f t="shared" si="18"/>
        <v>47.800000000000004</v>
      </c>
      <c r="BO170" s="75">
        <f t="shared" si="19"/>
        <v>6.9444444444444448E-2</v>
      </c>
      <c r="BP170" s="75">
        <f t="shared" si="20"/>
        <v>7.8125E-2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 t="s">
        <v>844</v>
      </c>
      <c r="Y171" s="53" t="str">
        <f t="shared" si="16"/>
        <v/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 t="str">
        <f t="shared" si="17"/>
        <v>0</v>
      </c>
      <c r="BN171" s="75" t="str">
        <f t="shared" si="18"/>
        <v>0</v>
      </c>
      <c r="BO171" s="75" t="str">
        <f t="shared" si="19"/>
        <v>0</v>
      </c>
      <c r="BP171" s="75" t="str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14.444444444444445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15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0.18509999999999999</v>
      </c>
      <c r="AA179" s="64"/>
      <c r="AB179" s="64"/>
      <c r="AC179" s="64"/>
    </row>
    <row r="180" spans="1:68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75</v>
      </c>
      <c r="Y180" s="41">
        <f>IFERROR(SUM(Y169:Y178),"0")</f>
        <v>80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180</v>
      </c>
      <c r="Y209" s="53">
        <f t="shared" ref="Y209:Y222" si="21">IFERROR(IF(X209="",0,CEILING((X209/$H209),1)*$H209),"")</f>
        <v>180.6</v>
      </c>
      <c r="Z209" s="39">
        <f>IFERROR(IF(Y209=0,"",ROUNDUP(Y209/H209,0)*0.00902),"")</f>
        <v>0.38785999999999998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190.71428571428569</v>
      </c>
      <c r="BN209" s="75">
        <f t="shared" ref="BN209:BN222" si="23">IFERROR(Y209*I209/H209,"0")</f>
        <v>191.35</v>
      </c>
      <c r="BO209" s="75">
        <f t="shared" ref="BO209:BO222" si="24">IFERROR(1/J209*(X209/H209),"0")</f>
        <v>0.32467532467532467</v>
      </c>
      <c r="BP209" s="75">
        <f t="shared" ref="BP209:BP222" si="25">IFERROR(1/J209*(Y209/H209),"0")</f>
        <v>0.32575757575757575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hidden="1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/>
      <c r="Y211" s="53">
        <f t="shared" si="21"/>
        <v>0</v>
      </c>
      <c r="Z211" s="39" t="str">
        <f>IFERROR(IF(Y211=0,"",ROUNDUP(Y211/H211,0)*0.00902),"")</f>
        <v/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0</v>
      </c>
      <c r="BN211" s="75">
        <f t="shared" si="23"/>
        <v>0</v>
      </c>
      <c r="BO211" s="75">
        <f t="shared" si="24"/>
        <v>0</v>
      </c>
      <c r="BP211" s="75">
        <f t="shared" si="25"/>
        <v>0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>
        <v>14.7</v>
      </c>
      <c r="Y213" s="53">
        <f t="shared" si="21"/>
        <v>14.700000000000001</v>
      </c>
      <c r="Z213" s="39">
        <f t="shared" ref="Z213:Z218" si="26">IFERROR(IF(Y213=0,"",ROUNDUP(Y213/H213,0)*0.00502),"")</f>
        <v>3.5140000000000005E-2</v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15.61</v>
      </c>
      <c r="BN213" s="75">
        <f t="shared" si="23"/>
        <v>15.61</v>
      </c>
      <c r="BO213" s="75">
        <f t="shared" si="24"/>
        <v>2.9914529914529912E-2</v>
      </c>
      <c r="BP213" s="75">
        <f t="shared" si="25"/>
        <v>2.9914529914529919E-2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>
        <v>2.1</v>
      </c>
      <c r="Y215" s="53">
        <f t="shared" si="21"/>
        <v>2.1</v>
      </c>
      <c r="Z215" s="39">
        <f t="shared" si="26"/>
        <v>5.0200000000000002E-3</v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2.23</v>
      </c>
      <c r="BN215" s="75">
        <f t="shared" si="23"/>
        <v>2.23</v>
      </c>
      <c r="BO215" s="75">
        <f t="shared" si="24"/>
        <v>4.2735042735042739E-3</v>
      </c>
      <c r="BP215" s="75">
        <f t="shared" si="25"/>
        <v>4.2735042735042739E-3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>
        <v>21</v>
      </c>
      <c r="Y217" s="53">
        <f t="shared" si="21"/>
        <v>21</v>
      </c>
      <c r="Z217" s="39">
        <f t="shared" si="26"/>
        <v>5.0200000000000002E-2</v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22</v>
      </c>
      <c r="BN217" s="75">
        <f t="shared" si="23"/>
        <v>22</v>
      </c>
      <c r="BO217" s="75">
        <f t="shared" si="24"/>
        <v>4.2735042735042736E-2</v>
      </c>
      <c r="BP217" s="75">
        <f t="shared" si="25"/>
        <v>4.2735042735042736E-2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60.857142857142854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61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0.47822000000000003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217.79999999999998</v>
      </c>
      <c r="Y224" s="41">
        <f>IFERROR(SUM(Y209:Y222),"0")</f>
        <v>218.39999999999998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95</v>
      </c>
      <c r="Y251" s="53">
        <f t="shared" ref="Y251:Y258" si="27">IFERROR(IF(X251="",0,CEILING((X251/$H251),1)*$H251),"")</f>
        <v>97.2</v>
      </c>
      <c r="Z251" s="39">
        <f>IFERROR(IF(Y251=0,"",ROUNDUP(Y251/H251,0)*0.00902),"")</f>
        <v>0.16236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98.342592592592581</v>
      </c>
      <c r="BN251" s="75">
        <f t="shared" ref="BN251:BN258" si="29">IFERROR(Y251*I251/H251,"0")</f>
        <v>100.61999999999999</v>
      </c>
      <c r="BO251" s="75">
        <f t="shared" ref="BO251:BO258" si="30">IFERROR(1/J251*(X251/H251),"0")</f>
        <v>0.13327721661054995</v>
      </c>
      <c r="BP251" s="75">
        <f t="shared" ref="BP251:BP258" si="31">IFERROR(1/J251*(Y251/H251),"0")</f>
        <v>0.13636363636363635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>
        <v>225</v>
      </c>
      <c r="Y252" s="53">
        <f t="shared" si="27"/>
        <v>226.8</v>
      </c>
      <c r="Z252" s="39">
        <f>IFERROR(IF(Y252=0,"",ROUNDUP(Y252/H252,0)*0.00902),"")</f>
        <v>0.37884000000000001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232.91666666666666</v>
      </c>
      <c r="BN252" s="75">
        <f t="shared" si="29"/>
        <v>234.78</v>
      </c>
      <c r="BO252" s="75">
        <f t="shared" si="30"/>
        <v>0.31565656565656564</v>
      </c>
      <c r="BP252" s="75">
        <f t="shared" si="31"/>
        <v>0.31818181818181818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45</v>
      </c>
      <c r="Y253" s="53">
        <f t="shared" si="27"/>
        <v>48.6</v>
      </c>
      <c r="Z253" s="39">
        <f>IFERROR(IF(Y253=0,"",ROUNDUP(Y253/H253,0)*0.00902),"")</f>
        <v>8.1180000000000002E-2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46.583333333333329</v>
      </c>
      <c r="BN253" s="75">
        <f t="shared" si="29"/>
        <v>50.309999999999995</v>
      </c>
      <c r="BO253" s="75">
        <f t="shared" si="30"/>
        <v>6.3131313131313122E-2</v>
      </c>
      <c r="BP253" s="75">
        <f t="shared" si="31"/>
        <v>6.8181818181818177E-2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>
        <v>45</v>
      </c>
      <c r="Y254" s="53">
        <f t="shared" si="27"/>
        <v>48.6</v>
      </c>
      <c r="Z254" s="39">
        <f>IFERROR(IF(Y254=0,"",ROUNDUP(Y254/H254,0)*0.00902),"")</f>
        <v>8.1180000000000002E-2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46.583333333333329</v>
      </c>
      <c r="BN254" s="75">
        <f t="shared" si="29"/>
        <v>50.309999999999995</v>
      </c>
      <c r="BO254" s="75">
        <f t="shared" si="30"/>
        <v>6.3131313131313122E-2</v>
      </c>
      <c r="BP254" s="75">
        <f t="shared" si="31"/>
        <v>6.8181818181818177E-2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>
        <v>1.8</v>
      </c>
      <c r="Y255" s="53">
        <f t="shared" si="27"/>
        <v>1.8</v>
      </c>
      <c r="Z255" s="39">
        <f>IFERROR(IF(Y255=0,"",ROUNDUP(Y255/H255,0)*0.00502),"")</f>
        <v>5.0200000000000002E-3</v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1.9299999999999997</v>
      </c>
      <c r="BN255" s="75">
        <f t="shared" si="29"/>
        <v>1.9299999999999997</v>
      </c>
      <c r="BO255" s="75">
        <f t="shared" si="30"/>
        <v>4.2735042735042739E-3</v>
      </c>
      <c r="BP255" s="75">
        <f t="shared" si="31"/>
        <v>4.2735042735042739E-3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>
        <v>1.8</v>
      </c>
      <c r="Y256" s="53">
        <f t="shared" si="27"/>
        <v>1.8</v>
      </c>
      <c r="Z256" s="39">
        <f>IFERROR(IF(Y256=0,"",ROUNDUP(Y256/H256,0)*0.00502),"")</f>
        <v>5.0200000000000002E-3</v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1.9</v>
      </c>
      <c r="BN256" s="75">
        <f t="shared" si="29"/>
        <v>1.9</v>
      </c>
      <c r="BO256" s="75">
        <f t="shared" si="30"/>
        <v>4.2735042735042739E-3</v>
      </c>
      <c r="BP256" s="75">
        <f t="shared" si="31"/>
        <v>4.2735042735042739E-3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>
        <v>1.8</v>
      </c>
      <c r="Y257" s="53">
        <f t="shared" si="27"/>
        <v>1.8</v>
      </c>
      <c r="Z257" s="39">
        <f>IFERROR(IF(Y257=0,"",ROUNDUP(Y257/H257,0)*0.00502),"")</f>
        <v>5.0200000000000002E-3</v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1.9</v>
      </c>
      <c r="BN257" s="75">
        <f t="shared" si="29"/>
        <v>1.9</v>
      </c>
      <c r="BO257" s="75">
        <f t="shared" si="30"/>
        <v>4.2735042735042739E-3</v>
      </c>
      <c r="BP257" s="75">
        <f t="shared" si="31"/>
        <v>4.2735042735042739E-3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>
        <v>1.8</v>
      </c>
      <c r="Y258" s="53">
        <f t="shared" si="27"/>
        <v>1.8</v>
      </c>
      <c r="Z258" s="39">
        <f>IFERROR(IF(Y258=0,"",ROUNDUP(Y258/H258,0)*0.00502),"")</f>
        <v>5.0200000000000002E-3</v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1.9</v>
      </c>
      <c r="BN258" s="75">
        <f t="shared" si="29"/>
        <v>1.9</v>
      </c>
      <c r="BO258" s="75">
        <f t="shared" si="30"/>
        <v>4.2735042735042739E-3</v>
      </c>
      <c r="BP258" s="75">
        <f t="shared" si="31"/>
        <v>4.2735042735042739E-3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79.92592592592591</v>
      </c>
      <c r="Y259" s="41">
        <f>IFERROR(Y251/H251,"0")+IFERROR(Y252/H252,"0")+IFERROR(Y253/H253,"0")+IFERROR(Y254/H254,"0")+IFERROR(Y255/H255,"0")+IFERROR(Y256/H256,"0")+IFERROR(Y257/H257,"0")+IFERROR(Y258/H258,"0")</f>
        <v>82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0.72364000000000017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417.20000000000005</v>
      </c>
      <c r="Y260" s="41">
        <f>IFERROR(SUM(Y251:Y258),"0")</f>
        <v>428.40000000000009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>
        <v>58</v>
      </c>
      <c r="Y262" s="53">
        <f t="shared" ref="Y262:Y271" si="32">IFERROR(IF(X262="",0,CEILING((X262/$H262),1)*$H262),"")</f>
        <v>64.8</v>
      </c>
      <c r="Z262" s="39">
        <f>IFERROR(IF(Y262=0,"",ROUNDUP(Y262/H262,0)*0.01898),"")</f>
        <v>0.15184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61.53728395061728</v>
      </c>
      <c r="BN262" s="75">
        <f t="shared" ref="BN262:BN271" si="34">IFERROR(Y262*I262/H262,"0")</f>
        <v>68.751999999999995</v>
      </c>
      <c r="BO262" s="75">
        <f t="shared" ref="BO262:BO271" si="35">IFERROR(1/J262*(X262/H262),"0")</f>
        <v>0.11188271604938273</v>
      </c>
      <c r="BP262" s="75">
        <f t="shared" ref="BP262:BP271" si="36">IFERROR(1/J262*(Y262/H262),"0")</f>
        <v>0.125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>
        <v>38</v>
      </c>
      <c r="Y263" s="53">
        <f t="shared" si="32"/>
        <v>40.5</v>
      </c>
      <c r="Z263" s="39">
        <f>IFERROR(IF(Y263=0,"",ROUNDUP(Y263/H263,0)*0.01898),"")</f>
        <v>9.4899999999999998E-2</v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40.233086419753093</v>
      </c>
      <c r="BN263" s="75">
        <f t="shared" si="34"/>
        <v>42.88</v>
      </c>
      <c r="BO263" s="75">
        <f t="shared" si="35"/>
        <v>7.3302469135802475E-2</v>
      </c>
      <c r="BP263" s="75">
        <f t="shared" si="36"/>
        <v>7.8125E-2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>
        <v>8</v>
      </c>
      <c r="Y264" s="53">
        <f t="shared" si="32"/>
        <v>8.6999999999999993</v>
      </c>
      <c r="Z264" s="39">
        <f>IFERROR(IF(Y264=0,"",ROUNDUP(Y264/H264,0)*0.01898),"")</f>
        <v>1.898E-2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8.4542528735632203</v>
      </c>
      <c r="BN264" s="75">
        <f t="shared" si="34"/>
        <v>9.1940000000000008</v>
      </c>
      <c r="BO264" s="75">
        <f t="shared" si="35"/>
        <v>1.4367816091954025E-2</v>
      </c>
      <c r="BP264" s="75">
        <f t="shared" si="36"/>
        <v>1.5625E-2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>
        <v>360</v>
      </c>
      <c r="Y265" s="53">
        <f t="shared" si="32"/>
        <v>360</v>
      </c>
      <c r="Z265" s="39">
        <f t="shared" ref="Z265:Z271" si="37">IFERROR(IF(Y265=0,"",ROUNDUP(Y265/H265,0)*0.00651),"")</f>
        <v>0.97650000000000003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400.5</v>
      </c>
      <c r="BN265" s="75">
        <f t="shared" si="34"/>
        <v>400.5</v>
      </c>
      <c r="BO265" s="75">
        <f t="shared" si="35"/>
        <v>0.82417582417582425</v>
      </c>
      <c r="BP265" s="75">
        <f t="shared" si="36"/>
        <v>0.82417582417582425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>
        <v>192</v>
      </c>
      <c r="Y267" s="53">
        <f t="shared" si="32"/>
        <v>192</v>
      </c>
      <c r="Z267" s="39">
        <f t="shared" si="37"/>
        <v>0.52080000000000004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212.16000000000003</v>
      </c>
      <c r="BN267" s="75">
        <f t="shared" si="34"/>
        <v>212.16000000000003</v>
      </c>
      <c r="BO267" s="75">
        <f t="shared" si="35"/>
        <v>0.43956043956043961</v>
      </c>
      <c r="BP267" s="75">
        <f t="shared" si="36"/>
        <v>0.43956043956043961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>
        <v>192</v>
      </c>
      <c r="Y268" s="53">
        <f t="shared" si="32"/>
        <v>192</v>
      </c>
      <c r="Z268" s="39">
        <f t="shared" si="37"/>
        <v>0.52080000000000004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212.16000000000003</v>
      </c>
      <c r="BN268" s="75">
        <f t="shared" si="34"/>
        <v>212.16000000000003</v>
      </c>
      <c r="BO268" s="75">
        <f t="shared" si="35"/>
        <v>0.43956043956043961</v>
      </c>
      <c r="BP268" s="75">
        <f t="shared" si="36"/>
        <v>0.43956043956043961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>
        <v>192</v>
      </c>
      <c r="Y269" s="53">
        <f t="shared" si="32"/>
        <v>192</v>
      </c>
      <c r="Z269" s="39">
        <f t="shared" si="37"/>
        <v>0.52080000000000004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212.16000000000003</v>
      </c>
      <c r="BN269" s="75">
        <f t="shared" si="34"/>
        <v>212.16000000000003</v>
      </c>
      <c r="BO269" s="75">
        <f t="shared" si="35"/>
        <v>0.43956043956043961</v>
      </c>
      <c r="BP269" s="75">
        <f t="shared" si="36"/>
        <v>0.43956043956043961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>
        <v>240</v>
      </c>
      <c r="Y270" s="53">
        <f t="shared" si="32"/>
        <v>240</v>
      </c>
      <c r="Z270" s="39">
        <f t="shared" si="37"/>
        <v>0.65100000000000002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265.8</v>
      </c>
      <c r="BN270" s="75">
        <f t="shared" si="34"/>
        <v>265.8</v>
      </c>
      <c r="BO270" s="75">
        <f t="shared" si="35"/>
        <v>0.5494505494505495</v>
      </c>
      <c r="BP270" s="75">
        <f t="shared" si="36"/>
        <v>0.5494505494505495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502.77139208173691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504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3.4556199999999997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1280</v>
      </c>
      <c r="Y273" s="41">
        <f>IFERROR(SUM(Y262:Y271),"0")</f>
        <v>1290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>
        <v>10</v>
      </c>
      <c r="Y310" s="53">
        <f>IFERROR(IF(X310="",0,CEILING((X310/$H310),1)*$H310),"")</f>
        <v>10.8</v>
      </c>
      <c r="Z310" s="39">
        <f>IFERROR(IF(Y310=0,"",ROUNDUP(Y310/H310,0)*0.01898),"")</f>
        <v>1.898E-2</v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10.37962962962963</v>
      </c>
      <c r="BN310" s="75">
        <f>IFERROR(Y310*I310/H310,"0")</f>
        <v>11.21</v>
      </c>
      <c r="BO310" s="75">
        <f>IFERROR(1/J310*(X310/H310),"0")</f>
        <v>1.4467592592592591E-2</v>
      </c>
      <c r="BP310" s="75">
        <f>IFERROR(1/J310*(Y310/H310),"0")</f>
        <v>1.5625E-2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0.92592592592592582</v>
      </c>
      <c r="Y313" s="41">
        <f>IFERROR(Y308/H308,"0")+IFERROR(Y309/H309,"0")+IFERROR(Y310/H310,"0")+IFERROR(Y311/H311,"0")+IFERROR(Y312/H312,"0")</f>
        <v>1</v>
      </c>
      <c r="Z313" s="41">
        <f>IFERROR(IF(Z308="",0,Z308),"0")+IFERROR(IF(Z309="",0,Z309),"0")+IFERROR(IF(Z310="",0,Z310),"0")+IFERROR(IF(Z311="",0,Z311),"0")+IFERROR(IF(Z312="",0,Z312),"0")</f>
        <v>1.898E-2</v>
      </c>
      <c r="AA313" s="64"/>
      <c r="AB313" s="64"/>
      <c r="AC313" s="64"/>
    </row>
    <row r="314" spans="1:68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10</v>
      </c>
      <c r="Y314" s="41">
        <f>IFERROR(SUM(Y308:Y312),"0")</f>
        <v>10.8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195</v>
      </c>
      <c r="Y354" s="53">
        <f t="shared" ref="Y354:Y360" si="48">IFERROR(IF(X354="",0,CEILING((X354/$H354),1)*$H354),"")</f>
        <v>197.4</v>
      </c>
      <c r="Z354" s="39">
        <f>IFERROR(IF(Y354=0,"",ROUNDUP(Y354/H354,0)*0.00902),"")</f>
        <v>0.42393999999999998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206.60714285714286</v>
      </c>
      <c r="BN354" s="75">
        <f t="shared" ref="BN354:BN360" si="50">IFERROR(Y354*I354/H354,"0")</f>
        <v>209.15</v>
      </c>
      <c r="BO354" s="75">
        <f t="shared" ref="BO354:BO360" si="51">IFERROR(1/J354*(X354/H354),"0")</f>
        <v>0.35173160173160173</v>
      </c>
      <c r="BP354" s="75">
        <f t="shared" ref="BP354:BP360" si="52">IFERROR(1/J354*(Y354/H354),"0")</f>
        <v>0.35606060606060608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>
        <v>50</v>
      </c>
      <c r="Y355" s="53">
        <f t="shared" si="48"/>
        <v>50.400000000000006</v>
      </c>
      <c r="Z355" s="39">
        <f>IFERROR(IF(Y355=0,"",ROUNDUP(Y355/H355,0)*0.00902),"")</f>
        <v>0.10824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52.976190476190474</v>
      </c>
      <c r="BN355" s="75">
        <f t="shared" si="50"/>
        <v>53.400000000000006</v>
      </c>
      <c r="BO355" s="75">
        <f t="shared" si="51"/>
        <v>9.0187590187590191E-2</v>
      </c>
      <c r="BP355" s="75">
        <f t="shared" si="52"/>
        <v>9.0909090909090912E-2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58.333333333333329</v>
      </c>
      <c r="Y361" s="41">
        <f>IFERROR(Y354/H354,"0")+IFERROR(Y355/H355,"0")+IFERROR(Y356/H356,"0")+IFERROR(Y357/H357,"0")+IFERROR(Y358/H358,"0")+IFERROR(Y359/H359,"0")+IFERROR(Y360/H360,"0")</f>
        <v>59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0.53217999999999999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245</v>
      </c>
      <c r="Y362" s="41">
        <f>IFERROR(SUM(Y354:Y360),"0")</f>
        <v>247.8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>
        <v>16</v>
      </c>
      <c r="Y364" s="53">
        <f>IFERROR(IF(X364="",0,CEILING((X364/$H364),1)*$H364),"")</f>
        <v>23.4</v>
      </c>
      <c r="Z364" s="39">
        <f>IFERROR(IF(Y364=0,"",ROUNDUP(Y364/H364,0)*0.01898),"")</f>
        <v>5.6940000000000004E-2</v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17.001025641025642</v>
      </c>
      <c r="BN364" s="75">
        <f>IFERROR(Y364*I364/H364,"0")</f>
        <v>24.864000000000001</v>
      </c>
      <c r="BO364" s="75">
        <f>IFERROR(1/J364*(X364/H364),"0")</f>
        <v>3.2051282051282055E-2</v>
      </c>
      <c r="BP364" s="75">
        <f>IFERROR(1/J364*(Y364/H364),"0")</f>
        <v>4.6875E-2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2.0512820512820515</v>
      </c>
      <c r="Y368" s="41">
        <f>IFERROR(Y364/H364,"0")+IFERROR(Y365/H365,"0")+IFERROR(Y366/H366,"0")+IFERROR(Y367/H367,"0")</f>
        <v>3</v>
      </c>
      <c r="Z368" s="41">
        <f>IFERROR(IF(Z364="",0,Z364),"0")+IFERROR(IF(Z365="",0,Z365),"0")+IFERROR(IF(Z366="",0,Z366),"0")+IFERROR(IF(Z367="",0,Z367),"0")</f>
        <v>5.6940000000000004E-2</v>
      </c>
      <c r="AA368" s="64"/>
      <c r="AB368" s="64"/>
      <c r="AC368" s="64"/>
    </row>
    <row r="369" spans="1:68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16</v>
      </c>
      <c r="Y369" s="41">
        <f>IFERROR(SUM(Y364:Y367),"0")</f>
        <v>23.4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344</v>
      </c>
      <c r="Y371" s="53">
        <f>IFERROR(IF(X371="",0,CEILING((X371/$H371),1)*$H371),"")</f>
        <v>344.40000000000003</v>
      </c>
      <c r="Z371" s="39">
        <f>IFERROR(IF(Y371=0,"",ROUNDUP(Y371/H371,0)*0.01898),"")</f>
        <v>0.77817999999999998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364.23047619047617</v>
      </c>
      <c r="BN371" s="75">
        <f>IFERROR(Y371*I371/H371,"0")</f>
        <v>364.654</v>
      </c>
      <c r="BO371" s="75">
        <f>IFERROR(1/J371*(X371/H371),"0")</f>
        <v>0.63988095238095233</v>
      </c>
      <c r="BP371" s="75">
        <f>IFERROR(1/J371*(Y371/H371),"0")</f>
        <v>0.640625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636</v>
      </c>
      <c r="Y372" s="53">
        <f>IFERROR(IF(X372="",0,CEILING((X372/$H372),1)*$H372),"")</f>
        <v>639.6</v>
      </c>
      <c r="Z372" s="39">
        <f>IFERROR(IF(Y372=0,"",ROUNDUP(Y372/H372,0)*0.01898),"")</f>
        <v>1.55636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676.28000000000009</v>
      </c>
      <c r="BN372" s="75">
        <f>IFERROR(Y372*I372/H372,"0")</f>
        <v>680.10800000000006</v>
      </c>
      <c r="BO372" s="75">
        <f>IFERROR(1/J372*(X372/H372),"0")</f>
        <v>1.2740384615384617</v>
      </c>
      <c r="BP372" s="75">
        <f>IFERROR(1/J372*(Y372/H372),"0")</f>
        <v>1.28125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68</v>
      </c>
      <c r="Y373" s="53">
        <f>IFERROR(IF(X373="",0,CEILING((X373/$H373),1)*$H373),"")</f>
        <v>75.600000000000009</v>
      </c>
      <c r="Z373" s="39">
        <f>IFERROR(IF(Y373=0,"",ROUNDUP(Y373/H373,0)*0.01898),"")</f>
        <v>0.17082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71.999047619047616</v>
      </c>
      <c r="BN373" s="75">
        <f>IFERROR(Y373*I373/H373,"0")</f>
        <v>80.046000000000006</v>
      </c>
      <c r="BO373" s="75">
        <f>IFERROR(1/J373*(X373/H373),"0")</f>
        <v>0.12648809523809523</v>
      </c>
      <c r="BP373" s="75">
        <f>IFERROR(1/J373*(Y373/H373),"0")</f>
        <v>0.140625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130.58608058608058</v>
      </c>
      <c r="Y374" s="41">
        <f>IFERROR(Y371/H371,"0")+IFERROR(Y372/H372,"0")+IFERROR(Y373/H373,"0")</f>
        <v>132</v>
      </c>
      <c r="Z374" s="41">
        <f>IFERROR(IF(Z371="",0,Z371),"0")+IFERROR(IF(Z372="",0,Z372),"0")+IFERROR(IF(Z373="",0,Z373),"0")</f>
        <v>2.50536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1048</v>
      </c>
      <c r="Y375" s="41">
        <f>IFERROR(SUM(Y371:Y373),"0")</f>
        <v>1059.5999999999999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>
        <v>94</v>
      </c>
      <c r="Y391" s="53">
        <f>IFERROR(IF(X391="",0,CEILING((X391/$H391),1)*$H391),"")</f>
        <v>97.199999999999989</v>
      </c>
      <c r="Z391" s="39">
        <f>IFERROR(IF(Y391=0,"",ROUNDUP(Y391/H391,0)*0.01898),"")</f>
        <v>0.22776000000000002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99.732839506172837</v>
      </c>
      <c r="BN391" s="75">
        <f>IFERROR(Y391*I391/H391,"0")</f>
        <v>103.12799999999999</v>
      </c>
      <c r="BO391" s="75">
        <f>IFERROR(1/J391*(X391/H391),"0")</f>
        <v>0.18132716049382716</v>
      </c>
      <c r="BP391" s="75">
        <f>IFERROR(1/J391*(Y391/H391),"0")</f>
        <v>0.1875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11.604938271604938</v>
      </c>
      <c r="Y394" s="41">
        <f>IFERROR(Y391/H391,"0")+IFERROR(Y392/H392,"0")+IFERROR(Y393/H393,"0")</f>
        <v>12</v>
      </c>
      <c r="Z394" s="41">
        <f>IFERROR(IF(Z391="",0,Z391),"0")+IFERROR(IF(Z392="",0,Z392),"0")+IFERROR(IF(Z393="",0,Z393),"0")</f>
        <v>0.22776000000000002</v>
      </c>
      <c r="AA394" s="64"/>
      <c r="AB394" s="64"/>
      <c r="AC394" s="64"/>
    </row>
    <row r="395" spans="1:68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94</v>
      </c>
      <c r="Y395" s="41">
        <f>IFERROR(SUM(Y391:Y393),"0")</f>
        <v>97.199999999999989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1665</v>
      </c>
      <c r="Y400" s="53">
        <f t="shared" si="53"/>
        <v>1665</v>
      </c>
      <c r="Z400" s="39">
        <f>IFERROR(IF(Y400=0,"",ROUNDUP(Y400/H400,0)*0.02175),"")</f>
        <v>2.41425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1717.1699999999998</v>
      </c>
      <c r="BN400" s="75">
        <f t="shared" si="55"/>
        <v>1717.1699999999998</v>
      </c>
      <c r="BO400" s="75">
        <f t="shared" si="56"/>
        <v>2.3125</v>
      </c>
      <c r="BP400" s="75">
        <f t="shared" si="57"/>
        <v>2.3125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265</v>
      </c>
      <c r="Y401" s="53">
        <f t="shared" si="53"/>
        <v>270</v>
      </c>
      <c r="Z401" s="39">
        <f>IFERROR(IF(Y401=0,"",ROUNDUP(Y401/H401,0)*0.02175),"")</f>
        <v>0.39149999999999996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273.30333333333334</v>
      </c>
      <c r="BN401" s="75">
        <f t="shared" si="55"/>
        <v>278.46000000000004</v>
      </c>
      <c r="BO401" s="75">
        <f t="shared" si="56"/>
        <v>0.36805555555555558</v>
      </c>
      <c r="BP401" s="75">
        <f t="shared" si="57"/>
        <v>0.375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3775</v>
      </c>
      <c r="Y402" s="53">
        <f t="shared" si="53"/>
        <v>3780</v>
      </c>
      <c r="Z402" s="39">
        <f>IFERROR(IF(Y402=0,"",ROUNDUP(Y402/H402,0)*0.02175),"")</f>
        <v>5.4809999999999999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3893.2833333333333</v>
      </c>
      <c r="BN402" s="75">
        <f t="shared" si="55"/>
        <v>3898.4400000000005</v>
      </c>
      <c r="BO402" s="75">
        <f t="shared" si="56"/>
        <v>5.2430555555555554</v>
      </c>
      <c r="BP402" s="75">
        <f t="shared" si="57"/>
        <v>5.25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380.33333333333331</v>
      </c>
      <c r="Y407" s="41">
        <f>IFERROR(Y399/H399,"0")+IFERROR(Y400/H400,"0")+IFERROR(Y401/H401,"0")+IFERROR(Y402/H402,"0")+IFERROR(Y403/H403,"0")+IFERROR(Y404/H404,"0")+IFERROR(Y405/H405,"0")+IFERROR(Y406/H406,"0")</f>
        <v>381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8.2867499999999996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5705</v>
      </c>
      <c r="Y408" s="41">
        <f>IFERROR(SUM(Y399:Y406),"0")</f>
        <v>5715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2250</v>
      </c>
      <c r="Y410" s="53">
        <f>IFERROR(IF(X410="",0,CEILING((X410/$H410),1)*$H410),"")</f>
        <v>2250</v>
      </c>
      <c r="Z410" s="39">
        <f>IFERROR(IF(Y410=0,"",ROUNDUP(Y410/H410,0)*0.02175),"")</f>
        <v>3.2624999999999997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2320.5</v>
      </c>
      <c r="BN410" s="75">
        <f>IFERROR(Y410*I410/H410,"0")</f>
        <v>2320.5</v>
      </c>
      <c r="BO410" s="75">
        <f>IFERROR(1/J410*(X410/H410),"0")</f>
        <v>3.125</v>
      </c>
      <c r="BP410" s="75">
        <f>IFERROR(1/J410*(Y410/H410),"0")</f>
        <v>3.125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150</v>
      </c>
      <c r="Y413" s="41">
        <f>IFERROR(Y410/H410,"0")+IFERROR(Y411/H411,"0")+IFERROR(Y412/H412,"0")</f>
        <v>150</v>
      </c>
      <c r="Z413" s="41">
        <f>IFERROR(IF(Z410="",0,Z410),"0")+IFERROR(IF(Z411="",0,Z411),"0")+IFERROR(IF(Z412="",0,Z412),"0")</f>
        <v>3.2624999999999997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2250</v>
      </c>
      <c r="Y414" s="41">
        <f>IFERROR(SUM(Y410:Y412),"0")</f>
        <v>2250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1524</v>
      </c>
      <c r="Y416" s="53">
        <f>IFERROR(IF(X416="",0,CEILING((X416/$H416),1)*$H416),"")</f>
        <v>1530</v>
      </c>
      <c r="Z416" s="39">
        <f>IFERROR(IF(Y416=0,"",ROUNDUP(Y416/H416,0)*0.01898),"")</f>
        <v>3.2265999999999999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1608.6666666666667</v>
      </c>
      <c r="BN416" s="75">
        <f>IFERROR(Y416*I416/H416,"0")</f>
        <v>1615</v>
      </c>
      <c r="BO416" s="75">
        <f>IFERROR(1/J416*(X416/H416),"0")</f>
        <v>2.6458333333333335</v>
      </c>
      <c r="BP416" s="75">
        <f>IFERROR(1/J416*(Y416/H416),"0")</f>
        <v>2.65625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536</v>
      </c>
      <c r="Y417" s="53">
        <f>IFERROR(IF(X417="",0,CEILING((X417/$H417),1)*$H417),"")</f>
        <v>540</v>
      </c>
      <c r="Z417" s="39">
        <f>IFERROR(IF(Y417=0,"",ROUNDUP(Y417/H417,0)*0.01898),"")</f>
        <v>1.1388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565.42044444444446</v>
      </c>
      <c r="BN417" s="75">
        <f>IFERROR(Y417*I417/H417,"0")</f>
        <v>569.64</v>
      </c>
      <c r="BO417" s="75">
        <f>IFERROR(1/J417*(X417/H417),"0")</f>
        <v>0.93055555555555558</v>
      </c>
      <c r="BP417" s="75">
        <f>IFERROR(1/J417*(Y417/H417),"0")</f>
        <v>0.9375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228.88888888888891</v>
      </c>
      <c r="Y418" s="41">
        <f>IFERROR(Y416/H416,"0")+IFERROR(Y417/H417,"0")</f>
        <v>230</v>
      </c>
      <c r="Z418" s="41">
        <f>IFERROR(IF(Z416="",0,Z416),"0")+IFERROR(IF(Z417="",0,Z417),"0")</f>
        <v>4.3654000000000002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2060</v>
      </c>
      <c r="Y419" s="41">
        <f>IFERROR(SUM(Y416:Y417),"0")</f>
        <v>2070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860</v>
      </c>
      <c r="Y421" s="53">
        <f>IFERROR(IF(X421="",0,CEILING((X421/$H421),1)*$H421),"")</f>
        <v>864</v>
      </c>
      <c r="Z421" s="39">
        <f>IFERROR(IF(Y421=0,"",ROUNDUP(Y421/H421,0)*0.01898),"")</f>
        <v>1.8220800000000001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907.20444444444445</v>
      </c>
      <c r="BN421" s="75">
        <f>IFERROR(Y421*I421/H421,"0")</f>
        <v>911.42399999999986</v>
      </c>
      <c r="BO421" s="75">
        <f>IFERROR(1/J421*(X421/H421),"0")</f>
        <v>1.4930555555555556</v>
      </c>
      <c r="BP421" s="75">
        <f>IFERROR(1/J421*(Y421/H421),"0")</f>
        <v>1.5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95.555555555555557</v>
      </c>
      <c r="Y422" s="41">
        <f>IFERROR(Y421/H421,"0")</f>
        <v>96</v>
      </c>
      <c r="Z422" s="41">
        <f>IFERROR(IF(Z421="",0,Z421),"0")</f>
        <v>1.8220800000000001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860</v>
      </c>
      <c r="Y423" s="41">
        <f>IFERROR(SUM(Y421:Y421),"0")</f>
        <v>864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/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416</v>
      </c>
      <c r="Y435" s="53">
        <f>IFERROR(IF(X435="",0,CEILING((X435/$H435),1)*$H435),"")</f>
        <v>423</v>
      </c>
      <c r="Z435" s="39">
        <f>IFERROR(IF(Y435=0,"",ROUNDUP(Y435/H435,0)*0.01898),"")</f>
        <v>0.89205999999999996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438.83377777777775</v>
      </c>
      <c r="BN435" s="75">
        <f>IFERROR(Y435*I435/H435,"0")</f>
        <v>446.21800000000002</v>
      </c>
      <c r="BO435" s="75">
        <f>IFERROR(1/J435*(X435/H435),"0")</f>
        <v>0.72222222222222221</v>
      </c>
      <c r="BP435" s="75">
        <f>IFERROR(1/J435*(Y435/H435),"0")</f>
        <v>0.734375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46.222222222222221</v>
      </c>
      <c r="Y438" s="41">
        <f>IFERROR(Y435/H435,"0")+IFERROR(Y436/H436,"0")+IFERROR(Y437/H437,"0")</f>
        <v>47</v>
      </c>
      <c r="Z438" s="41">
        <f>IFERROR(IF(Z435="",0,Z435),"0")+IFERROR(IF(Z436="",0,Z436),"0")+IFERROR(IF(Z437="",0,Z437),"0")</f>
        <v>0.89205999999999996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416</v>
      </c>
      <c r="Y439" s="41">
        <f>IFERROR(SUM(Y435:Y437),"0")</f>
        <v>423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90</v>
      </c>
      <c r="Y443" s="53">
        <f t="shared" ref="Y443:Y448" si="58">IFERROR(IF(X443="",0,CEILING((X443/$H443),1)*$H443),"")</f>
        <v>91.800000000000011</v>
      </c>
      <c r="Z443" s="39">
        <f>IFERROR(IF(Y443=0,"",ROUNDUP(Y443/H443,0)*0.00902),"")</f>
        <v>0.15334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93.166666666666657</v>
      </c>
      <c r="BN443" s="75">
        <f t="shared" ref="BN443:BN448" si="60">IFERROR(Y443*I443/H443,"0")</f>
        <v>95.03</v>
      </c>
      <c r="BO443" s="75">
        <f t="shared" ref="BO443:BO448" si="61">IFERROR(1/J443*(X443/H443),"0")</f>
        <v>0.12626262626262624</v>
      </c>
      <c r="BP443" s="75">
        <f t="shared" ref="BP443:BP448" si="62">IFERROR(1/J443*(Y443/H443),"0")</f>
        <v>0.12878787878787878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200</v>
      </c>
      <c r="Y444" s="53">
        <f t="shared" si="58"/>
        <v>205.20000000000002</v>
      </c>
      <c r="Z444" s="39">
        <f>IFERROR(IF(Y444=0,"",ROUNDUP(Y444/H444,0)*0.00902),"")</f>
        <v>0.34276000000000001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207.03703703703701</v>
      </c>
      <c r="BN444" s="75">
        <f t="shared" si="60"/>
        <v>212.42</v>
      </c>
      <c r="BO444" s="75">
        <f t="shared" si="61"/>
        <v>0.28058361391694725</v>
      </c>
      <c r="BP444" s="75">
        <f t="shared" si="62"/>
        <v>0.2878787878787879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>
        <v>12.6</v>
      </c>
      <c r="Y447" s="53">
        <f t="shared" si="58"/>
        <v>12.600000000000001</v>
      </c>
      <c r="Z447" s="39">
        <f>IFERROR(IF(Y447=0,"",ROUNDUP(Y447/H447,0)*0.00502),"")</f>
        <v>3.0120000000000001E-2</v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13.379999999999999</v>
      </c>
      <c r="BN447" s="75">
        <f t="shared" si="60"/>
        <v>13.38</v>
      </c>
      <c r="BO447" s="75">
        <f t="shared" si="61"/>
        <v>2.5641025641025644E-2</v>
      </c>
      <c r="BP447" s="75">
        <f t="shared" si="62"/>
        <v>2.5641025641025644E-2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>
        <v>12.6</v>
      </c>
      <c r="Y448" s="53">
        <f t="shared" si="58"/>
        <v>12.600000000000001</v>
      </c>
      <c r="Z448" s="39">
        <f>IFERROR(IF(Y448=0,"",ROUNDUP(Y448/H448,0)*0.00502),"")</f>
        <v>3.0120000000000001E-2</v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13.379999999999999</v>
      </c>
      <c r="BN448" s="75">
        <f t="shared" si="60"/>
        <v>13.38</v>
      </c>
      <c r="BO448" s="75">
        <f t="shared" si="61"/>
        <v>2.5641025641025644E-2</v>
      </c>
      <c r="BP448" s="75">
        <f t="shared" si="62"/>
        <v>2.5641025641025644E-2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65.703703703703695</v>
      </c>
      <c r="Y449" s="41">
        <f>IFERROR(Y443/H443,"0")+IFERROR(Y444/H444,"0")+IFERROR(Y445/H445,"0")+IFERROR(Y446/H446,"0")+IFERROR(Y447/H447,"0")+IFERROR(Y448/H448,"0")</f>
        <v>67</v>
      </c>
      <c r="Z449" s="41">
        <f>IFERROR(IF(Z443="",0,Z443),"0")+IFERROR(IF(Z444="",0,Z444),"0")+IFERROR(IF(Z445="",0,Z445),"0")+IFERROR(IF(Z446="",0,Z446),"0")+IFERROR(IF(Z447="",0,Z447),"0")+IFERROR(IF(Z448="",0,Z448),"0")</f>
        <v>0.55634000000000006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315.20000000000005</v>
      </c>
      <c r="Y450" s="41">
        <f>IFERROR(SUM(Y443:Y448),"0")</f>
        <v>322.20000000000005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430</v>
      </c>
      <c r="Y462" s="53">
        <f>IFERROR(IF(X462="",0,CEILING((X462/$H462),1)*$H462),"")</f>
        <v>432</v>
      </c>
      <c r="Z462" s="39">
        <f>IFERROR(IF(Y462=0,"",ROUNDUP(Y462/H462,0)*0.00902),"")</f>
        <v>0.72160000000000002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445.12962962962956</v>
      </c>
      <c r="BN462" s="75">
        <f>IFERROR(Y462*I462/H462,"0")</f>
        <v>447.2</v>
      </c>
      <c r="BO462" s="75">
        <f>IFERROR(1/J462*(X462/H462),"0")</f>
        <v>0.60325476992143656</v>
      </c>
      <c r="BP462" s="75">
        <f>IFERROR(1/J462*(Y462/H462),"0")</f>
        <v>0.60606060606060608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>
        <v>29.4</v>
      </c>
      <c r="Y464" s="53">
        <f>IFERROR(IF(X464="",0,CEILING((X464/$H464),1)*$H464),"")</f>
        <v>29.400000000000002</v>
      </c>
      <c r="Z464" s="39">
        <f>IFERROR(IF(Y464=0,"",ROUNDUP(Y464/H464,0)*0.00502),"")</f>
        <v>7.0280000000000009E-2</v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31.22</v>
      </c>
      <c r="BN464" s="75">
        <f>IFERROR(Y464*I464/H464,"0")</f>
        <v>31.22</v>
      </c>
      <c r="BO464" s="75">
        <f>IFERROR(1/J464*(X464/H464),"0")</f>
        <v>5.9829059829059825E-2</v>
      </c>
      <c r="BP464" s="75">
        <f>IFERROR(1/J464*(Y464/H464),"0")</f>
        <v>5.9829059829059839E-2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93.629629629629619</v>
      </c>
      <c r="Y465" s="41">
        <f>IFERROR(Y462/H462,"0")+IFERROR(Y463/H463,"0")+IFERROR(Y464/H464,"0")</f>
        <v>94</v>
      </c>
      <c r="Z465" s="41">
        <f>IFERROR(IF(Z462="",0,Z462),"0")+IFERROR(IF(Z463="",0,Z463),"0")+IFERROR(IF(Z464="",0,Z464),"0")</f>
        <v>0.79188000000000003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459.4</v>
      </c>
      <c r="Y466" s="41">
        <f>IFERROR(SUM(Y462:Y464),"0")</f>
        <v>461.4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>
        <v>20</v>
      </c>
      <c r="Y472" s="53">
        <f t="shared" si="63"/>
        <v>21.12</v>
      </c>
      <c r="Z472" s="39">
        <f t="shared" si="64"/>
        <v>4.7840000000000001E-2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21.325757575757574</v>
      </c>
      <c r="BN472" s="75">
        <f t="shared" si="66"/>
        <v>22.52</v>
      </c>
      <c r="BO472" s="75">
        <f t="shared" si="67"/>
        <v>3.6421911421911424E-2</v>
      </c>
      <c r="BP472" s="75">
        <f t="shared" si="68"/>
        <v>3.8461538461538464E-2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100</v>
      </c>
      <c r="Y473" s="53">
        <f t="shared" si="63"/>
        <v>100.32000000000001</v>
      </c>
      <c r="Z473" s="39">
        <f t="shared" si="64"/>
        <v>0.22724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106.62878787878788</v>
      </c>
      <c r="BN473" s="75">
        <f t="shared" si="66"/>
        <v>106.97</v>
      </c>
      <c r="BO473" s="75">
        <f t="shared" si="67"/>
        <v>0.18210955710955709</v>
      </c>
      <c r="BP473" s="75">
        <f t="shared" si="68"/>
        <v>0.18269230769230771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200</v>
      </c>
      <c r="Y475" s="53">
        <f t="shared" si="63"/>
        <v>200.64000000000001</v>
      </c>
      <c r="Z475" s="39">
        <f t="shared" si="64"/>
        <v>0.45448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213.25757575757575</v>
      </c>
      <c r="BN475" s="75">
        <f t="shared" si="66"/>
        <v>213.94</v>
      </c>
      <c r="BO475" s="75">
        <f t="shared" si="67"/>
        <v>0.36421911421911418</v>
      </c>
      <c r="BP475" s="75">
        <f t="shared" si="68"/>
        <v>0.36538461538461542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60.606060606060602</v>
      </c>
      <c r="Y479" s="41">
        <f>IFERROR(Y470/H470,"0")+IFERROR(Y471/H471,"0")+IFERROR(Y472/H472,"0")+IFERROR(Y473/H473,"0")+IFERROR(Y474/H474,"0")+IFERROR(Y475/H475,"0")+IFERROR(Y476/H476,"0")+IFERROR(Y477/H477,"0")+IFERROR(Y478/H478,"0")</f>
        <v>61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0.72955999999999999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320</v>
      </c>
      <c r="Y480" s="41">
        <f>IFERROR(SUM(Y470:Y478),"0")</f>
        <v>322.08000000000004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50</v>
      </c>
      <c r="Y482" s="53">
        <f>IFERROR(IF(X482="",0,CEILING((X482/$H482),1)*$H482),"")</f>
        <v>52.800000000000004</v>
      </c>
      <c r="Z482" s="39">
        <f>IFERROR(IF(Y482=0,"",ROUNDUP(Y482/H482,0)*0.01196),"")</f>
        <v>0.1196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53.314393939393938</v>
      </c>
      <c r="BN482" s="75">
        <f>IFERROR(Y482*I482/H482,"0")</f>
        <v>56.3</v>
      </c>
      <c r="BO482" s="75">
        <f>IFERROR(1/J482*(X482/H482),"0")</f>
        <v>9.1054778554778545E-2</v>
      </c>
      <c r="BP482" s="75">
        <f>IFERROR(1/J482*(Y482/H482),"0")</f>
        <v>9.6153846153846159E-2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9.4696969696969688</v>
      </c>
      <c r="Y485" s="41">
        <f>IFERROR(Y482/H482,"0")+IFERROR(Y483/H483,"0")+IFERROR(Y484/H484,"0")</f>
        <v>10</v>
      </c>
      <c r="Z485" s="41">
        <f>IFERROR(IF(Z482="",0,Z482),"0")+IFERROR(IF(Z483="",0,Z483),"0")+IFERROR(IF(Z484="",0,Z484),"0")</f>
        <v>0.1196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50</v>
      </c>
      <c r="Y486" s="41">
        <f>IFERROR(SUM(Y482:Y484),"0")</f>
        <v>52.800000000000004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100</v>
      </c>
      <c r="Y488" s="53">
        <f t="shared" ref="Y488:Y494" si="69">IFERROR(IF(X488="",0,CEILING((X488/$H488),1)*$H488),"")</f>
        <v>100.32000000000001</v>
      </c>
      <c r="Z488" s="39">
        <f>IFERROR(IF(Y488=0,"",ROUNDUP(Y488/H488,0)*0.01196),"")</f>
        <v>0.22724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106.62878787878788</v>
      </c>
      <c r="BN488" s="75">
        <f t="shared" ref="BN488:BN494" si="71">IFERROR(Y488*I488/H488,"0")</f>
        <v>106.97</v>
      </c>
      <c r="BO488" s="75">
        <f t="shared" ref="BO488:BO494" si="72">IFERROR(1/J488*(X488/H488),"0")</f>
        <v>0.18210955710955709</v>
      </c>
      <c r="BP488" s="75">
        <f t="shared" ref="BP488:BP494" si="73">IFERROR(1/J488*(Y488/H488),"0")</f>
        <v>0.18269230769230771</v>
      </c>
    </row>
    <row r="489" spans="1:68" ht="27" hidden="1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/>
      <c r="Y489" s="53">
        <f t="shared" si="69"/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50</v>
      </c>
      <c r="Y490" s="53">
        <f t="shared" si="69"/>
        <v>52.800000000000004</v>
      </c>
      <c r="Z490" s="39">
        <f>IFERROR(IF(Y490=0,"",ROUNDUP(Y490/H490,0)*0.01196),"")</f>
        <v>0.1196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53.314393939393938</v>
      </c>
      <c r="BN490" s="75">
        <f t="shared" si="71"/>
        <v>56.3</v>
      </c>
      <c r="BO490" s="75">
        <f t="shared" si="72"/>
        <v>9.1054778554778545E-2</v>
      </c>
      <c r="BP490" s="75">
        <f t="shared" si="73"/>
        <v>9.6153846153846159E-2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28.409090909090907</v>
      </c>
      <c r="Y495" s="41">
        <f>IFERROR(Y488/H488,"0")+IFERROR(Y489/H489,"0")+IFERROR(Y490/H490,"0")+IFERROR(Y491/H491,"0")+IFERROR(Y492/H492,"0")+IFERROR(Y493/H493,"0")+IFERROR(Y494/H494,"0")</f>
        <v>29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0.34683999999999998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150</v>
      </c>
      <c r="Y496" s="41">
        <f>IFERROR(SUM(Y488:Y494),"0")</f>
        <v>153.12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50</v>
      </c>
      <c r="Y508" s="53">
        <f>IFERROR(IF(X508="",0,CEILING((X508/$H508),1)*$H508),"")</f>
        <v>52.8</v>
      </c>
      <c r="Z508" s="39">
        <f>IFERROR(IF(Y508=0,"",ROUNDUP(Y508/H508,0)*0.00902),"")</f>
        <v>9.9220000000000003E-2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52.604166666666671</v>
      </c>
      <c r="BN508" s="75">
        <f>IFERROR(Y508*I508/H508,"0")</f>
        <v>55.55</v>
      </c>
      <c r="BO508" s="75">
        <f>IFERROR(1/J508*(X508/H508),"0")</f>
        <v>7.8914141414141423E-2</v>
      </c>
      <c r="BP508" s="75">
        <f>IFERROR(1/J508*(Y508/H508),"0")</f>
        <v>8.3333333333333343E-2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10.416666666666668</v>
      </c>
      <c r="Y509" s="41">
        <f>IFERROR(Y508/H508,"0")</f>
        <v>11</v>
      </c>
      <c r="Z509" s="41">
        <f>IFERROR(IF(Z508="",0,Z508),"0")</f>
        <v>9.9220000000000003E-2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50</v>
      </c>
      <c r="Y510" s="41">
        <f>IFERROR(SUM(Y508:Y508),"0")</f>
        <v>52.8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18000.300000000003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18144.8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18852.905612304254</v>
      </c>
      <c r="Y526" s="41">
        <f>IFERROR(SUM(BN22:BN522),"0")</f>
        <v>19004.606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30</v>
      </c>
      <c r="Y527" s="42">
        <f>ROUNDUP(SUM(BP22:BP522),0)</f>
        <v>30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19602.905612304254</v>
      </c>
      <c r="Y528" s="41">
        <f>GrossWeightTotalR+PalletQtyTotalR*25</f>
        <v>19754.606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2286.4423754193867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2305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33.635340000000006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0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604.20000000000005</v>
      </c>
      <c r="F535" s="50">
        <f>IFERROR(Y91*1,"0")+IFERROR(Y92*1,"0")+IFERROR(Y93*1,"0")+IFERROR(Y94*1,"0")+IFERROR(Y98*1,"0")+IFERROR(Y99*1,"0")+IFERROR(Y100*1,"0")+IFERROR(Y101*1,"0")</f>
        <v>734.39999999999986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664.19999999999993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80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218.39999999999998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1718.4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10.8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1330.8</v>
      </c>
      <c r="U535" s="50">
        <f>IFERROR(Y391*1,"0")+IFERROR(Y392*1,"0")+IFERROR(Y393*1,"0")</f>
        <v>97.199999999999989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10899</v>
      </c>
      <c r="W535" s="50">
        <f>IFERROR(Y426*1,"0")+IFERROR(Y427*1,"0")+IFERROR(Y431*1,"0")+IFERROR(Y435*1,"0")+IFERROR(Y436*1,"0")+IFERROR(Y437*1,"0")</f>
        <v>423</v>
      </c>
      <c r="X535" s="50">
        <f>IFERROR(Y443*1,"0")+IFERROR(Y444*1,"0")+IFERROR(Y445*1,"0")+IFERROR(Y446*1,"0")+IFERROR(Y447*1,"0")+IFERROR(Y448*1,"0")+IFERROR(Y452*1,"0")+IFERROR(Y453*1,"0")</f>
        <v>322.20000000000005</v>
      </c>
      <c r="Y535" s="50">
        <f>IFERROR(Y458*1,"0")+IFERROR(Y462*1,"0")+IFERROR(Y463*1,"0")+IFERROR(Y464*1,"0")</f>
        <v>461.4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528</v>
      </c>
      <c r="AA535" s="50">
        <f>IFERROR(Y500*1,"0")+IFERROR(Y504*1,"0")+IFERROR(Y508*1,"0")+IFERROR(Y512*1,"0")+IFERROR(Y516*1,"0")+IFERROR(Y517*1,"0")</f>
        <v>52.8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048,00"/>
        <filter val="1 280,00"/>
        <filter val="1 524,00"/>
        <filter val="1 665,00"/>
        <filter val="1,80"/>
        <filter val="10,00"/>
        <filter val="10,42"/>
        <filter val="100,00"/>
        <filter val="11,60"/>
        <filter val="110,00"/>
        <filter val="12,60"/>
        <filter val="130,59"/>
        <filter val="14,10"/>
        <filter val="14,44"/>
        <filter val="14,70"/>
        <filter val="150,00"/>
        <filter val="16,00"/>
        <filter val="160,00"/>
        <filter val="18 000,30"/>
        <filter val="18 852,91"/>
        <filter val="180,00"/>
        <filter val="187,00"/>
        <filter val="19 602,91"/>
        <filter val="192,00"/>
        <filter val="195,00"/>
        <filter val="2 060,00"/>
        <filter val="2 250,00"/>
        <filter val="2 286,44"/>
        <filter val="2,05"/>
        <filter val="2,10"/>
        <filter val="20,00"/>
        <filter val="20,81"/>
        <filter val="200,00"/>
        <filter val="21,00"/>
        <filter val="217,80"/>
        <filter val="220,00"/>
        <filter val="225,00"/>
        <filter val="228,89"/>
        <filter val="240,00"/>
        <filter val="245,00"/>
        <filter val="247,00"/>
        <filter val="26,37"/>
        <filter val="265,00"/>
        <filter val="27,00"/>
        <filter val="28,41"/>
        <filter val="29,40"/>
        <filter val="3 775,00"/>
        <filter val="30"/>
        <filter val="30,00"/>
        <filter val="315,20"/>
        <filter val="320,00"/>
        <filter val="344,00"/>
        <filter val="35,00"/>
        <filter val="360,00"/>
        <filter val="37,86"/>
        <filter val="38,00"/>
        <filter val="380,00"/>
        <filter val="380,33"/>
        <filter val="384,00"/>
        <filter val="40,00"/>
        <filter val="410,00"/>
        <filter val="416,00"/>
        <filter val="417,20"/>
        <filter val="426,00"/>
        <filter val="430,00"/>
        <filter val="45,00"/>
        <filter val="45,90"/>
        <filter val="459,40"/>
        <filter val="46,22"/>
        <filter val="471,90"/>
        <filter val="475,80"/>
        <filter val="5 705,00"/>
        <filter val="5,56"/>
        <filter val="50,00"/>
        <filter val="502,77"/>
        <filter val="536,00"/>
        <filter val="58,00"/>
        <filter val="58,33"/>
        <filter val="60,00"/>
        <filter val="60,61"/>
        <filter val="60,86"/>
        <filter val="636,00"/>
        <filter val="65,70"/>
        <filter val="68,00"/>
        <filter val="69,59"/>
        <filter val="75,00"/>
        <filter val="79,93"/>
        <filter val="8,00"/>
        <filter val="81,41"/>
        <filter val="860,00"/>
        <filter val="9,47"/>
        <filter val="90,00"/>
        <filter val="91,80"/>
        <filter val="93,63"/>
        <filter val="94,00"/>
        <filter val="95,00"/>
        <filter val="95,56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cp:lastPrinted>2026-08-18T10:26:19Z</cp:lastPrinted>
  <dcterms:created xsi:type="dcterms:W3CDTF">2021-11-12T12:13:19Z</dcterms:created>
  <dcterms:modified xsi:type="dcterms:W3CDTF">2026-08-18T10:26:36Z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