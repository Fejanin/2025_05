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27,08,26 ПОКОМ КИ\28,08 Кочевой КИ ЛП ближ\"/>
    </mc:Choice>
  </mc:AlternateContent>
  <xr:revisionPtr revIDLastSave="0" documentId="13_ncr:1_{12F0D5AA-FC88-4B3F-B878-8BA71992D49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P551" i="2"/>
  <c r="BO551" i="2"/>
  <c r="BM551" i="2"/>
  <c r="Y551" i="2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P528" i="2"/>
  <c r="BO527" i="2"/>
  <c r="BM527" i="2"/>
  <c r="Y527" i="2"/>
  <c r="P527" i="2"/>
  <c r="BP526" i="2"/>
  <c r="BO526" i="2"/>
  <c r="BM526" i="2"/>
  <c r="Y526" i="2"/>
  <c r="P526" i="2"/>
  <c r="BO525" i="2"/>
  <c r="BM525" i="2"/>
  <c r="Y525" i="2"/>
  <c r="P525" i="2"/>
  <c r="BO524" i="2"/>
  <c r="BM524" i="2"/>
  <c r="Z524" i="2"/>
  <c r="Y524" i="2"/>
  <c r="BN524" i="2" s="1"/>
  <c r="P524" i="2"/>
  <c r="BO523" i="2"/>
  <c r="BM523" i="2"/>
  <c r="Y523" i="2"/>
  <c r="P523" i="2"/>
  <c r="X521" i="2"/>
  <c r="X520" i="2"/>
  <c r="BO519" i="2"/>
  <c r="BM519" i="2"/>
  <c r="Y519" i="2"/>
  <c r="Z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Z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Z509" i="2" s="1"/>
  <c r="P509" i="2"/>
  <c r="BO508" i="2"/>
  <c r="BM508" i="2"/>
  <c r="Y508" i="2"/>
  <c r="P508" i="2"/>
  <c r="BO507" i="2"/>
  <c r="BM507" i="2"/>
  <c r="Y507" i="2"/>
  <c r="BP507" i="2" s="1"/>
  <c r="P507" i="2"/>
  <c r="BO506" i="2"/>
  <c r="BM506" i="2"/>
  <c r="Y506" i="2"/>
  <c r="P506" i="2"/>
  <c r="BP505" i="2"/>
  <c r="BO505" i="2"/>
  <c r="BM505" i="2"/>
  <c r="Y505" i="2"/>
  <c r="P505" i="2"/>
  <c r="X501" i="2"/>
  <c r="X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Z497" i="2" s="1"/>
  <c r="P497" i="2"/>
  <c r="X495" i="2"/>
  <c r="X494" i="2"/>
  <c r="BP493" i="2"/>
  <c r="BO493" i="2"/>
  <c r="BM493" i="2"/>
  <c r="Y493" i="2"/>
  <c r="Y495" i="2" s="1"/>
  <c r="P493" i="2"/>
  <c r="X490" i="2"/>
  <c r="X489" i="2"/>
  <c r="BO488" i="2"/>
  <c r="BM488" i="2"/>
  <c r="Y488" i="2"/>
  <c r="BN488" i="2" s="1"/>
  <c r="P488" i="2"/>
  <c r="BO487" i="2"/>
  <c r="BM487" i="2"/>
  <c r="Y487" i="2"/>
  <c r="Y489" i="2" s="1"/>
  <c r="P487" i="2"/>
  <c r="X485" i="2"/>
  <c r="X484" i="2"/>
  <c r="BO483" i="2"/>
  <c r="BM483" i="2"/>
  <c r="Y483" i="2"/>
  <c r="P483" i="2"/>
  <c r="BO482" i="2"/>
  <c r="BM482" i="2"/>
  <c r="Y482" i="2"/>
  <c r="BP482" i="2" s="1"/>
  <c r="P482" i="2"/>
  <c r="BP481" i="2"/>
  <c r="BO481" i="2"/>
  <c r="BN481" i="2"/>
  <c r="BM481" i="2"/>
  <c r="Z481" i="2"/>
  <c r="Y481" i="2"/>
  <c r="P481" i="2"/>
  <c r="BO480" i="2"/>
  <c r="BM480" i="2"/>
  <c r="Z480" i="2"/>
  <c r="Y480" i="2"/>
  <c r="BN480" i="2" s="1"/>
  <c r="P480" i="2"/>
  <c r="BO479" i="2"/>
  <c r="BM479" i="2"/>
  <c r="Y479" i="2"/>
  <c r="BN479" i="2" s="1"/>
  <c r="P479" i="2"/>
  <c r="BO478" i="2"/>
  <c r="BM478" i="2"/>
  <c r="Y478" i="2"/>
  <c r="P478" i="2"/>
  <c r="X474" i="2"/>
  <c r="X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N462" i="2" s="1"/>
  <c r="P462" i="2"/>
  <c r="BO461" i="2"/>
  <c r="BM461" i="2"/>
  <c r="Y461" i="2"/>
  <c r="P461" i="2"/>
  <c r="X458" i="2"/>
  <c r="X457" i="2"/>
  <c r="BO456" i="2"/>
  <c r="BM456" i="2"/>
  <c r="Y456" i="2"/>
  <c r="P456" i="2"/>
  <c r="BO455" i="2"/>
  <c r="BM455" i="2"/>
  <c r="Y455" i="2"/>
  <c r="Y458" i="2" s="1"/>
  <c r="P455" i="2"/>
  <c r="X453" i="2"/>
  <c r="X452" i="2"/>
  <c r="BO451" i="2"/>
  <c r="BM451" i="2"/>
  <c r="Y451" i="2"/>
  <c r="BP451" i="2" s="1"/>
  <c r="P451" i="2"/>
  <c r="BO450" i="2"/>
  <c r="BM450" i="2"/>
  <c r="Y450" i="2"/>
  <c r="Z450" i="2" s="1"/>
  <c r="P450" i="2"/>
  <c r="BO449" i="2"/>
  <c r="BM449" i="2"/>
  <c r="Y449" i="2"/>
  <c r="Z449" i="2" s="1"/>
  <c r="P449" i="2"/>
  <c r="X447" i="2"/>
  <c r="X446" i="2"/>
  <c r="BO445" i="2"/>
  <c r="BM445" i="2"/>
  <c r="Y445" i="2"/>
  <c r="P445" i="2"/>
  <c r="BO444" i="2"/>
  <c r="BM444" i="2"/>
  <c r="Y444" i="2"/>
  <c r="Z444" i="2" s="1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P435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P433" i="2"/>
  <c r="BO432" i="2"/>
  <c r="BM432" i="2"/>
  <c r="Y432" i="2"/>
  <c r="BN432" i="2" s="1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P424" i="2"/>
  <c r="BO424" i="2"/>
  <c r="BN424" i="2"/>
  <c r="BM424" i="2"/>
  <c r="Z424" i="2"/>
  <c r="Y424" i="2"/>
  <c r="P424" i="2"/>
  <c r="X421" i="2"/>
  <c r="X420" i="2"/>
  <c r="BO419" i="2"/>
  <c r="BM419" i="2"/>
  <c r="Y419" i="2"/>
  <c r="P419" i="2"/>
  <c r="BP418" i="2"/>
  <c r="BO418" i="2"/>
  <c r="BM418" i="2"/>
  <c r="Y418" i="2"/>
  <c r="BN418" i="2" s="1"/>
  <c r="P418" i="2"/>
  <c r="X415" i="2"/>
  <c r="X414" i="2"/>
  <c r="BO413" i="2"/>
  <c r="BM413" i="2"/>
  <c r="Y413" i="2"/>
  <c r="Z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BP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P399" i="2"/>
  <c r="BO398" i="2"/>
  <c r="BM398" i="2"/>
  <c r="Y398" i="2"/>
  <c r="Z398" i="2" s="1"/>
  <c r="P398" i="2"/>
  <c r="X396" i="2"/>
  <c r="X395" i="2"/>
  <c r="BO394" i="2"/>
  <c r="BM394" i="2"/>
  <c r="Z394" i="2"/>
  <c r="Y394" i="2"/>
  <c r="BN394" i="2" s="1"/>
  <c r="P394" i="2"/>
  <c r="BO393" i="2"/>
  <c r="BM393" i="2"/>
  <c r="Y393" i="2"/>
  <c r="P393" i="2"/>
  <c r="BP392" i="2"/>
  <c r="BO392" i="2"/>
  <c r="BM392" i="2"/>
  <c r="Y392" i="2"/>
  <c r="P392" i="2"/>
  <c r="X390" i="2"/>
  <c r="X389" i="2"/>
  <c r="BP388" i="2"/>
  <c r="BO388" i="2"/>
  <c r="BN388" i="2"/>
  <c r="BM388" i="2"/>
  <c r="Z388" i="2"/>
  <c r="Y388" i="2"/>
  <c r="P388" i="2"/>
  <c r="BO387" i="2"/>
  <c r="BM387" i="2"/>
  <c r="Z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P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P375" i="2"/>
  <c r="BO375" i="2"/>
  <c r="BM375" i="2"/>
  <c r="Y375" i="2"/>
  <c r="BN375" i="2" s="1"/>
  <c r="P375" i="2"/>
  <c r="X373" i="2"/>
  <c r="X372" i="2"/>
  <c r="BO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P367" i="2"/>
  <c r="BO367" i="2"/>
  <c r="BM367" i="2"/>
  <c r="Y367" i="2"/>
  <c r="P367" i="2"/>
  <c r="BO366" i="2"/>
  <c r="BM366" i="2"/>
  <c r="Y366" i="2"/>
  <c r="P366" i="2"/>
  <c r="X363" i="2"/>
  <c r="X362" i="2"/>
  <c r="BO361" i="2"/>
  <c r="BM361" i="2"/>
  <c r="Y361" i="2"/>
  <c r="Z361" i="2" s="1"/>
  <c r="P361" i="2"/>
  <c r="BO360" i="2"/>
  <c r="BM360" i="2"/>
  <c r="Y360" i="2"/>
  <c r="Z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P353" i="2"/>
  <c r="X351" i="2"/>
  <c r="X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BP345" i="2"/>
  <c r="BO345" i="2"/>
  <c r="BM345" i="2"/>
  <c r="Y345" i="2"/>
  <c r="BN345" i="2" s="1"/>
  <c r="P345" i="2"/>
  <c r="X342" i="2"/>
  <c r="X341" i="2"/>
  <c r="BO340" i="2"/>
  <c r="BM340" i="2"/>
  <c r="Y340" i="2"/>
  <c r="P340" i="2"/>
  <c r="BO339" i="2"/>
  <c r="BM339" i="2"/>
  <c r="Y339" i="2"/>
  <c r="BP339" i="2" s="1"/>
  <c r="P339" i="2"/>
  <c r="BO338" i="2"/>
  <c r="BM338" i="2"/>
  <c r="Z338" i="2"/>
  <c r="Y338" i="2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X326" i="2"/>
  <c r="X325" i="2"/>
  <c r="BO324" i="2"/>
  <c r="BM324" i="2"/>
  <c r="Y324" i="2"/>
  <c r="Z324" i="2" s="1"/>
  <c r="P324" i="2"/>
  <c r="BO323" i="2"/>
  <c r="BM323" i="2"/>
  <c r="Y323" i="2"/>
  <c r="BP323" i="2" s="1"/>
  <c r="P323" i="2"/>
  <c r="BO322" i="2"/>
  <c r="BM322" i="2"/>
  <c r="Y322" i="2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N314" i="2" s="1"/>
  <c r="P314" i="2"/>
  <c r="X312" i="2"/>
  <c r="X311" i="2"/>
  <c r="BO310" i="2"/>
  <c r="BM310" i="2"/>
  <c r="Z310" i="2"/>
  <c r="Y310" i="2"/>
  <c r="BP310" i="2" s="1"/>
  <c r="P310" i="2"/>
  <c r="BO309" i="2"/>
  <c r="BM309" i="2"/>
  <c r="Y309" i="2"/>
  <c r="P309" i="2"/>
  <c r="BO308" i="2"/>
  <c r="BM308" i="2"/>
  <c r="Y308" i="2"/>
  <c r="BP308" i="2" s="1"/>
  <c r="P308" i="2"/>
  <c r="BO307" i="2"/>
  <c r="BM307" i="2"/>
  <c r="Z307" i="2"/>
  <c r="Y307" i="2"/>
  <c r="BN307" i="2" s="1"/>
  <c r="P307" i="2"/>
  <c r="BO306" i="2"/>
  <c r="BM306" i="2"/>
  <c r="Y306" i="2"/>
  <c r="P306" i="2"/>
  <c r="BO305" i="2"/>
  <c r="BM305" i="2"/>
  <c r="Y305" i="2"/>
  <c r="BP305" i="2" s="1"/>
  <c r="P305" i="2"/>
  <c r="BO304" i="2"/>
  <c r="BM304" i="2"/>
  <c r="Z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P289" i="2"/>
  <c r="BP288" i="2"/>
  <c r="BO288" i="2"/>
  <c r="BN288" i="2"/>
  <c r="BM288" i="2"/>
  <c r="Z288" i="2"/>
  <c r="Y288" i="2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Z284" i="2"/>
  <c r="Y284" i="2"/>
  <c r="BN284" i="2" s="1"/>
  <c r="P284" i="2"/>
  <c r="BO283" i="2"/>
  <c r="BM283" i="2"/>
  <c r="Y283" i="2"/>
  <c r="P283" i="2"/>
  <c r="X281" i="2"/>
  <c r="X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Z276" i="2"/>
  <c r="Y276" i="2"/>
  <c r="BN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P273" i="2"/>
  <c r="BO272" i="2"/>
  <c r="BM272" i="2"/>
  <c r="Y272" i="2"/>
  <c r="BP272" i="2" s="1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59" i="2"/>
  <c r="Y258" i="2"/>
  <c r="X258" i="2"/>
  <c r="BP257" i="2"/>
  <c r="BO257" i="2"/>
  <c r="BN257" i="2"/>
  <c r="BM257" i="2"/>
  <c r="Z257" i="2"/>
  <c r="Z258" i="2" s="1"/>
  <c r="Y257" i="2"/>
  <c r="Y259" i="2" s="1"/>
  <c r="P257" i="2"/>
  <c r="X255" i="2"/>
  <c r="X254" i="2"/>
  <c r="BO253" i="2"/>
  <c r="BM253" i="2"/>
  <c r="Y253" i="2"/>
  <c r="BN253" i="2" s="1"/>
  <c r="P253" i="2"/>
  <c r="BO252" i="2"/>
  <c r="BM252" i="2"/>
  <c r="Y252" i="2"/>
  <c r="P252" i="2"/>
  <c r="BO251" i="2"/>
  <c r="BM251" i="2"/>
  <c r="Z251" i="2"/>
  <c r="Y251" i="2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BP244" i="2"/>
  <c r="BO244" i="2"/>
  <c r="BN244" i="2"/>
  <c r="BM244" i="2"/>
  <c r="Z244" i="2"/>
  <c r="Y244" i="2"/>
  <c r="P244" i="2"/>
  <c r="BO243" i="2"/>
  <c r="BM243" i="2"/>
  <c r="Y243" i="2"/>
  <c r="BN243" i="2" s="1"/>
  <c r="P243" i="2"/>
  <c r="X241" i="2"/>
  <c r="X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P237" i="2"/>
  <c r="BO236" i="2"/>
  <c r="BN236" i="2"/>
  <c r="BM236" i="2"/>
  <c r="Z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P234" i="2"/>
  <c r="BO233" i="2"/>
  <c r="BM233" i="2"/>
  <c r="Z233" i="2"/>
  <c r="Y233" i="2"/>
  <c r="BN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P229" i="2"/>
  <c r="BO228" i="2"/>
  <c r="BM228" i="2"/>
  <c r="Y228" i="2"/>
  <c r="BP228" i="2" s="1"/>
  <c r="P228" i="2"/>
  <c r="BO227" i="2"/>
  <c r="BM227" i="2"/>
  <c r="Y227" i="2"/>
  <c r="P227" i="2"/>
  <c r="BP226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Z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BP214" i="2"/>
  <c r="BO214" i="2"/>
  <c r="BN214" i="2"/>
  <c r="BM214" i="2"/>
  <c r="Z214" i="2"/>
  <c r="Y214" i="2"/>
  <c r="P214" i="2"/>
  <c r="BO213" i="2"/>
  <c r="BM213" i="2"/>
  <c r="Y213" i="2"/>
  <c r="BN213" i="2" s="1"/>
  <c r="P213" i="2"/>
  <c r="BO212" i="2"/>
  <c r="BM212" i="2"/>
  <c r="Y212" i="2"/>
  <c r="BN212" i="2" s="1"/>
  <c r="P212" i="2"/>
  <c r="BO211" i="2"/>
  <c r="BM211" i="2"/>
  <c r="Y211" i="2"/>
  <c r="P211" i="2"/>
  <c r="X207" i="2"/>
  <c r="X206" i="2"/>
  <c r="BO205" i="2"/>
  <c r="BM205" i="2"/>
  <c r="Y205" i="2"/>
  <c r="Z205" i="2" s="1"/>
  <c r="Z206" i="2" s="1"/>
  <c r="P205" i="2"/>
  <c r="Y203" i="2"/>
  <c r="X203" i="2"/>
  <c r="X202" i="2"/>
  <c r="BO201" i="2"/>
  <c r="BM201" i="2"/>
  <c r="Y201" i="2"/>
  <c r="P201" i="2"/>
  <c r="X199" i="2"/>
  <c r="X198" i="2"/>
  <c r="BO197" i="2"/>
  <c r="BM197" i="2"/>
  <c r="Y197" i="2"/>
  <c r="P197" i="2"/>
  <c r="BO196" i="2"/>
  <c r="BM196" i="2"/>
  <c r="Y196" i="2"/>
  <c r="BN196" i="2" s="1"/>
  <c r="P196" i="2"/>
  <c r="BO195" i="2"/>
  <c r="BM195" i="2"/>
  <c r="Y195" i="2"/>
  <c r="P195" i="2"/>
  <c r="X193" i="2"/>
  <c r="X192" i="2"/>
  <c r="BO191" i="2"/>
  <c r="BM191" i="2"/>
  <c r="Z191" i="2"/>
  <c r="Y191" i="2"/>
  <c r="BN191" i="2" s="1"/>
  <c r="P191" i="2"/>
  <c r="BO190" i="2"/>
  <c r="BM190" i="2"/>
  <c r="Y190" i="2"/>
  <c r="BN190" i="2" s="1"/>
  <c r="P190" i="2"/>
  <c r="BO189" i="2"/>
  <c r="BM189" i="2"/>
  <c r="Y189" i="2"/>
  <c r="Z189" i="2" s="1"/>
  <c r="P189" i="2"/>
  <c r="BO188" i="2"/>
  <c r="BM188" i="2"/>
  <c r="Y188" i="2"/>
  <c r="P188" i="2"/>
  <c r="BO187" i="2"/>
  <c r="BM187" i="2"/>
  <c r="Y187" i="2"/>
  <c r="P187" i="2"/>
  <c r="BO186" i="2"/>
  <c r="BM186" i="2"/>
  <c r="Y186" i="2"/>
  <c r="BN186" i="2" s="1"/>
  <c r="BO185" i="2"/>
  <c r="BM185" i="2"/>
  <c r="Y185" i="2"/>
  <c r="P185" i="2"/>
  <c r="BO184" i="2"/>
  <c r="BM184" i="2"/>
  <c r="Y184" i="2"/>
  <c r="BP184" i="2" s="1"/>
  <c r="BO183" i="2"/>
  <c r="BM183" i="2"/>
  <c r="Y183" i="2"/>
  <c r="BN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P180" i="2"/>
  <c r="BO180" i="2"/>
  <c r="BM180" i="2"/>
  <c r="Y180" i="2"/>
  <c r="P180" i="2"/>
  <c r="X178" i="2"/>
  <c r="Y177" i="2"/>
  <c r="X177" i="2"/>
  <c r="BO176" i="2"/>
  <c r="BM176" i="2"/>
  <c r="Y176" i="2"/>
  <c r="Z176" i="2" s="1"/>
  <c r="P176" i="2"/>
  <c r="BO175" i="2"/>
  <c r="BM175" i="2"/>
  <c r="Y175" i="2"/>
  <c r="Z175" i="2" s="1"/>
  <c r="Z177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Y173" i="2" s="1"/>
  <c r="P169" i="2"/>
  <c r="X166" i="2"/>
  <c r="X165" i="2"/>
  <c r="BO164" i="2"/>
  <c r="BM164" i="2"/>
  <c r="Y164" i="2"/>
  <c r="BN164" i="2" s="1"/>
  <c r="P164" i="2"/>
  <c r="X162" i="2"/>
  <c r="X161" i="2"/>
  <c r="BP160" i="2"/>
  <c r="BO160" i="2"/>
  <c r="BM160" i="2"/>
  <c r="Y160" i="2"/>
  <c r="P160" i="2"/>
  <c r="BO159" i="2"/>
  <c r="BM159" i="2"/>
  <c r="Y159" i="2"/>
  <c r="BN159" i="2" s="1"/>
  <c r="P159" i="2"/>
  <c r="BO158" i="2"/>
  <c r="BM158" i="2"/>
  <c r="Y158" i="2"/>
  <c r="BN158" i="2" s="1"/>
  <c r="P158" i="2"/>
  <c r="BO157" i="2"/>
  <c r="BM157" i="2"/>
  <c r="Y157" i="2"/>
  <c r="P157" i="2"/>
  <c r="BO156" i="2"/>
  <c r="BM156" i="2"/>
  <c r="Y156" i="2"/>
  <c r="P156" i="2"/>
  <c r="BO155" i="2"/>
  <c r="BM155" i="2"/>
  <c r="Z155" i="2"/>
  <c r="Y155" i="2"/>
  <c r="BN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P138" i="2"/>
  <c r="BO138" i="2"/>
  <c r="BN138" i="2"/>
  <c r="BM138" i="2"/>
  <c r="Z138" i="2"/>
  <c r="Y138" i="2"/>
  <c r="P138" i="2"/>
  <c r="X135" i="2"/>
  <c r="X134" i="2"/>
  <c r="BO133" i="2"/>
  <c r="BM133" i="2"/>
  <c r="Y133" i="2"/>
  <c r="BN133" i="2" s="1"/>
  <c r="BO132" i="2"/>
  <c r="BM132" i="2"/>
  <c r="Y132" i="2"/>
  <c r="BN132" i="2" s="1"/>
  <c r="P132" i="2"/>
  <c r="X130" i="2"/>
  <c r="X129" i="2"/>
  <c r="BO128" i="2"/>
  <c r="BM128" i="2"/>
  <c r="Y128" i="2"/>
  <c r="BN128" i="2" s="1"/>
  <c r="BO127" i="2"/>
  <c r="BM127" i="2"/>
  <c r="Y127" i="2"/>
  <c r="BN127" i="2" s="1"/>
  <c r="P127" i="2"/>
  <c r="BO126" i="2"/>
  <c r="BM126" i="2"/>
  <c r="Y126" i="2"/>
  <c r="BO125" i="2"/>
  <c r="BM125" i="2"/>
  <c r="Y125" i="2"/>
  <c r="Z125" i="2" s="1"/>
  <c r="P125" i="2"/>
  <c r="BO124" i="2"/>
  <c r="BM124" i="2"/>
  <c r="Y124" i="2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N116" i="2" s="1"/>
  <c r="P116" i="2"/>
  <c r="BO115" i="2"/>
  <c r="BM115" i="2"/>
  <c r="Y115" i="2"/>
  <c r="BN115" i="2" s="1"/>
  <c r="P115" i="2"/>
  <c r="BP114" i="2"/>
  <c r="BO114" i="2"/>
  <c r="BM114" i="2"/>
  <c r="Y114" i="2"/>
  <c r="BN114" i="2" s="1"/>
  <c r="P114" i="2"/>
  <c r="X112" i="2"/>
  <c r="X111" i="2"/>
  <c r="BO110" i="2"/>
  <c r="BM110" i="2"/>
  <c r="Y110" i="2"/>
  <c r="Z110" i="2" s="1"/>
  <c r="P110" i="2"/>
  <c r="BO109" i="2"/>
  <c r="BM109" i="2"/>
  <c r="Y109" i="2"/>
  <c r="BN109" i="2" s="1"/>
  <c r="BO108" i="2"/>
  <c r="BM108" i="2"/>
  <c r="Z108" i="2"/>
  <c r="Y108" i="2"/>
  <c r="BN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Z104" i="2"/>
  <c r="Y104" i="2"/>
  <c r="P104" i="2"/>
  <c r="BO103" i="2"/>
  <c r="BM103" i="2"/>
  <c r="Y103" i="2"/>
  <c r="BP103" i="2" s="1"/>
  <c r="P103" i="2"/>
  <c r="X100" i="2"/>
  <c r="X99" i="2"/>
  <c r="BO98" i="2"/>
  <c r="BM98" i="2"/>
  <c r="Y98" i="2"/>
  <c r="BN98" i="2" s="1"/>
  <c r="P98" i="2"/>
  <c r="BO97" i="2"/>
  <c r="BM97" i="2"/>
  <c r="Z97" i="2"/>
  <c r="Y97" i="2"/>
  <c r="BN97" i="2" s="1"/>
  <c r="BO96" i="2"/>
  <c r="BM96" i="2"/>
  <c r="Y96" i="2"/>
  <c r="Z96" i="2" s="1"/>
  <c r="P96" i="2"/>
  <c r="BO95" i="2"/>
  <c r="BM95" i="2"/>
  <c r="Z95" i="2"/>
  <c r="Y95" i="2"/>
  <c r="P95" i="2"/>
  <c r="BO94" i="2"/>
  <c r="BM94" i="2"/>
  <c r="Y94" i="2"/>
  <c r="BN94" i="2" s="1"/>
  <c r="BP93" i="2"/>
  <c r="BO93" i="2"/>
  <c r="BN93" i="2"/>
  <c r="BM93" i="2"/>
  <c r="Z93" i="2"/>
  <c r="Y93" i="2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Z87" i="2" s="1"/>
  <c r="BO86" i="2"/>
  <c r="BM86" i="2"/>
  <c r="Z86" i="2"/>
  <c r="Y86" i="2"/>
  <c r="BN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BN79" i="2" s="1"/>
  <c r="P79" i="2"/>
  <c r="BO78" i="2"/>
  <c r="BM78" i="2"/>
  <c r="Y78" i="2"/>
  <c r="BP78" i="2" s="1"/>
  <c r="P78" i="2"/>
  <c r="BP77" i="2"/>
  <c r="BO77" i="2"/>
  <c r="BN77" i="2"/>
  <c r="BM77" i="2"/>
  <c r="Z77" i="2"/>
  <c r="Y77" i="2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Z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P48" i="2"/>
  <c r="BO48" i="2"/>
  <c r="BN48" i="2"/>
  <c r="BM48" i="2"/>
  <c r="Z48" i="2"/>
  <c r="Y48" i="2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P31" i="2"/>
  <c r="BO31" i="2"/>
  <c r="BN31" i="2"/>
  <c r="BM31" i="2"/>
  <c r="Z31" i="2"/>
  <c r="Y31" i="2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560" i="2" s="1"/>
  <c r="X24" i="2"/>
  <c r="BO23" i="2"/>
  <c r="BM23" i="2"/>
  <c r="Y23" i="2"/>
  <c r="Z23" i="2" s="1"/>
  <c r="P23" i="2"/>
  <c r="BO22" i="2"/>
  <c r="X562" i="2" s="1"/>
  <c r="BM22" i="2"/>
  <c r="Y22" i="2"/>
  <c r="BN22" i="2" s="1"/>
  <c r="P22" i="2"/>
  <c r="H10" i="2"/>
  <c r="A9" i="2"/>
  <c r="F10" i="2" s="1"/>
  <c r="D7" i="2"/>
  <c r="Q6" i="2"/>
  <c r="P2" i="2"/>
  <c r="BN73" i="2" l="1"/>
  <c r="BN89" i="2"/>
  <c r="BN124" i="2"/>
  <c r="BP124" i="2"/>
  <c r="Y151" i="2"/>
  <c r="BP148" i="2"/>
  <c r="BN148" i="2"/>
  <c r="Z148" i="2"/>
  <c r="BN181" i="2"/>
  <c r="BN211" i="2"/>
  <c r="BP211" i="2"/>
  <c r="BP234" i="2"/>
  <c r="BN234" i="2"/>
  <c r="Z234" i="2"/>
  <c r="BN277" i="2"/>
  <c r="Z277" i="2"/>
  <c r="BN285" i="2"/>
  <c r="BP285" i="2"/>
  <c r="BN306" i="2"/>
  <c r="BP306" i="2"/>
  <c r="BP346" i="2"/>
  <c r="BN346" i="2"/>
  <c r="Z346" i="2"/>
  <c r="BP353" i="2"/>
  <c r="Z353" i="2"/>
  <c r="Z355" i="2" s="1"/>
  <c r="BN361" i="2"/>
  <c r="BN368" i="2"/>
  <c r="BN393" i="2"/>
  <c r="Z393" i="2"/>
  <c r="BN405" i="2"/>
  <c r="BN426" i="2"/>
  <c r="BP443" i="2"/>
  <c r="Z443" i="2"/>
  <c r="BN456" i="2"/>
  <c r="Z456" i="2"/>
  <c r="BP506" i="2"/>
  <c r="BN506" i="2"/>
  <c r="Z506" i="2"/>
  <c r="BN510" i="2"/>
  <c r="BP517" i="2"/>
  <c r="BN517" i="2"/>
  <c r="Z517" i="2"/>
  <c r="BN523" i="2"/>
  <c r="BP523" i="2"/>
  <c r="BP527" i="2"/>
  <c r="BN527" i="2"/>
  <c r="Z527" i="2"/>
  <c r="Y540" i="2"/>
  <c r="Z539" i="2"/>
  <c r="Z540" i="2" s="1"/>
  <c r="BN552" i="2"/>
  <c r="X561" i="2"/>
  <c r="X564" i="2"/>
  <c r="BP27" i="2"/>
  <c r="Z40" i="2"/>
  <c r="Z57" i="2"/>
  <c r="BN57" i="2"/>
  <c r="Z67" i="2"/>
  <c r="BN67" i="2"/>
  <c r="BN72" i="2"/>
  <c r="BP79" i="2"/>
  <c r="F570" i="2"/>
  <c r="BN87" i="2"/>
  <c r="BP98" i="2"/>
  <c r="BP104" i="2"/>
  <c r="BN104" i="2"/>
  <c r="BP117" i="2"/>
  <c r="BN117" i="2"/>
  <c r="Z117" i="2"/>
  <c r="BN126" i="2"/>
  <c r="BP126" i="2"/>
  <c r="BN156" i="2"/>
  <c r="BP156" i="2"/>
  <c r="BN160" i="2"/>
  <c r="Z160" i="2"/>
  <c r="Y202" i="2"/>
  <c r="BP201" i="2"/>
  <c r="BN215" i="2"/>
  <c r="BP229" i="2"/>
  <c r="BN229" i="2"/>
  <c r="Z229" i="2"/>
  <c r="BN246" i="2"/>
  <c r="BN252" i="2"/>
  <c r="BP252" i="2"/>
  <c r="BN267" i="2"/>
  <c r="Y270" i="2"/>
  <c r="BN273" i="2"/>
  <c r="Z273" i="2"/>
  <c r="BP277" i="2"/>
  <c r="BP279" i="2"/>
  <c r="BN279" i="2"/>
  <c r="Z279" i="2"/>
  <c r="BN292" i="2"/>
  <c r="BN308" i="2"/>
  <c r="BP331" i="2"/>
  <c r="BN331" i="2"/>
  <c r="Z331" i="2"/>
  <c r="BN333" i="2"/>
  <c r="BN340" i="2"/>
  <c r="BP340" i="2"/>
  <c r="BN367" i="2"/>
  <c r="Z367" i="2"/>
  <c r="BN370" i="2"/>
  <c r="BN376" i="2"/>
  <c r="Z376" i="2"/>
  <c r="BP379" i="2"/>
  <c r="Z379" i="2"/>
  <c r="Y396" i="2"/>
  <c r="Z392" i="2"/>
  <c r="Z395" i="2" s="1"/>
  <c r="Y395" i="2"/>
  <c r="BN412" i="2"/>
  <c r="BN419" i="2"/>
  <c r="Z419" i="2"/>
  <c r="Y427" i="2"/>
  <c r="BN436" i="2"/>
  <c r="BP456" i="2"/>
  <c r="BP461" i="2"/>
  <c r="BN461" i="2"/>
  <c r="Z461" i="2"/>
  <c r="Z463" i="2" s="1"/>
  <c r="BN482" i="2"/>
  <c r="AA570" i="2"/>
  <c r="Z505" i="2"/>
  <c r="BN526" i="2"/>
  <c r="Z526" i="2"/>
  <c r="Y541" i="2"/>
  <c r="Y548" i="2"/>
  <c r="BP547" i="2"/>
  <c r="BN176" i="2"/>
  <c r="BN189" i="2"/>
  <c r="Y255" i="2"/>
  <c r="BN263" i="2"/>
  <c r="Y280" i="2"/>
  <c r="BN294" i="2"/>
  <c r="BN332" i="2"/>
  <c r="BN348" i="2"/>
  <c r="BN359" i="2"/>
  <c r="Y362" i="2"/>
  <c r="BN369" i="2"/>
  <c r="BN377" i="2"/>
  <c r="BP387" i="2"/>
  <c r="BN400" i="2"/>
  <c r="BN406" i="2"/>
  <c r="BN438" i="2"/>
  <c r="BN450" i="2"/>
  <c r="BP480" i="2"/>
  <c r="BN498" i="2"/>
  <c r="BN507" i="2"/>
  <c r="BN518" i="2"/>
  <c r="X563" i="2"/>
  <c r="Z470" i="2"/>
  <c r="BN470" i="2"/>
  <c r="A10" i="2"/>
  <c r="BP29" i="2"/>
  <c r="Y32" i="2"/>
  <c r="BP38" i="2"/>
  <c r="BP50" i="2"/>
  <c r="BP71" i="2"/>
  <c r="BP133" i="2"/>
  <c r="BN157" i="2"/>
  <c r="BP157" i="2"/>
  <c r="BP183" i="2"/>
  <c r="BN187" i="2"/>
  <c r="BP187" i="2"/>
  <c r="BN188" i="2"/>
  <c r="Z188" i="2"/>
  <c r="BP213" i="2"/>
  <c r="BN227" i="2"/>
  <c r="BP227" i="2"/>
  <c r="Z227" i="2"/>
  <c r="BN283" i="2"/>
  <c r="Z283" i="2"/>
  <c r="BN349" i="2"/>
  <c r="Z349" i="2"/>
  <c r="BN378" i="2"/>
  <c r="BP378" i="2"/>
  <c r="Z378" i="2"/>
  <c r="BP411" i="2"/>
  <c r="BN411" i="2"/>
  <c r="Z411" i="2"/>
  <c r="BP466" i="2"/>
  <c r="Y467" i="2"/>
  <c r="Z466" i="2"/>
  <c r="Z467" i="2" s="1"/>
  <c r="H9" i="2"/>
  <c r="BP22" i="2"/>
  <c r="BN30" i="2"/>
  <c r="Z38" i="2"/>
  <c r="BP39" i="2"/>
  <c r="BP41" i="2"/>
  <c r="Y52" i="2"/>
  <c r="Z50" i="2"/>
  <c r="Z59" i="2"/>
  <c r="BP59" i="2"/>
  <c r="BP66" i="2"/>
  <c r="BN78" i="2"/>
  <c r="BP86" i="2"/>
  <c r="BP89" i="2"/>
  <c r="Y99" i="2"/>
  <c r="BP97" i="2"/>
  <c r="BN106" i="2"/>
  <c r="BP108" i="2"/>
  <c r="BP109" i="2"/>
  <c r="Z116" i="2"/>
  <c r="BP116" i="2"/>
  <c r="BN118" i="2"/>
  <c r="Y119" i="2"/>
  <c r="Z123" i="2"/>
  <c r="BP123" i="2"/>
  <c r="Z127" i="2"/>
  <c r="BP127" i="2"/>
  <c r="Z133" i="2"/>
  <c r="Y140" i="2"/>
  <c r="Y141" i="2"/>
  <c r="BN143" i="2"/>
  <c r="BN149" i="2"/>
  <c r="Y150" i="2"/>
  <c r="BP155" i="2"/>
  <c r="Z157" i="2"/>
  <c r="BP158" i="2"/>
  <c r="Z158" i="2"/>
  <c r="BN180" i="2"/>
  <c r="Y192" i="2"/>
  <c r="Z180" i="2"/>
  <c r="Z183" i="2"/>
  <c r="Z213" i="2"/>
  <c r="BP216" i="2"/>
  <c r="Y223" i="2"/>
  <c r="BP222" i="2"/>
  <c r="BN237" i="2"/>
  <c r="BP237" i="2"/>
  <c r="BP322" i="2"/>
  <c r="BN322" i="2"/>
  <c r="Z322" i="2"/>
  <c r="BN399" i="2"/>
  <c r="BP399" i="2"/>
  <c r="BN445" i="2"/>
  <c r="BP445" i="2"/>
  <c r="Y468" i="2"/>
  <c r="BP471" i="2"/>
  <c r="BN471" i="2"/>
  <c r="Z471" i="2"/>
  <c r="BP483" i="2"/>
  <c r="BN483" i="2"/>
  <c r="Z483" i="2"/>
  <c r="J9" i="2"/>
  <c r="BP28" i="2"/>
  <c r="BN29" i="2"/>
  <c r="Y33" i="2"/>
  <c r="BN71" i="2"/>
  <c r="BP87" i="2"/>
  <c r="BN88" i="2"/>
  <c r="G570" i="2"/>
  <c r="BP115" i="2"/>
  <c r="BP128" i="2"/>
  <c r="Y134" i="2"/>
  <c r="BN144" i="2"/>
  <c r="BP159" i="2"/>
  <c r="BP190" i="2"/>
  <c r="Z190" i="2"/>
  <c r="BN286" i="2"/>
  <c r="Z286" i="2"/>
  <c r="BN289" i="2"/>
  <c r="BP289" i="2"/>
  <c r="Z289" i="2"/>
  <c r="Y300" i="2"/>
  <c r="BN305" i="2"/>
  <c r="Z305" i="2"/>
  <c r="BN309" i="2"/>
  <c r="BP309" i="2"/>
  <c r="Z309" i="2"/>
  <c r="BP407" i="2"/>
  <c r="Y408" i="2"/>
  <c r="Z407" i="2"/>
  <c r="BN439" i="2"/>
  <c r="Z439" i="2"/>
  <c r="BN455" i="2"/>
  <c r="Y457" i="2"/>
  <c r="BP455" i="2"/>
  <c r="Z455" i="2"/>
  <c r="BP499" i="2"/>
  <c r="BN499" i="2"/>
  <c r="BP508" i="2"/>
  <c r="BN508" i="2"/>
  <c r="Z508" i="2"/>
  <c r="BN525" i="2"/>
  <c r="BP525" i="2"/>
  <c r="Z525" i="2"/>
  <c r="BP528" i="2"/>
  <c r="Z528" i="2"/>
  <c r="Z28" i="2"/>
  <c r="Z30" i="2"/>
  <c r="BP40" i="2"/>
  <c r="BN41" i="2"/>
  <c r="BP56" i="2"/>
  <c r="BP73" i="2"/>
  <c r="Z78" i="2"/>
  <c r="BP85" i="2"/>
  <c r="Y100" i="2"/>
  <c r="BP94" i="2"/>
  <c r="Z106" i="2"/>
  <c r="Z115" i="2"/>
  <c r="Z118" i="2"/>
  <c r="Y120" i="2"/>
  <c r="Z128" i="2"/>
  <c r="Z132" i="2"/>
  <c r="Z134" i="2" s="1"/>
  <c r="BP132" i="2"/>
  <c r="Y135" i="2"/>
  <c r="Z149" i="2"/>
  <c r="Z150" i="2" s="1"/>
  <c r="Z159" i="2"/>
  <c r="BP182" i="2"/>
  <c r="Z182" i="2"/>
  <c r="BP188" i="2"/>
  <c r="BP191" i="2"/>
  <c r="BN197" i="2"/>
  <c r="BP197" i="2"/>
  <c r="BN232" i="2"/>
  <c r="BP232" i="2"/>
  <c r="Y248" i="2"/>
  <c r="BP247" i="2"/>
  <c r="BN268" i="2"/>
  <c r="BP268" i="2"/>
  <c r="Z268" i="2"/>
  <c r="Z269" i="2" s="1"/>
  <c r="BN275" i="2"/>
  <c r="BP275" i="2"/>
  <c r="BP299" i="2"/>
  <c r="BN299" i="2"/>
  <c r="Z299" i="2"/>
  <c r="BP318" i="2"/>
  <c r="Y319" i="2"/>
  <c r="Z318" i="2"/>
  <c r="Z319" i="2" s="1"/>
  <c r="BN329" i="2"/>
  <c r="Y334" i="2"/>
  <c r="BP329" i="2"/>
  <c r="Y335" i="2"/>
  <c r="BN339" i="2"/>
  <c r="Z339" i="2"/>
  <c r="BN385" i="2"/>
  <c r="BP385" i="2"/>
  <c r="BP433" i="2"/>
  <c r="Z433" i="2"/>
  <c r="Z457" i="2"/>
  <c r="Y570" i="2"/>
  <c r="BP478" i="2"/>
  <c r="Y484" i="2"/>
  <c r="BP511" i="2"/>
  <c r="BN511" i="2"/>
  <c r="BN551" i="2"/>
  <c r="Z551" i="2"/>
  <c r="BP233" i="2"/>
  <c r="BN235" i="2"/>
  <c r="BP239" i="2"/>
  <c r="BP243" i="2"/>
  <c r="BN245" i="2"/>
  <c r="BP262" i="2"/>
  <c r="BN272" i="2"/>
  <c r="BP276" i="2"/>
  <c r="BN278" i="2"/>
  <c r="BP284" i="2"/>
  <c r="BN287" i="2"/>
  <c r="Y301" i="2"/>
  <c r="Y311" i="2"/>
  <c r="BP330" i="2"/>
  <c r="T570" i="2"/>
  <c r="BP366" i="2"/>
  <c r="BP386" i="2"/>
  <c r="BP479" i="2"/>
  <c r="BP487" i="2"/>
  <c r="J570" i="2"/>
  <c r="BP171" i="2"/>
  <c r="BP186" i="2"/>
  <c r="Y198" i="2"/>
  <c r="BP196" i="2"/>
  <c r="BP212" i="2"/>
  <c r="BP231" i="2"/>
  <c r="Z243" i="2"/>
  <c r="Z246" i="2"/>
  <c r="BP253" i="2"/>
  <c r="BP267" i="2"/>
  <c r="BP274" i="2"/>
  <c r="Y281" i="2"/>
  <c r="Z298" i="2"/>
  <c r="Z300" i="2" s="1"/>
  <c r="BP298" i="2"/>
  <c r="Z308" i="2"/>
  <c r="BN310" i="2"/>
  <c r="Z314" i="2"/>
  <c r="Z315" i="2" s="1"/>
  <c r="Z330" i="2"/>
  <c r="Z333" i="2"/>
  <c r="Z348" i="2"/>
  <c r="Z366" i="2"/>
  <c r="Z369" i="2"/>
  <c r="Z377" i="2"/>
  <c r="BN379" i="2"/>
  <c r="Z386" i="2"/>
  <c r="BN392" i="2"/>
  <c r="Z400" i="2"/>
  <c r="BP419" i="2"/>
  <c r="Y428" i="2"/>
  <c r="Z426" i="2"/>
  <c r="Z438" i="2"/>
  <c r="X570" i="2"/>
  <c r="Z462" i="2"/>
  <c r="Z479" i="2"/>
  <c r="Z482" i="2"/>
  <c r="Z487" i="2"/>
  <c r="BP488" i="2"/>
  <c r="Z570" i="2"/>
  <c r="BP498" i="2"/>
  <c r="BN505" i="2"/>
  <c r="Z507" i="2"/>
  <c r="BP510" i="2"/>
  <c r="Z518" i="2"/>
  <c r="BP524" i="2"/>
  <c r="BP535" i="2"/>
  <c r="BP539" i="2"/>
  <c r="Y559" i="2"/>
  <c r="Z169" i="2"/>
  <c r="BP176" i="2"/>
  <c r="Y178" i="2"/>
  <c r="BP181" i="2"/>
  <c r="Z184" i="2"/>
  <c r="Y193" i="2"/>
  <c r="Z186" i="2"/>
  <c r="BP189" i="2"/>
  <c r="Z196" i="2"/>
  <c r="Z212" i="2"/>
  <c r="Z215" i="2"/>
  <c r="Z231" i="2"/>
  <c r="Z235" i="2"/>
  <c r="BN239" i="2"/>
  <c r="Z245" i="2"/>
  <c r="Y254" i="2"/>
  <c r="BP251" i="2"/>
  <c r="Z253" i="2"/>
  <c r="BN262" i="2"/>
  <c r="Z272" i="2"/>
  <c r="Z274" i="2"/>
  <c r="Z278" i="2"/>
  <c r="Z287" i="2"/>
  <c r="BP292" i="2"/>
  <c r="BN293" i="2"/>
  <c r="BP307" i="2"/>
  <c r="Y312" i="2"/>
  <c r="Z332" i="2"/>
  <c r="Y341" i="2"/>
  <c r="BP361" i="2"/>
  <c r="Y363" i="2"/>
  <c r="Z368" i="2"/>
  <c r="BP376" i="2"/>
  <c r="BN380" i="2"/>
  <c r="BP394" i="2"/>
  <c r="W570" i="2"/>
  <c r="Z436" i="2"/>
  <c r="BP450" i="2"/>
  <c r="BN451" i="2"/>
  <c r="BN512" i="2"/>
  <c r="Y514" i="2"/>
  <c r="Z520" i="2"/>
  <c r="Z107" i="2"/>
  <c r="Z164" i="2"/>
  <c r="Z165" i="2" s="1"/>
  <c r="Z195" i="2"/>
  <c r="Z230" i="2"/>
  <c r="BN170" i="2"/>
  <c r="BN354" i="2"/>
  <c r="BN398" i="2"/>
  <c r="Y409" i="2"/>
  <c r="BN434" i="2"/>
  <c r="BN444" i="2"/>
  <c r="Y515" i="2"/>
  <c r="Y553" i="2"/>
  <c r="K570" i="2"/>
  <c r="H570" i="2"/>
  <c r="Y43" i="2"/>
  <c r="BN55" i="2"/>
  <c r="Y68" i="2"/>
  <c r="Z47" i="2"/>
  <c r="BP49" i="2"/>
  <c r="Z58" i="2"/>
  <c r="BN80" i="2"/>
  <c r="Z105" i="2"/>
  <c r="BP107" i="2"/>
  <c r="BN110" i="2"/>
  <c r="BP122" i="2"/>
  <c r="BN125" i="2"/>
  <c r="Z139" i="2"/>
  <c r="Z140" i="2" s="1"/>
  <c r="BP154" i="2"/>
  <c r="BP164" i="2"/>
  <c r="BN175" i="2"/>
  <c r="BP195" i="2"/>
  <c r="BN205" i="2"/>
  <c r="BN217" i="2"/>
  <c r="Z228" i="2"/>
  <c r="BP230" i="2"/>
  <c r="BN238" i="2"/>
  <c r="Y249" i="2"/>
  <c r="Y264" i="2"/>
  <c r="BP273" i="2"/>
  <c r="BP283" i="2"/>
  <c r="BN291" i="2"/>
  <c r="BP304" i="2"/>
  <c r="BP314" i="2"/>
  <c r="BN324" i="2"/>
  <c r="BP338" i="2"/>
  <c r="Z347" i="2"/>
  <c r="BP349" i="2"/>
  <c r="BN360" i="2"/>
  <c r="BN371" i="2"/>
  <c r="BN381" i="2"/>
  <c r="BP393" i="2"/>
  <c r="Z401" i="2"/>
  <c r="BN413" i="2"/>
  <c r="Z425" i="2"/>
  <c r="Z427" i="2" s="1"/>
  <c r="Z437" i="2"/>
  <c r="BP439" i="2"/>
  <c r="BN449" i="2"/>
  <c r="Y452" i="2"/>
  <c r="BP462" i="2"/>
  <c r="BN472" i="2"/>
  <c r="Y485" i="2"/>
  <c r="BN497" i="2"/>
  <c r="Y500" i="2"/>
  <c r="BN509" i="2"/>
  <c r="BN519" i="2"/>
  <c r="BN529" i="2"/>
  <c r="BN543" i="2"/>
  <c r="L570" i="2"/>
  <c r="Z185" i="2"/>
  <c r="BN96" i="2"/>
  <c r="BN185" i="2"/>
  <c r="Y320" i="2"/>
  <c r="BN23" i="2"/>
  <c r="BP37" i="2"/>
  <c r="BP60" i="2"/>
  <c r="F9" i="2"/>
  <c r="BP55" i="2"/>
  <c r="BP65" i="2"/>
  <c r="Z94" i="2"/>
  <c r="BP96" i="2"/>
  <c r="Z144" i="2"/>
  <c r="BP170" i="2"/>
  <c r="BP185" i="2"/>
  <c r="Y199" i="2"/>
  <c r="Y224" i="2"/>
  <c r="Y269" i="2"/>
  <c r="Z294" i="2"/>
  <c r="Y342" i="2"/>
  <c r="BP354" i="2"/>
  <c r="BN366" i="2"/>
  <c r="Y389" i="2"/>
  <c r="BP398" i="2"/>
  <c r="Z406" i="2"/>
  <c r="Z432" i="2"/>
  <c r="BP434" i="2"/>
  <c r="BP444" i="2"/>
  <c r="Y490" i="2"/>
  <c r="Z512" i="2"/>
  <c r="Y537" i="2"/>
  <c r="Y549" i="2"/>
  <c r="M570" i="2"/>
  <c r="Z60" i="2"/>
  <c r="BN65" i="2"/>
  <c r="BP23" i="2"/>
  <c r="BN47" i="2"/>
  <c r="BN58" i="2"/>
  <c r="Y61" i="2"/>
  <c r="Y69" i="2"/>
  <c r="BP80" i="2"/>
  <c r="BN105" i="2"/>
  <c r="BP110" i="2"/>
  <c r="BP125" i="2"/>
  <c r="BN139" i="2"/>
  <c r="Y165" i="2"/>
  <c r="BP175" i="2"/>
  <c r="BP205" i="2"/>
  <c r="BP217" i="2"/>
  <c r="BN228" i="2"/>
  <c r="BP238" i="2"/>
  <c r="BP291" i="2"/>
  <c r="Y315" i="2"/>
  <c r="BP324" i="2"/>
  <c r="BN347" i="2"/>
  <c r="Y350" i="2"/>
  <c r="BP360" i="2"/>
  <c r="BP371" i="2"/>
  <c r="BP381" i="2"/>
  <c r="BN401" i="2"/>
  <c r="BP413" i="2"/>
  <c r="BN425" i="2"/>
  <c r="BN437" i="2"/>
  <c r="Y440" i="2"/>
  <c r="BP449" i="2"/>
  <c r="Y463" i="2"/>
  <c r="BP472" i="2"/>
  <c r="BP497" i="2"/>
  <c r="BP509" i="2"/>
  <c r="BP519" i="2"/>
  <c r="BP529" i="2"/>
  <c r="BP543" i="2"/>
  <c r="Y554" i="2"/>
  <c r="O570" i="2"/>
  <c r="Y241" i="2"/>
  <c r="Y265" i="2"/>
  <c r="Y355" i="2"/>
  <c r="Y453" i="2"/>
  <c r="Y501" i="2"/>
  <c r="P570" i="2"/>
  <c r="Z126" i="2"/>
  <c r="Z171" i="2"/>
  <c r="Z172" i="2" s="1"/>
  <c r="Z201" i="2"/>
  <c r="Z202" i="2" s="1"/>
  <c r="Y206" i="2"/>
  <c r="Y218" i="2"/>
  <c r="Z226" i="2"/>
  <c r="Y325" i="2"/>
  <c r="Z345" i="2"/>
  <c r="Z350" i="2" s="1"/>
  <c r="Y372" i="2"/>
  <c r="Y382" i="2"/>
  <c r="Y390" i="2"/>
  <c r="Z399" i="2"/>
  <c r="Z402" i="2" s="1"/>
  <c r="Y414" i="2"/>
  <c r="Z435" i="2"/>
  <c r="Z445" i="2"/>
  <c r="Z446" i="2" s="1"/>
  <c r="Y473" i="2"/>
  <c r="Z493" i="2"/>
  <c r="Z494" i="2" s="1"/>
  <c r="Y520" i="2"/>
  <c r="Y530" i="2"/>
  <c r="Y544" i="2"/>
  <c r="Q570" i="2"/>
  <c r="Y62" i="2"/>
  <c r="Y129" i="2"/>
  <c r="Y166" i="2"/>
  <c r="BN251" i="2"/>
  <c r="Y316" i="2"/>
  <c r="Y351" i="2"/>
  <c r="Y420" i="2"/>
  <c r="BP432" i="2"/>
  <c r="Y441" i="2"/>
  <c r="Y464" i="2"/>
  <c r="BN487" i="2"/>
  <c r="Z557" i="2"/>
  <c r="Z558" i="2" s="1"/>
  <c r="R570" i="2"/>
  <c r="Z37" i="2"/>
  <c r="Z154" i="2"/>
  <c r="Y24" i="2"/>
  <c r="BP47" i="2"/>
  <c r="Z56" i="2"/>
  <c r="Z66" i="2"/>
  <c r="Z68" i="2" s="1"/>
  <c r="Y81" i="2"/>
  <c r="Z103" i="2"/>
  <c r="Y111" i="2"/>
  <c r="BN103" i="2"/>
  <c r="BN201" i="2"/>
  <c r="Y356" i="2"/>
  <c r="Y402" i="2"/>
  <c r="BN493" i="2"/>
  <c r="BN539" i="2"/>
  <c r="S570" i="2"/>
  <c r="Z49" i="2"/>
  <c r="Z122" i="2"/>
  <c r="Y25" i="2"/>
  <c r="Y74" i="2"/>
  <c r="Y82" i="2"/>
  <c r="Y90" i="2"/>
  <c r="Y112" i="2"/>
  <c r="Y145" i="2"/>
  <c r="Y207" i="2"/>
  <c r="Y219" i="2"/>
  <c r="Y295" i="2"/>
  <c r="Y326" i="2"/>
  <c r="Y373" i="2"/>
  <c r="Y383" i="2"/>
  <c r="Y415" i="2"/>
  <c r="Y474" i="2"/>
  <c r="Y521" i="2"/>
  <c r="Y531" i="2"/>
  <c r="Y545" i="2"/>
  <c r="BN557" i="2"/>
  <c r="Y161" i="2"/>
  <c r="Y421" i="2"/>
  <c r="B570" i="2"/>
  <c r="U570" i="2"/>
  <c r="Z109" i="2"/>
  <c r="Z124" i="2"/>
  <c r="Z216" i="2"/>
  <c r="Z237" i="2"/>
  <c r="Z247" i="2"/>
  <c r="Z290" i="2"/>
  <c r="Z323" i="2"/>
  <c r="Z325" i="2" s="1"/>
  <c r="Z359" i="2"/>
  <c r="Z362" i="2" s="1"/>
  <c r="Z370" i="2"/>
  <c r="Z380" i="2"/>
  <c r="Y403" i="2"/>
  <c r="Z412" i="2"/>
  <c r="Z414" i="2" s="1"/>
  <c r="BP557" i="2"/>
  <c r="C570" i="2"/>
  <c r="V570" i="2"/>
  <c r="Y130" i="2"/>
  <c r="Z22" i="2"/>
  <c r="Z24" i="2" s="1"/>
  <c r="Y51" i="2"/>
  <c r="Z79" i="2"/>
  <c r="Z27" i="2"/>
  <c r="Z32" i="2" s="1"/>
  <c r="Z39" i="2"/>
  <c r="BN64" i="2"/>
  <c r="Y75" i="2"/>
  <c r="Z85" i="2"/>
  <c r="Y91" i="2"/>
  <c r="BN95" i="2"/>
  <c r="Z98" i="2"/>
  <c r="Z114" i="2"/>
  <c r="Z119" i="2" s="1"/>
  <c r="Y146" i="2"/>
  <c r="Z156" i="2"/>
  <c r="BN169" i="2"/>
  <c r="Y172" i="2"/>
  <c r="BN184" i="2"/>
  <c r="Z187" i="2"/>
  <c r="Z192" i="2" s="1"/>
  <c r="Z197" i="2"/>
  <c r="Z211" i="2"/>
  <c r="Z222" i="2"/>
  <c r="Z223" i="2" s="1"/>
  <c r="Z232" i="2"/>
  <c r="Z252" i="2"/>
  <c r="Z254" i="2" s="1"/>
  <c r="Z275" i="2"/>
  <c r="Z280" i="2" s="1"/>
  <c r="Z285" i="2"/>
  <c r="Y296" i="2"/>
  <c r="Z306" i="2"/>
  <c r="BN318" i="2"/>
  <c r="Z329" i="2"/>
  <c r="Z340" i="2"/>
  <c r="Z341" i="2" s="1"/>
  <c r="BN353" i="2"/>
  <c r="Z375" i="2"/>
  <c r="Z382" i="2" s="1"/>
  <c r="Z385" i="2"/>
  <c r="Z389" i="2" s="1"/>
  <c r="BN407" i="2"/>
  <c r="Z418" i="2"/>
  <c r="BN433" i="2"/>
  <c r="BN443" i="2"/>
  <c r="Y446" i="2"/>
  <c r="BN466" i="2"/>
  <c r="Z478" i="2"/>
  <c r="Z484" i="2" s="1"/>
  <c r="Z488" i="2"/>
  <c r="Y494" i="2"/>
  <c r="BN513" i="2"/>
  <c r="Z523" i="2"/>
  <c r="Z530" i="2" s="1"/>
  <c r="Z535" i="2"/>
  <c r="Z536" i="2" s="1"/>
  <c r="Z547" i="2"/>
  <c r="Z548" i="2" s="1"/>
  <c r="D570" i="2"/>
  <c r="BN528" i="2"/>
  <c r="Z552" i="2"/>
  <c r="Z553" i="2" s="1"/>
  <c r="Y558" i="2"/>
  <c r="E570" i="2"/>
  <c r="Y162" i="2"/>
  <c r="Y240" i="2"/>
  <c r="BN247" i="2"/>
  <c r="BN290" i="2"/>
  <c r="BN323" i="2"/>
  <c r="Y42" i="2"/>
  <c r="Z72" i="2"/>
  <c r="Z74" i="2" s="1"/>
  <c r="BN85" i="2"/>
  <c r="Z88" i="2"/>
  <c r="BP95" i="2"/>
  <c r="Z143" i="2"/>
  <c r="Z145" i="2" s="1"/>
  <c r="BP169" i="2"/>
  <c r="BN222" i="2"/>
  <c r="Z263" i="2"/>
  <c r="Z264" i="2" s="1"/>
  <c r="Z293" i="2"/>
  <c r="Z405" i="2"/>
  <c r="Z451" i="2"/>
  <c r="Z452" i="2" s="1"/>
  <c r="BN478" i="2"/>
  <c r="Z499" i="2"/>
  <c r="Z500" i="2" s="1"/>
  <c r="Z511" i="2"/>
  <c r="BN535" i="2"/>
  <c r="BN547" i="2"/>
  <c r="Y447" i="2"/>
  <c r="I570" i="2"/>
  <c r="AB570" i="2"/>
  <c r="BN195" i="2"/>
  <c r="BN338" i="2"/>
  <c r="Z514" i="2" l="1"/>
  <c r="Z489" i="2"/>
  <c r="Z420" i="2"/>
  <c r="Z334" i="2"/>
  <c r="Z311" i="2"/>
  <c r="Z295" i="2"/>
  <c r="Z81" i="2"/>
  <c r="Z372" i="2"/>
  <c r="Z248" i="2"/>
  <c r="Z61" i="2"/>
  <c r="Z473" i="2"/>
  <c r="Z42" i="2"/>
  <c r="Z99" i="2"/>
  <c r="Z218" i="2"/>
  <c r="Z90" i="2"/>
  <c r="Z440" i="2"/>
  <c r="Y562" i="2"/>
  <c r="Y561" i="2"/>
  <c r="Z161" i="2"/>
  <c r="Y564" i="2"/>
  <c r="Z198" i="2"/>
  <c r="Y560" i="2"/>
  <c r="Z129" i="2"/>
  <c r="Z51" i="2"/>
  <c r="Z408" i="2"/>
  <c r="Z111" i="2"/>
  <c r="Z240" i="2"/>
  <c r="Y563" i="2" l="1"/>
  <c r="Z565" i="2"/>
</calcChain>
</file>

<file path=xl/sharedStrings.xml><?xml version="1.0" encoding="utf-8"?>
<sst xmlns="http://schemas.openxmlformats.org/spreadsheetml/2006/main" count="4317" uniqueCount="904">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</sst>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566" sqref="AA56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67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68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/>
      <c r="I5" s="659"/>
      <c r="J5" s="659"/>
      <c r="K5" s="659"/>
      <c r="L5" s="659"/>
      <c r="M5" s="659"/>
      <c r="N5" s="72"/>
      <c r="P5" s="27" t="s">
        <v>4</v>
      </c>
      <c r="Q5" s="661">
        <v>46268</v>
      </c>
      <c r="R5" s="661"/>
      <c r="T5" s="662" t="s">
        <v>3</v>
      </c>
      <c r="U5" s="663"/>
      <c r="V5" s="664" t="s">
        <v>880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887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Четверг</v>
      </c>
      <c r="R6" s="667"/>
      <c r="T6" s="668" t="s">
        <v>5</v>
      </c>
      <c r="U6" s="669"/>
      <c r="V6" s="670" t="s">
        <v>70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3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58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0.41666666666666669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71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55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72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73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74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75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61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59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66</v>
      </c>
      <c r="L17" s="700" t="s">
        <v>64</v>
      </c>
      <c r="M17" s="700" t="s">
        <v>2</v>
      </c>
      <c r="N17" s="700" t="s">
        <v>63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56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60</v>
      </c>
      <c r="AB17" s="714" t="s">
        <v>19</v>
      </c>
      <c r="AC17" s="714" t="s">
        <v>65</v>
      </c>
      <c r="AD17" s="716" t="s">
        <v>57</v>
      </c>
      <c r="AE17" s="717"/>
      <c r="AF17" s="718"/>
      <c r="AG17" s="82"/>
      <c r="BD17" s="81" t="s">
        <v>62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hidden="1" customHeight="1" x14ac:dyDescent="0.2">
      <c r="A19" s="722" t="s">
        <v>76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hidden="1" customHeight="1" x14ac:dyDescent="0.25">
      <c r="A20" s="723" t="s">
        <v>76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hidden="1" customHeight="1" x14ac:dyDescent="0.25">
      <c r="A21" s="724" t="s">
        <v>77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4" t="s">
        <v>86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hidden="1" customHeight="1" x14ac:dyDescent="0.25">
      <c r="A35" s="723" t="s">
        <v>104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hidden="1" customHeight="1" x14ac:dyDescent="0.25">
      <c r="A36" s="724" t="s">
        <v>86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2" t="s">
        <v>120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hidden="1" customHeight="1" x14ac:dyDescent="0.25">
      <c r="A45" s="723" t="s">
        <v>121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hidden="1" customHeight="1" x14ac:dyDescent="0.25">
      <c r="A46" s="724" t="s">
        <v>122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3" t="s">
        <v>137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hidden="1" customHeight="1" x14ac:dyDescent="0.25">
      <c r="A54" s="724" t="s">
        <v>122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25">
        <v>4680115880283</v>
      </c>
      <c r="E57" s="72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25">
        <v>4680115881525</v>
      </c>
      <c r="E58" s="72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25">
        <v>4680115885899</v>
      </c>
      <c r="E59" s="72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725">
        <v>4680115881419</v>
      </c>
      <c r="E60" s="72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4"/>
      <c r="P61" s="730" t="s">
        <v>40</v>
      </c>
      <c r="Q61" s="731"/>
      <c r="R61" s="731"/>
      <c r="S61" s="731"/>
      <c r="T61" s="731"/>
      <c r="U61" s="731"/>
      <c r="V61" s="732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24" t="s">
        <v>155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725">
        <v>4680115881440</v>
      </c>
      <c r="E64" s="72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7"/>
      <c r="R64" s="727"/>
      <c r="S64" s="727"/>
      <c r="T64" s="72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25">
        <v>4680115885950</v>
      </c>
      <c r="E65" s="72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7"/>
      <c r="R65" s="727"/>
      <c r="S65" s="727"/>
      <c r="T65" s="72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25">
        <v>4680115887688</v>
      </c>
      <c r="E66" s="72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5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7"/>
      <c r="R66" s="727"/>
      <c r="S66" s="727"/>
      <c r="T66" s="72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25">
        <v>4680115881433</v>
      </c>
      <c r="E67" s="72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4"/>
      <c r="P68" s="730" t="s">
        <v>40</v>
      </c>
      <c r="Q68" s="731"/>
      <c r="R68" s="731"/>
      <c r="S68" s="731"/>
      <c r="T68" s="731"/>
      <c r="U68" s="731"/>
      <c r="V68" s="732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4" t="s">
        <v>86</v>
      </c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4"/>
      <c r="U70" s="724"/>
      <c r="V70" s="724"/>
      <c r="W70" s="724"/>
      <c r="X70" s="724"/>
      <c r="Y70" s="724"/>
      <c r="Z70" s="724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25">
        <v>4680115884311</v>
      </c>
      <c r="E71" s="72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25">
        <v>4680115884403</v>
      </c>
      <c r="E72" s="72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25">
        <v>4680115884403</v>
      </c>
      <c r="E73" s="72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7"/>
      <c r="R73" s="727"/>
      <c r="S73" s="727"/>
      <c r="T73" s="72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4" t="s">
        <v>173</v>
      </c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4"/>
      <c r="U76" s="724"/>
      <c r="V76" s="724"/>
      <c r="W76" s="724"/>
      <c r="X76" s="724"/>
      <c r="Y76" s="724"/>
      <c r="Z76" s="724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25">
        <v>4680115881532</v>
      </c>
      <c r="E77" s="72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25">
        <v>4680115881532</v>
      </c>
      <c r="E78" s="72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6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7"/>
      <c r="R78" s="727"/>
      <c r="S78" s="727"/>
      <c r="T78" s="72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25">
        <v>4680115881464</v>
      </c>
      <c r="E79" s="72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7"/>
      <c r="R79" s="727"/>
      <c r="S79" s="727"/>
      <c r="T79" s="72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25">
        <v>4680115881464</v>
      </c>
      <c r="E80" s="72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3" t="s">
        <v>182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5"/>
      <c r="AB83" s="65"/>
      <c r="AC83" s="79"/>
    </row>
    <row r="84" spans="1:68" ht="14.25" hidden="1" customHeight="1" x14ac:dyDescent="0.25">
      <c r="A84" s="724" t="s">
        <v>122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725">
        <v>4680115881327</v>
      </c>
      <c r="E85" s="72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25">
        <v>4680115887732</v>
      </c>
      <c r="E86" s="72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25">
        <v>4680115887732</v>
      </c>
      <c r="E87" s="72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8" t="s">
        <v>190</v>
      </c>
      <c r="Q87" s="727"/>
      <c r="R87" s="727"/>
      <c r="S87" s="727"/>
      <c r="T87" s="72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25">
        <v>4680115881518</v>
      </c>
      <c r="E88" s="7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25">
        <v>4680115881303</v>
      </c>
      <c r="E89" s="7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4"/>
      <c r="P90" s="730" t="s">
        <v>40</v>
      </c>
      <c r="Q90" s="731"/>
      <c r="R90" s="731"/>
      <c r="S90" s="731"/>
      <c r="T90" s="731"/>
      <c r="U90" s="731"/>
      <c r="V90" s="732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24" t="s">
        <v>86</v>
      </c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725">
        <v>4607091386967</v>
      </c>
      <c r="E93" s="7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7"/>
      <c r="R93" s="727"/>
      <c r="S93" s="727"/>
      <c r="T93" s="72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25">
        <v>4607091386967</v>
      </c>
      <c r="E94" s="72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72" t="s">
        <v>199</v>
      </c>
      <c r="Q94" s="727"/>
      <c r="R94" s="727"/>
      <c r="S94" s="727"/>
      <c r="T94" s="72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25">
        <v>4680115884953</v>
      </c>
      <c r="E95" s="72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7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4301051718</v>
      </c>
      <c r="D96" s="725">
        <v>4607091385731</v>
      </c>
      <c r="E96" s="72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725">
        <v>4607091385731</v>
      </c>
      <c r="E97" s="72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75" t="s">
        <v>205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25">
        <v>4680115880894</v>
      </c>
      <c r="E98" s="72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3" t="s">
        <v>209</v>
      </c>
      <c r="B101" s="723"/>
      <c r="C101" s="723"/>
      <c r="D101" s="723"/>
      <c r="E101" s="723"/>
      <c r="F101" s="723"/>
      <c r="G101" s="723"/>
      <c r="H101" s="723"/>
      <c r="I101" s="723"/>
      <c r="J101" s="723"/>
      <c r="K101" s="723"/>
      <c r="L101" s="723"/>
      <c r="M101" s="723"/>
      <c r="N101" s="723"/>
      <c r="O101" s="723"/>
      <c r="P101" s="723"/>
      <c r="Q101" s="723"/>
      <c r="R101" s="723"/>
      <c r="S101" s="723"/>
      <c r="T101" s="723"/>
      <c r="U101" s="723"/>
      <c r="V101" s="723"/>
      <c r="W101" s="723"/>
      <c r="X101" s="723"/>
      <c r="Y101" s="723"/>
      <c r="Z101" s="723"/>
      <c r="AA101" s="65"/>
      <c r="AB101" s="65"/>
      <c r="AC101" s="79"/>
    </row>
    <row r="102" spans="1:68" ht="14.25" hidden="1" customHeight="1" x14ac:dyDescent="0.25">
      <c r="A102" s="724" t="s">
        <v>122</v>
      </c>
      <c r="B102" s="724"/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4"/>
      <c r="W102" s="724"/>
      <c r="X102" s="724"/>
      <c r="Y102" s="724"/>
      <c r="Z102" s="724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25">
        <v>4680115882133</v>
      </c>
      <c r="E103" s="72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77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7"/>
      <c r="R103" s="727"/>
      <c r="S103" s="727"/>
      <c r="T103" s="72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25">
        <v>4680115887718</v>
      </c>
      <c r="E104" s="72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77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25">
        <v>4680115887718</v>
      </c>
      <c r="E105" s="72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7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4301011415</v>
      </c>
      <c r="D108" s="725">
        <v>4680115880429</v>
      </c>
      <c r="E108" s="72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783" t="s">
        <v>223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4"/>
      <c r="P111" s="730" t="s">
        <v>40</v>
      </c>
      <c r="Q111" s="731"/>
      <c r="R111" s="731"/>
      <c r="S111" s="731"/>
      <c r="T111" s="731"/>
      <c r="U111" s="731"/>
      <c r="V111" s="732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4"/>
      <c r="P112" s="730" t="s">
        <v>40</v>
      </c>
      <c r="Q112" s="731"/>
      <c r="R112" s="731"/>
      <c r="S112" s="731"/>
      <c r="T112" s="731"/>
      <c r="U112" s="731"/>
      <c r="V112" s="732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4" t="s">
        <v>155</v>
      </c>
      <c r="B113" s="724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4"/>
      <c r="W113" s="724"/>
      <c r="X113" s="724"/>
      <c r="Y113" s="724"/>
      <c r="Z113" s="724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725">
        <v>4680115881488</v>
      </c>
      <c r="E114" s="72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7"/>
      <c r="R114" s="727"/>
      <c r="S114" s="727"/>
      <c r="T114" s="72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4301020186</v>
      </c>
      <c r="D115" s="725">
        <v>4680115887664</v>
      </c>
      <c r="E115" s="72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7"/>
      <c r="R115" s="727"/>
      <c r="S115" s="727"/>
      <c r="T115" s="72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725">
        <v>4680115887664</v>
      </c>
      <c r="E116" s="72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78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4" t="s">
        <v>86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hidden="1" customHeight="1" x14ac:dyDescent="0.25">
      <c r="A122" s="63" t="s">
        <v>239</v>
      </c>
      <c r="B122" s="63" t="s">
        <v>240</v>
      </c>
      <c r="C122" s="36">
        <v>4301051724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725">
        <v>4607091385168</v>
      </c>
      <c r="E123" s="72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791" t="s">
        <v>243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725">
        <v>4607091383256</v>
      </c>
      <c r="E124" s="72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4301051721</v>
      </c>
      <c r="D125" s="725">
        <v>4607091385748</v>
      </c>
      <c r="E125" s="72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725">
        <v>4607091385748</v>
      </c>
      <c r="E126" s="72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794" t="s">
        <v>249</v>
      </c>
      <c r="Q126" s="727"/>
      <c r="R126" s="727"/>
      <c r="S126" s="727"/>
      <c r="T126" s="72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250</v>
      </c>
      <c r="B127" s="63" t="s">
        <v>251</v>
      </c>
      <c r="C127" s="36">
        <v>4301051740</v>
      </c>
      <c r="D127" s="725">
        <v>4680115884533</v>
      </c>
      <c r="E127" s="72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7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7"/>
      <c r="R127" s="727"/>
      <c r="S127" s="727"/>
      <c r="T127" s="72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725">
        <v>4680115884533</v>
      </c>
      <c r="E128" s="72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796" t="s">
        <v>254</v>
      </c>
      <c r="Q128" s="727"/>
      <c r="R128" s="727"/>
      <c r="S128" s="727"/>
      <c r="T128" s="72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4"/>
      <c r="P129" s="730" t="s">
        <v>40</v>
      </c>
      <c r="Q129" s="731"/>
      <c r="R129" s="731"/>
      <c r="S129" s="731"/>
      <c r="T129" s="731"/>
      <c r="U129" s="731"/>
      <c r="V129" s="732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724" t="s">
        <v>173</v>
      </c>
      <c r="B131" s="724"/>
      <c r="C131" s="724"/>
      <c r="D131" s="724"/>
      <c r="E131" s="724"/>
      <c r="F131" s="724"/>
      <c r="G131" s="724"/>
      <c r="H131" s="724"/>
      <c r="I131" s="724"/>
      <c r="J131" s="724"/>
      <c r="K131" s="724"/>
      <c r="L131" s="724"/>
      <c r="M131" s="724"/>
      <c r="N131" s="724"/>
      <c r="O131" s="724"/>
      <c r="P131" s="724"/>
      <c r="Q131" s="724"/>
      <c r="R131" s="724"/>
      <c r="S131" s="724"/>
      <c r="T131" s="724"/>
      <c r="U131" s="724"/>
      <c r="V131" s="724"/>
      <c r="W131" s="724"/>
      <c r="X131" s="724"/>
      <c r="Y131" s="724"/>
      <c r="Z131" s="724"/>
      <c r="AA131" s="66"/>
      <c r="AB131" s="66"/>
      <c r="AC131" s="80"/>
    </row>
    <row r="132" spans="1:68" ht="16.5" hidden="1" customHeight="1" x14ac:dyDescent="0.25">
      <c r="A132" s="63" t="s">
        <v>255</v>
      </c>
      <c r="B132" s="63" t="s">
        <v>256</v>
      </c>
      <c r="C132" s="36">
        <v>4301060317</v>
      </c>
      <c r="D132" s="725">
        <v>4680115880238</v>
      </c>
      <c r="E132" s="72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7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7"/>
      <c r="R132" s="727"/>
      <c r="S132" s="727"/>
      <c r="T132" s="72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725">
        <v>4680115880238</v>
      </c>
      <c r="E133" s="72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798" t="s">
        <v>259</v>
      </c>
      <c r="Q133" s="727"/>
      <c r="R133" s="727"/>
      <c r="S133" s="727"/>
      <c r="T133" s="72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4"/>
      <c r="P135" s="730" t="s">
        <v>40</v>
      </c>
      <c r="Q135" s="731"/>
      <c r="R135" s="731"/>
      <c r="S135" s="731"/>
      <c r="T135" s="731"/>
      <c r="U135" s="731"/>
      <c r="V135" s="73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3" t="s">
        <v>260</v>
      </c>
      <c r="B136" s="723"/>
      <c r="C136" s="723"/>
      <c r="D136" s="723"/>
      <c r="E136" s="723"/>
      <c r="F136" s="723"/>
      <c r="G136" s="723"/>
      <c r="H136" s="723"/>
      <c r="I136" s="723"/>
      <c r="J136" s="723"/>
      <c r="K136" s="723"/>
      <c r="L136" s="723"/>
      <c r="M136" s="723"/>
      <c r="N136" s="723"/>
      <c r="O136" s="723"/>
      <c r="P136" s="723"/>
      <c r="Q136" s="723"/>
      <c r="R136" s="723"/>
      <c r="S136" s="723"/>
      <c r="T136" s="723"/>
      <c r="U136" s="723"/>
      <c r="V136" s="723"/>
      <c r="W136" s="723"/>
      <c r="X136" s="723"/>
      <c r="Y136" s="723"/>
      <c r="Z136" s="723"/>
      <c r="AA136" s="65"/>
      <c r="AB136" s="65"/>
      <c r="AC136" s="79"/>
    </row>
    <row r="137" spans="1:68" ht="14.25" hidden="1" customHeight="1" x14ac:dyDescent="0.25">
      <c r="A137" s="724" t="s">
        <v>122</v>
      </c>
      <c r="B137" s="724"/>
      <c r="C137" s="724"/>
      <c r="D137" s="724"/>
      <c r="E137" s="724"/>
      <c r="F137" s="724"/>
      <c r="G137" s="724"/>
      <c r="H137" s="724"/>
      <c r="I137" s="724"/>
      <c r="J137" s="724"/>
      <c r="K137" s="724"/>
      <c r="L137" s="724"/>
      <c r="M137" s="724"/>
      <c r="N137" s="724"/>
      <c r="O137" s="724"/>
      <c r="P137" s="724"/>
      <c r="Q137" s="724"/>
      <c r="R137" s="724"/>
      <c r="S137" s="724"/>
      <c r="T137" s="724"/>
      <c r="U137" s="724"/>
      <c r="V137" s="724"/>
      <c r="W137" s="724"/>
      <c r="X137" s="724"/>
      <c r="Y137" s="724"/>
      <c r="Z137" s="724"/>
      <c r="AA137" s="66"/>
      <c r="AB137" s="66"/>
      <c r="AC137" s="80"/>
    </row>
    <row r="138" spans="1:68" ht="27" hidden="1" customHeight="1" x14ac:dyDescent="0.25">
      <c r="A138" s="63" t="s">
        <v>261</v>
      </c>
      <c r="B138" s="63" t="s">
        <v>262</v>
      </c>
      <c r="C138" s="36">
        <v>4301011562</v>
      </c>
      <c r="D138" s="725">
        <v>4680115882577</v>
      </c>
      <c r="E138" s="72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7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7"/>
      <c r="R138" s="727"/>
      <c r="S138" s="727"/>
      <c r="T138" s="72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261</v>
      </c>
      <c r="B139" s="63" t="s">
        <v>265</v>
      </c>
      <c r="C139" s="36">
        <v>4301011564</v>
      </c>
      <c r="D139" s="725">
        <v>4680115882577</v>
      </c>
      <c r="E139" s="72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4"/>
      <c r="P140" s="730" t="s">
        <v>40</v>
      </c>
      <c r="Q140" s="731"/>
      <c r="R140" s="731"/>
      <c r="S140" s="731"/>
      <c r="T140" s="731"/>
      <c r="U140" s="731"/>
      <c r="V140" s="7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4" t="s">
        <v>77</v>
      </c>
      <c r="B142" s="724"/>
      <c r="C142" s="724"/>
      <c r="D142" s="724"/>
      <c r="E142" s="724"/>
      <c r="F142" s="724"/>
      <c r="G142" s="724"/>
      <c r="H142" s="724"/>
      <c r="I142" s="724"/>
      <c r="J142" s="724"/>
      <c r="K142" s="724"/>
      <c r="L142" s="724"/>
      <c r="M142" s="724"/>
      <c r="N142" s="724"/>
      <c r="O142" s="724"/>
      <c r="P142" s="724"/>
      <c r="Q142" s="724"/>
      <c r="R142" s="724"/>
      <c r="S142" s="724"/>
      <c r="T142" s="724"/>
      <c r="U142" s="724"/>
      <c r="V142" s="724"/>
      <c r="W142" s="724"/>
      <c r="X142" s="724"/>
      <c r="Y142" s="724"/>
      <c r="Z142" s="724"/>
      <c r="AA142" s="66"/>
      <c r="AB142" s="66"/>
      <c r="AC142" s="80"/>
    </row>
    <row r="143" spans="1:68" ht="27" hidden="1" customHeight="1" x14ac:dyDescent="0.25">
      <c r="A143" s="63" t="s">
        <v>266</v>
      </c>
      <c r="B143" s="63" t="s">
        <v>267</v>
      </c>
      <c r="C143" s="36">
        <v>4301031234</v>
      </c>
      <c r="D143" s="725">
        <v>4680115883444</v>
      </c>
      <c r="E143" s="72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7"/>
      <c r="R143" s="727"/>
      <c r="S143" s="727"/>
      <c r="T143" s="72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725">
        <v>4680115883444</v>
      </c>
      <c r="E144" s="72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0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4"/>
      <c r="P145" s="730" t="s">
        <v>40</v>
      </c>
      <c r="Q145" s="731"/>
      <c r="R145" s="731"/>
      <c r="S145" s="731"/>
      <c r="T145" s="731"/>
      <c r="U145" s="731"/>
      <c r="V145" s="732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4" t="s">
        <v>86</v>
      </c>
      <c r="B147" s="724"/>
      <c r="C147" s="724"/>
      <c r="D147" s="724"/>
      <c r="E147" s="724"/>
      <c r="F147" s="724"/>
      <c r="G147" s="724"/>
      <c r="H147" s="724"/>
      <c r="I147" s="724"/>
      <c r="J147" s="724"/>
      <c r="K147" s="724"/>
      <c r="L147" s="724"/>
      <c r="M147" s="724"/>
      <c r="N147" s="724"/>
      <c r="O147" s="724"/>
      <c r="P147" s="724"/>
      <c r="Q147" s="724"/>
      <c r="R147" s="724"/>
      <c r="S147" s="724"/>
      <c r="T147" s="724"/>
      <c r="U147" s="724"/>
      <c r="V147" s="724"/>
      <c r="W147" s="724"/>
      <c r="X147" s="724"/>
      <c r="Y147" s="724"/>
      <c r="Z147" s="724"/>
      <c r="AA147" s="66"/>
      <c r="AB147" s="66"/>
      <c r="AC147" s="80"/>
    </row>
    <row r="148" spans="1:68" ht="16.5" hidden="1" customHeight="1" x14ac:dyDescent="0.25">
      <c r="A148" s="63" t="s">
        <v>270</v>
      </c>
      <c r="B148" s="63" t="s">
        <v>271</v>
      </c>
      <c r="C148" s="36">
        <v>4301051476</v>
      </c>
      <c r="D148" s="725">
        <v>4680115882584</v>
      </c>
      <c r="E148" s="72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7"/>
      <c r="R148" s="727"/>
      <c r="S148" s="727"/>
      <c r="T148" s="72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725">
        <v>4680115882584</v>
      </c>
      <c r="E149" s="72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7"/>
      <c r="R149" s="727"/>
      <c r="S149" s="727"/>
      <c r="T149" s="72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4"/>
      <c r="P150" s="730" t="s">
        <v>40</v>
      </c>
      <c r="Q150" s="731"/>
      <c r="R150" s="731"/>
      <c r="S150" s="731"/>
      <c r="T150" s="731"/>
      <c r="U150" s="731"/>
      <c r="V150" s="732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4"/>
      <c r="P151" s="730" t="s">
        <v>40</v>
      </c>
      <c r="Q151" s="731"/>
      <c r="R151" s="731"/>
      <c r="S151" s="731"/>
      <c r="T151" s="731"/>
      <c r="U151" s="731"/>
      <c r="V151" s="732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3" t="s">
        <v>273</v>
      </c>
      <c r="B152" s="723"/>
      <c r="C152" s="723"/>
      <c r="D152" s="723"/>
      <c r="E152" s="723"/>
      <c r="F152" s="723"/>
      <c r="G152" s="723"/>
      <c r="H152" s="723"/>
      <c r="I152" s="723"/>
      <c r="J152" s="723"/>
      <c r="K152" s="723"/>
      <c r="L152" s="723"/>
      <c r="M152" s="723"/>
      <c r="N152" s="723"/>
      <c r="O152" s="723"/>
      <c r="P152" s="723"/>
      <c r="Q152" s="723"/>
      <c r="R152" s="723"/>
      <c r="S152" s="723"/>
      <c r="T152" s="723"/>
      <c r="U152" s="723"/>
      <c r="V152" s="723"/>
      <c r="W152" s="723"/>
      <c r="X152" s="723"/>
      <c r="Y152" s="723"/>
      <c r="Z152" s="723"/>
      <c r="AA152" s="65"/>
      <c r="AB152" s="65"/>
      <c r="AC152" s="79"/>
    </row>
    <row r="153" spans="1:68" ht="14.25" hidden="1" customHeight="1" x14ac:dyDescent="0.25">
      <c r="A153" s="724" t="s">
        <v>86</v>
      </c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4"/>
      <c r="P153" s="724"/>
      <c r="Q153" s="724"/>
      <c r="R153" s="724"/>
      <c r="S153" s="724"/>
      <c r="T153" s="724"/>
      <c r="U153" s="724"/>
      <c r="V153" s="724"/>
      <c r="W153" s="724"/>
      <c r="X153" s="724"/>
      <c r="Y153" s="724"/>
      <c r="Z153" s="724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725">
        <v>4680115888203</v>
      </c>
      <c r="E154" s="72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725">
        <v>4680115888180</v>
      </c>
      <c r="E155" s="72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0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725">
        <v>4680115888180</v>
      </c>
      <c r="E156" s="72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0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7"/>
      <c r="R156" s="727"/>
      <c r="S156" s="727"/>
      <c r="T156" s="72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725">
        <v>4680115888197</v>
      </c>
      <c r="E157" s="72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7"/>
      <c r="R157" s="727"/>
      <c r="S157" s="727"/>
      <c r="T157" s="72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725">
        <v>4680115888197</v>
      </c>
      <c r="E158" s="72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0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7"/>
      <c r="R158" s="727"/>
      <c r="S158" s="727"/>
      <c r="T158" s="72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725">
        <v>4680115888210</v>
      </c>
      <c r="E159" s="72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725">
        <v>4680115888210</v>
      </c>
      <c r="E160" s="72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7"/>
      <c r="R160" s="727"/>
      <c r="S160" s="727"/>
      <c r="T160" s="72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4"/>
      <c r="P162" s="730" t="s">
        <v>40</v>
      </c>
      <c r="Q162" s="731"/>
      <c r="R162" s="731"/>
      <c r="S162" s="731"/>
      <c r="T162" s="731"/>
      <c r="U162" s="731"/>
      <c r="V162" s="732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4" t="s">
        <v>289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725">
        <v>4680115889132</v>
      </c>
      <c r="E164" s="72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4"/>
      <c r="P166" s="730" t="s">
        <v>40</v>
      </c>
      <c r="Q166" s="731"/>
      <c r="R166" s="731"/>
      <c r="S166" s="731"/>
      <c r="T166" s="731"/>
      <c r="U166" s="731"/>
      <c r="V166" s="732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3" t="s">
        <v>120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65"/>
      <c r="AB167" s="65"/>
      <c r="AC167" s="79"/>
    </row>
    <row r="168" spans="1:68" ht="14.25" hidden="1" customHeight="1" x14ac:dyDescent="0.25">
      <c r="A168" s="724" t="s">
        <v>122</v>
      </c>
      <c r="B168" s="724"/>
      <c r="C168" s="724"/>
      <c r="D168" s="724"/>
      <c r="E168" s="724"/>
      <c r="F168" s="724"/>
      <c r="G168" s="724"/>
      <c r="H168" s="724"/>
      <c r="I168" s="724"/>
      <c r="J168" s="724"/>
      <c r="K168" s="724"/>
      <c r="L168" s="724"/>
      <c r="M168" s="724"/>
      <c r="N168" s="724"/>
      <c r="O168" s="724"/>
      <c r="P168" s="724"/>
      <c r="Q168" s="724"/>
      <c r="R168" s="724"/>
      <c r="S168" s="724"/>
      <c r="T168" s="724"/>
      <c r="U168" s="724"/>
      <c r="V168" s="724"/>
      <c r="W168" s="724"/>
      <c r="X168" s="724"/>
      <c r="Y168" s="724"/>
      <c r="Z168" s="724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725">
        <v>4680115887374</v>
      </c>
      <c r="E169" s="72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1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7"/>
      <c r="R169" s="727"/>
      <c r="S169" s="727"/>
      <c r="T169" s="72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725">
        <v>4607091384604</v>
      </c>
      <c r="E170" s="72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7"/>
      <c r="R170" s="727"/>
      <c r="S170" s="727"/>
      <c r="T170" s="72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725">
        <v>4680115888876</v>
      </c>
      <c r="E171" s="72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1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4"/>
      <c r="P172" s="730" t="s">
        <v>40</v>
      </c>
      <c r="Q172" s="731"/>
      <c r="R172" s="731"/>
      <c r="S172" s="731"/>
      <c r="T172" s="731"/>
      <c r="U172" s="731"/>
      <c r="V172" s="732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4" t="s">
        <v>155</v>
      </c>
      <c r="B174" s="724"/>
      <c r="C174" s="724"/>
      <c r="D174" s="724"/>
      <c r="E174" s="724"/>
      <c r="F174" s="724"/>
      <c r="G174" s="724"/>
      <c r="H174" s="724"/>
      <c r="I174" s="724"/>
      <c r="J174" s="724"/>
      <c r="K174" s="724"/>
      <c r="L174" s="724"/>
      <c r="M174" s="724"/>
      <c r="N174" s="724"/>
      <c r="O174" s="724"/>
      <c r="P174" s="724"/>
      <c r="Q174" s="724"/>
      <c r="R174" s="724"/>
      <c r="S174" s="724"/>
      <c r="T174" s="724"/>
      <c r="U174" s="724"/>
      <c r="V174" s="724"/>
      <c r="W174" s="724"/>
      <c r="X174" s="724"/>
      <c r="Y174" s="724"/>
      <c r="Z174" s="724"/>
      <c r="AA174" s="66"/>
      <c r="AB174" s="66"/>
      <c r="AC174" s="80"/>
    </row>
    <row r="175" spans="1:68" ht="16.5" hidden="1" customHeight="1" x14ac:dyDescent="0.25">
      <c r="A175" s="63" t="s">
        <v>305</v>
      </c>
      <c r="B175" s="63" t="s">
        <v>306</v>
      </c>
      <c r="C175" s="36">
        <v>4301020410</v>
      </c>
      <c r="D175" s="725">
        <v>4680115887695</v>
      </c>
      <c r="E175" s="72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7"/>
      <c r="R175" s="727"/>
      <c r="S175" s="727"/>
      <c r="T175" s="72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725">
        <v>4680115889491</v>
      </c>
      <c r="E176" s="72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1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4"/>
      <c r="P177" s="730" t="s">
        <v>40</v>
      </c>
      <c r="Q177" s="731"/>
      <c r="R177" s="731"/>
      <c r="S177" s="731"/>
      <c r="T177" s="731"/>
      <c r="U177" s="731"/>
      <c r="V177" s="732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4"/>
      <c r="P178" s="730" t="s">
        <v>40</v>
      </c>
      <c r="Q178" s="731"/>
      <c r="R178" s="731"/>
      <c r="S178" s="731"/>
      <c r="T178" s="731"/>
      <c r="U178" s="731"/>
      <c r="V178" s="732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4" t="s">
        <v>77</v>
      </c>
      <c r="B179" s="724"/>
      <c r="C179" s="724"/>
      <c r="D179" s="724"/>
      <c r="E179" s="724"/>
      <c r="F179" s="724"/>
      <c r="G179" s="724"/>
      <c r="H179" s="724"/>
      <c r="I179" s="724"/>
      <c r="J179" s="724"/>
      <c r="K179" s="724"/>
      <c r="L179" s="724"/>
      <c r="M179" s="724"/>
      <c r="N179" s="724"/>
      <c r="O179" s="724"/>
      <c r="P179" s="724"/>
      <c r="Q179" s="724"/>
      <c r="R179" s="724"/>
      <c r="S179" s="724"/>
      <c r="T179" s="724"/>
      <c r="U179" s="724"/>
      <c r="V179" s="724"/>
      <c r="W179" s="724"/>
      <c r="X179" s="724"/>
      <c r="Y179" s="724"/>
      <c r="Z179" s="724"/>
      <c r="AA179" s="66"/>
      <c r="AB179" s="66"/>
      <c r="AC179" s="80"/>
    </row>
    <row r="180" spans="1:68" ht="27" hidden="1" customHeight="1" x14ac:dyDescent="0.25">
      <c r="A180" s="63" t="s">
        <v>311</v>
      </c>
      <c r="B180" s="63" t="s">
        <v>312</v>
      </c>
      <c r="C180" s="36">
        <v>4301031496</v>
      </c>
      <c r="D180" s="725">
        <v>4680115887428</v>
      </c>
      <c r="E180" s="72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1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314</v>
      </c>
      <c r="B181" s="63" t="s">
        <v>315</v>
      </c>
      <c r="C181" s="36">
        <v>4301031509</v>
      </c>
      <c r="D181" s="725">
        <v>4680115889170</v>
      </c>
      <c r="E181" s="72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1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4301031498</v>
      </c>
      <c r="D182" s="725">
        <v>4680115887398</v>
      </c>
      <c r="E182" s="72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4301031497</v>
      </c>
      <c r="D183" s="725">
        <v>4680115887336</v>
      </c>
      <c r="E183" s="72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2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725">
        <v>4680115887336</v>
      </c>
      <c r="E184" s="72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22" t="s">
        <v>324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326</v>
      </c>
      <c r="B185" s="63" t="s">
        <v>327</v>
      </c>
      <c r="C185" s="36">
        <v>4301032049</v>
      </c>
      <c r="D185" s="725">
        <v>4680115887787</v>
      </c>
      <c r="E185" s="72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2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725">
        <v>4680115887787</v>
      </c>
      <c r="E186" s="72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24" t="s">
        <v>330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4301031448</v>
      </c>
      <c r="D187" s="725">
        <v>4680115887503</v>
      </c>
      <c r="E187" s="72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7"/>
      <c r="R187" s="727"/>
      <c r="S187" s="727"/>
      <c r="T187" s="72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725">
        <v>4680115887763</v>
      </c>
      <c r="E188" s="72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2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7"/>
      <c r="R188" s="727"/>
      <c r="S188" s="727"/>
      <c r="T188" s="72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336</v>
      </c>
      <c r="B189" s="63" t="s">
        <v>337</v>
      </c>
      <c r="C189" s="36">
        <v>4301031454</v>
      </c>
      <c r="D189" s="725">
        <v>4680115887480</v>
      </c>
      <c r="E189" s="72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2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7"/>
      <c r="R189" s="727"/>
      <c r="S189" s="727"/>
      <c r="T189" s="72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725">
        <v>4680115888067</v>
      </c>
      <c r="E190" s="72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2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4301031519</v>
      </c>
      <c r="D191" s="725">
        <v>4680115887435</v>
      </c>
      <c r="E191" s="72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2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4"/>
      <c r="P192" s="730" t="s">
        <v>40</v>
      </c>
      <c r="Q192" s="731"/>
      <c r="R192" s="731"/>
      <c r="S192" s="731"/>
      <c r="T192" s="731"/>
      <c r="U192" s="731"/>
      <c r="V192" s="732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4" t="s">
        <v>86</v>
      </c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4"/>
      <c r="P194" s="724"/>
      <c r="Q194" s="724"/>
      <c r="R194" s="724"/>
      <c r="S194" s="724"/>
      <c r="T194" s="724"/>
      <c r="U194" s="724"/>
      <c r="V194" s="724"/>
      <c r="W194" s="724"/>
      <c r="X194" s="724"/>
      <c r="Y194" s="724"/>
      <c r="Z194" s="724"/>
      <c r="AA194" s="66"/>
      <c r="AB194" s="66"/>
      <c r="AC194" s="80"/>
    </row>
    <row r="195" spans="1:68" ht="16.5" hidden="1" customHeight="1" x14ac:dyDescent="0.25">
      <c r="A195" s="63" t="s">
        <v>343</v>
      </c>
      <c r="B195" s="63" t="s">
        <v>344</v>
      </c>
      <c r="C195" s="36">
        <v>4301052193</v>
      </c>
      <c r="D195" s="725">
        <v>4680115888395</v>
      </c>
      <c r="E195" s="72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3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7"/>
      <c r="R195" s="727"/>
      <c r="S195" s="727"/>
      <c r="T195" s="72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346</v>
      </c>
      <c r="B196" s="63" t="s">
        <v>347</v>
      </c>
      <c r="C196" s="36">
        <v>4301052191</v>
      </c>
      <c r="D196" s="725">
        <v>4680115888371</v>
      </c>
      <c r="E196" s="72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725">
        <v>4680115887459</v>
      </c>
      <c r="E197" s="72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3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7"/>
      <c r="R197" s="727"/>
      <c r="S197" s="727"/>
      <c r="T197" s="72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4" t="s">
        <v>289</v>
      </c>
      <c r="B200" s="724"/>
      <c r="C200" s="724"/>
      <c r="D200" s="724"/>
      <c r="E200" s="724"/>
      <c r="F200" s="724"/>
      <c r="G200" s="724"/>
      <c r="H200" s="724"/>
      <c r="I200" s="724"/>
      <c r="J200" s="724"/>
      <c r="K200" s="724"/>
      <c r="L200" s="724"/>
      <c r="M200" s="724"/>
      <c r="N200" s="724"/>
      <c r="O200" s="724"/>
      <c r="P200" s="724"/>
      <c r="Q200" s="724"/>
      <c r="R200" s="724"/>
      <c r="S200" s="724"/>
      <c r="T200" s="724"/>
      <c r="U200" s="724"/>
      <c r="V200" s="724"/>
      <c r="W200" s="724"/>
      <c r="X200" s="724"/>
      <c r="Y200" s="724"/>
      <c r="Z200" s="724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725">
        <v>4680115889026</v>
      </c>
      <c r="E201" s="72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7"/>
      <c r="R201" s="727"/>
      <c r="S201" s="727"/>
      <c r="T201" s="72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4"/>
      <c r="P203" s="730" t="s">
        <v>40</v>
      </c>
      <c r="Q203" s="731"/>
      <c r="R203" s="731"/>
      <c r="S203" s="731"/>
      <c r="T203" s="731"/>
      <c r="U203" s="731"/>
      <c r="V203" s="732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4" t="s">
        <v>356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725">
        <v>4680115889033</v>
      </c>
      <c r="E205" s="72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7"/>
      <c r="R205" s="727"/>
      <c r="S205" s="727"/>
      <c r="T205" s="72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4"/>
      <c r="P206" s="730" t="s">
        <v>40</v>
      </c>
      <c r="Q206" s="731"/>
      <c r="R206" s="731"/>
      <c r="S206" s="731"/>
      <c r="T206" s="731"/>
      <c r="U206" s="731"/>
      <c r="V206" s="732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4"/>
      <c r="P207" s="730" t="s">
        <v>40</v>
      </c>
      <c r="Q207" s="731"/>
      <c r="R207" s="731"/>
      <c r="S207" s="731"/>
      <c r="T207" s="731"/>
      <c r="U207" s="731"/>
      <c r="V207" s="732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2" t="s">
        <v>360</v>
      </c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2"/>
      <c r="P208" s="722"/>
      <c r="Q208" s="722"/>
      <c r="R208" s="722"/>
      <c r="S208" s="722"/>
      <c r="T208" s="722"/>
      <c r="U208" s="722"/>
      <c r="V208" s="722"/>
      <c r="W208" s="722"/>
      <c r="X208" s="722"/>
      <c r="Y208" s="722"/>
      <c r="Z208" s="722"/>
      <c r="AA208" s="54"/>
      <c r="AB208" s="54"/>
      <c r="AC208" s="54"/>
    </row>
    <row r="209" spans="1:68" ht="16.5" hidden="1" customHeight="1" x14ac:dyDescent="0.25">
      <c r="A209" s="723" t="s">
        <v>361</v>
      </c>
      <c r="B209" s="723"/>
      <c r="C209" s="723"/>
      <c r="D209" s="723"/>
      <c r="E209" s="723"/>
      <c r="F209" s="723"/>
      <c r="G209" s="723"/>
      <c r="H209" s="723"/>
      <c r="I209" s="723"/>
      <c r="J209" s="723"/>
      <c r="K209" s="723"/>
      <c r="L209" s="723"/>
      <c r="M209" s="723"/>
      <c r="N209" s="723"/>
      <c r="O209" s="723"/>
      <c r="P209" s="723"/>
      <c r="Q209" s="723"/>
      <c r="R209" s="723"/>
      <c r="S209" s="723"/>
      <c r="T209" s="723"/>
      <c r="U209" s="723"/>
      <c r="V209" s="723"/>
      <c r="W209" s="723"/>
      <c r="X209" s="723"/>
      <c r="Y209" s="723"/>
      <c r="Z209" s="723"/>
      <c r="AA209" s="65"/>
      <c r="AB209" s="65"/>
      <c r="AC209" s="79"/>
    </row>
    <row r="210" spans="1:68" ht="14.25" hidden="1" customHeight="1" x14ac:dyDescent="0.25">
      <c r="A210" s="724" t="s">
        <v>122</v>
      </c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4"/>
      <c r="P210" s="724"/>
      <c r="Q210" s="724"/>
      <c r="R210" s="724"/>
      <c r="S210" s="724"/>
      <c r="T210" s="724"/>
      <c r="U210" s="724"/>
      <c r="V210" s="724"/>
      <c r="W210" s="724"/>
      <c r="X210" s="724"/>
      <c r="Y210" s="724"/>
      <c r="Z210" s="724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725">
        <v>4607091383423</v>
      </c>
      <c r="E211" s="72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725">
        <v>4680115888760</v>
      </c>
      <c r="E212" s="72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725">
        <v>4680115888807</v>
      </c>
      <c r="E213" s="72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7"/>
      <c r="R213" s="727"/>
      <c r="S213" s="727"/>
      <c r="T213" s="72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725">
        <v>4680115888852</v>
      </c>
      <c r="E214" s="72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7"/>
      <c r="R214" s="727"/>
      <c r="S214" s="727"/>
      <c r="T214" s="72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725">
        <v>4680115886957</v>
      </c>
      <c r="E215" s="72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7"/>
      <c r="R215" s="727"/>
      <c r="S215" s="727"/>
      <c r="T215" s="72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4301012098</v>
      </c>
      <c r="D216" s="725">
        <v>4680115885660</v>
      </c>
      <c r="E216" s="72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7"/>
      <c r="R216" s="727"/>
      <c r="S216" s="727"/>
      <c r="T216" s="72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725">
        <v>4680115886773</v>
      </c>
      <c r="E217" s="72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3" t="s">
        <v>382</v>
      </c>
      <c r="B220" s="723"/>
      <c r="C220" s="723"/>
      <c r="D220" s="723"/>
      <c r="E220" s="723"/>
      <c r="F220" s="723"/>
      <c r="G220" s="723"/>
      <c r="H220" s="723"/>
      <c r="I220" s="723"/>
      <c r="J220" s="723"/>
      <c r="K220" s="723"/>
      <c r="L220" s="723"/>
      <c r="M220" s="723"/>
      <c r="N220" s="723"/>
      <c r="O220" s="723"/>
      <c r="P220" s="723"/>
      <c r="Q220" s="723"/>
      <c r="R220" s="723"/>
      <c r="S220" s="723"/>
      <c r="T220" s="723"/>
      <c r="U220" s="723"/>
      <c r="V220" s="723"/>
      <c r="W220" s="723"/>
      <c r="X220" s="723"/>
      <c r="Y220" s="723"/>
      <c r="Z220" s="723"/>
      <c r="AA220" s="65"/>
      <c r="AB220" s="65"/>
      <c r="AC220" s="79"/>
    </row>
    <row r="221" spans="1:68" ht="14.25" hidden="1" customHeight="1" x14ac:dyDescent="0.25">
      <c r="A221" s="724" t="s">
        <v>155</v>
      </c>
      <c r="B221" s="724"/>
      <c r="C221" s="724"/>
      <c r="D221" s="724"/>
      <c r="E221" s="724"/>
      <c r="F221" s="724"/>
      <c r="G221" s="724"/>
      <c r="H221" s="724"/>
      <c r="I221" s="724"/>
      <c r="J221" s="724"/>
      <c r="K221" s="724"/>
      <c r="L221" s="724"/>
      <c r="M221" s="724"/>
      <c r="N221" s="724"/>
      <c r="O221" s="724"/>
      <c r="P221" s="724"/>
      <c r="Q221" s="724"/>
      <c r="R221" s="724"/>
      <c r="S221" s="724"/>
      <c r="T221" s="724"/>
      <c r="U221" s="724"/>
      <c r="V221" s="724"/>
      <c r="W221" s="724"/>
      <c r="X221" s="724"/>
      <c r="Y221" s="724"/>
      <c r="Z221" s="724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725">
        <v>4680115886223</v>
      </c>
      <c r="E222" s="72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4"/>
      <c r="P223" s="730" t="s">
        <v>40</v>
      </c>
      <c r="Q223" s="731"/>
      <c r="R223" s="731"/>
      <c r="S223" s="731"/>
      <c r="T223" s="731"/>
      <c r="U223" s="731"/>
      <c r="V223" s="732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4"/>
      <c r="P224" s="730" t="s">
        <v>40</v>
      </c>
      <c r="Q224" s="731"/>
      <c r="R224" s="731"/>
      <c r="S224" s="731"/>
      <c r="T224" s="731"/>
      <c r="U224" s="731"/>
      <c r="V224" s="732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4" t="s">
        <v>77</v>
      </c>
      <c r="B225" s="724"/>
      <c r="C225" s="724"/>
      <c r="D225" s="724"/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/>
      <c r="S225" s="724"/>
      <c r="T225" s="724"/>
      <c r="U225" s="724"/>
      <c r="V225" s="724"/>
      <c r="W225" s="724"/>
      <c r="X225" s="724"/>
      <c r="Y225" s="724"/>
      <c r="Z225" s="724"/>
      <c r="AA225" s="66"/>
      <c r="AB225" s="66"/>
      <c r="AC225" s="80"/>
    </row>
    <row r="226" spans="1:68" ht="27" hidden="1" customHeight="1" x14ac:dyDescent="0.25">
      <c r="A226" s="63" t="s">
        <v>386</v>
      </c>
      <c r="B226" s="63" t="s">
        <v>387</v>
      </c>
      <c r="C226" s="36">
        <v>4301031191</v>
      </c>
      <c r="D226" s="725">
        <v>4680115880993</v>
      </c>
      <c r="E226" s="72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4301031204</v>
      </c>
      <c r="D227" s="725">
        <v>4680115881761</v>
      </c>
      <c r="E227" s="72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392</v>
      </c>
      <c r="B228" s="63" t="s">
        <v>393</v>
      </c>
      <c r="C228" s="36">
        <v>4301031201</v>
      </c>
      <c r="D228" s="725">
        <v>4680115881563</v>
      </c>
      <c r="E228" s="72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395</v>
      </c>
      <c r="B229" s="63" t="s">
        <v>396</v>
      </c>
      <c r="C229" s="36">
        <v>4301031447</v>
      </c>
      <c r="D229" s="725">
        <v>4680115887565</v>
      </c>
      <c r="E229" s="72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4301031199</v>
      </c>
      <c r="D230" s="725">
        <v>4680115880986</v>
      </c>
      <c r="E230" s="72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4301031443</v>
      </c>
      <c r="D231" s="725">
        <v>4680115887213</v>
      </c>
      <c r="E231" s="72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403</v>
      </c>
      <c r="B232" s="63" t="s">
        <v>404</v>
      </c>
      <c r="C232" s="36">
        <v>4301031205</v>
      </c>
      <c r="D232" s="725">
        <v>4680115881785</v>
      </c>
      <c r="E232" s="72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725">
        <v>4680115888432</v>
      </c>
      <c r="E233" s="72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4301031427</v>
      </c>
      <c r="D234" s="725">
        <v>4680115888104</v>
      </c>
      <c r="E234" s="72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411</v>
      </c>
      <c r="B235" s="63" t="s">
        <v>412</v>
      </c>
      <c r="C235" s="36">
        <v>4301031399</v>
      </c>
      <c r="D235" s="725">
        <v>4680115886537</v>
      </c>
      <c r="E235" s="72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414</v>
      </c>
      <c r="B236" s="63" t="s">
        <v>415</v>
      </c>
      <c r="C236" s="36">
        <v>4301031279</v>
      </c>
      <c r="D236" s="725">
        <v>4680115887596</v>
      </c>
      <c r="E236" s="72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7"/>
      <c r="R236" s="727"/>
      <c r="S236" s="727"/>
      <c r="T236" s="72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417</v>
      </c>
      <c r="B237" s="63" t="s">
        <v>418</v>
      </c>
      <c r="C237" s="36">
        <v>4301031202</v>
      </c>
      <c r="D237" s="725">
        <v>4680115881679</v>
      </c>
      <c r="E237" s="72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5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7"/>
      <c r="R237" s="727"/>
      <c r="S237" s="727"/>
      <c r="T237" s="72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725">
        <v>4680115880191</v>
      </c>
      <c r="E238" s="72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7"/>
      <c r="R238" s="727"/>
      <c r="S238" s="727"/>
      <c r="T238" s="72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725">
        <v>4680115883963</v>
      </c>
      <c r="E239" s="72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4"/>
      <c r="P240" s="730" t="s">
        <v>40</v>
      </c>
      <c r="Q240" s="731"/>
      <c r="R240" s="731"/>
      <c r="S240" s="731"/>
      <c r="T240" s="731"/>
      <c r="U240" s="731"/>
      <c r="V240" s="732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4"/>
      <c r="P241" s="730" t="s">
        <v>40</v>
      </c>
      <c r="Q241" s="731"/>
      <c r="R241" s="731"/>
      <c r="S241" s="731"/>
      <c r="T241" s="731"/>
      <c r="U241" s="731"/>
      <c r="V241" s="732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24" t="s">
        <v>86</v>
      </c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4"/>
      <c r="P242" s="724"/>
      <c r="Q242" s="724"/>
      <c r="R242" s="724"/>
      <c r="S242" s="724"/>
      <c r="T242" s="724"/>
      <c r="U242" s="724"/>
      <c r="V242" s="724"/>
      <c r="W242" s="724"/>
      <c r="X242" s="724"/>
      <c r="Y242" s="724"/>
      <c r="Z242" s="724"/>
      <c r="AA242" s="66"/>
      <c r="AB242" s="66"/>
      <c r="AC242" s="80"/>
    </row>
    <row r="243" spans="1:68" ht="16.5" hidden="1" customHeight="1" x14ac:dyDescent="0.25">
      <c r="A243" s="63" t="s">
        <v>424</v>
      </c>
      <c r="B243" s="63" t="s">
        <v>425</v>
      </c>
      <c r="C243" s="36">
        <v>4301052209</v>
      </c>
      <c r="D243" s="725">
        <v>4680115888692</v>
      </c>
      <c r="E243" s="72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725">
        <v>4680115888722</v>
      </c>
      <c r="E244" s="72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725">
        <v>4680115888951</v>
      </c>
      <c r="E245" s="72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725">
        <v>4680115888975</v>
      </c>
      <c r="E246" s="72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6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6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4" t="s">
        <v>289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441</v>
      </c>
      <c r="B252" s="63" t="s">
        <v>442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444</v>
      </c>
      <c r="B253" s="63" t="s">
        <v>445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4" t="s">
        <v>446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hidden="1" customHeight="1" x14ac:dyDescent="0.25">
      <c r="A257" s="63" t="s">
        <v>447</v>
      </c>
      <c r="B257" s="63" t="s">
        <v>448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3" t="s">
        <v>449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hidden="1" customHeight="1" x14ac:dyDescent="0.25">
      <c r="A261" s="724" t="s">
        <v>122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453</v>
      </c>
      <c r="B263" s="63" t="s">
        <v>454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4" t="s">
        <v>155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4" t="s">
        <v>77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hidden="1" customHeight="1" x14ac:dyDescent="0.25">
      <c r="A272" s="63" t="s">
        <v>460</v>
      </c>
      <c r="B272" s="63" t="s">
        <v>461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466</v>
      </c>
      <c r="B274" s="63" t="s">
        <v>467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4" t="s">
        <v>86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hidden="1" customHeight="1" x14ac:dyDescent="0.25">
      <c r="A283" s="63" t="s">
        <v>480</v>
      </c>
      <c r="B283" s="63" t="s">
        <v>481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489</v>
      </c>
      <c r="B286" s="63" t="s">
        <v>490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491</v>
      </c>
      <c r="B287" s="63" t="s">
        <v>492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4" t="s">
        <v>173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hidden="1" customHeight="1" x14ac:dyDescent="0.25">
      <c r="A298" s="63" t="s">
        <v>511</v>
      </c>
      <c r="B298" s="63" t="s">
        <v>512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514</v>
      </c>
      <c r="B299" s="63" t="s">
        <v>515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3" t="s">
        <v>517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hidden="1" customHeight="1" x14ac:dyDescent="0.25">
      <c r="A303" s="724" t="s">
        <v>122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524</v>
      </c>
      <c r="B306" s="63" t="s">
        <v>525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526</v>
      </c>
      <c r="B307" s="63" t="s">
        <v>527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4" t="s">
        <v>155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4" t="s">
        <v>539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hidden="1" customHeight="1" x14ac:dyDescent="0.25">
      <c r="A318" s="63" t="s">
        <v>540</v>
      </c>
      <c r="B318" s="63" t="s">
        <v>541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4" t="s">
        <v>356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725">
        <v>4680115886704</v>
      </c>
      <c r="E322" s="72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546</v>
      </c>
      <c r="B323" s="63" t="s">
        <v>547</v>
      </c>
      <c r="C323" s="36">
        <v>4301041008</v>
      </c>
      <c r="D323" s="725">
        <v>4680115886681</v>
      </c>
      <c r="E323" s="72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9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7"/>
      <c r="R323" s="727"/>
      <c r="S323" s="727"/>
      <c r="T323" s="72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725">
        <v>4680115886735</v>
      </c>
      <c r="E324" s="72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9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7"/>
      <c r="R324" s="727"/>
      <c r="S324" s="727"/>
      <c r="T324" s="72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4"/>
      <c r="P325" s="730" t="s">
        <v>40</v>
      </c>
      <c r="Q325" s="731"/>
      <c r="R325" s="731"/>
      <c r="S325" s="731"/>
      <c r="T325" s="731"/>
      <c r="U325" s="731"/>
      <c r="V325" s="732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4"/>
      <c r="P326" s="730" t="s">
        <v>40</v>
      </c>
      <c r="Q326" s="731"/>
      <c r="R326" s="731"/>
      <c r="S326" s="731"/>
      <c r="T326" s="731"/>
      <c r="U326" s="731"/>
      <c r="V326" s="732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3" t="s">
        <v>550</v>
      </c>
      <c r="B327" s="723"/>
      <c r="C327" s="723"/>
      <c r="D327" s="723"/>
      <c r="E327" s="723"/>
      <c r="F327" s="723"/>
      <c r="G327" s="723"/>
      <c r="H327" s="723"/>
      <c r="I327" s="723"/>
      <c r="J327" s="723"/>
      <c r="K327" s="723"/>
      <c r="L327" s="723"/>
      <c r="M327" s="723"/>
      <c r="N327" s="723"/>
      <c r="O327" s="723"/>
      <c r="P327" s="723"/>
      <c r="Q327" s="723"/>
      <c r="R327" s="723"/>
      <c r="S327" s="723"/>
      <c r="T327" s="723"/>
      <c r="U327" s="723"/>
      <c r="V327" s="723"/>
      <c r="W327" s="723"/>
      <c r="X327" s="723"/>
      <c r="Y327" s="723"/>
      <c r="Z327" s="723"/>
      <c r="AA327" s="65"/>
      <c r="AB327" s="65"/>
      <c r="AC327" s="79"/>
    </row>
    <row r="328" spans="1:68" ht="14.25" hidden="1" customHeight="1" x14ac:dyDescent="0.25">
      <c r="A328" s="724" t="s">
        <v>122</v>
      </c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4"/>
      <c r="P328" s="724"/>
      <c r="Q328" s="724"/>
      <c r="R328" s="724"/>
      <c r="S328" s="724"/>
      <c r="T328" s="724"/>
      <c r="U328" s="724"/>
      <c r="V328" s="724"/>
      <c r="W328" s="724"/>
      <c r="X328" s="724"/>
      <c r="Y328" s="724"/>
      <c r="Z328" s="724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725">
        <v>4680115885837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4301012234</v>
      </c>
      <c r="D330" s="725">
        <v>4680115887237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557</v>
      </c>
      <c r="B331" s="63" t="s">
        <v>558</v>
      </c>
      <c r="C331" s="36">
        <v>4301011850</v>
      </c>
      <c r="D331" s="725">
        <v>4680115885806</v>
      </c>
      <c r="E331" s="72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725">
        <v>4680115885844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725">
        <v>4680115885820</v>
      </c>
      <c r="E333" s="72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9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7"/>
      <c r="R333" s="727"/>
      <c r="S333" s="727"/>
      <c r="T333" s="72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4"/>
      <c r="P335" s="730" t="s">
        <v>40</v>
      </c>
      <c r="Q335" s="731"/>
      <c r="R335" s="731"/>
      <c r="S335" s="731"/>
      <c r="T335" s="731"/>
      <c r="U335" s="731"/>
      <c r="V335" s="732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3" t="s">
        <v>566</v>
      </c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3"/>
      <c r="P336" s="723"/>
      <c r="Q336" s="723"/>
      <c r="R336" s="723"/>
      <c r="S336" s="723"/>
      <c r="T336" s="723"/>
      <c r="U336" s="723"/>
      <c r="V336" s="723"/>
      <c r="W336" s="723"/>
      <c r="X336" s="723"/>
      <c r="Y336" s="723"/>
      <c r="Z336" s="723"/>
      <c r="AA336" s="65"/>
      <c r="AB336" s="65"/>
      <c r="AC336" s="79"/>
    </row>
    <row r="337" spans="1:68" ht="14.25" hidden="1" customHeight="1" x14ac:dyDescent="0.25">
      <c r="A337" s="724" t="s">
        <v>86</v>
      </c>
      <c r="B337" s="724"/>
      <c r="C337" s="724"/>
      <c r="D337" s="724"/>
      <c r="E337" s="724"/>
      <c r="F337" s="724"/>
      <c r="G337" s="724"/>
      <c r="H337" s="724"/>
      <c r="I337" s="724"/>
      <c r="J337" s="724"/>
      <c r="K337" s="724"/>
      <c r="L337" s="724"/>
      <c r="M337" s="724"/>
      <c r="N337" s="724"/>
      <c r="O337" s="724"/>
      <c r="P337" s="724"/>
      <c r="Q337" s="724"/>
      <c r="R337" s="724"/>
      <c r="S337" s="724"/>
      <c r="T337" s="724"/>
      <c r="U337" s="724"/>
      <c r="V337" s="724"/>
      <c r="W337" s="724"/>
      <c r="X337" s="724"/>
      <c r="Y337" s="724"/>
      <c r="Z337" s="724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725">
        <v>4680115886186</v>
      </c>
      <c r="E338" s="72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4301051795</v>
      </c>
      <c r="D339" s="725">
        <v>4680115881228</v>
      </c>
      <c r="E339" s="72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9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4301051388</v>
      </c>
      <c r="D340" s="725">
        <v>4680115881211</v>
      </c>
      <c r="E340" s="72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9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7"/>
      <c r="R340" s="727"/>
      <c r="S340" s="727"/>
      <c r="T340" s="72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4"/>
      <c r="P342" s="730" t="s">
        <v>40</v>
      </c>
      <c r="Q342" s="731"/>
      <c r="R342" s="731"/>
      <c r="S342" s="731"/>
      <c r="T342" s="731"/>
      <c r="U342" s="731"/>
      <c r="V342" s="7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3" t="s">
        <v>575</v>
      </c>
      <c r="B343" s="723"/>
      <c r="C343" s="723"/>
      <c r="D343" s="723"/>
      <c r="E343" s="723"/>
      <c r="F343" s="723"/>
      <c r="G343" s="723"/>
      <c r="H343" s="723"/>
      <c r="I343" s="723"/>
      <c r="J343" s="723"/>
      <c r="K343" s="723"/>
      <c r="L343" s="723"/>
      <c r="M343" s="723"/>
      <c r="N343" s="723"/>
      <c r="O343" s="723"/>
      <c r="P343" s="723"/>
      <c r="Q343" s="723"/>
      <c r="R343" s="723"/>
      <c r="S343" s="723"/>
      <c r="T343" s="723"/>
      <c r="U343" s="723"/>
      <c r="V343" s="723"/>
      <c r="W343" s="723"/>
      <c r="X343" s="723"/>
      <c r="Y343" s="723"/>
      <c r="Z343" s="723"/>
      <c r="AA343" s="65"/>
      <c r="AB343" s="65"/>
      <c r="AC343" s="79"/>
    </row>
    <row r="344" spans="1:68" ht="14.25" hidden="1" customHeight="1" x14ac:dyDescent="0.25">
      <c r="A344" s="724" t="s">
        <v>77</v>
      </c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4"/>
      <c r="P344" s="724"/>
      <c r="Q344" s="724"/>
      <c r="R344" s="724"/>
      <c r="S344" s="724"/>
      <c r="T344" s="724"/>
      <c r="U344" s="724"/>
      <c r="V344" s="724"/>
      <c r="W344" s="724"/>
      <c r="X344" s="724"/>
      <c r="Y344" s="724"/>
      <c r="Z344" s="724"/>
      <c r="AA344" s="66"/>
      <c r="AB344" s="66"/>
      <c r="AC344" s="80"/>
    </row>
    <row r="345" spans="1:68" ht="27" hidden="1" customHeight="1" x14ac:dyDescent="0.25">
      <c r="A345" s="63" t="s">
        <v>576</v>
      </c>
      <c r="B345" s="63" t="s">
        <v>577</v>
      </c>
      <c r="C345" s="36">
        <v>4301031445</v>
      </c>
      <c r="D345" s="725">
        <v>4680115888319</v>
      </c>
      <c r="E345" s="72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9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4301031502</v>
      </c>
      <c r="D346" s="725">
        <v>4680115884700</v>
      </c>
      <c r="E346" s="72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4301031307</v>
      </c>
      <c r="D347" s="725">
        <v>4680115880344</v>
      </c>
      <c r="E347" s="72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584</v>
      </c>
      <c r="B348" s="63" t="s">
        <v>585</v>
      </c>
      <c r="C348" s="36">
        <v>4301031501</v>
      </c>
      <c r="D348" s="725">
        <v>4680115886919</v>
      </c>
      <c r="E348" s="72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725">
        <v>4680115883970</v>
      </c>
      <c r="E349" s="72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91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7"/>
      <c r="R349" s="727"/>
      <c r="S349" s="727"/>
      <c r="T349" s="72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4"/>
      <c r="P351" s="730" t="s">
        <v>40</v>
      </c>
      <c r="Q351" s="731"/>
      <c r="R351" s="731"/>
      <c r="S351" s="731"/>
      <c r="T351" s="731"/>
      <c r="U351" s="731"/>
      <c r="V351" s="73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4" t="s">
        <v>86</v>
      </c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4"/>
      <c r="P352" s="724"/>
      <c r="Q352" s="724"/>
      <c r="R352" s="724"/>
      <c r="S352" s="724"/>
      <c r="T352" s="724"/>
      <c r="U352" s="724"/>
      <c r="V352" s="724"/>
      <c r="W352" s="724"/>
      <c r="X352" s="724"/>
      <c r="Y352" s="724"/>
      <c r="Z352" s="724"/>
      <c r="AA352" s="66"/>
      <c r="AB352" s="66"/>
      <c r="AC352" s="80"/>
    </row>
    <row r="353" spans="1:68" ht="27" hidden="1" customHeight="1" x14ac:dyDescent="0.25">
      <c r="A353" s="63" t="s">
        <v>590</v>
      </c>
      <c r="B353" s="63" t="s">
        <v>591</v>
      </c>
      <c r="C353" s="36">
        <v>4301051782</v>
      </c>
      <c r="D353" s="725">
        <v>4680115884618</v>
      </c>
      <c r="E353" s="72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725">
        <v>4680115887114</v>
      </c>
      <c r="E354" s="72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91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7"/>
      <c r="R354" s="727"/>
      <c r="S354" s="727"/>
      <c r="T354" s="72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4"/>
      <c r="P356" s="730" t="s">
        <v>40</v>
      </c>
      <c r="Q356" s="731"/>
      <c r="R356" s="731"/>
      <c r="S356" s="731"/>
      <c r="T356" s="731"/>
      <c r="U356" s="731"/>
      <c r="V356" s="73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3" t="s">
        <v>596</v>
      </c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3"/>
      <c r="P357" s="723"/>
      <c r="Q357" s="723"/>
      <c r="R357" s="723"/>
      <c r="S357" s="723"/>
      <c r="T357" s="723"/>
      <c r="U357" s="723"/>
      <c r="V357" s="723"/>
      <c r="W357" s="723"/>
      <c r="X357" s="723"/>
      <c r="Y357" s="723"/>
      <c r="Z357" s="723"/>
      <c r="AA357" s="65"/>
      <c r="AB357" s="65"/>
      <c r="AC357" s="79"/>
    </row>
    <row r="358" spans="1:68" ht="14.25" hidden="1" customHeight="1" x14ac:dyDescent="0.25">
      <c r="A358" s="724" t="s">
        <v>122</v>
      </c>
      <c r="B358" s="724"/>
      <c r="C358" s="724"/>
      <c r="D358" s="724"/>
      <c r="E358" s="724"/>
      <c r="F358" s="724"/>
      <c r="G358" s="724"/>
      <c r="H358" s="724"/>
      <c r="I358" s="724"/>
      <c r="J358" s="724"/>
      <c r="K358" s="724"/>
      <c r="L358" s="724"/>
      <c r="M358" s="724"/>
      <c r="N358" s="724"/>
      <c r="O358" s="724"/>
      <c r="P358" s="724"/>
      <c r="Q358" s="724"/>
      <c r="R358" s="724"/>
      <c r="S358" s="724"/>
      <c r="T358" s="724"/>
      <c r="U358" s="724"/>
      <c r="V358" s="724"/>
      <c r="W358" s="724"/>
      <c r="X358" s="724"/>
      <c r="Y358" s="724"/>
      <c r="Z358" s="724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4301012324</v>
      </c>
      <c r="D359" s="725">
        <v>4680115887947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599</v>
      </c>
      <c r="B360" s="63" t="s">
        <v>600</v>
      </c>
      <c r="C360" s="36">
        <v>4301012325</v>
      </c>
      <c r="D360" s="725">
        <v>4680115887978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602</v>
      </c>
      <c r="B361" s="63" t="s">
        <v>603</v>
      </c>
      <c r="C361" s="36">
        <v>4301012327</v>
      </c>
      <c r="D361" s="725">
        <v>4680115887992</v>
      </c>
      <c r="E361" s="72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7"/>
      <c r="R361" s="727"/>
      <c r="S361" s="727"/>
      <c r="T361" s="72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4"/>
      <c r="P363" s="730" t="s">
        <v>40</v>
      </c>
      <c r="Q363" s="731"/>
      <c r="R363" s="731"/>
      <c r="S363" s="731"/>
      <c r="T363" s="731"/>
      <c r="U363" s="731"/>
      <c r="V363" s="73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3" t="s">
        <v>605</v>
      </c>
      <c r="B364" s="723"/>
      <c r="C364" s="723"/>
      <c r="D364" s="723"/>
      <c r="E364" s="723"/>
      <c r="F364" s="723"/>
      <c r="G364" s="723"/>
      <c r="H364" s="723"/>
      <c r="I364" s="723"/>
      <c r="J364" s="723"/>
      <c r="K364" s="723"/>
      <c r="L364" s="723"/>
      <c r="M364" s="723"/>
      <c r="N364" s="723"/>
      <c r="O364" s="723"/>
      <c r="P364" s="723"/>
      <c r="Q364" s="723"/>
      <c r="R364" s="723"/>
      <c r="S364" s="723"/>
      <c r="T364" s="723"/>
      <c r="U364" s="723"/>
      <c r="V364" s="723"/>
      <c r="W364" s="723"/>
      <c r="X364" s="723"/>
      <c r="Y364" s="723"/>
      <c r="Z364" s="723"/>
      <c r="AA364" s="65"/>
      <c r="AB364" s="65"/>
      <c r="AC364" s="79"/>
    </row>
    <row r="365" spans="1:68" ht="14.25" hidden="1" customHeight="1" x14ac:dyDescent="0.25">
      <c r="A365" s="724" t="s">
        <v>122</v>
      </c>
      <c r="B365" s="724"/>
      <c r="C365" s="724"/>
      <c r="D365" s="724"/>
      <c r="E365" s="724"/>
      <c r="F365" s="724"/>
      <c r="G365" s="724"/>
      <c r="H365" s="724"/>
      <c r="I365" s="724"/>
      <c r="J365" s="724"/>
      <c r="K365" s="724"/>
      <c r="L365" s="724"/>
      <c r="M365" s="724"/>
      <c r="N365" s="724"/>
      <c r="O365" s="724"/>
      <c r="P365" s="724"/>
      <c r="Q365" s="724"/>
      <c r="R365" s="724"/>
      <c r="S365" s="724"/>
      <c r="T365" s="724"/>
      <c r="U365" s="724"/>
      <c r="V365" s="724"/>
      <c r="W365" s="724"/>
      <c r="X365" s="724"/>
      <c r="Y365" s="724"/>
      <c r="Z365" s="724"/>
      <c r="AA365" s="66"/>
      <c r="AB365" s="66"/>
      <c r="AC365" s="80"/>
    </row>
    <row r="366" spans="1:68" ht="27" hidden="1" customHeight="1" x14ac:dyDescent="0.25">
      <c r="A366" s="63" t="s">
        <v>606</v>
      </c>
      <c r="B366" s="63" t="s">
        <v>607</v>
      </c>
      <c r="C366" s="36">
        <v>4301012126</v>
      </c>
      <c r="D366" s="725">
        <v>4607091386004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612</v>
      </c>
      <c r="B368" s="63" t="s">
        <v>613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617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611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620</v>
      </c>
      <c r="B371" s="63" t="s">
        <v>621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622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724" t="s">
        <v>77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hidden="1" customHeight="1" x14ac:dyDescent="0.25">
      <c r="A375" s="63" t="s">
        <v>623</v>
      </c>
      <c r="B375" s="63" t="s">
        <v>624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626</v>
      </c>
      <c r="B376" s="63" t="s">
        <v>627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629</v>
      </c>
      <c r="B377" s="63" t="s">
        <v>630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631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632</v>
      </c>
      <c r="B378" s="63" t="s">
        <v>633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628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636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631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24" t="s">
        <v>86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650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651</v>
      </c>
      <c r="B388" s="63" t="s">
        <v>652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644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24" t="s">
        <v>173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hidden="1" customHeight="1" x14ac:dyDescent="0.25">
      <c r="A392" s="63" t="s">
        <v>653</v>
      </c>
      <c r="B392" s="63" t="s">
        <v>654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659</v>
      </c>
      <c r="B394" s="63" t="s">
        <v>660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661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24" t="s">
        <v>289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hidden="1" customHeight="1" x14ac:dyDescent="0.25">
      <c r="A398" s="63" t="s">
        <v>662</v>
      </c>
      <c r="B398" s="63" t="s">
        <v>663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664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264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264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4" t="s">
        <v>671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hidden="1" customHeight="1" x14ac:dyDescent="0.25">
      <c r="A405" s="63" t="s">
        <v>672</v>
      </c>
      <c r="B405" s="63" t="s">
        <v>673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675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674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675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678</v>
      </c>
      <c r="B407" s="63" t="s">
        <v>679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675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24" t="s">
        <v>680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hidden="1" customHeight="1" x14ac:dyDescent="0.25">
      <c r="A411" s="63" t="s">
        <v>681</v>
      </c>
      <c r="B411" s="63" t="s">
        <v>682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675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675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686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687</v>
      </c>
      <c r="B413" s="63" t="s">
        <v>688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675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683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3" t="s">
        <v>689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hidden="1" customHeight="1" x14ac:dyDescent="0.25">
      <c r="A417" s="724" t="s">
        <v>86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hidden="1" customHeight="1" x14ac:dyDescent="0.25">
      <c r="A418" s="63" t="s">
        <v>690</v>
      </c>
      <c r="B418" s="63" t="s">
        <v>691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693</v>
      </c>
      <c r="B419" s="63" t="s">
        <v>694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695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23" t="s">
        <v>696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hidden="1" customHeight="1" x14ac:dyDescent="0.25">
      <c r="A423" s="724" t="s">
        <v>86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hidden="1" customHeight="1" x14ac:dyDescent="0.25">
      <c r="A424" s="63" t="s">
        <v>697</v>
      </c>
      <c r="B424" s="63" t="s">
        <v>698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700</v>
      </c>
      <c r="B425" s="63" t="s">
        <v>701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703</v>
      </c>
      <c r="B426" s="63" t="s">
        <v>704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705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722" t="s">
        <v>706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hidden="1" customHeight="1" x14ac:dyDescent="0.25">
      <c r="A430" s="723" t="s">
        <v>707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hidden="1" customHeight="1" x14ac:dyDescent="0.25">
      <c r="A431" s="724" t="s">
        <v>122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hidden="1" customHeight="1" x14ac:dyDescent="0.25">
      <c r="A432" s="63" t="s">
        <v>708</v>
      </c>
      <c r="B432" s="63" t="s">
        <v>709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hidden="1" customHeight="1" x14ac:dyDescent="0.25">
      <c r="A433" s="63" t="s">
        <v>711</v>
      </c>
      <c r="B433" s="63" t="s">
        <v>712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720</v>
      </c>
      <c r="B436" s="63" t="s">
        <v>721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726</v>
      </c>
      <c r="B438" s="63" t="s">
        <v>727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729</v>
      </c>
      <c r="B439" s="63" t="s">
        <v>730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731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hidden="1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0</v>
      </c>
      <c r="Y440" s="43">
        <f>IFERROR(Y432/H432,"0")+IFERROR(Y433/H433,"0")+IFERROR(Y434/H434,"0")+IFERROR(Y435/H435,"0")+IFERROR(Y436/H436,"0")+IFERROR(Y437/H437,"0")+IFERROR(Y438/H438,"0")+IFERROR(Y439/H439,"0")</f>
        <v>0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0</v>
      </c>
      <c r="Y441" s="43">
        <f>IFERROR(SUM(Y432:Y439),"0")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724" t="s">
        <v>155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hidden="1" customHeight="1" x14ac:dyDescent="0.25">
      <c r="A443" s="63" t="s">
        <v>732</v>
      </c>
      <c r="B443" s="63" t="s">
        <v>733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735</v>
      </c>
      <c r="B444" s="63" t="s">
        <v>736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738</v>
      </c>
      <c r="B445" s="63" t="s">
        <v>739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740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724" t="s">
        <v>86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hidden="1" customHeight="1" x14ac:dyDescent="0.25">
      <c r="A449" s="63" t="s">
        <v>741</v>
      </c>
      <c r="B449" s="63" t="s">
        <v>742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744</v>
      </c>
      <c r="B450" s="63" t="s">
        <v>745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747</v>
      </c>
      <c r="B451" s="63" t="s">
        <v>748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749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724" t="s">
        <v>173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hidden="1" customHeight="1" x14ac:dyDescent="0.25">
      <c r="A455" s="63" t="s">
        <v>750</v>
      </c>
      <c r="B455" s="63" t="s">
        <v>751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753</v>
      </c>
      <c r="B456" s="63" t="s">
        <v>754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755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723" t="s">
        <v>756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hidden="1" customHeight="1" x14ac:dyDescent="0.25">
      <c r="A460" s="724" t="s">
        <v>122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hidden="1" customHeight="1" x14ac:dyDescent="0.25">
      <c r="A461" s="63" t="s">
        <v>757</v>
      </c>
      <c r="B461" s="63" t="s">
        <v>758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759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760</v>
      </c>
      <c r="B462" s="63" t="s">
        <v>761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724" t="s">
        <v>77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hidden="1" customHeight="1" x14ac:dyDescent="0.25">
      <c r="A466" s="63" t="s">
        <v>762</v>
      </c>
      <c r="B466" s="63" t="s">
        <v>763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764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4" t="s">
        <v>86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customHeight="1" x14ac:dyDescent="0.25">
      <c r="A470" s="63" t="s">
        <v>765</v>
      </c>
      <c r="B470" s="63" t="s">
        <v>766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8000</v>
      </c>
      <c r="Y470" s="55">
        <f>IFERROR(IF(X470="",0,CEILING((X470/$H470),1)*$H470),"")</f>
        <v>8001</v>
      </c>
      <c r="Z470" s="41">
        <f>IFERROR(IF(Y470=0,"",ROUNDUP(Y470/H470,0)*0.01898),"")</f>
        <v>16.87322</v>
      </c>
      <c r="AA470" s="68" t="s">
        <v>46</v>
      </c>
      <c r="AB470" s="69" t="s">
        <v>46</v>
      </c>
      <c r="AC470" s="572" t="s">
        <v>767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8439.1111111111113</v>
      </c>
      <c r="BN470" s="78">
        <f>IFERROR(Y470*I470/H470,"0")</f>
        <v>8440.1659999999993</v>
      </c>
      <c r="BO470" s="78">
        <f>IFERROR(1/J470*(X470/H470),"0")</f>
        <v>13.888888888888889</v>
      </c>
      <c r="BP470" s="78">
        <f>IFERROR(1/J470*(Y470/H470),"0")</f>
        <v>13.890625</v>
      </c>
    </row>
    <row r="471" spans="1:68" ht="27" hidden="1" customHeight="1" x14ac:dyDescent="0.25">
      <c r="A471" s="63" t="s">
        <v>768</v>
      </c>
      <c r="B471" s="63" t="s">
        <v>769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768</v>
      </c>
      <c r="B472" s="63" t="s">
        <v>770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771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888.88888888888891</v>
      </c>
      <c r="Y473" s="43">
        <f>IFERROR(Y470/H470,"0")+IFERROR(Y471/H471,"0")+IFERROR(Y472/H472,"0")</f>
        <v>889</v>
      </c>
      <c r="Z473" s="43">
        <f>IFERROR(IF(Z470="",0,Z470),"0")+IFERROR(IF(Z471="",0,Z471),"0")+IFERROR(IF(Z472="",0,Z472),"0")</f>
        <v>16.87322</v>
      </c>
      <c r="AA473" s="67"/>
      <c r="AB473" s="67"/>
      <c r="AC473" s="67"/>
    </row>
    <row r="474" spans="1:68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8000</v>
      </c>
      <c r="Y474" s="43">
        <f>IFERROR(SUM(Y470:Y472),"0")</f>
        <v>8001</v>
      </c>
      <c r="Z474" s="42"/>
      <c r="AA474" s="67"/>
      <c r="AB474" s="67"/>
      <c r="AC474" s="67"/>
    </row>
    <row r="475" spans="1:68" ht="27.75" hidden="1" customHeight="1" x14ac:dyDescent="0.2">
      <c r="A475" s="722" t="s">
        <v>772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hidden="1" customHeight="1" x14ac:dyDescent="0.25">
      <c r="A476" s="723" t="s">
        <v>773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hidden="1" customHeight="1" x14ac:dyDescent="0.25">
      <c r="A477" s="724" t="s">
        <v>77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hidden="1" customHeight="1" x14ac:dyDescent="0.25">
      <c r="A478" s="63" t="s">
        <v>774</v>
      </c>
      <c r="B478" s="63" t="s">
        <v>775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777</v>
      </c>
      <c r="B479" s="63" t="s">
        <v>778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779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780</v>
      </c>
      <c r="B480" s="63" t="s">
        <v>781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776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785</v>
      </c>
      <c r="B482" s="63" t="s">
        <v>786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787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788</v>
      </c>
      <c r="B483" s="63" t="s">
        <v>789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784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24" t="s">
        <v>86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hidden="1" customHeight="1" x14ac:dyDescent="0.25">
      <c r="A487" s="63" t="s">
        <v>790</v>
      </c>
      <c r="B487" s="63" t="s">
        <v>791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793</v>
      </c>
      <c r="B488" s="63" t="s">
        <v>794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795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3" t="s">
        <v>796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hidden="1" customHeight="1" x14ac:dyDescent="0.25">
      <c r="A492" s="724" t="s">
        <v>155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hidden="1" customHeight="1" x14ac:dyDescent="0.25">
      <c r="A493" s="63" t="s">
        <v>797</v>
      </c>
      <c r="B493" s="63" t="s">
        <v>798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799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4" t="s">
        <v>77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hidden="1" customHeight="1" x14ac:dyDescent="0.25">
      <c r="A497" s="63" t="s">
        <v>800</v>
      </c>
      <c r="B497" s="63" t="s">
        <v>801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805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806</v>
      </c>
      <c r="B499" s="63" t="s">
        <v>807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722" t="s">
        <v>808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hidden="1" customHeight="1" x14ac:dyDescent="0.25">
      <c r="A503" s="723" t="s">
        <v>808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hidden="1" customHeight="1" x14ac:dyDescent="0.25">
      <c r="A504" s="724" t="s">
        <v>122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hidden="1" customHeight="1" x14ac:dyDescent="0.25">
      <c r="A505" s="63" t="s">
        <v>809</v>
      </c>
      <c r="B505" s="63" t="s">
        <v>810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820</v>
      </c>
      <c r="B509" s="63" t="s">
        <v>821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823</v>
      </c>
      <c r="B510" s="63" t="s">
        <v>824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826</v>
      </c>
      <c r="B511" s="63" t="s">
        <v>827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828</v>
      </c>
      <c r="B512" s="63" t="s">
        <v>829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830</v>
      </c>
      <c r="B513" s="63" t="s">
        <v>831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24" t="s">
        <v>155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hidden="1" customHeight="1" x14ac:dyDescent="0.25">
      <c r="A517" s="63" t="s">
        <v>832</v>
      </c>
      <c r="B517" s="63" t="s">
        <v>833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834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835</v>
      </c>
      <c r="B518" s="63" t="s">
        <v>836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837</v>
      </c>
      <c r="B519" s="63" t="s">
        <v>838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724" t="s">
        <v>77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hidden="1" customHeight="1" x14ac:dyDescent="0.25">
      <c r="A523" s="63" t="s">
        <v>839</v>
      </c>
      <c r="B523" s="63" t="s">
        <v>840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842</v>
      </c>
      <c r="B524" s="63" t="s">
        <v>843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845</v>
      </c>
      <c r="B525" s="63" t="s">
        <v>846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847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848</v>
      </c>
      <c r="B526" s="63" t="s">
        <v>849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850</v>
      </c>
      <c r="B527" s="63" t="s">
        <v>851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844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850</v>
      </c>
      <c r="B528" s="63" t="s">
        <v>852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853</v>
      </c>
      <c r="B529" s="63" t="s">
        <v>854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847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722" t="s">
        <v>855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hidden="1" customHeight="1" x14ac:dyDescent="0.25">
      <c r="A533" s="723" t="s">
        <v>855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hidden="1" customHeight="1" x14ac:dyDescent="0.25">
      <c r="A534" s="724" t="s">
        <v>122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hidden="1" customHeight="1" x14ac:dyDescent="0.25">
      <c r="A535" s="63" t="s">
        <v>856</v>
      </c>
      <c r="B535" s="63" t="s">
        <v>857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858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24" t="s">
        <v>155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hidden="1" customHeight="1" x14ac:dyDescent="0.25">
      <c r="A539" s="63" t="s">
        <v>859</v>
      </c>
      <c r="B539" s="63" t="s">
        <v>860</v>
      </c>
      <c r="C539" s="36">
        <v>4301020400</v>
      </c>
      <c r="D539" s="725">
        <v>4640242180519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861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4" t="s">
        <v>77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hidden="1" customHeight="1" x14ac:dyDescent="0.25">
      <c r="A543" s="63" t="s">
        <v>862</v>
      </c>
      <c r="B543" s="63" t="s">
        <v>863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134</v>
      </c>
      <c r="L543" s="37" t="s">
        <v>46</v>
      </c>
      <c r="M543" s="38" t="s">
        <v>81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864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24" t="s">
        <v>86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hidden="1" customHeight="1" x14ac:dyDescent="0.25">
      <c r="A547" s="63" t="s">
        <v>865</v>
      </c>
      <c r="B547" s="63" t="s">
        <v>866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45</v>
      </c>
      <c r="P547" s="10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867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24" t="s">
        <v>173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hidden="1" customHeight="1" x14ac:dyDescent="0.25">
      <c r="A551" s="63" t="s">
        <v>868</v>
      </c>
      <c r="B551" s="63" t="s">
        <v>869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10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871</v>
      </c>
      <c r="B552" s="63" t="s">
        <v>872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10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873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723" t="s">
        <v>874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hidden="1" customHeight="1" x14ac:dyDescent="0.25">
      <c r="A556" s="724" t="s">
        <v>155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hidden="1" customHeight="1" x14ac:dyDescent="0.25">
      <c r="A557" s="63" t="s">
        <v>875</v>
      </c>
      <c r="B557" s="63" t="s">
        <v>876</v>
      </c>
      <c r="C557" s="36">
        <v>4301020428</v>
      </c>
      <c r="D557" s="725">
        <v>4640242180090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127</v>
      </c>
      <c r="L557" s="37" t="s">
        <v>46</v>
      </c>
      <c r="M557" s="38" t="s">
        <v>126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877</v>
      </c>
      <c r="AG557" s="78"/>
      <c r="AJ557" s="84" t="s">
        <v>46</v>
      </c>
      <c r="AK557" s="84">
        <v>0</v>
      </c>
      <c r="BB557" s="653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8000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8001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8439.1111111111113</v>
      </c>
      <c r="Y561" s="43">
        <f>IFERROR(SUM(BN22:BN557),"0")</f>
        <v>8440.1659999999993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14</v>
      </c>
      <c r="Y562" s="44">
        <f>ROUNDUP(SUM(BP22:BP557),0)</f>
        <v>14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8789.1111111111113</v>
      </c>
      <c r="Y563" s="43">
        <f>GrossWeightTotalR+PalletQtyTotalR*25</f>
        <v>8790.1659999999993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888.88888888888891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889</v>
      </c>
      <c r="Z564" s="42"/>
      <c r="AA564" s="67"/>
      <c r="AB564" s="67"/>
      <c r="AC564" s="67"/>
    </row>
    <row r="565" spans="1:32" ht="14.25" hidden="1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16.87322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76</v>
      </c>
      <c r="C567" s="85" t="s">
        <v>45</v>
      </c>
      <c r="D567" s="1016" t="s">
        <v>120</v>
      </c>
      <c r="E567" s="1016" t="s">
        <v>120</v>
      </c>
      <c r="F567" s="1016" t="s">
        <v>120</v>
      </c>
      <c r="G567" s="1016" t="s">
        <v>120</v>
      </c>
      <c r="H567" s="1016" t="s">
        <v>120</v>
      </c>
      <c r="I567" s="1016" t="s">
        <v>120</v>
      </c>
      <c r="J567" s="1016" t="s">
        <v>120</v>
      </c>
      <c r="K567" s="1016" t="s">
        <v>360</v>
      </c>
      <c r="L567" s="1016" t="s">
        <v>360</v>
      </c>
      <c r="M567" s="1016" t="s">
        <v>360</v>
      </c>
      <c r="N567" s="1022"/>
      <c r="O567" s="1016" t="s">
        <v>360</v>
      </c>
      <c r="P567" s="1016" t="s">
        <v>360</v>
      </c>
      <c r="Q567" s="1016" t="s">
        <v>360</v>
      </c>
      <c r="R567" s="1016" t="s">
        <v>360</v>
      </c>
      <c r="S567" s="1016" t="s">
        <v>360</v>
      </c>
      <c r="T567" s="1016" t="s">
        <v>360</v>
      </c>
      <c r="U567" s="1016" t="s">
        <v>360</v>
      </c>
      <c r="V567" s="1016" t="s">
        <v>360</v>
      </c>
      <c r="W567" s="1016" t="s">
        <v>706</v>
      </c>
      <c r="X567" s="1016" t="s">
        <v>706</v>
      </c>
      <c r="Y567" s="1016" t="s">
        <v>772</v>
      </c>
      <c r="Z567" s="1016" t="s">
        <v>772</v>
      </c>
      <c r="AA567" s="85" t="s">
        <v>808</v>
      </c>
      <c r="AB567" s="1016" t="s">
        <v>855</v>
      </c>
      <c r="AC567" s="1016" t="s">
        <v>855</v>
      </c>
      <c r="AF567" s="1"/>
    </row>
    <row r="568" spans="1:32" ht="14.25" customHeight="1" thickTop="1" x14ac:dyDescent="0.2">
      <c r="A568" s="1023" t="s">
        <v>10</v>
      </c>
      <c r="B568" s="1016" t="s">
        <v>76</v>
      </c>
      <c r="C568" s="1016" t="s">
        <v>104</v>
      </c>
      <c r="D568" s="1016" t="s">
        <v>121</v>
      </c>
      <c r="E568" s="1016" t="s">
        <v>137</v>
      </c>
      <c r="F568" s="1016" t="s">
        <v>182</v>
      </c>
      <c r="G568" s="1016" t="s">
        <v>209</v>
      </c>
      <c r="H568" s="1016" t="s">
        <v>260</v>
      </c>
      <c r="I568" s="1016" t="s">
        <v>273</v>
      </c>
      <c r="J568" s="1016" t="s">
        <v>120</v>
      </c>
      <c r="K568" s="1016" t="s">
        <v>361</v>
      </c>
      <c r="L568" s="1016" t="s">
        <v>382</v>
      </c>
      <c r="M568" s="1016" t="s">
        <v>449</v>
      </c>
      <c r="N568" s="1"/>
      <c r="O568" s="1016" t="s">
        <v>517</v>
      </c>
      <c r="P568" s="1016" t="s">
        <v>550</v>
      </c>
      <c r="Q568" s="1016" t="s">
        <v>566</v>
      </c>
      <c r="R568" s="1016" t="s">
        <v>575</v>
      </c>
      <c r="S568" s="1016" t="s">
        <v>596</v>
      </c>
      <c r="T568" s="1016" t="s">
        <v>605</v>
      </c>
      <c r="U568" s="1016" t="s">
        <v>689</v>
      </c>
      <c r="V568" s="1016" t="s">
        <v>696</v>
      </c>
      <c r="W568" s="1016" t="s">
        <v>707</v>
      </c>
      <c r="X568" s="1016" t="s">
        <v>756</v>
      </c>
      <c r="Y568" s="1016" t="s">
        <v>773</v>
      </c>
      <c r="Z568" s="1016" t="s">
        <v>796</v>
      </c>
      <c r="AA568" s="1016" t="s">
        <v>808</v>
      </c>
      <c r="AB568" s="1016" t="s">
        <v>855</v>
      </c>
      <c r="AC568" s="1016" t="s">
        <v>874</v>
      </c>
      <c r="AF568" s="1"/>
    </row>
    <row r="569" spans="1:32" ht="13.5" thickBot="1" x14ac:dyDescent="0.25">
      <c r="A569" s="1024"/>
      <c r="B569" s="1016"/>
      <c r="C569" s="1016"/>
      <c r="D569" s="1016"/>
      <c r="E569" s="1016"/>
      <c r="F569" s="1016"/>
      <c r="G569" s="1016"/>
      <c r="H569" s="1016"/>
      <c r="I569" s="1016"/>
      <c r="J569" s="1016"/>
      <c r="K569" s="1016"/>
      <c r="L569" s="1016"/>
      <c r="M569" s="1016"/>
      <c r="N569" s="1"/>
      <c r="O569" s="1016"/>
      <c r="P569" s="1016"/>
      <c r="Q569" s="1016"/>
      <c r="R569" s="1016"/>
      <c r="S569" s="1016"/>
      <c r="T569" s="1016"/>
      <c r="U569" s="1016"/>
      <c r="V569" s="1016"/>
      <c r="W569" s="1016"/>
      <c r="X569" s="1016"/>
      <c r="Y569" s="1016"/>
      <c r="Z569" s="1016"/>
      <c r="AA569" s="1016"/>
      <c r="AB569" s="1016"/>
      <c r="AC569" s="1016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0</v>
      </c>
      <c r="X570" s="52">
        <f>IFERROR(Y461*1,"0")+IFERROR(Y462*1,"0")+IFERROR(Y466*1,"0")+IFERROR(Y470*1,"0")+IFERROR(Y471*1,"0")+IFERROR(Y472*1,"0")</f>
        <v>8001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uSRBYg9xXxrqv8C90DM9Oa/rj+1Bqi3tPUiyCoNW5CabgOmyR0nnyTmgsnQfcB03dcsrj3mCZtUJ4KlxAYg7TQ==" saltValue="qaAKLlgLjq8YotU9e/xdJA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4"/>
        <filter val="8 000,00"/>
        <filter val="8 439,11"/>
        <filter val="8 789,11"/>
        <filter val="888,89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878</v>
      </c>
      <c r="H1" s="9"/>
    </row>
    <row r="3" spans="2:8" x14ac:dyDescent="0.2">
      <c r="B3" s="53" t="s">
        <v>879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881</v>
      </c>
      <c r="C6" s="53" t="s">
        <v>882</v>
      </c>
      <c r="D6" s="53" t="s">
        <v>883</v>
      </c>
      <c r="E6" s="53" t="s">
        <v>46</v>
      </c>
    </row>
    <row r="7" spans="2:8" x14ac:dyDescent="0.2">
      <c r="B7" s="53" t="s">
        <v>884</v>
      </c>
      <c r="C7" s="53" t="s">
        <v>885</v>
      </c>
      <c r="D7" s="53" t="s">
        <v>886</v>
      </c>
      <c r="E7" s="53" t="s">
        <v>46</v>
      </c>
    </row>
    <row r="8" spans="2:8" x14ac:dyDescent="0.2">
      <c r="B8" s="53" t="s">
        <v>887</v>
      </c>
      <c r="C8" s="53" t="s">
        <v>888</v>
      </c>
      <c r="D8" s="53" t="s">
        <v>889</v>
      </c>
      <c r="E8" s="53" t="s">
        <v>46</v>
      </c>
    </row>
    <row r="10" spans="2:8" x14ac:dyDescent="0.2">
      <c r="B10" s="53" t="s">
        <v>890</v>
      </c>
      <c r="C10" s="53" t="s">
        <v>882</v>
      </c>
      <c r="D10" s="53" t="s">
        <v>46</v>
      </c>
      <c r="E10" s="53" t="s">
        <v>46</v>
      </c>
    </row>
    <row r="12" spans="2:8" x14ac:dyDescent="0.2">
      <c r="B12" s="53" t="s">
        <v>891</v>
      </c>
      <c r="C12" s="53" t="s">
        <v>885</v>
      </c>
      <c r="D12" s="53" t="s">
        <v>46</v>
      </c>
      <c r="E12" s="53" t="s">
        <v>46</v>
      </c>
    </row>
    <row r="14" spans="2:8" x14ac:dyDescent="0.2">
      <c r="B14" s="53" t="s">
        <v>892</v>
      </c>
      <c r="C14" s="53" t="s">
        <v>888</v>
      </c>
      <c r="D14" s="53" t="s">
        <v>46</v>
      </c>
      <c r="E14" s="53" t="s">
        <v>46</v>
      </c>
    </row>
    <row r="16" spans="2:8" x14ac:dyDescent="0.2">
      <c r="B16" s="53" t="s">
        <v>893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901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902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903</v>
      </c>
      <c r="C26" s="53" t="s">
        <v>46</v>
      </c>
      <c r="D26" s="53" t="s">
        <v>46</v>
      </c>
      <c r="E26" s="53" t="s">
        <v>46</v>
      </c>
    </row>
  </sheetData>
  <sheetProtection algorithmName="SHA-512" hashValue="3FsORioM+sqRC4kELcvd8fyeJJF6ogeS3manYWGYj1hDADyuVh7eyPm8oM8mrTMoTi4pcOd2UTH0cvwJ6fcA7Q==" saltValue="K+jVcJupVfPn2ZbB5XP8r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2026-08-28T12:37:39Z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