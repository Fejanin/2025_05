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D691BE-8729-49AE-AAAC-0E951FD70C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Y519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N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N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Y334" i="2" s="1"/>
  <c r="P333" i="2"/>
  <c r="BO332" i="2"/>
  <c r="BN332" i="2"/>
  <c r="BM332" i="2"/>
  <c r="Y332" i="2"/>
  <c r="P332" i="2"/>
  <c r="X330" i="2"/>
  <c r="X329" i="2"/>
  <c r="BO328" i="2"/>
  <c r="BM328" i="2"/>
  <c r="Y328" i="2"/>
  <c r="P328" i="2"/>
  <c r="BO327" i="2"/>
  <c r="BN327" i="2"/>
  <c r="BM327" i="2"/>
  <c r="Y327" i="2"/>
  <c r="Z327" i="2" s="1"/>
  <c r="P327" i="2"/>
  <c r="BO326" i="2"/>
  <c r="BM326" i="2"/>
  <c r="Y326" i="2"/>
  <c r="P326" i="2"/>
  <c r="BP325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N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N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N295" i="2"/>
  <c r="BM295" i="2"/>
  <c r="Y295" i="2"/>
  <c r="Y296" i="2" s="1"/>
  <c r="P295" i="2"/>
  <c r="X293" i="2"/>
  <c r="X292" i="2"/>
  <c r="BO291" i="2"/>
  <c r="BN291" i="2"/>
  <c r="BM291" i="2"/>
  <c r="Y291" i="2"/>
  <c r="P291" i="2"/>
  <c r="X289" i="2"/>
  <c r="X288" i="2"/>
  <c r="BO287" i="2"/>
  <c r="BN287" i="2"/>
  <c r="BM287" i="2"/>
  <c r="Y287" i="2"/>
  <c r="Z287" i="2" s="1"/>
  <c r="P287" i="2"/>
  <c r="BO286" i="2"/>
  <c r="BN286" i="2"/>
  <c r="BM286" i="2"/>
  <c r="Y286" i="2"/>
  <c r="BP286" i="2" s="1"/>
  <c r="P286" i="2"/>
  <c r="BP285" i="2"/>
  <c r="BO285" i="2"/>
  <c r="BM285" i="2"/>
  <c r="Y285" i="2"/>
  <c r="P285" i="2"/>
  <c r="BO284" i="2"/>
  <c r="BM284" i="2"/>
  <c r="Z284" i="2"/>
  <c r="Y284" i="2"/>
  <c r="P284" i="2"/>
  <c r="BO283" i="2"/>
  <c r="BM283" i="2"/>
  <c r="Y283" i="2"/>
  <c r="P283" i="2"/>
  <c r="BO282" i="2"/>
  <c r="BN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Z236" i="2"/>
  <c r="Z237" i="2" s="1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Z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Y193" i="2"/>
  <c r="X193" i="2"/>
  <c r="Y192" i="2"/>
  <c r="X192" i="2"/>
  <c r="BP191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Z182" i="2"/>
  <c r="Z183" i="2" s="1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Y167" i="2"/>
  <c r="X167" i="2"/>
  <c r="X166" i="2"/>
  <c r="BO165" i="2"/>
  <c r="BN165" i="2"/>
  <c r="BM165" i="2"/>
  <c r="Z165" i="2"/>
  <c r="Z166" i="2" s="1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Z154" i="2"/>
  <c r="Y154" i="2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Y144" i="2"/>
  <c r="X144" i="2"/>
  <c r="Y143" i="2"/>
  <c r="X143" i="2"/>
  <c r="BP142" i="2"/>
  <c r="BO142" i="2"/>
  <c r="BN142" i="2"/>
  <c r="BM142" i="2"/>
  <c r="Z142" i="2"/>
  <c r="Z143" i="2" s="1"/>
  <c r="Y142" i="2"/>
  <c r="P142" i="2"/>
  <c r="BO141" i="2"/>
  <c r="BN141" i="2"/>
  <c r="BM141" i="2"/>
  <c r="Z141" i="2"/>
  <c r="Y141" i="2"/>
  <c r="BP141" i="2" s="1"/>
  <c r="P141" i="2"/>
  <c r="X139" i="2"/>
  <c r="X138" i="2"/>
  <c r="BO137" i="2"/>
  <c r="BN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Y51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N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N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N308" i="2" l="1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23" i="2" l="1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<sst xmlns="http://schemas.openxmlformats.org/spreadsheetml/2006/main" count="3932" uniqueCount="844">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</sst>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5"/>
  <sheetViews>
    <sheetView showGridLines="0" tabSelected="1" zoomScaleNormal="100" zoomScaleSheetLayoutView="100" workbookViewId="0">
      <selection activeCell="Q6" sqref="Q6:R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5" t="s">
        <v>26</v>
      </c>
      <c r="E1" s="925"/>
      <c r="F1" s="925"/>
      <c r="G1" s="14" t="s">
        <v>67</v>
      </c>
      <c r="H1" s="925" t="s">
        <v>47</v>
      </c>
      <c r="I1" s="925"/>
      <c r="J1" s="925"/>
      <c r="K1" s="925"/>
      <c r="L1" s="925"/>
      <c r="M1" s="925"/>
      <c r="N1" s="925"/>
      <c r="O1" s="925"/>
      <c r="P1" s="925"/>
      <c r="Q1" s="925"/>
      <c r="R1" s="926" t="s">
        <v>68</v>
      </c>
      <c r="S1" s="927"/>
      <c r="T1" s="92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8"/>
      <c r="R2" s="928"/>
      <c r="S2" s="928"/>
      <c r="T2" s="928"/>
      <c r="U2" s="928"/>
      <c r="V2" s="928"/>
      <c r="W2" s="92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8"/>
      <c r="Q3" s="928"/>
      <c r="R3" s="928"/>
      <c r="S3" s="928"/>
      <c r="T3" s="928"/>
      <c r="U3" s="928"/>
      <c r="V3" s="928"/>
      <c r="W3" s="92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7" t="s">
        <v>8</v>
      </c>
      <c r="B5" s="907"/>
      <c r="C5" s="907"/>
      <c r="D5" s="929"/>
      <c r="E5" s="929"/>
      <c r="F5" s="930" t="s">
        <v>14</v>
      </c>
      <c r="G5" s="930"/>
      <c r="H5" s="929"/>
      <c r="I5" s="929"/>
      <c r="J5" s="929"/>
      <c r="K5" s="929"/>
      <c r="L5" s="929"/>
      <c r="M5" s="929"/>
      <c r="N5" s="69"/>
      <c r="P5" s="26" t="s">
        <v>4</v>
      </c>
      <c r="Q5" s="931">
        <v>46240</v>
      </c>
      <c r="R5" s="931"/>
      <c r="T5" s="932" t="s">
        <v>3</v>
      </c>
      <c r="U5" s="933"/>
      <c r="V5" s="934" t="s">
        <v>820</v>
      </c>
      <c r="W5" s="935"/>
      <c r="AB5" s="57"/>
      <c r="AC5" s="57"/>
      <c r="AD5" s="57"/>
      <c r="AE5" s="57"/>
    </row>
    <row r="6" spans="1:32" s="17" customFormat="1" ht="24" customHeight="1" x14ac:dyDescent="0.2">
      <c r="A6" s="907" t="s">
        <v>1</v>
      </c>
      <c r="B6" s="907"/>
      <c r="C6" s="907"/>
      <c r="D6" s="908" t="s">
        <v>827</v>
      </c>
      <c r="E6" s="908"/>
      <c r="F6" s="908"/>
      <c r="G6" s="908"/>
      <c r="H6" s="908"/>
      <c r="I6" s="908"/>
      <c r="J6" s="908"/>
      <c r="K6" s="908"/>
      <c r="L6" s="908"/>
      <c r="M6" s="908"/>
      <c r="N6" s="70"/>
      <c r="P6" s="26" t="s">
        <v>27</v>
      </c>
      <c r="Q6" s="909" t="str">
        <f>IF(Q5=0," ",CHOOSE(WEEKDAY(Q5,2),"Понедельник","Вторник","Среда","Четверг","Пятница","Суббота","Воскресенье"))</f>
        <v>Четверг</v>
      </c>
      <c r="R6" s="909"/>
      <c r="T6" s="910" t="s">
        <v>5</v>
      </c>
      <c r="U6" s="911"/>
      <c r="V6" s="912" t="s">
        <v>70</v>
      </c>
      <c r="W6" s="9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8" t="str">
        <f>IFERROR(VLOOKUP(DeliveryAddress,Table,3,0),1)</f>
        <v>3</v>
      </c>
      <c r="E7" s="919"/>
      <c r="F7" s="919"/>
      <c r="G7" s="919"/>
      <c r="H7" s="919"/>
      <c r="I7" s="919"/>
      <c r="J7" s="919"/>
      <c r="K7" s="919"/>
      <c r="L7" s="919"/>
      <c r="M7" s="920"/>
      <c r="N7" s="71"/>
      <c r="P7" s="26"/>
      <c r="Q7" s="46"/>
      <c r="R7" s="46"/>
      <c r="T7" s="910"/>
      <c r="U7" s="911"/>
      <c r="V7" s="914"/>
      <c r="W7" s="915"/>
      <c r="AB7" s="57"/>
      <c r="AC7" s="57"/>
      <c r="AD7" s="57"/>
      <c r="AE7" s="57"/>
    </row>
    <row r="8" spans="1:32" s="17" customFormat="1" ht="25.5" customHeight="1" x14ac:dyDescent="0.2">
      <c r="A8" s="921" t="s">
        <v>58</v>
      </c>
      <c r="B8" s="921"/>
      <c r="C8" s="921"/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72"/>
      <c r="P8" s="26" t="s">
        <v>11</v>
      </c>
      <c r="Q8" s="905"/>
      <c r="R8" s="905"/>
      <c r="T8" s="910"/>
      <c r="U8" s="911"/>
      <c r="V8" s="914"/>
      <c r="W8" s="915"/>
      <c r="AB8" s="57"/>
      <c r="AC8" s="57"/>
      <c r="AD8" s="57"/>
      <c r="AE8" s="57"/>
    </row>
    <row r="9" spans="1:32" s="17" customFormat="1" ht="39.950000000000003" customHeight="1" x14ac:dyDescent="0.2">
      <c r="A9" s="8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7"/>
      <c r="C9" s="897"/>
      <c r="D9" s="898" t="s">
        <v>46</v>
      </c>
      <c r="E9" s="899"/>
      <c r="F9" s="8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7"/>
      <c r="H9" s="923" t="str">
        <f>IF(AND($A$9="Тип доверенности/получателя при получении в адресе перегруза:",$D$9="Разовая доверенность"),"Введите ФИО","")</f>
        <v/>
      </c>
      <c r="I9" s="923"/>
      <c r="J9" s="9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3"/>
      <c r="L9" s="923"/>
      <c r="M9" s="923"/>
      <c r="N9" s="67"/>
      <c r="P9" s="29" t="s">
        <v>15</v>
      </c>
      <c r="Q9" s="924"/>
      <c r="R9" s="924"/>
      <c r="T9" s="910"/>
      <c r="U9" s="911"/>
      <c r="V9" s="916"/>
      <c r="W9" s="9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7"/>
      <c r="C10" s="897"/>
      <c r="D10" s="898"/>
      <c r="E10" s="899"/>
      <c r="F10" s="8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7"/>
      <c r="H10" s="900" t="str">
        <f>IFERROR(VLOOKUP($D$10,Proxy,2,FALSE),"")</f>
        <v/>
      </c>
      <c r="I10" s="900"/>
      <c r="J10" s="900"/>
      <c r="K10" s="900"/>
      <c r="L10" s="900"/>
      <c r="M10" s="900"/>
      <c r="N10" s="68"/>
      <c r="P10" s="29" t="s">
        <v>32</v>
      </c>
      <c r="Q10" s="901"/>
      <c r="R10" s="901"/>
      <c r="U10" s="26" t="s">
        <v>12</v>
      </c>
      <c r="V10" s="902" t="s">
        <v>71</v>
      </c>
      <c r="W10" s="9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4"/>
      <c r="R11" s="904"/>
      <c r="U11" s="26" t="s">
        <v>28</v>
      </c>
      <c r="V11" s="883" t="s">
        <v>55</v>
      </c>
      <c r="W11" s="8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2" t="s">
        <v>72</v>
      </c>
      <c r="B12" s="882"/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73"/>
      <c r="P12" s="26" t="s">
        <v>30</v>
      </c>
      <c r="Q12" s="905"/>
      <c r="R12" s="905"/>
      <c r="S12" s="27"/>
      <c r="T12"/>
      <c r="U12" s="26" t="s">
        <v>46</v>
      </c>
      <c r="V12" s="906"/>
      <c r="W12" s="906"/>
      <c r="X12"/>
      <c r="AB12" s="57"/>
      <c r="AC12" s="57"/>
      <c r="AD12" s="57"/>
      <c r="AE12" s="57"/>
    </row>
    <row r="13" spans="1:32" s="17" customFormat="1" ht="23.25" customHeight="1" x14ac:dyDescent="0.2">
      <c r="A13" s="882" t="s">
        <v>73</v>
      </c>
      <c r="B13" s="882"/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73"/>
      <c r="O13" s="29"/>
      <c r="P13" s="29" t="s">
        <v>31</v>
      </c>
      <c r="Q13" s="883"/>
      <c r="R13" s="8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2" t="s">
        <v>74</v>
      </c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4" t="s">
        <v>75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74"/>
      <c r="O15"/>
      <c r="P15" s="885" t="s">
        <v>61</v>
      </c>
      <c r="Q15" s="885"/>
      <c r="R15" s="885"/>
      <c r="S15" s="885"/>
      <c r="T15" s="8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6"/>
      <c r="Q16" s="886"/>
      <c r="R16" s="886"/>
      <c r="S16" s="886"/>
      <c r="T16" s="8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8" t="s">
        <v>59</v>
      </c>
      <c r="B17" s="868" t="s">
        <v>49</v>
      </c>
      <c r="C17" s="889" t="s">
        <v>48</v>
      </c>
      <c r="D17" s="891" t="s">
        <v>50</v>
      </c>
      <c r="E17" s="892"/>
      <c r="F17" s="868" t="s">
        <v>21</v>
      </c>
      <c r="G17" s="868" t="s">
        <v>24</v>
      </c>
      <c r="H17" s="868" t="s">
        <v>22</v>
      </c>
      <c r="I17" s="868" t="s">
        <v>23</v>
      </c>
      <c r="J17" s="868" t="s">
        <v>16</v>
      </c>
      <c r="K17" s="868" t="s">
        <v>66</v>
      </c>
      <c r="L17" s="868" t="s">
        <v>64</v>
      </c>
      <c r="M17" s="868" t="s">
        <v>2</v>
      </c>
      <c r="N17" s="868" t="s">
        <v>63</v>
      </c>
      <c r="O17" s="868" t="s">
        <v>25</v>
      </c>
      <c r="P17" s="891" t="s">
        <v>17</v>
      </c>
      <c r="Q17" s="895"/>
      <c r="R17" s="895"/>
      <c r="S17" s="895"/>
      <c r="T17" s="892"/>
      <c r="U17" s="887" t="s">
        <v>56</v>
      </c>
      <c r="V17" s="888"/>
      <c r="W17" s="868" t="s">
        <v>6</v>
      </c>
      <c r="X17" s="868" t="s">
        <v>41</v>
      </c>
      <c r="Y17" s="870" t="s">
        <v>54</v>
      </c>
      <c r="Z17" s="872" t="s">
        <v>18</v>
      </c>
      <c r="AA17" s="874" t="s">
        <v>60</v>
      </c>
      <c r="AB17" s="874" t="s">
        <v>19</v>
      </c>
      <c r="AC17" s="874" t="s">
        <v>65</v>
      </c>
      <c r="AD17" s="876" t="s">
        <v>57</v>
      </c>
      <c r="AE17" s="877"/>
      <c r="AF17" s="878"/>
      <c r="AG17" s="77"/>
      <c r="BD17" s="76" t="s">
        <v>62</v>
      </c>
    </row>
    <row r="18" spans="1:68" ht="14.25" customHeight="1" x14ac:dyDescent="0.2">
      <c r="A18" s="869"/>
      <c r="B18" s="869"/>
      <c r="C18" s="890"/>
      <c r="D18" s="893"/>
      <c r="E18" s="894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93"/>
      <c r="Q18" s="896"/>
      <c r="R18" s="896"/>
      <c r="S18" s="896"/>
      <c r="T18" s="894"/>
      <c r="U18" s="78" t="s">
        <v>44</v>
      </c>
      <c r="V18" s="78" t="s">
        <v>43</v>
      </c>
      <c r="W18" s="869"/>
      <c r="X18" s="869"/>
      <c r="Y18" s="871"/>
      <c r="Z18" s="873"/>
      <c r="AA18" s="875"/>
      <c r="AB18" s="875"/>
      <c r="AC18" s="875"/>
      <c r="AD18" s="879"/>
      <c r="AE18" s="880"/>
      <c r="AF18" s="881"/>
      <c r="AG18" s="77"/>
      <c r="BD18" s="76"/>
    </row>
    <row r="19" spans="1:68" ht="27.75" customHeight="1" x14ac:dyDescent="0.2">
      <c r="A19" s="617" t="s">
        <v>76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0" t="s">
        <v>76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2"/>
      <c r="AB20" s="62"/>
      <c r="AC20" s="62"/>
    </row>
    <row r="21" spans="1:68" ht="14.25" customHeight="1" x14ac:dyDescent="0.25">
      <c r="A21" s="611" t="s">
        <v>77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4301031508</v>
      </c>
      <c r="D22" s="606">
        <v>4680115889071</v>
      </c>
      <c r="E22" s="606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865" t="s">
        <v>80</v>
      </c>
      <c r="Q22" s="608"/>
      <c r="R22" s="608"/>
      <c r="S22" s="608"/>
      <c r="T22" s="60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85</v>
      </c>
      <c r="B23" s="60" t="s">
        <v>86</v>
      </c>
      <c r="C23" s="34">
        <v>4301031446</v>
      </c>
      <c r="D23" s="606">
        <v>4680115887510</v>
      </c>
      <c r="E23" s="606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8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08"/>
      <c r="R23" s="608"/>
      <c r="S23" s="608"/>
      <c r="T23" s="60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89</v>
      </c>
      <c r="B24" s="60" t="s">
        <v>90</v>
      </c>
      <c r="C24" s="34">
        <v>4301031278</v>
      </c>
      <c r="D24" s="606">
        <v>4680115886643</v>
      </c>
      <c r="E24" s="606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8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08"/>
      <c r="R24" s="608"/>
      <c r="S24" s="608"/>
      <c r="T24" s="609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x14ac:dyDescent="0.2">
      <c r="A25" s="600"/>
      <c r="B25" s="600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1"/>
      <c r="P25" s="597" t="s">
        <v>40</v>
      </c>
      <c r="Q25" s="598"/>
      <c r="R25" s="598"/>
      <c r="S25" s="598"/>
      <c r="T25" s="598"/>
      <c r="U25" s="598"/>
      <c r="V25" s="599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x14ac:dyDescent="0.2">
      <c r="A26" s="600"/>
      <c r="B26" s="600"/>
      <c r="C26" s="600"/>
      <c r="D26" s="600"/>
      <c r="E26" s="600"/>
      <c r="F26" s="600"/>
      <c r="G26" s="600"/>
      <c r="H26" s="600"/>
      <c r="I26" s="600"/>
      <c r="J26" s="600"/>
      <c r="K26" s="600"/>
      <c r="L26" s="600"/>
      <c r="M26" s="600"/>
      <c r="N26" s="600"/>
      <c r="O26" s="601"/>
      <c r="P26" s="597" t="s">
        <v>40</v>
      </c>
      <c r="Q26" s="598"/>
      <c r="R26" s="598"/>
      <c r="S26" s="598"/>
      <c r="T26" s="598"/>
      <c r="U26" s="598"/>
      <c r="V26" s="599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customHeight="1" x14ac:dyDescent="0.25">
      <c r="A27" s="611" t="s">
        <v>92</v>
      </c>
      <c r="B27" s="611"/>
      <c r="C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611"/>
      <c r="Y27" s="611"/>
      <c r="Z27" s="611"/>
      <c r="AA27" s="63"/>
      <c r="AB27" s="63"/>
      <c r="AC27" s="63"/>
    </row>
    <row r="28" spans="1:68" ht="27" customHeight="1" x14ac:dyDescent="0.25">
      <c r="A28" s="60" t="s">
        <v>93</v>
      </c>
      <c r="B28" s="60" t="s">
        <v>94</v>
      </c>
      <c r="C28" s="34">
        <v>4301051866</v>
      </c>
      <c r="D28" s="606">
        <v>4680115885912</v>
      </c>
      <c r="E28" s="60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8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8"/>
      <c r="R28" s="608"/>
      <c r="S28" s="608"/>
      <c r="T28" s="60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customHeight="1" x14ac:dyDescent="0.25">
      <c r="A29" s="60" t="s">
        <v>97</v>
      </c>
      <c r="B29" s="60" t="s">
        <v>98</v>
      </c>
      <c r="C29" s="34">
        <v>4301051776</v>
      </c>
      <c r="D29" s="606">
        <v>4607091388237</v>
      </c>
      <c r="E29" s="606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8"/>
      <c r="R29" s="608"/>
      <c r="S29" s="608"/>
      <c r="T29" s="609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99</v>
      </c>
      <c r="B30" s="60" t="s">
        <v>100</v>
      </c>
      <c r="C30" s="34">
        <v>4301052063</v>
      </c>
      <c r="D30" s="606">
        <v>4680115887350</v>
      </c>
      <c r="E30" s="60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8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8"/>
      <c r="R30" s="608"/>
      <c r="S30" s="608"/>
      <c r="T30" s="609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103</v>
      </c>
      <c r="B31" s="60" t="s">
        <v>104</v>
      </c>
      <c r="C31" s="34">
        <v>4301051912</v>
      </c>
      <c r="D31" s="606">
        <v>4680115886230</v>
      </c>
      <c r="E31" s="606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86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8"/>
      <c r="R31" s="608"/>
      <c r="S31" s="608"/>
      <c r="T31" s="609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106</v>
      </c>
      <c r="B32" s="60" t="s">
        <v>107</v>
      </c>
      <c r="C32" s="34">
        <v>4301051919</v>
      </c>
      <c r="D32" s="606">
        <v>4680115886278</v>
      </c>
      <c r="E32" s="606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85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8"/>
      <c r="R32" s="608"/>
      <c r="S32" s="608"/>
      <c r="T32" s="609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customHeight="1" x14ac:dyDescent="0.25">
      <c r="A33" s="60" t="s">
        <v>108</v>
      </c>
      <c r="B33" s="60" t="s">
        <v>109</v>
      </c>
      <c r="C33" s="34">
        <v>4301051913</v>
      </c>
      <c r="D33" s="606">
        <v>4680115886247</v>
      </c>
      <c r="E33" s="606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85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8"/>
      <c r="R33" s="608"/>
      <c r="S33" s="608"/>
      <c r="T33" s="609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customHeight="1" x14ac:dyDescent="0.25">
      <c r="A34" s="60" t="s">
        <v>111</v>
      </c>
      <c r="B34" s="60" t="s">
        <v>112</v>
      </c>
      <c r="C34" s="34">
        <v>4301051863</v>
      </c>
      <c r="D34" s="606">
        <v>4680115885905</v>
      </c>
      <c r="E34" s="606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8"/>
      <c r="R34" s="608"/>
      <c r="S34" s="608"/>
      <c r="T34" s="609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customHeight="1" x14ac:dyDescent="0.25">
      <c r="A35" s="60" t="s">
        <v>114</v>
      </c>
      <c r="B35" s="60" t="s">
        <v>115</v>
      </c>
      <c r="C35" s="34">
        <v>4301052078</v>
      </c>
      <c r="D35" s="606">
        <v>4680115887657</v>
      </c>
      <c r="E35" s="606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85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8"/>
      <c r="R35" s="608"/>
      <c r="S35" s="608"/>
      <c r="T35" s="609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customHeight="1" x14ac:dyDescent="0.25">
      <c r="A36" s="60" t="s">
        <v>117</v>
      </c>
      <c r="B36" s="60" t="s">
        <v>118</v>
      </c>
      <c r="C36" s="34">
        <v>4301052197</v>
      </c>
      <c r="D36" s="606">
        <v>4680115888326</v>
      </c>
      <c r="E36" s="606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860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08"/>
      <c r="R36" s="608"/>
      <c r="S36" s="608"/>
      <c r="T36" s="609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customHeight="1" x14ac:dyDescent="0.25">
      <c r="A37" s="60" t="s">
        <v>120</v>
      </c>
      <c r="B37" s="60" t="s">
        <v>121</v>
      </c>
      <c r="C37" s="34">
        <v>4301052071</v>
      </c>
      <c r="D37" s="606">
        <v>4680115887619</v>
      </c>
      <c r="E37" s="606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8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08"/>
      <c r="R37" s="608"/>
      <c r="S37" s="608"/>
      <c r="T37" s="60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x14ac:dyDescent="0.2">
      <c r="A38" s="600"/>
      <c r="B38" s="600"/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1"/>
      <c r="P38" s="597" t="s">
        <v>40</v>
      </c>
      <c r="Q38" s="598"/>
      <c r="R38" s="598"/>
      <c r="S38" s="598"/>
      <c r="T38" s="598"/>
      <c r="U38" s="598"/>
      <c r="V38" s="599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x14ac:dyDescent="0.2">
      <c r="A39" s="600"/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1"/>
      <c r="P39" s="597" t="s">
        <v>40</v>
      </c>
      <c r="Q39" s="598"/>
      <c r="R39" s="598"/>
      <c r="S39" s="598"/>
      <c r="T39" s="598"/>
      <c r="U39" s="598"/>
      <c r="V39" s="599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customHeight="1" x14ac:dyDescent="0.25">
      <c r="A40" s="611" t="s">
        <v>123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3"/>
      <c r="AB40" s="63"/>
      <c r="AC40" s="63"/>
    </row>
    <row r="41" spans="1:68" ht="27" customHeight="1" x14ac:dyDescent="0.25">
      <c r="A41" s="60" t="s">
        <v>124</v>
      </c>
      <c r="B41" s="60" t="s">
        <v>125</v>
      </c>
      <c r="C41" s="34">
        <v>4301032013</v>
      </c>
      <c r="D41" s="606">
        <v>4607091388503</v>
      </c>
      <c r="E41" s="606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8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08"/>
      <c r="R41" s="608"/>
      <c r="S41" s="608"/>
      <c r="T41" s="60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00"/>
      <c r="B42" s="600"/>
      <c r="C42" s="600"/>
      <c r="D42" s="600"/>
      <c r="E42" s="600"/>
      <c r="F42" s="600"/>
      <c r="G42" s="600"/>
      <c r="H42" s="600"/>
      <c r="I42" s="600"/>
      <c r="J42" s="600"/>
      <c r="K42" s="600"/>
      <c r="L42" s="600"/>
      <c r="M42" s="600"/>
      <c r="N42" s="600"/>
      <c r="O42" s="601"/>
      <c r="P42" s="597" t="s">
        <v>40</v>
      </c>
      <c r="Q42" s="598"/>
      <c r="R42" s="598"/>
      <c r="S42" s="598"/>
      <c r="T42" s="598"/>
      <c r="U42" s="598"/>
      <c r="V42" s="599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x14ac:dyDescent="0.2">
      <c r="A43" s="600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1"/>
      <c r="P43" s="597" t="s">
        <v>40</v>
      </c>
      <c r="Q43" s="598"/>
      <c r="R43" s="598"/>
      <c r="S43" s="598"/>
      <c r="T43" s="598"/>
      <c r="U43" s="598"/>
      <c r="V43" s="599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customHeight="1" x14ac:dyDescent="0.2">
      <c r="A44" s="617" t="s">
        <v>45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52"/>
      <c r="AB44" s="52"/>
      <c r="AC44" s="52"/>
    </row>
    <row r="45" spans="1:68" ht="16.5" customHeight="1" x14ac:dyDescent="0.25">
      <c r="A45" s="610" t="s">
        <v>129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2"/>
      <c r="AB45" s="62"/>
      <c r="AC45" s="62"/>
    </row>
    <row r="46" spans="1:68" ht="14.25" customHeight="1" x14ac:dyDescent="0.25">
      <c r="A46" s="611" t="s">
        <v>92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3"/>
      <c r="AB46" s="63"/>
      <c r="AC46" s="63"/>
    </row>
    <row r="47" spans="1:68" ht="27" customHeight="1" x14ac:dyDescent="0.25">
      <c r="A47" s="60" t="s">
        <v>131</v>
      </c>
      <c r="B47" s="60" t="s">
        <v>132</v>
      </c>
      <c r="C47" s="34">
        <v>4301052202</v>
      </c>
      <c r="D47" s="606">
        <v>4680115888494</v>
      </c>
      <c r="E47" s="606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851" t="s">
        <v>133</v>
      </c>
      <c r="Q47" s="608"/>
      <c r="R47" s="608"/>
      <c r="S47" s="608"/>
      <c r="T47" s="609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customHeight="1" x14ac:dyDescent="0.25">
      <c r="A48" s="60" t="s">
        <v>135</v>
      </c>
      <c r="B48" s="60" t="s">
        <v>136</v>
      </c>
      <c r="C48" s="34">
        <v>4301052198</v>
      </c>
      <c r="D48" s="606">
        <v>4680115888463</v>
      </c>
      <c r="E48" s="606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8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08"/>
      <c r="R48" s="608"/>
      <c r="S48" s="608"/>
      <c r="T48" s="60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138</v>
      </c>
      <c r="B49" s="60" t="s">
        <v>139</v>
      </c>
      <c r="C49" s="34">
        <v>4301052184</v>
      </c>
      <c r="D49" s="606">
        <v>4680115888272</v>
      </c>
      <c r="E49" s="606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85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08"/>
      <c r="R49" s="608"/>
      <c r="S49" s="608"/>
      <c r="T49" s="60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141</v>
      </c>
      <c r="B50" s="60" t="s">
        <v>142</v>
      </c>
      <c r="C50" s="34">
        <v>4301052188</v>
      </c>
      <c r="D50" s="606">
        <v>4680115888364</v>
      </c>
      <c r="E50" s="606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08"/>
      <c r="R50" s="608"/>
      <c r="S50" s="608"/>
      <c r="T50" s="60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00"/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600"/>
      <c r="M51" s="600"/>
      <c r="N51" s="600"/>
      <c r="O51" s="601"/>
      <c r="P51" s="597" t="s">
        <v>40</v>
      </c>
      <c r="Q51" s="598"/>
      <c r="R51" s="598"/>
      <c r="S51" s="598"/>
      <c r="T51" s="598"/>
      <c r="U51" s="598"/>
      <c r="V51" s="599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1"/>
      <c r="P52" s="597" t="s">
        <v>40</v>
      </c>
      <c r="Q52" s="598"/>
      <c r="R52" s="598"/>
      <c r="S52" s="598"/>
      <c r="T52" s="598"/>
      <c r="U52" s="598"/>
      <c r="V52" s="599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customHeight="1" x14ac:dyDescent="0.2">
      <c r="A53" s="617" t="s">
        <v>144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52"/>
      <c r="AB53" s="52"/>
      <c r="AC53" s="52"/>
    </row>
    <row r="54" spans="1:68" ht="16.5" customHeight="1" x14ac:dyDescent="0.25">
      <c r="A54" s="610" t="s">
        <v>145</v>
      </c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610"/>
      <c r="W54" s="610"/>
      <c r="X54" s="610"/>
      <c r="Y54" s="610"/>
      <c r="Z54" s="610"/>
      <c r="AA54" s="62"/>
      <c r="AB54" s="62"/>
      <c r="AC54" s="62"/>
    </row>
    <row r="55" spans="1:68" ht="14.25" customHeight="1" x14ac:dyDescent="0.25">
      <c r="A55" s="611" t="s">
        <v>146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06">
        <v>4607091385670</v>
      </c>
      <c r="E56" s="60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08"/>
      <c r="R56" s="608"/>
      <c r="S56" s="608"/>
      <c r="T56" s="609"/>
      <c r="U56" s="37" t="s">
        <v>46</v>
      </c>
      <c r="V56" s="37" t="s">
        <v>46</v>
      </c>
      <c r="W56" s="38" t="s">
        <v>0</v>
      </c>
      <c r="X56" s="56">
        <v>180</v>
      </c>
      <c r="Y56" s="53">
        <f>IFERROR(IF(X56="",0,CEILING((X56/$H56),1)*$H56),"")</f>
        <v>183.60000000000002</v>
      </c>
      <c r="Z56" s="39">
        <f>IFERROR(IF(Y56=0,"",ROUNDUP(Y56/H56,0)*0.01898),"")</f>
        <v>0.32266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186.83333333333334</v>
      </c>
      <c r="BN56" s="75">
        <f>IFERROR(Y56*I56/H56,"0")</f>
        <v>190.57000000000002</v>
      </c>
      <c r="BO56" s="75">
        <f>IFERROR(1/J56*(X56/H56),"0")</f>
        <v>0.26041666666666663</v>
      </c>
      <c r="BP56" s="75">
        <f>IFERROR(1/J56*(Y56/H56),"0")</f>
        <v>0.265625</v>
      </c>
    </row>
    <row r="57" spans="1:68" ht="27" customHeight="1" x14ac:dyDescent="0.25">
      <c r="A57" s="60" t="s">
        <v>152</v>
      </c>
      <c r="B57" s="60" t="s">
        <v>153</v>
      </c>
      <c r="C57" s="34">
        <v>4301012053</v>
      </c>
      <c r="D57" s="606">
        <v>4680115887725</v>
      </c>
      <c r="E57" s="606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8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08"/>
      <c r="R57" s="608"/>
      <c r="S57" s="608"/>
      <c r="T57" s="609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06">
        <v>4607091385687</v>
      </c>
      <c r="E58" s="60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8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08"/>
      <c r="R58" s="608"/>
      <c r="S58" s="608"/>
      <c r="T58" s="609"/>
      <c r="U58" s="37" t="s">
        <v>46</v>
      </c>
      <c r="V58" s="37" t="s">
        <v>46</v>
      </c>
      <c r="W58" s="38" t="s">
        <v>0</v>
      </c>
      <c r="X58" s="56">
        <v>24</v>
      </c>
      <c r="Y58" s="53">
        <f>IFERROR(IF(X58="",0,CEILING((X58/$H58),1)*$H58),"")</f>
        <v>24</v>
      </c>
      <c r="Z58" s="39">
        <f>IFERROR(IF(Y58=0,"",ROUNDUP(Y58/H58,0)*0.00902),"")</f>
        <v>5.4120000000000001E-2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25.14</v>
      </c>
      <c r="BN58" s="75">
        <f>IFERROR(Y58*I58/H58,"0")</f>
        <v>25.14</v>
      </c>
      <c r="BO58" s="75">
        <f>IFERROR(1/J58*(X58/H58),"0")</f>
        <v>4.5454545454545456E-2</v>
      </c>
      <c r="BP58" s="75">
        <f>IFERROR(1/J58*(Y58/H58),"0")</f>
        <v>4.5454545454545456E-2</v>
      </c>
    </row>
    <row r="59" spans="1:68" ht="27" customHeight="1" x14ac:dyDescent="0.25">
      <c r="A59" s="60" t="s">
        <v>159</v>
      </c>
      <c r="B59" s="60" t="s">
        <v>160</v>
      </c>
      <c r="C59" s="34">
        <v>4301011565</v>
      </c>
      <c r="D59" s="606">
        <v>4680115882539</v>
      </c>
      <c r="E59" s="606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8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08"/>
      <c r="R59" s="608"/>
      <c r="S59" s="608"/>
      <c r="T59" s="609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1"/>
      <c r="P60" s="597" t="s">
        <v>40</v>
      </c>
      <c r="Q60" s="598"/>
      <c r="R60" s="598"/>
      <c r="S60" s="598"/>
      <c r="T60" s="598"/>
      <c r="U60" s="598"/>
      <c r="V60" s="599"/>
      <c r="W60" s="40" t="s">
        <v>39</v>
      </c>
      <c r="X60" s="41">
        <f>IFERROR(X56/H56,"0")+IFERROR(X57/H57,"0")+IFERROR(X58/H58,"0")+IFERROR(X59/H59,"0")</f>
        <v>22.666666666666664</v>
      </c>
      <c r="Y60" s="41">
        <f>IFERROR(Y56/H56,"0")+IFERROR(Y57/H57,"0")+IFERROR(Y58/H58,"0")+IFERROR(Y59/H59,"0")</f>
        <v>23</v>
      </c>
      <c r="Z60" s="41">
        <f>IFERROR(IF(Z56="",0,Z56),"0")+IFERROR(IF(Z57="",0,Z57),"0")+IFERROR(IF(Z58="",0,Z58),"0")+IFERROR(IF(Z59="",0,Z59),"0")</f>
        <v>0.37678</v>
      </c>
      <c r="AA60" s="64"/>
      <c r="AB60" s="64"/>
      <c r="AC60" s="64"/>
    </row>
    <row r="61" spans="1:68" x14ac:dyDescent="0.2">
      <c r="A61" s="600"/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  <c r="O61" s="601"/>
      <c r="P61" s="597" t="s">
        <v>40</v>
      </c>
      <c r="Q61" s="598"/>
      <c r="R61" s="598"/>
      <c r="S61" s="598"/>
      <c r="T61" s="598"/>
      <c r="U61" s="598"/>
      <c r="V61" s="599"/>
      <c r="W61" s="40" t="s">
        <v>0</v>
      </c>
      <c r="X61" s="41">
        <f>IFERROR(SUM(X56:X59),"0")</f>
        <v>204</v>
      </c>
      <c r="Y61" s="41">
        <f>IFERROR(SUM(Y56:Y59),"0")</f>
        <v>207.60000000000002</v>
      </c>
      <c r="Z61" s="40"/>
      <c r="AA61" s="64"/>
      <c r="AB61" s="64"/>
      <c r="AC61" s="64"/>
    </row>
    <row r="62" spans="1:68" ht="16.5" customHeight="1" x14ac:dyDescent="0.25">
      <c r="A62" s="610" t="s">
        <v>161</v>
      </c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  <c r="S62" s="610"/>
      <c r="T62" s="610"/>
      <c r="U62" s="610"/>
      <c r="V62" s="610"/>
      <c r="W62" s="610"/>
      <c r="X62" s="610"/>
      <c r="Y62" s="610"/>
      <c r="Z62" s="610"/>
      <c r="AA62" s="62"/>
      <c r="AB62" s="62"/>
      <c r="AC62" s="62"/>
    </row>
    <row r="63" spans="1:68" ht="14.25" customHeight="1" x14ac:dyDescent="0.25">
      <c r="A63" s="611" t="s">
        <v>146</v>
      </c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06">
        <v>4680115885882</v>
      </c>
      <c r="E64" s="606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8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08"/>
      <c r="R64" s="608"/>
      <c r="S64" s="608"/>
      <c r="T64" s="609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06">
        <v>4680115881426</v>
      </c>
      <c r="E65" s="60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8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8"/>
      <c r="R65" s="608"/>
      <c r="S65" s="608"/>
      <c r="T65" s="609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customHeight="1" x14ac:dyDescent="0.25">
      <c r="A66" s="60" t="s">
        <v>168</v>
      </c>
      <c r="B66" s="60" t="s">
        <v>169</v>
      </c>
      <c r="C66" s="34">
        <v>4301011386</v>
      </c>
      <c r="D66" s="606">
        <v>4680115880283</v>
      </c>
      <c r="E66" s="606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8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8"/>
      <c r="R66" s="608"/>
      <c r="S66" s="608"/>
      <c r="T66" s="609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customHeight="1" x14ac:dyDescent="0.25">
      <c r="A67" s="60" t="s">
        <v>171</v>
      </c>
      <c r="B67" s="60" t="s">
        <v>172</v>
      </c>
      <c r="C67" s="34">
        <v>4301011806</v>
      </c>
      <c r="D67" s="606">
        <v>4680115881525</v>
      </c>
      <c r="E67" s="606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8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8"/>
      <c r="R67" s="608"/>
      <c r="S67" s="608"/>
      <c r="T67" s="609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customHeight="1" x14ac:dyDescent="0.25">
      <c r="A68" s="60" t="s">
        <v>174</v>
      </c>
      <c r="B68" s="60" t="s">
        <v>175</v>
      </c>
      <c r="C68" s="34">
        <v>4301011589</v>
      </c>
      <c r="D68" s="606">
        <v>4680115885899</v>
      </c>
      <c r="E68" s="606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8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08"/>
      <c r="R68" s="608"/>
      <c r="S68" s="608"/>
      <c r="T68" s="609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customHeight="1" x14ac:dyDescent="0.25">
      <c r="A69" s="60" t="s">
        <v>177</v>
      </c>
      <c r="B69" s="60" t="s">
        <v>178</v>
      </c>
      <c r="C69" s="34">
        <v>4301011801</v>
      </c>
      <c r="D69" s="606">
        <v>4680115881419</v>
      </c>
      <c r="E69" s="606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8"/>
      <c r="R69" s="608"/>
      <c r="S69" s="608"/>
      <c r="T69" s="609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00"/>
      <c r="B70" s="600"/>
      <c r="C70" s="600"/>
      <c r="D70" s="600"/>
      <c r="E70" s="600"/>
      <c r="F70" s="600"/>
      <c r="G70" s="600"/>
      <c r="H70" s="600"/>
      <c r="I70" s="600"/>
      <c r="J70" s="600"/>
      <c r="K70" s="600"/>
      <c r="L70" s="600"/>
      <c r="M70" s="600"/>
      <c r="N70" s="600"/>
      <c r="O70" s="601"/>
      <c r="P70" s="597" t="s">
        <v>40</v>
      </c>
      <c r="Q70" s="598"/>
      <c r="R70" s="598"/>
      <c r="S70" s="598"/>
      <c r="T70" s="598"/>
      <c r="U70" s="598"/>
      <c r="V70" s="599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x14ac:dyDescent="0.2">
      <c r="A71" s="600"/>
      <c r="B71" s="600"/>
      <c r="C71" s="600"/>
      <c r="D71" s="600"/>
      <c r="E71" s="600"/>
      <c r="F71" s="600"/>
      <c r="G71" s="600"/>
      <c r="H71" s="600"/>
      <c r="I71" s="600"/>
      <c r="J71" s="600"/>
      <c r="K71" s="600"/>
      <c r="L71" s="600"/>
      <c r="M71" s="600"/>
      <c r="N71" s="600"/>
      <c r="O71" s="601"/>
      <c r="P71" s="597" t="s">
        <v>40</v>
      </c>
      <c r="Q71" s="598"/>
      <c r="R71" s="598"/>
      <c r="S71" s="598"/>
      <c r="T71" s="598"/>
      <c r="U71" s="598"/>
      <c r="V71" s="599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customHeight="1" x14ac:dyDescent="0.25">
      <c r="A72" s="611" t="s">
        <v>180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06">
        <v>4680115881440</v>
      </c>
      <c r="E73" s="606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8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8"/>
      <c r="R73" s="608"/>
      <c r="S73" s="608"/>
      <c r="T73" s="609"/>
      <c r="U73" s="37" t="s">
        <v>46</v>
      </c>
      <c r="V73" s="37" t="s">
        <v>46</v>
      </c>
      <c r="W73" s="38" t="s">
        <v>0</v>
      </c>
      <c r="X73" s="56">
        <v>30</v>
      </c>
      <c r="Y73" s="53">
        <f>IFERROR(IF(X73="",0,CEILING((X73/$H73),1)*$H73),"")</f>
        <v>32.400000000000006</v>
      </c>
      <c r="Z73" s="39">
        <f>IFERROR(IF(Y73=0,"",ROUNDUP(Y73/H73,0)*0.01898),"")</f>
        <v>5.6940000000000004E-2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31.138888888888889</v>
      </c>
      <c r="BN73" s="75">
        <f>IFERROR(Y73*I73/H73,"0")</f>
        <v>33.630000000000003</v>
      </c>
      <c r="BO73" s="75">
        <f>IFERROR(1/J73*(X73/H73),"0")</f>
        <v>4.3402777777777776E-2</v>
      </c>
      <c r="BP73" s="75">
        <f>IFERROR(1/J73*(Y73/H73),"0")</f>
        <v>4.6875000000000007E-2</v>
      </c>
    </row>
    <row r="74" spans="1:68" ht="16.5" customHeight="1" x14ac:dyDescent="0.25">
      <c r="A74" s="60" t="s">
        <v>184</v>
      </c>
      <c r="B74" s="60" t="s">
        <v>185</v>
      </c>
      <c r="C74" s="34">
        <v>4301020358</v>
      </c>
      <c r="D74" s="606">
        <v>4680115885950</v>
      </c>
      <c r="E74" s="606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8"/>
      <c r="R74" s="608"/>
      <c r="S74" s="608"/>
      <c r="T74" s="609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customHeight="1" x14ac:dyDescent="0.25">
      <c r="A75" s="60" t="s">
        <v>186</v>
      </c>
      <c r="B75" s="60" t="s">
        <v>187</v>
      </c>
      <c r="C75" s="34">
        <v>4301020371</v>
      </c>
      <c r="D75" s="606">
        <v>4680115887688</v>
      </c>
      <c r="E75" s="606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8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8"/>
      <c r="R75" s="608"/>
      <c r="S75" s="608"/>
      <c r="T75" s="609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189</v>
      </c>
      <c r="B76" s="60" t="s">
        <v>190</v>
      </c>
      <c r="C76" s="34">
        <v>4301020296</v>
      </c>
      <c r="D76" s="606">
        <v>4680115881433</v>
      </c>
      <c r="E76" s="606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8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8"/>
      <c r="R76" s="608"/>
      <c r="S76" s="608"/>
      <c r="T76" s="609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00"/>
      <c r="B77" s="600"/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1"/>
      <c r="P77" s="597" t="s">
        <v>40</v>
      </c>
      <c r="Q77" s="598"/>
      <c r="R77" s="598"/>
      <c r="S77" s="598"/>
      <c r="T77" s="598"/>
      <c r="U77" s="598"/>
      <c r="V77" s="599"/>
      <c r="W77" s="40" t="s">
        <v>39</v>
      </c>
      <c r="X77" s="41">
        <f>IFERROR(X73/H73,"0")+IFERROR(X74/H74,"0")+IFERROR(X75/H75,"0")+IFERROR(X76/H76,"0")</f>
        <v>2.7777777777777777</v>
      </c>
      <c r="Y77" s="41">
        <f>IFERROR(Y73/H73,"0")+IFERROR(Y74/H74,"0")+IFERROR(Y75/H75,"0")+IFERROR(Y76/H76,"0")</f>
        <v>3.0000000000000004</v>
      </c>
      <c r="Z77" s="41">
        <f>IFERROR(IF(Z73="",0,Z73),"0")+IFERROR(IF(Z74="",0,Z74),"0")+IFERROR(IF(Z75="",0,Z75),"0")+IFERROR(IF(Z76="",0,Z76),"0")</f>
        <v>5.6940000000000004E-2</v>
      </c>
      <c r="AA77" s="64"/>
      <c r="AB77" s="64"/>
      <c r="AC77" s="64"/>
    </row>
    <row r="78" spans="1:68" x14ac:dyDescent="0.2">
      <c r="A78" s="600"/>
      <c r="B78" s="600"/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1"/>
      <c r="P78" s="597" t="s">
        <v>40</v>
      </c>
      <c r="Q78" s="598"/>
      <c r="R78" s="598"/>
      <c r="S78" s="598"/>
      <c r="T78" s="598"/>
      <c r="U78" s="598"/>
      <c r="V78" s="599"/>
      <c r="W78" s="40" t="s">
        <v>0</v>
      </c>
      <c r="X78" s="41">
        <f>IFERROR(SUM(X73:X76),"0")</f>
        <v>30</v>
      </c>
      <c r="Y78" s="41">
        <f>IFERROR(SUM(Y73:Y76),"0")</f>
        <v>32.400000000000006</v>
      </c>
      <c r="Z78" s="40"/>
      <c r="AA78" s="64"/>
      <c r="AB78" s="64"/>
      <c r="AC78" s="64"/>
    </row>
    <row r="79" spans="1:68" ht="14.25" customHeight="1" x14ac:dyDescent="0.25">
      <c r="A79" s="611" t="s">
        <v>92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  <c r="V79" s="611"/>
      <c r="W79" s="611"/>
      <c r="X79" s="611"/>
      <c r="Y79" s="611"/>
      <c r="Z79" s="611"/>
      <c r="AA79" s="63"/>
      <c r="AB79" s="63"/>
      <c r="AC79" s="63"/>
    </row>
    <row r="80" spans="1:68" ht="16.5" customHeight="1" x14ac:dyDescent="0.25">
      <c r="A80" s="60" t="s">
        <v>191</v>
      </c>
      <c r="B80" s="60" t="s">
        <v>192</v>
      </c>
      <c r="C80" s="34">
        <v>4301051837</v>
      </c>
      <c r="D80" s="606">
        <v>4680115884311</v>
      </c>
      <c r="E80" s="606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8"/>
      <c r="R80" s="608"/>
      <c r="S80" s="608"/>
      <c r="T80" s="60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194</v>
      </c>
      <c r="B81" s="60" t="s">
        <v>195</v>
      </c>
      <c r="C81" s="34">
        <v>4301051929</v>
      </c>
      <c r="D81" s="606">
        <v>4680115884403</v>
      </c>
      <c r="E81" s="606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8"/>
      <c r="R81" s="608"/>
      <c r="S81" s="608"/>
      <c r="T81" s="60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00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1"/>
      <c r="P82" s="597" t="s">
        <v>40</v>
      </c>
      <c r="Q82" s="598"/>
      <c r="R82" s="598"/>
      <c r="S82" s="598"/>
      <c r="T82" s="598"/>
      <c r="U82" s="598"/>
      <c r="V82" s="59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00"/>
      <c r="B83" s="60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1"/>
      <c r="P83" s="597" t="s">
        <v>40</v>
      </c>
      <c r="Q83" s="598"/>
      <c r="R83" s="598"/>
      <c r="S83" s="598"/>
      <c r="T83" s="598"/>
      <c r="U83" s="598"/>
      <c r="V83" s="59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customHeight="1" x14ac:dyDescent="0.25">
      <c r="A84" s="611" t="s">
        <v>197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06">
        <v>4680115881532</v>
      </c>
      <c r="E85" s="606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8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8"/>
      <c r="R85" s="608"/>
      <c r="S85" s="608"/>
      <c r="T85" s="60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201</v>
      </c>
      <c r="B86" s="60" t="s">
        <v>202</v>
      </c>
      <c r="C86" s="34">
        <v>4301060351</v>
      </c>
      <c r="D86" s="606">
        <v>4680115881464</v>
      </c>
      <c r="E86" s="606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8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8"/>
      <c r="R86" s="608"/>
      <c r="S86" s="608"/>
      <c r="T86" s="60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00"/>
      <c r="B87" s="60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1"/>
      <c r="P87" s="597" t="s">
        <v>40</v>
      </c>
      <c r="Q87" s="598"/>
      <c r="R87" s="598"/>
      <c r="S87" s="598"/>
      <c r="T87" s="598"/>
      <c r="U87" s="598"/>
      <c r="V87" s="599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x14ac:dyDescent="0.2">
      <c r="A88" s="600"/>
      <c r="B88" s="60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1"/>
      <c r="P88" s="597" t="s">
        <v>40</v>
      </c>
      <c r="Q88" s="598"/>
      <c r="R88" s="598"/>
      <c r="S88" s="598"/>
      <c r="T88" s="598"/>
      <c r="U88" s="598"/>
      <c r="V88" s="599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customHeight="1" x14ac:dyDescent="0.25">
      <c r="A89" s="610" t="s">
        <v>204</v>
      </c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  <c r="R89" s="610"/>
      <c r="S89" s="610"/>
      <c r="T89" s="610"/>
      <c r="U89" s="610"/>
      <c r="V89" s="610"/>
      <c r="W89" s="610"/>
      <c r="X89" s="610"/>
      <c r="Y89" s="610"/>
      <c r="Z89" s="610"/>
      <c r="AA89" s="62"/>
      <c r="AB89" s="62"/>
      <c r="AC89" s="62"/>
    </row>
    <row r="90" spans="1:68" ht="14.25" customHeight="1" x14ac:dyDescent="0.25">
      <c r="A90" s="611" t="s">
        <v>146</v>
      </c>
      <c r="B90" s="611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611"/>
      <c r="Y90" s="611"/>
      <c r="Z90" s="611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06">
        <v>4680115881327</v>
      </c>
      <c r="E91" s="606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8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8"/>
      <c r="R91" s="608"/>
      <c r="S91" s="608"/>
      <c r="T91" s="609"/>
      <c r="U91" s="37" t="s">
        <v>46</v>
      </c>
      <c r="V91" s="37" t="s">
        <v>46</v>
      </c>
      <c r="W91" s="38" t="s">
        <v>0</v>
      </c>
      <c r="X91" s="56">
        <v>50</v>
      </c>
      <c r="Y91" s="53">
        <f>IFERROR(IF(X91="",0,CEILING((X91/$H91),1)*$H91),"")</f>
        <v>54</v>
      </c>
      <c r="Z91" s="39">
        <f>IFERROR(IF(Y91=0,"",ROUNDUP(Y91/H91,0)*0.01898),"")</f>
        <v>9.4899999999999998E-2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51.898148148148145</v>
      </c>
      <c r="BN91" s="75">
        <f>IFERROR(Y91*I91/H91,"0")</f>
        <v>56.05</v>
      </c>
      <c r="BO91" s="75">
        <f>IFERROR(1/J91*(X91/H91),"0")</f>
        <v>7.2337962962962965E-2</v>
      </c>
      <c r="BP91" s="75">
        <f>IFERROR(1/J91*(Y91/H91),"0")</f>
        <v>7.8125E-2</v>
      </c>
    </row>
    <row r="92" spans="1:68" ht="27" customHeight="1" x14ac:dyDescent="0.25">
      <c r="A92" s="60" t="s">
        <v>208</v>
      </c>
      <c r="B92" s="60" t="s">
        <v>209</v>
      </c>
      <c r="C92" s="34">
        <v>4301011261</v>
      </c>
      <c r="D92" s="606">
        <v>4680115887732</v>
      </c>
      <c r="E92" s="606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8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8"/>
      <c r="R92" s="608"/>
      <c r="S92" s="608"/>
      <c r="T92" s="609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211</v>
      </c>
      <c r="B93" s="60" t="s">
        <v>212</v>
      </c>
      <c r="C93" s="34">
        <v>4301011476</v>
      </c>
      <c r="D93" s="606">
        <v>4680115881518</v>
      </c>
      <c r="E93" s="606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8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8"/>
      <c r="R93" s="608"/>
      <c r="S93" s="608"/>
      <c r="T93" s="609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06">
        <v>4680115881303</v>
      </c>
      <c r="E94" s="606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8"/>
      <c r="R94" s="608"/>
      <c r="S94" s="608"/>
      <c r="T94" s="609"/>
      <c r="U94" s="37" t="s">
        <v>46</v>
      </c>
      <c r="V94" s="37" t="s">
        <v>46</v>
      </c>
      <c r="W94" s="38" t="s">
        <v>0</v>
      </c>
      <c r="X94" s="56">
        <v>27</v>
      </c>
      <c r="Y94" s="53">
        <f>IFERROR(IF(X94="",0,CEILING((X94/$H94),1)*$H94),"")</f>
        <v>27</v>
      </c>
      <c r="Z94" s="39">
        <f>IFERROR(IF(Y94=0,"",ROUNDUP(Y94/H94,0)*0.00902),"")</f>
        <v>5.4120000000000001E-2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28.14</v>
      </c>
      <c r="BN94" s="75">
        <f>IFERROR(Y94*I94/H94,"0")</f>
        <v>28.14</v>
      </c>
      <c r="BO94" s="75">
        <f>IFERROR(1/J94*(X94/H94),"0")</f>
        <v>4.5454545454545456E-2</v>
      </c>
      <c r="BP94" s="75">
        <f>IFERROR(1/J94*(Y94/H94),"0")</f>
        <v>4.5454545454545456E-2</v>
      </c>
    </row>
    <row r="95" spans="1:68" x14ac:dyDescent="0.2">
      <c r="A95" s="600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00"/>
      <c r="N95" s="600"/>
      <c r="O95" s="601"/>
      <c r="P95" s="597" t="s">
        <v>40</v>
      </c>
      <c r="Q95" s="598"/>
      <c r="R95" s="598"/>
      <c r="S95" s="598"/>
      <c r="T95" s="598"/>
      <c r="U95" s="598"/>
      <c r="V95" s="599"/>
      <c r="W95" s="40" t="s">
        <v>39</v>
      </c>
      <c r="X95" s="41">
        <f>IFERROR(X91/H91,"0")+IFERROR(X92/H92,"0")+IFERROR(X93/H93,"0")+IFERROR(X94/H94,"0")</f>
        <v>10.62962962962963</v>
      </c>
      <c r="Y95" s="41">
        <f>IFERROR(Y91/H91,"0")+IFERROR(Y92/H92,"0")+IFERROR(Y93/H93,"0")+IFERROR(Y94/H94,"0")</f>
        <v>11</v>
      </c>
      <c r="Z95" s="41">
        <f>IFERROR(IF(Z91="",0,Z91),"0")+IFERROR(IF(Z92="",0,Z92),"0")+IFERROR(IF(Z93="",0,Z93),"0")+IFERROR(IF(Z94="",0,Z94),"0")</f>
        <v>0.14901999999999999</v>
      </c>
      <c r="AA95" s="64"/>
      <c r="AB95" s="64"/>
      <c r="AC95" s="64"/>
    </row>
    <row r="96" spans="1:68" x14ac:dyDescent="0.2">
      <c r="A96" s="600"/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1"/>
      <c r="P96" s="597" t="s">
        <v>40</v>
      </c>
      <c r="Q96" s="598"/>
      <c r="R96" s="598"/>
      <c r="S96" s="598"/>
      <c r="T96" s="598"/>
      <c r="U96" s="598"/>
      <c r="V96" s="599"/>
      <c r="W96" s="40" t="s">
        <v>0</v>
      </c>
      <c r="X96" s="41">
        <f>IFERROR(SUM(X91:X94),"0")</f>
        <v>77</v>
      </c>
      <c r="Y96" s="41">
        <f>IFERROR(SUM(Y91:Y94),"0")</f>
        <v>81</v>
      </c>
      <c r="Z96" s="40"/>
      <c r="AA96" s="64"/>
      <c r="AB96" s="64"/>
      <c r="AC96" s="64"/>
    </row>
    <row r="97" spans="1:68" ht="14.25" customHeight="1" x14ac:dyDescent="0.25">
      <c r="A97" s="611" t="s">
        <v>92</v>
      </c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06">
        <v>4607091386967</v>
      </c>
      <c r="E98" s="606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8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8"/>
      <c r="R98" s="608"/>
      <c r="S98" s="608"/>
      <c r="T98" s="609"/>
      <c r="U98" s="37" t="s">
        <v>46</v>
      </c>
      <c r="V98" s="37" t="s">
        <v>46</v>
      </c>
      <c r="W98" s="38" t="s">
        <v>0</v>
      </c>
      <c r="X98" s="56">
        <v>350</v>
      </c>
      <c r="Y98" s="53">
        <f>IFERROR(IF(X98="",0,CEILING((X98/$H98),1)*$H98),"")</f>
        <v>356.4</v>
      </c>
      <c r="Z98" s="39">
        <f>IFERROR(IF(Y98=0,"",ROUNDUP(Y98/H98,0)*0.01898),"")</f>
        <v>0.83511999999999997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371.34567901234567</v>
      </c>
      <c r="BN98" s="75">
        <f>IFERROR(Y98*I98/H98,"0")</f>
        <v>378.13599999999997</v>
      </c>
      <c r="BO98" s="75">
        <f>IFERROR(1/J98*(X98/H98),"0")</f>
        <v>0.67515432098765438</v>
      </c>
      <c r="BP98" s="75">
        <f>IFERROR(1/J98*(Y98/H98),"0")</f>
        <v>0.6875</v>
      </c>
    </row>
    <row r="99" spans="1:68" ht="27" customHeight="1" x14ac:dyDescent="0.25">
      <c r="A99" s="60" t="s">
        <v>218</v>
      </c>
      <c r="B99" s="60" t="s">
        <v>219</v>
      </c>
      <c r="C99" s="34">
        <v>4301051788</v>
      </c>
      <c r="D99" s="606">
        <v>4680115884953</v>
      </c>
      <c r="E99" s="606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8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8"/>
      <c r="R99" s="608"/>
      <c r="S99" s="608"/>
      <c r="T99" s="609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06">
        <v>4607091385731</v>
      </c>
      <c r="E100" s="606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8"/>
      <c r="R100" s="608"/>
      <c r="S100" s="608"/>
      <c r="T100" s="609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customHeight="1" x14ac:dyDescent="0.25">
      <c r="A101" s="60" t="s">
        <v>222</v>
      </c>
      <c r="B101" s="60" t="s">
        <v>223</v>
      </c>
      <c r="C101" s="34">
        <v>4301052092</v>
      </c>
      <c r="D101" s="606">
        <v>4680115880894</v>
      </c>
      <c r="E101" s="606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82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8"/>
      <c r="R101" s="608"/>
      <c r="S101" s="608"/>
      <c r="T101" s="609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00"/>
      <c r="B102" s="600"/>
      <c r="C102" s="600"/>
      <c r="D102" s="600"/>
      <c r="E102" s="600"/>
      <c r="F102" s="600"/>
      <c r="G102" s="600"/>
      <c r="H102" s="600"/>
      <c r="I102" s="600"/>
      <c r="J102" s="600"/>
      <c r="K102" s="600"/>
      <c r="L102" s="600"/>
      <c r="M102" s="600"/>
      <c r="N102" s="600"/>
      <c r="O102" s="601"/>
      <c r="P102" s="597" t="s">
        <v>40</v>
      </c>
      <c r="Q102" s="598"/>
      <c r="R102" s="598"/>
      <c r="S102" s="598"/>
      <c r="T102" s="598"/>
      <c r="U102" s="598"/>
      <c r="V102" s="599"/>
      <c r="W102" s="40" t="s">
        <v>39</v>
      </c>
      <c r="X102" s="41">
        <f>IFERROR(X98/H98,"0")+IFERROR(X99/H99,"0")+IFERROR(X100/H100,"0")+IFERROR(X101/H101,"0")</f>
        <v>43.20987654320988</v>
      </c>
      <c r="Y102" s="41">
        <f>IFERROR(Y98/H98,"0")+IFERROR(Y99/H99,"0")+IFERROR(Y100/H100,"0")+IFERROR(Y101/H101,"0")</f>
        <v>44</v>
      </c>
      <c r="Z102" s="41">
        <f>IFERROR(IF(Z98="",0,Z98),"0")+IFERROR(IF(Z99="",0,Z99),"0")+IFERROR(IF(Z100="",0,Z100),"0")+IFERROR(IF(Z101="",0,Z101),"0")</f>
        <v>0.83511999999999997</v>
      </c>
      <c r="AA102" s="64"/>
      <c r="AB102" s="64"/>
      <c r="AC102" s="64"/>
    </row>
    <row r="103" spans="1:68" x14ac:dyDescent="0.2">
      <c r="A103" s="600"/>
      <c r="B103" s="600"/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1"/>
      <c r="P103" s="597" t="s">
        <v>40</v>
      </c>
      <c r="Q103" s="598"/>
      <c r="R103" s="598"/>
      <c r="S103" s="598"/>
      <c r="T103" s="598"/>
      <c r="U103" s="598"/>
      <c r="V103" s="599"/>
      <c r="W103" s="40" t="s">
        <v>0</v>
      </c>
      <c r="X103" s="41">
        <f>IFERROR(SUM(X98:X101),"0")</f>
        <v>350</v>
      </c>
      <c r="Y103" s="41">
        <f>IFERROR(SUM(Y98:Y101),"0")</f>
        <v>356.4</v>
      </c>
      <c r="Z103" s="40"/>
      <c r="AA103" s="64"/>
      <c r="AB103" s="64"/>
      <c r="AC103" s="64"/>
    </row>
    <row r="104" spans="1:68" ht="16.5" customHeight="1" x14ac:dyDescent="0.25">
      <c r="A104" s="610" t="s">
        <v>225</v>
      </c>
      <c r="B104" s="610"/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610"/>
      <c r="Y104" s="610"/>
      <c r="Z104" s="610"/>
      <c r="AA104" s="62"/>
      <c r="AB104" s="62"/>
      <c r="AC104" s="62"/>
    </row>
    <row r="105" spans="1:68" ht="14.25" customHeight="1" x14ac:dyDescent="0.25">
      <c r="A105" s="611" t="s">
        <v>146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06">
        <v>4680115882133</v>
      </c>
      <c r="E106" s="606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8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8"/>
      <c r="R106" s="608"/>
      <c r="S106" s="608"/>
      <c r="T106" s="609"/>
      <c r="U106" s="37" t="s">
        <v>46</v>
      </c>
      <c r="V106" s="37" t="s">
        <v>46</v>
      </c>
      <c r="W106" s="38" t="s">
        <v>0</v>
      </c>
      <c r="X106" s="56"/>
      <c r="Y106" s="53">
        <f t="shared" ref="Y106:Y112" si="11">IFERROR(IF(X106="",0,CEILING((X106/$H106),1)*$H106),"")</f>
        <v>0</v>
      </c>
      <c r="Z106" s="39" t="str">
        <f>IFERROR(IF(Y106=0,"",ROUNDUP(Y106/H106,0)*0.01898),"")</f>
        <v/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0</v>
      </c>
      <c r="BN106" s="75">
        <f t="shared" ref="BN106:BN112" si="13">IFERROR(Y106*I106/H106,"0")</f>
        <v>0</v>
      </c>
      <c r="BO106" s="75">
        <f t="shared" ref="BO106:BO112" si="14">IFERROR(1/J106*(X106/H106),"0")</f>
        <v>0</v>
      </c>
      <c r="BP106" s="75">
        <f t="shared" ref="BP106:BP112" si="15">IFERROR(1/J106*(Y106/H106),"0")</f>
        <v>0</v>
      </c>
    </row>
    <row r="107" spans="1:68" ht="27" customHeight="1" x14ac:dyDescent="0.25">
      <c r="A107" s="60" t="s">
        <v>229</v>
      </c>
      <c r="B107" s="60" t="s">
        <v>230</v>
      </c>
      <c r="C107" s="34">
        <v>4301012051</v>
      </c>
      <c r="D107" s="606">
        <v>4680115887718</v>
      </c>
      <c r="E107" s="606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8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8"/>
      <c r="R107" s="608"/>
      <c r="S107" s="608"/>
      <c r="T107" s="609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customHeight="1" x14ac:dyDescent="0.25">
      <c r="A108" s="60" t="s">
        <v>229</v>
      </c>
      <c r="B108" s="60" t="s">
        <v>232</v>
      </c>
      <c r="C108" s="34">
        <v>4301012334</v>
      </c>
      <c r="D108" s="606">
        <v>4680115887718</v>
      </c>
      <c r="E108" s="606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8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8"/>
      <c r="R108" s="608"/>
      <c r="S108" s="608"/>
      <c r="T108" s="609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customHeight="1" x14ac:dyDescent="0.25">
      <c r="A109" s="60" t="s">
        <v>233</v>
      </c>
      <c r="B109" s="60" t="s">
        <v>234</v>
      </c>
      <c r="C109" s="34">
        <v>4301012226</v>
      </c>
      <c r="D109" s="606">
        <v>4680115887749</v>
      </c>
      <c r="E109" s="606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81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8"/>
      <c r="R109" s="608"/>
      <c r="S109" s="608"/>
      <c r="T109" s="609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customHeight="1" x14ac:dyDescent="0.25">
      <c r="A110" s="60" t="s">
        <v>235</v>
      </c>
      <c r="B110" s="60" t="s">
        <v>236</v>
      </c>
      <c r="C110" s="34">
        <v>4301011417</v>
      </c>
      <c r="D110" s="606">
        <v>4680115880269</v>
      </c>
      <c r="E110" s="606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8"/>
      <c r="R110" s="608"/>
      <c r="S110" s="608"/>
      <c r="T110" s="609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06">
        <v>4680115880429</v>
      </c>
      <c r="E111" s="606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8"/>
      <c r="R111" s="608"/>
      <c r="S111" s="608"/>
      <c r="T111" s="609"/>
      <c r="U111" s="37" t="s">
        <v>46</v>
      </c>
      <c r="V111" s="37" t="s">
        <v>46</v>
      </c>
      <c r="W111" s="38" t="s">
        <v>0</v>
      </c>
      <c r="X111" s="56">
        <v>27</v>
      </c>
      <c r="Y111" s="53">
        <f t="shared" si="11"/>
        <v>27</v>
      </c>
      <c r="Z111" s="39">
        <f>IFERROR(IF(Y111=0,"",ROUNDUP(Y111/H111,0)*0.00902),"")</f>
        <v>5.4120000000000001E-2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28.14</v>
      </c>
      <c r="BN111" s="75">
        <f t="shared" si="13"/>
        <v>28.14</v>
      </c>
      <c r="BO111" s="75">
        <f t="shared" si="14"/>
        <v>4.5454545454545456E-2</v>
      </c>
      <c r="BP111" s="75">
        <f t="shared" si="15"/>
        <v>4.5454545454545456E-2</v>
      </c>
    </row>
    <row r="112" spans="1:68" ht="37.5" customHeight="1" x14ac:dyDescent="0.25">
      <c r="A112" s="60" t="s">
        <v>239</v>
      </c>
      <c r="B112" s="60" t="s">
        <v>240</v>
      </c>
      <c r="C112" s="34">
        <v>4301011462</v>
      </c>
      <c r="D112" s="606">
        <v>4680115881457</v>
      </c>
      <c r="E112" s="606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8"/>
      <c r="R112" s="608"/>
      <c r="S112" s="608"/>
      <c r="T112" s="609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00"/>
      <c r="B113" s="600"/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1"/>
      <c r="P113" s="597" t="s">
        <v>40</v>
      </c>
      <c r="Q113" s="598"/>
      <c r="R113" s="598"/>
      <c r="S113" s="598"/>
      <c r="T113" s="598"/>
      <c r="U113" s="598"/>
      <c r="V113" s="599"/>
      <c r="W113" s="40" t="s">
        <v>39</v>
      </c>
      <c r="X113" s="41">
        <f>IFERROR(X106/H106,"0")+IFERROR(X107/H107,"0")+IFERROR(X108/H108,"0")+IFERROR(X109/H109,"0")+IFERROR(X110/H110,"0")+IFERROR(X111/H111,"0")+IFERROR(X112/H112,"0")</f>
        <v>6</v>
      </c>
      <c r="Y113" s="41">
        <f>IFERROR(Y106/H106,"0")+IFERROR(Y107/H107,"0")+IFERROR(Y108/H108,"0")+IFERROR(Y109/H109,"0")+IFERROR(Y110/H110,"0")+IFERROR(Y111/H111,"0")+IFERROR(Y112/H112,"0")</f>
        <v>6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5.4120000000000001E-2</v>
      </c>
      <c r="AA113" s="64"/>
      <c r="AB113" s="64"/>
      <c r="AC113" s="64"/>
    </row>
    <row r="114" spans="1:68" x14ac:dyDescent="0.2">
      <c r="A114" s="600"/>
      <c r="B114" s="600"/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1"/>
      <c r="P114" s="597" t="s">
        <v>40</v>
      </c>
      <c r="Q114" s="598"/>
      <c r="R114" s="598"/>
      <c r="S114" s="598"/>
      <c r="T114" s="598"/>
      <c r="U114" s="598"/>
      <c r="V114" s="599"/>
      <c r="W114" s="40" t="s">
        <v>0</v>
      </c>
      <c r="X114" s="41">
        <f>IFERROR(SUM(X106:X112),"0")</f>
        <v>27</v>
      </c>
      <c r="Y114" s="41">
        <f>IFERROR(SUM(Y106:Y112),"0")</f>
        <v>27</v>
      </c>
      <c r="Z114" s="40"/>
      <c r="AA114" s="64"/>
      <c r="AB114" s="64"/>
      <c r="AC114" s="64"/>
    </row>
    <row r="115" spans="1:68" ht="14.25" customHeight="1" x14ac:dyDescent="0.25">
      <c r="A115" s="611" t="s">
        <v>180</v>
      </c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3"/>
      <c r="AB115" s="63"/>
      <c r="AC115" s="63"/>
    </row>
    <row r="116" spans="1:68" ht="16.5" customHeight="1" x14ac:dyDescent="0.25">
      <c r="A116" s="60" t="s">
        <v>241</v>
      </c>
      <c r="B116" s="60" t="s">
        <v>242</v>
      </c>
      <c r="C116" s="34">
        <v>4301020345</v>
      </c>
      <c r="D116" s="606">
        <v>4680115881488</v>
      </c>
      <c r="E116" s="606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8"/>
      <c r="R116" s="608"/>
      <c r="S116" s="608"/>
      <c r="T116" s="609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244</v>
      </c>
      <c r="B117" s="60" t="s">
        <v>245</v>
      </c>
      <c r="C117" s="34">
        <v>4301020186</v>
      </c>
      <c r="D117" s="606">
        <v>4680115887664</v>
      </c>
      <c r="E117" s="606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8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8"/>
      <c r="R117" s="608"/>
      <c r="S117" s="608"/>
      <c r="T117" s="609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244</v>
      </c>
      <c r="B118" s="60" t="s">
        <v>248</v>
      </c>
      <c r="C118" s="34">
        <v>4301020430</v>
      </c>
      <c r="D118" s="606">
        <v>4680115887664</v>
      </c>
      <c r="E118" s="606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8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8"/>
      <c r="R118" s="608"/>
      <c r="S118" s="608"/>
      <c r="T118" s="609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249</v>
      </c>
      <c r="B119" s="60" t="s">
        <v>250</v>
      </c>
      <c r="C119" s="34">
        <v>4301020346</v>
      </c>
      <c r="D119" s="606">
        <v>4680115882775</v>
      </c>
      <c r="E119" s="606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08"/>
      <c r="R119" s="608"/>
      <c r="S119" s="608"/>
      <c r="T119" s="609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251</v>
      </c>
      <c r="B120" s="60" t="s">
        <v>252</v>
      </c>
      <c r="C120" s="34">
        <v>4301020344</v>
      </c>
      <c r="D120" s="606">
        <v>4680115880658</v>
      </c>
      <c r="E120" s="606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8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8"/>
      <c r="R120" s="608"/>
      <c r="S120" s="608"/>
      <c r="T120" s="609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00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00"/>
      <c r="N121" s="600"/>
      <c r="O121" s="601"/>
      <c r="P121" s="597" t="s">
        <v>40</v>
      </c>
      <c r="Q121" s="598"/>
      <c r="R121" s="598"/>
      <c r="S121" s="598"/>
      <c r="T121" s="598"/>
      <c r="U121" s="598"/>
      <c r="V121" s="599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600"/>
      <c r="B122" s="600"/>
      <c r="C122" s="600"/>
      <c r="D122" s="600"/>
      <c r="E122" s="600"/>
      <c r="F122" s="600"/>
      <c r="G122" s="600"/>
      <c r="H122" s="600"/>
      <c r="I122" s="600"/>
      <c r="J122" s="600"/>
      <c r="K122" s="600"/>
      <c r="L122" s="600"/>
      <c r="M122" s="600"/>
      <c r="N122" s="600"/>
      <c r="O122" s="601"/>
      <c r="P122" s="597" t="s">
        <v>40</v>
      </c>
      <c r="Q122" s="598"/>
      <c r="R122" s="598"/>
      <c r="S122" s="598"/>
      <c r="T122" s="598"/>
      <c r="U122" s="598"/>
      <c r="V122" s="599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customHeight="1" x14ac:dyDescent="0.25">
      <c r="A123" s="611" t="s">
        <v>92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06">
        <v>4607091385168</v>
      </c>
      <c r="E124" s="60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8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8"/>
      <c r="R124" s="608"/>
      <c r="S124" s="608"/>
      <c r="T124" s="609"/>
      <c r="U124" s="37" t="s">
        <v>46</v>
      </c>
      <c r="V124" s="37" t="s">
        <v>46</v>
      </c>
      <c r="W124" s="38" t="s">
        <v>0</v>
      </c>
      <c r="X124" s="56">
        <v>300</v>
      </c>
      <c r="Y124" s="53">
        <f>IFERROR(IF(X124="",0,CEILING((X124/$H124),1)*$H124),"")</f>
        <v>307.8</v>
      </c>
      <c r="Z124" s="39">
        <f>IFERROR(IF(Y124=0,"",ROUNDUP(Y124/H124,0)*0.01898),"")</f>
        <v>0.72123999999999999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318.07407407407402</v>
      </c>
      <c r="BN124" s="75">
        <f>IFERROR(Y124*I124/H124,"0")</f>
        <v>326.34399999999999</v>
      </c>
      <c r="BO124" s="75">
        <f>IFERROR(1/J124*(X124/H124),"0")</f>
        <v>0.57870370370370372</v>
      </c>
      <c r="BP124" s="75">
        <f>IFERROR(1/J124*(Y124/H124),"0")</f>
        <v>0.59375</v>
      </c>
    </row>
    <row r="125" spans="1:68" ht="27" customHeight="1" x14ac:dyDescent="0.25">
      <c r="A125" s="60" t="s">
        <v>256</v>
      </c>
      <c r="B125" s="60" t="s">
        <v>257</v>
      </c>
      <c r="C125" s="34">
        <v>4301051730</v>
      </c>
      <c r="D125" s="606">
        <v>4607091383256</v>
      </c>
      <c r="E125" s="60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8"/>
      <c r="R125" s="608"/>
      <c r="S125" s="608"/>
      <c r="T125" s="609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06">
        <v>4607091385748</v>
      </c>
      <c r="E126" s="606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8"/>
      <c r="R126" s="608"/>
      <c r="S126" s="608"/>
      <c r="T126" s="609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customHeight="1" x14ac:dyDescent="0.25">
      <c r="A127" s="60" t="s">
        <v>260</v>
      </c>
      <c r="B127" s="60" t="s">
        <v>261</v>
      </c>
      <c r="C127" s="34">
        <v>4301051740</v>
      </c>
      <c r="D127" s="606">
        <v>4680115884533</v>
      </c>
      <c r="E127" s="606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8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8"/>
      <c r="R127" s="608"/>
      <c r="S127" s="608"/>
      <c r="T127" s="609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00"/>
      <c r="B128" s="600"/>
      <c r="C128" s="600"/>
      <c r="D128" s="600"/>
      <c r="E128" s="600"/>
      <c r="F128" s="600"/>
      <c r="G128" s="600"/>
      <c r="H128" s="600"/>
      <c r="I128" s="600"/>
      <c r="J128" s="600"/>
      <c r="K128" s="600"/>
      <c r="L128" s="600"/>
      <c r="M128" s="600"/>
      <c r="N128" s="600"/>
      <c r="O128" s="601"/>
      <c r="P128" s="597" t="s">
        <v>40</v>
      </c>
      <c r="Q128" s="598"/>
      <c r="R128" s="598"/>
      <c r="S128" s="598"/>
      <c r="T128" s="598"/>
      <c r="U128" s="598"/>
      <c r="V128" s="599"/>
      <c r="W128" s="40" t="s">
        <v>39</v>
      </c>
      <c r="X128" s="41">
        <f>IFERROR(X124/H124,"0")+IFERROR(X125/H125,"0")+IFERROR(X126/H126,"0")+IFERROR(X127/H127,"0")</f>
        <v>37.037037037037038</v>
      </c>
      <c r="Y128" s="41">
        <f>IFERROR(Y124/H124,"0")+IFERROR(Y125/H125,"0")+IFERROR(Y126/H126,"0")+IFERROR(Y127/H127,"0")</f>
        <v>38</v>
      </c>
      <c r="Z128" s="41">
        <f>IFERROR(IF(Z124="",0,Z124),"0")+IFERROR(IF(Z125="",0,Z125),"0")+IFERROR(IF(Z126="",0,Z126),"0")+IFERROR(IF(Z127="",0,Z127),"0")</f>
        <v>0.72123999999999999</v>
      </c>
      <c r="AA128" s="64"/>
      <c r="AB128" s="64"/>
      <c r="AC128" s="64"/>
    </row>
    <row r="129" spans="1:68" x14ac:dyDescent="0.2">
      <c r="A129" s="600"/>
      <c r="B129" s="600"/>
      <c r="C129" s="600"/>
      <c r="D129" s="600"/>
      <c r="E129" s="600"/>
      <c r="F129" s="600"/>
      <c r="G129" s="600"/>
      <c r="H129" s="600"/>
      <c r="I129" s="600"/>
      <c r="J129" s="600"/>
      <c r="K129" s="600"/>
      <c r="L129" s="600"/>
      <c r="M129" s="600"/>
      <c r="N129" s="600"/>
      <c r="O129" s="601"/>
      <c r="P129" s="597" t="s">
        <v>40</v>
      </c>
      <c r="Q129" s="598"/>
      <c r="R129" s="598"/>
      <c r="S129" s="598"/>
      <c r="T129" s="598"/>
      <c r="U129" s="598"/>
      <c r="V129" s="599"/>
      <c r="W129" s="40" t="s">
        <v>0</v>
      </c>
      <c r="X129" s="41">
        <f>IFERROR(SUM(X124:X127),"0")</f>
        <v>300</v>
      </c>
      <c r="Y129" s="41">
        <f>IFERROR(SUM(Y124:Y127),"0")</f>
        <v>307.8</v>
      </c>
      <c r="Z129" s="40"/>
      <c r="AA129" s="64"/>
      <c r="AB129" s="64"/>
      <c r="AC129" s="64"/>
    </row>
    <row r="130" spans="1:68" ht="14.25" customHeight="1" x14ac:dyDescent="0.25">
      <c r="A130" s="611" t="s">
        <v>197</v>
      </c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3"/>
      <c r="AB130" s="63"/>
      <c r="AC130" s="63"/>
    </row>
    <row r="131" spans="1:68" ht="16.5" customHeight="1" x14ac:dyDescent="0.25">
      <c r="A131" s="60" t="s">
        <v>263</v>
      </c>
      <c r="B131" s="60" t="s">
        <v>264</v>
      </c>
      <c r="C131" s="34">
        <v>4301060317</v>
      </c>
      <c r="D131" s="606">
        <v>4680115880238</v>
      </c>
      <c r="E131" s="606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8"/>
      <c r="R131" s="608"/>
      <c r="S131" s="608"/>
      <c r="T131" s="60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00"/>
      <c r="B132" s="600"/>
      <c r="C132" s="600"/>
      <c r="D132" s="600"/>
      <c r="E132" s="600"/>
      <c r="F132" s="600"/>
      <c r="G132" s="600"/>
      <c r="H132" s="600"/>
      <c r="I132" s="600"/>
      <c r="J132" s="600"/>
      <c r="K132" s="600"/>
      <c r="L132" s="600"/>
      <c r="M132" s="600"/>
      <c r="N132" s="600"/>
      <c r="O132" s="601"/>
      <c r="P132" s="597" t="s">
        <v>40</v>
      </c>
      <c r="Q132" s="598"/>
      <c r="R132" s="598"/>
      <c r="S132" s="598"/>
      <c r="T132" s="598"/>
      <c r="U132" s="598"/>
      <c r="V132" s="599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x14ac:dyDescent="0.2">
      <c r="A133" s="600"/>
      <c r="B133" s="600"/>
      <c r="C133" s="600"/>
      <c r="D133" s="600"/>
      <c r="E133" s="600"/>
      <c r="F133" s="600"/>
      <c r="G133" s="600"/>
      <c r="H133" s="600"/>
      <c r="I133" s="600"/>
      <c r="J133" s="600"/>
      <c r="K133" s="600"/>
      <c r="L133" s="600"/>
      <c r="M133" s="600"/>
      <c r="N133" s="600"/>
      <c r="O133" s="601"/>
      <c r="P133" s="597" t="s">
        <v>40</v>
      </c>
      <c r="Q133" s="598"/>
      <c r="R133" s="598"/>
      <c r="S133" s="598"/>
      <c r="T133" s="598"/>
      <c r="U133" s="598"/>
      <c r="V133" s="599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customHeight="1" x14ac:dyDescent="0.25">
      <c r="A134" s="610" t="s">
        <v>266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2"/>
      <c r="AB134" s="62"/>
      <c r="AC134" s="62"/>
    </row>
    <row r="135" spans="1:68" ht="14.25" customHeight="1" x14ac:dyDescent="0.25">
      <c r="A135" s="611" t="s">
        <v>146</v>
      </c>
      <c r="B135" s="611"/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3"/>
      <c r="AB135" s="63"/>
      <c r="AC135" s="63"/>
    </row>
    <row r="136" spans="1:68" ht="27" customHeight="1" x14ac:dyDescent="0.25">
      <c r="A136" s="60" t="s">
        <v>267</v>
      </c>
      <c r="B136" s="60" t="s">
        <v>268</v>
      </c>
      <c r="C136" s="34">
        <v>4301011562</v>
      </c>
      <c r="D136" s="606">
        <v>4680115882577</v>
      </c>
      <c r="E136" s="606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8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8"/>
      <c r="R136" s="608"/>
      <c r="S136" s="608"/>
      <c r="T136" s="60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267</v>
      </c>
      <c r="B137" s="60" t="s">
        <v>270</v>
      </c>
      <c r="C137" s="34">
        <v>4301011564</v>
      </c>
      <c r="D137" s="606">
        <v>4680115882577</v>
      </c>
      <c r="E137" s="606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8"/>
      <c r="R137" s="608"/>
      <c r="S137" s="608"/>
      <c r="T137" s="60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00"/>
      <c r="B138" s="60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601"/>
      <c r="P138" s="597" t="s">
        <v>40</v>
      </c>
      <c r="Q138" s="598"/>
      <c r="R138" s="598"/>
      <c r="S138" s="598"/>
      <c r="T138" s="598"/>
      <c r="U138" s="598"/>
      <c r="V138" s="59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600"/>
      <c r="B139" s="60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601"/>
      <c r="P139" s="597" t="s">
        <v>40</v>
      </c>
      <c r="Q139" s="598"/>
      <c r="R139" s="598"/>
      <c r="S139" s="598"/>
      <c r="T139" s="598"/>
      <c r="U139" s="598"/>
      <c r="V139" s="59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customHeight="1" x14ac:dyDescent="0.25">
      <c r="A140" s="611" t="s">
        <v>77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3"/>
      <c r="AB140" s="63"/>
      <c r="AC140" s="63"/>
    </row>
    <row r="141" spans="1:68" ht="27" customHeight="1" x14ac:dyDescent="0.25">
      <c r="A141" s="60" t="s">
        <v>271</v>
      </c>
      <c r="B141" s="60" t="s">
        <v>272</v>
      </c>
      <c r="C141" s="34">
        <v>4301031234</v>
      </c>
      <c r="D141" s="606">
        <v>4680115883444</v>
      </c>
      <c r="E141" s="60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8"/>
      <c r="R141" s="608"/>
      <c r="S141" s="608"/>
      <c r="T141" s="60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271</v>
      </c>
      <c r="B142" s="60" t="s">
        <v>274</v>
      </c>
      <c r="C142" s="34">
        <v>4301031235</v>
      </c>
      <c r="D142" s="606">
        <v>4680115883444</v>
      </c>
      <c r="E142" s="60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8"/>
      <c r="R142" s="608"/>
      <c r="S142" s="608"/>
      <c r="T142" s="60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00"/>
      <c r="B143" s="60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601"/>
      <c r="P143" s="597" t="s">
        <v>40</v>
      </c>
      <c r="Q143" s="598"/>
      <c r="R143" s="598"/>
      <c r="S143" s="598"/>
      <c r="T143" s="598"/>
      <c r="U143" s="598"/>
      <c r="V143" s="59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600"/>
      <c r="B144" s="60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601"/>
      <c r="P144" s="597" t="s">
        <v>40</v>
      </c>
      <c r="Q144" s="598"/>
      <c r="R144" s="598"/>
      <c r="S144" s="598"/>
      <c r="T144" s="598"/>
      <c r="U144" s="598"/>
      <c r="V144" s="59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611" t="s">
        <v>92</v>
      </c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3"/>
      <c r="AB145" s="63"/>
      <c r="AC145" s="63"/>
    </row>
    <row r="146" spans="1:68" ht="16.5" customHeight="1" x14ac:dyDescent="0.25">
      <c r="A146" s="60" t="s">
        <v>275</v>
      </c>
      <c r="B146" s="60" t="s">
        <v>276</v>
      </c>
      <c r="C146" s="34">
        <v>4301051476</v>
      </c>
      <c r="D146" s="606">
        <v>4680115882584</v>
      </c>
      <c r="E146" s="606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8"/>
      <c r="R146" s="608"/>
      <c r="S146" s="608"/>
      <c r="T146" s="60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275</v>
      </c>
      <c r="B147" s="60" t="s">
        <v>277</v>
      </c>
      <c r="C147" s="34">
        <v>4301051477</v>
      </c>
      <c r="D147" s="606">
        <v>4680115882584</v>
      </c>
      <c r="E147" s="606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8"/>
      <c r="R147" s="608"/>
      <c r="S147" s="608"/>
      <c r="T147" s="60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600"/>
      <c r="B148" s="60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601"/>
      <c r="P148" s="597" t="s">
        <v>40</v>
      </c>
      <c r="Q148" s="598"/>
      <c r="R148" s="598"/>
      <c r="S148" s="598"/>
      <c r="T148" s="598"/>
      <c r="U148" s="598"/>
      <c r="V148" s="59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600"/>
      <c r="B149" s="60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601"/>
      <c r="P149" s="597" t="s">
        <v>40</v>
      </c>
      <c r="Q149" s="598"/>
      <c r="R149" s="598"/>
      <c r="S149" s="598"/>
      <c r="T149" s="598"/>
      <c r="U149" s="598"/>
      <c r="V149" s="59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610" t="s">
        <v>278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2"/>
      <c r="AB150" s="62"/>
      <c r="AC150" s="62"/>
    </row>
    <row r="151" spans="1:68" ht="14.25" customHeight="1" x14ac:dyDescent="0.25">
      <c r="A151" s="611" t="s">
        <v>92</v>
      </c>
      <c r="B151" s="611"/>
      <c r="C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3"/>
      <c r="AB151" s="63"/>
      <c r="AC151" s="63"/>
    </row>
    <row r="152" spans="1:68" ht="27" customHeight="1" x14ac:dyDescent="0.25">
      <c r="A152" s="60" t="s">
        <v>279</v>
      </c>
      <c r="B152" s="60" t="s">
        <v>280</v>
      </c>
      <c r="C152" s="34">
        <v>4301052174</v>
      </c>
      <c r="D152" s="606">
        <v>4680115888203</v>
      </c>
      <c r="E152" s="60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9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8"/>
      <c r="R152" s="608"/>
      <c r="S152" s="608"/>
      <c r="T152" s="60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282</v>
      </c>
      <c r="B153" s="60" t="s">
        <v>283</v>
      </c>
      <c r="C153" s="34">
        <v>4301052172</v>
      </c>
      <c r="D153" s="606">
        <v>4680115888180</v>
      </c>
      <c r="E153" s="60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8"/>
      <c r="R153" s="608"/>
      <c r="S153" s="608"/>
      <c r="T153" s="60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customHeight="1" x14ac:dyDescent="0.25">
      <c r="A154" s="60" t="s">
        <v>285</v>
      </c>
      <c r="B154" s="60" t="s">
        <v>286</v>
      </c>
      <c r="C154" s="34">
        <v>4301052173</v>
      </c>
      <c r="D154" s="606">
        <v>4680115888197</v>
      </c>
      <c r="E154" s="606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9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8"/>
      <c r="R154" s="608"/>
      <c r="S154" s="608"/>
      <c r="T154" s="60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288</v>
      </c>
      <c r="B155" s="60" t="s">
        <v>289</v>
      </c>
      <c r="C155" s="34">
        <v>4301052175</v>
      </c>
      <c r="D155" s="606">
        <v>4680115888210</v>
      </c>
      <c r="E155" s="60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80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8"/>
      <c r="R155" s="608"/>
      <c r="S155" s="608"/>
      <c r="T155" s="60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x14ac:dyDescent="0.2">
      <c r="A156" s="600"/>
      <c r="B156" s="60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601"/>
      <c r="P156" s="597" t="s">
        <v>40</v>
      </c>
      <c r="Q156" s="598"/>
      <c r="R156" s="598"/>
      <c r="S156" s="598"/>
      <c r="T156" s="598"/>
      <c r="U156" s="598"/>
      <c r="V156" s="599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00"/>
      <c r="B157" s="60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601"/>
      <c r="P157" s="597" t="s">
        <v>40</v>
      </c>
      <c r="Q157" s="598"/>
      <c r="R157" s="598"/>
      <c r="S157" s="598"/>
      <c r="T157" s="598"/>
      <c r="U157" s="598"/>
      <c r="V157" s="599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customHeight="1" x14ac:dyDescent="0.25">
      <c r="A158" s="610" t="s">
        <v>144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2"/>
      <c r="AB158" s="62"/>
      <c r="AC158" s="62"/>
    </row>
    <row r="159" spans="1:68" ht="14.25" customHeight="1" x14ac:dyDescent="0.25">
      <c r="A159" s="611" t="s">
        <v>146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3"/>
      <c r="AB159" s="63"/>
      <c r="AC159" s="63"/>
    </row>
    <row r="160" spans="1:68" ht="27" customHeight="1" x14ac:dyDescent="0.25">
      <c r="A160" s="60" t="s">
        <v>291</v>
      </c>
      <c r="B160" s="60" t="s">
        <v>292</v>
      </c>
      <c r="C160" s="34">
        <v>4301012244</v>
      </c>
      <c r="D160" s="606">
        <v>4680115887374</v>
      </c>
      <c r="E160" s="606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8"/>
      <c r="R160" s="608"/>
      <c r="S160" s="608"/>
      <c r="T160" s="609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customHeight="1" x14ac:dyDescent="0.25">
      <c r="A161" s="60" t="s">
        <v>294</v>
      </c>
      <c r="B161" s="60" t="s">
        <v>295</v>
      </c>
      <c r="C161" s="34">
        <v>4301011705</v>
      </c>
      <c r="D161" s="606">
        <v>4607091384604</v>
      </c>
      <c r="E161" s="606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8"/>
      <c r="R161" s="608"/>
      <c r="S161" s="608"/>
      <c r="T161" s="60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00"/>
      <c r="B162" s="60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601"/>
      <c r="P162" s="597" t="s">
        <v>40</v>
      </c>
      <c r="Q162" s="598"/>
      <c r="R162" s="598"/>
      <c r="S162" s="598"/>
      <c r="T162" s="598"/>
      <c r="U162" s="598"/>
      <c r="V162" s="599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x14ac:dyDescent="0.2">
      <c r="A163" s="600"/>
      <c r="B163" s="60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601"/>
      <c r="P163" s="597" t="s">
        <v>40</v>
      </c>
      <c r="Q163" s="598"/>
      <c r="R163" s="598"/>
      <c r="S163" s="598"/>
      <c r="T163" s="598"/>
      <c r="U163" s="598"/>
      <c r="V163" s="599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customHeight="1" x14ac:dyDescent="0.25">
      <c r="A164" s="611" t="s">
        <v>180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3"/>
      <c r="AB164" s="63"/>
      <c r="AC164" s="63"/>
    </row>
    <row r="165" spans="1:68" ht="16.5" customHeight="1" x14ac:dyDescent="0.25">
      <c r="A165" s="60" t="s">
        <v>297</v>
      </c>
      <c r="B165" s="60" t="s">
        <v>298</v>
      </c>
      <c r="C165" s="34">
        <v>4301020410</v>
      </c>
      <c r="D165" s="606">
        <v>4680115887695</v>
      </c>
      <c r="E165" s="606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8"/>
      <c r="R165" s="608"/>
      <c r="S165" s="608"/>
      <c r="T165" s="60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600"/>
      <c r="B166" s="60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601"/>
      <c r="P166" s="597" t="s">
        <v>40</v>
      </c>
      <c r="Q166" s="598"/>
      <c r="R166" s="598"/>
      <c r="S166" s="598"/>
      <c r="T166" s="598"/>
      <c r="U166" s="598"/>
      <c r="V166" s="599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600"/>
      <c r="B167" s="60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601"/>
      <c r="P167" s="597" t="s">
        <v>40</v>
      </c>
      <c r="Q167" s="598"/>
      <c r="R167" s="598"/>
      <c r="S167" s="598"/>
      <c r="T167" s="598"/>
      <c r="U167" s="598"/>
      <c r="V167" s="599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customHeight="1" x14ac:dyDescent="0.25">
      <c r="A168" s="611" t="s">
        <v>77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06">
        <v>4680115887428</v>
      </c>
      <c r="E169" s="60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9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8"/>
      <c r="R169" s="608"/>
      <c r="S169" s="608"/>
      <c r="T169" s="609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06">
        <v>4607091382426</v>
      </c>
      <c r="E170" s="606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8"/>
      <c r="R170" s="608"/>
      <c r="S170" s="608"/>
      <c r="T170" s="609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customHeight="1" x14ac:dyDescent="0.25">
      <c r="A171" s="60" t="s">
        <v>306</v>
      </c>
      <c r="B171" s="60" t="s">
        <v>307</v>
      </c>
      <c r="C171" s="34">
        <v>4301031498</v>
      </c>
      <c r="D171" s="606">
        <v>4680115887398</v>
      </c>
      <c r="E171" s="606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9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8"/>
      <c r="R171" s="608"/>
      <c r="S171" s="608"/>
      <c r="T171" s="609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customHeight="1" x14ac:dyDescent="0.25">
      <c r="A172" s="60" t="s">
        <v>309</v>
      </c>
      <c r="B172" s="60" t="s">
        <v>310</v>
      </c>
      <c r="C172" s="34">
        <v>4301031497</v>
      </c>
      <c r="D172" s="606">
        <v>4680115887336</v>
      </c>
      <c r="E172" s="60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9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8"/>
      <c r="R172" s="608"/>
      <c r="S172" s="608"/>
      <c r="T172" s="609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customHeight="1" x14ac:dyDescent="0.25">
      <c r="A173" s="60" t="s">
        <v>312</v>
      </c>
      <c r="B173" s="60" t="s">
        <v>313</v>
      </c>
      <c r="C173" s="34">
        <v>4301032049</v>
      </c>
      <c r="D173" s="606">
        <v>4680115887787</v>
      </c>
      <c r="E173" s="60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8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8"/>
      <c r="R173" s="608"/>
      <c r="S173" s="608"/>
      <c r="T173" s="609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customHeight="1" x14ac:dyDescent="0.25">
      <c r="A174" s="60" t="s">
        <v>315</v>
      </c>
      <c r="B174" s="60" t="s">
        <v>316</v>
      </c>
      <c r="C174" s="34">
        <v>4301031448</v>
      </c>
      <c r="D174" s="606">
        <v>4680115887503</v>
      </c>
      <c r="E174" s="606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8"/>
      <c r="R174" s="608"/>
      <c r="S174" s="608"/>
      <c r="T174" s="609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customHeight="1" x14ac:dyDescent="0.25">
      <c r="A175" s="60" t="s">
        <v>317</v>
      </c>
      <c r="B175" s="60" t="s">
        <v>318</v>
      </c>
      <c r="C175" s="34">
        <v>4301031389</v>
      </c>
      <c r="D175" s="606">
        <v>4680115887763</v>
      </c>
      <c r="E175" s="606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8"/>
      <c r="R175" s="608"/>
      <c r="S175" s="608"/>
      <c r="T175" s="609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customHeight="1" x14ac:dyDescent="0.25">
      <c r="A176" s="60" t="s">
        <v>320</v>
      </c>
      <c r="B176" s="60" t="s">
        <v>321</v>
      </c>
      <c r="C176" s="34">
        <v>4301031454</v>
      </c>
      <c r="D176" s="606">
        <v>4680115887480</v>
      </c>
      <c r="E176" s="606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8"/>
      <c r="R176" s="608"/>
      <c r="S176" s="608"/>
      <c r="T176" s="609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322</v>
      </c>
      <c r="B177" s="60" t="s">
        <v>323</v>
      </c>
      <c r="C177" s="34">
        <v>4301031434</v>
      </c>
      <c r="D177" s="606">
        <v>4680115888067</v>
      </c>
      <c r="E177" s="606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8"/>
      <c r="R177" s="608"/>
      <c r="S177" s="608"/>
      <c r="T177" s="609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325</v>
      </c>
      <c r="B178" s="60" t="s">
        <v>326</v>
      </c>
      <c r="C178" s="34">
        <v>4301031451</v>
      </c>
      <c r="D178" s="606">
        <v>4680115887435</v>
      </c>
      <c r="E178" s="606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8"/>
      <c r="R178" s="608"/>
      <c r="S178" s="608"/>
      <c r="T178" s="609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0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601"/>
      <c r="P179" s="597" t="s">
        <v>40</v>
      </c>
      <c r="Q179" s="598"/>
      <c r="R179" s="598"/>
      <c r="S179" s="598"/>
      <c r="T179" s="598"/>
      <c r="U179" s="598"/>
      <c r="V179" s="599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x14ac:dyDescent="0.2">
      <c r="A180" s="600"/>
      <c r="B180" s="60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601"/>
      <c r="P180" s="597" t="s">
        <v>40</v>
      </c>
      <c r="Q180" s="598"/>
      <c r="R180" s="598"/>
      <c r="S180" s="598"/>
      <c r="T180" s="598"/>
      <c r="U180" s="598"/>
      <c r="V180" s="599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customHeight="1" x14ac:dyDescent="0.25">
      <c r="A181" s="611" t="s">
        <v>92</v>
      </c>
      <c r="B181" s="611"/>
      <c r="C181" s="611"/>
      <c r="D181" s="611"/>
      <c r="E181" s="611"/>
      <c r="F181" s="611"/>
      <c r="G181" s="611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3"/>
      <c r="AB181" s="63"/>
      <c r="AC181" s="63"/>
    </row>
    <row r="182" spans="1:68" ht="27" customHeight="1" x14ac:dyDescent="0.25">
      <c r="A182" s="60" t="s">
        <v>327</v>
      </c>
      <c r="B182" s="60" t="s">
        <v>328</v>
      </c>
      <c r="C182" s="34">
        <v>4301052064</v>
      </c>
      <c r="D182" s="606">
        <v>4680115887459</v>
      </c>
      <c r="E182" s="606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08"/>
      <c r="R182" s="608"/>
      <c r="S182" s="608"/>
      <c r="T182" s="60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x14ac:dyDescent="0.2">
      <c r="A183" s="600"/>
      <c r="B183" s="60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601"/>
      <c r="P183" s="597" t="s">
        <v>40</v>
      </c>
      <c r="Q183" s="598"/>
      <c r="R183" s="598"/>
      <c r="S183" s="598"/>
      <c r="T183" s="598"/>
      <c r="U183" s="598"/>
      <c r="V183" s="599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x14ac:dyDescent="0.2">
      <c r="A184" s="600"/>
      <c r="B184" s="60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601"/>
      <c r="P184" s="597" t="s">
        <v>40</v>
      </c>
      <c r="Q184" s="598"/>
      <c r="R184" s="598"/>
      <c r="S184" s="598"/>
      <c r="T184" s="598"/>
      <c r="U184" s="598"/>
      <c r="V184" s="599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customHeight="1" x14ac:dyDescent="0.25">
      <c r="A185" s="611" t="s">
        <v>123</v>
      </c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3"/>
      <c r="AB185" s="63"/>
      <c r="AC185" s="63"/>
    </row>
    <row r="186" spans="1:68" ht="16.5" customHeight="1" x14ac:dyDescent="0.25">
      <c r="A186" s="60" t="s">
        <v>330</v>
      </c>
      <c r="B186" s="60" t="s">
        <v>331</v>
      </c>
      <c r="C186" s="34">
        <v>4301032058</v>
      </c>
      <c r="D186" s="606">
        <v>4680115889026</v>
      </c>
      <c r="E186" s="60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08"/>
      <c r="R186" s="608"/>
      <c r="S186" s="608"/>
      <c r="T186" s="60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335</v>
      </c>
      <c r="B187" s="60" t="s">
        <v>336</v>
      </c>
      <c r="C187" s="34">
        <v>4301032057</v>
      </c>
      <c r="D187" s="606">
        <v>4680115889088</v>
      </c>
      <c r="E187" s="60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08"/>
      <c r="R187" s="608"/>
      <c r="S187" s="608"/>
      <c r="T187" s="60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00"/>
      <c r="B188" s="60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601"/>
      <c r="P188" s="597" t="s">
        <v>40</v>
      </c>
      <c r="Q188" s="598"/>
      <c r="R188" s="598"/>
      <c r="S188" s="598"/>
      <c r="T188" s="598"/>
      <c r="U188" s="598"/>
      <c r="V188" s="599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00"/>
      <c r="B189" s="60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601"/>
      <c r="P189" s="597" t="s">
        <v>40</v>
      </c>
      <c r="Q189" s="598"/>
      <c r="R189" s="598"/>
      <c r="S189" s="598"/>
      <c r="T189" s="598"/>
      <c r="U189" s="598"/>
      <c r="V189" s="599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11" t="s">
        <v>338</v>
      </c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3"/>
      <c r="AB190" s="63"/>
      <c r="AC190" s="63"/>
    </row>
    <row r="191" spans="1:68" ht="27" customHeight="1" x14ac:dyDescent="0.25">
      <c r="A191" s="60" t="s">
        <v>339</v>
      </c>
      <c r="B191" s="60" t="s">
        <v>340</v>
      </c>
      <c r="C191" s="34">
        <v>4301041009</v>
      </c>
      <c r="D191" s="606">
        <v>4680115889033</v>
      </c>
      <c r="E191" s="606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08"/>
      <c r="R191" s="608"/>
      <c r="S191" s="608"/>
      <c r="T191" s="60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00"/>
      <c r="B192" s="60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601"/>
      <c r="P192" s="597" t="s">
        <v>40</v>
      </c>
      <c r="Q192" s="598"/>
      <c r="R192" s="598"/>
      <c r="S192" s="598"/>
      <c r="T192" s="598"/>
      <c r="U192" s="598"/>
      <c r="V192" s="59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00"/>
      <c r="B193" s="60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601"/>
      <c r="P193" s="597" t="s">
        <v>40</v>
      </c>
      <c r="Q193" s="598"/>
      <c r="R193" s="598"/>
      <c r="S193" s="598"/>
      <c r="T193" s="598"/>
      <c r="U193" s="598"/>
      <c r="V193" s="59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customHeight="1" x14ac:dyDescent="0.2">
      <c r="A194" s="617" t="s">
        <v>342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52"/>
      <c r="AB194" s="52"/>
      <c r="AC194" s="52"/>
    </row>
    <row r="195" spans="1:68" ht="16.5" customHeight="1" x14ac:dyDescent="0.25">
      <c r="A195" s="610" t="s">
        <v>343</v>
      </c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  <c r="P195" s="610"/>
      <c r="Q195" s="610"/>
      <c r="R195" s="610"/>
      <c r="S195" s="610"/>
      <c r="T195" s="610"/>
      <c r="U195" s="610"/>
      <c r="V195" s="610"/>
      <c r="W195" s="610"/>
      <c r="X195" s="610"/>
      <c r="Y195" s="610"/>
      <c r="Z195" s="610"/>
      <c r="AA195" s="62"/>
      <c r="AB195" s="62"/>
      <c r="AC195" s="62"/>
    </row>
    <row r="196" spans="1:68" ht="14.25" customHeight="1" x14ac:dyDescent="0.25">
      <c r="A196" s="611" t="s">
        <v>146</v>
      </c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3"/>
      <c r="AB196" s="63"/>
      <c r="AC196" s="63"/>
    </row>
    <row r="197" spans="1:68" ht="27" customHeight="1" x14ac:dyDescent="0.25">
      <c r="A197" s="60" t="s">
        <v>344</v>
      </c>
      <c r="B197" s="60" t="s">
        <v>345</v>
      </c>
      <c r="C197" s="34">
        <v>4301011223</v>
      </c>
      <c r="D197" s="606">
        <v>4607091383423</v>
      </c>
      <c r="E197" s="606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8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08"/>
      <c r="R197" s="608"/>
      <c r="S197" s="608"/>
      <c r="T197" s="60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customHeight="1" x14ac:dyDescent="0.25">
      <c r="A198" s="60" t="s">
        <v>346</v>
      </c>
      <c r="B198" s="60" t="s">
        <v>347</v>
      </c>
      <c r="C198" s="34">
        <v>4301012199</v>
      </c>
      <c r="D198" s="606">
        <v>4680115886957</v>
      </c>
      <c r="E198" s="60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7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08"/>
      <c r="R198" s="608"/>
      <c r="S198" s="608"/>
      <c r="T198" s="60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349</v>
      </c>
      <c r="B199" s="60" t="s">
        <v>350</v>
      </c>
      <c r="C199" s="34">
        <v>4301012098</v>
      </c>
      <c r="D199" s="606">
        <v>4680115885660</v>
      </c>
      <c r="E199" s="606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08"/>
      <c r="R199" s="608"/>
      <c r="S199" s="608"/>
      <c r="T199" s="60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customHeight="1" x14ac:dyDescent="0.25">
      <c r="A200" s="60" t="s">
        <v>352</v>
      </c>
      <c r="B200" s="60" t="s">
        <v>353</v>
      </c>
      <c r="C200" s="34">
        <v>4301012176</v>
      </c>
      <c r="D200" s="606">
        <v>4680115886773</v>
      </c>
      <c r="E200" s="606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7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08"/>
      <c r="R200" s="608"/>
      <c r="S200" s="608"/>
      <c r="T200" s="60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00"/>
      <c r="B201" s="60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601"/>
      <c r="P201" s="597" t="s">
        <v>40</v>
      </c>
      <c r="Q201" s="598"/>
      <c r="R201" s="598"/>
      <c r="S201" s="598"/>
      <c r="T201" s="598"/>
      <c r="U201" s="598"/>
      <c r="V201" s="599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x14ac:dyDescent="0.2">
      <c r="A202" s="600"/>
      <c r="B202" s="60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601"/>
      <c r="P202" s="597" t="s">
        <v>40</v>
      </c>
      <c r="Q202" s="598"/>
      <c r="R202" s="598"/>
      <c r="S202" s="598"/>
      <c r="T202" s="598"/>
      <c r="U202" s="598"/>
      <c r="V202" s="599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customHeight="1" x14ac:dyDescent="0.25">
      <c r="A203" s="610" t="s">
        <v>355</v>
      </c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2"/>
      <c r="AB203" s="62"/>
      <c r="AC203" s="62"/>
    </row>
    <row r="204" spans="1:68" ht="14.25" customHeight="1" x14ac:dyDescent="0.25">
      <c r="A204" s="611" t="s">
        <v>180</v>
      </c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3"/>
      <c r="AB204" s="63"/>
      <c r="AC204" s="63"/>
    </row>
    <row r="205" spans="1:68" ht="27" customHeight="1" x14ac:dyDescent="0.25">
      <c r="A205" s="60" t="s">
        <v>356</v>
      </c>
      <c r="B205" s="60" t="s">
        <v>357</v>
      </c>
      <c r="C205" s="34">
        <v>4301020323</v>
      </c>
      <c r="D205" s="606">
        <v>4680115886223</v>
      </c>
      <c r="E205" s="606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08"/>
      <c r="R205" s="608"/>
      <c r="S205" s="608"/>
      <c r="T205" s="60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x14ac:dyDescent="0.2">
      <c r="A206" s="600"/>
      <c r="B206" s="60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601"/>
      <c r="P206" s="597" t="s">
        <v>40</v>
      </c>
      <c r="Q206" s="598"/>
      <c r="R206" s="598"/>
      <c r="S206" s="598"/>
      <c r="T206" s="598"/>
      <c r="U206" s="598"/>
      <c r="V206" s="599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x14ac:dyDescent="0.2">
      <c r="A207" s="600"/>
      <c r="B207" s="60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601"/>
      <c r="P207" s="597" t="s">
        <v>40</v>
      </c>
      <c r="Q207" s="598"/>
      <c r="R207" s="598"/>
      <c r="S207" s="598"/>
      <c r="T207" s="598"/>
      <c r="U207" s="598"/>
      <c r="V207" s="599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customHeight="1" x14ac:dyDescent="0.25">
      <c r="A208" s="611" t="s">
        <v>77</v>
      </c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06">
        <v>4680115880993</v>
      </c>
      <c r="E209" s="60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08"/>
      <c r="R209" s="608"/>
      <c r="S209" s="608"/>
      <c r="T209" s="609"/>
      <c r="U209" s="37" t="s">
        <v>46</v>
      </c>
      <c r="V209" s="37" t="s">
        <v>46</v>
      </c>
      <c r="W209" s="38" t="s">
        <v>0</v>
      </c>
      <c r="X209" s="56">
        <v>200</v>
      </c>
      <c r="Y209" s="53">
        <f t="shared" ref="Y209:Y222" si="21">IFERROR(IF(X209="",0,CEILING((X209/$H209),1)*$H209),"")</f>
        <v>201.60000000000002</v>
      </c>
      <c r="Z209" s="39">
        <f>IFERROR(IF(Y209=0,"",ROUNDUP(Y209/H209,0)*0.00902),"")</f>
        <v>0.43296000000000001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211.9047619047619</v>
      </c>
      <c r="BN209" s="75">
        <f t="shared" ref="BN209:BN222" si="23">IFERROR(Y209*I209/H209,"0")</f>
        <v>213.60000000000002</v>
      </c>
      <c r="BO209" s="75">
        <f t="shared" ref="BO209:BO222" si="24">IFERROR(1/J209*(X209/H209),"0")</f>
        <v>0.36075036075036077</v>
      </c>
      <c r="BP209" s="75">
        <f t="shared" ref="BP209:BP222" si="25">IFERROR(1/J209*(Y209/H209),"0")</f>
        <v>0.36363636363636365</v>
      </c>
    </row>
    <row r="210" spans="1:68" ht="27" customHeight="1" x14ac:dyDescent="0.25">
      <c r="A210" s="60" t="s">
        <v>362</v>
      </c>
      <c r="B210" s="60" t="s">
        <v>363</v>
      </c>
      <c r="C210" s="34">
        <v>4301031204</v>
      </c>
      <c r="D210" s="606">
        <v>4680115881761</v>
      </c>
      <c r="E210" s="606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08"/>
      <c r="R210" s="608"/>
      <c r="S210" s="608"/>
      <c r="T210" s="609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06">
        <v>4680115881563</v>
      </c>
      <c r="E211" s="606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08"/>
      <c r="R211" s="608"/>
      <c r="S211" s="608"/>
      <c r="T211" s="609"/>
      <c r="U211" s="37" t="s">
        <v>46</v>
      </c>
      <c r="V211" s="37" t="s">
        <v>46</v>
      </c>
      <c r="W211" s="38" t="s">
        <v>0</v>
      </c>
      <c r="X211" s="56">
        <v>300</v>
      </c>
      <c r="Y211" s="53">
        <f t="shared" si="21"/>
        <v>302.40000000000003</v>
      </c>
      <c r="Z211" s="39">
        <f>IFERROR(IF(Y211=0,"",ROUNDUP(Y211/H211,0)*0.00902),"")</f>
        <v>0.64944000000000002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313.57142857142856</v>
      </c>
      <c r="BN211" s="75">
        <f t="shared" si="23"/>
        <v>316.08</v>
      </c>
      <c r="BO211" s="75">
        <f t="shared" si="24"/>
        <v>0.54112554112554112</v>
      </c>
      <c r="BP211" s="75">
        <f t="shared" si="25"/>
        <v>0.54545454545454541</v>
      </c>
    </row>
    <row r="212" spans="1:68" ht="37.5" customHeight="1" x14ac:dyDescent="0.25">
      <c r="A212" s="60" t="s">
        <v>368</v>
      </c>
      <c r="B212" s="60" t="s">
        <v>369</v>
      </c>
      <c r="C212" s="34">
        <v>4301031447</v>
      </c>
      <c r="D212" s="606">
        <v>4680115887565</v>
      </c>
      <c r="E212" s="606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08"/>
      <c r="R212" s="608"/>
      <c r="S212" s="608"/>
      <c r="T212" s="609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06">
        <v>4680115880986</v>
      </c>
      <c r="E213" s="606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08"/>
      <c r="R213" s="608"/>
      <c r="S213" s="608"/>
      <c r="T213" s="609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customHeight="1" x14ac:dyDescent="0.25">
      <c r="A214" s="60" t="s">
        <v>373</v>
      </c>
      <c r="B214" s="60" t="s">
        <v>374</v>
      </c>
      <c r="C214" s="34">
        <v>4301031443</v>
      </c>
      <c r="D214" s="606">
        <v>4680115887213</v>
      </c>
      <c r="E214" s="606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08"/>
      <c r="R214" s="608"/>
      <c r="S214" s="608"/>
      <c r="T214" s="609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06">
        <v>4680115881785</v>
      </c>
      <c r="E215" s="606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08"/>
      <c r="R215" s="608"/>
      <c r="S215" s="608"/>
      <c r="T215" s="609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06">
        <v>4680115888432</v>
      </c>
      <c r="E216" s="606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08"/>
      <c r="R216" s="608"/>
      <c r="S216" s="608"/>
      <c r="T216" s="609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06">
        <v>4680115888104</v>
      </c>
      <c r="E217" s="606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08"/>
      <c r="R217" s="608"/>
      <c r="S217" s="608"/>
      <c r="T217" s="609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customHeight="1" x14ac:dyDescent="0.25">
      <c r="A218" s="60" t="s">
        <v>384</v>
      </c>
      <c r="B218" s="60" t="s">
        <v>385</v>
      </c>
      <c r="C218" s="34">
        <v>4301031399</v>
      </c>
      <c r="D218" s="606">
        <v>4680115886537</v>
      </c>
      <c r="E218" s="606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08"/>
      <c r="R218" s="608"/>
      <c r="S218" s="608"/>
      <c r="T218" s="609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387</v>
      </c>
      <c r="B219" s="60" t="s">
        <v>388</v>
      </c>
      <c r="C219" s="34">
        <v>4301031279</v>
      </c>
      <c r="D219" s="606">
        <v>4680115887596</v>
      </c>
      <c r="E219" s="606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08"/>
      <c r="R219" s="608"/>
      <c r="S219" s="608"/>
      <c r="T219" s="609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customHeight="1" x14ac:dyDescent="0.25">
      <c r="A220" s="60" t="s">
        <v>390</v>
      </c>
      <c r="B220" s="60" t="s">
        <v>391</v>
      </c>
      <c r="C220" s="34">
        <v>4301031202</v>
      </c>
      <c r="D220" s="606">
        <v>4680115881679</v>
      </c>
      <c r="E220" s="606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08"/>
      <c r="R220" s="608"/>
      <c r="S220" s="608"/>
      <c r="T220" s="609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customHeight="1" x14ac:dyDescent="0.25">
      <c r="A221" s="60" t="s">
        <v>392</v>
      </c>
      <c r="B221" s="60" t="s">
        <v>393</v>
      </c>
      <c r="C221" s="34">
        <v>4301031158</v>
      </c>
      <c r="D221" s="606">
        <v>4680115880191</v>
      </c>
      <c r="E221" s="606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08"/>
      <c r="R221" s="608"/>
      <c r="S221" s="608"/>
      <c r="T221" s="609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394</v>
      </c>
      <c r="B222" s="60" t="s">
        <v>395</v>
      </c>
      <c r="C222" s="34">
        <v>4301031245</v>
      </c>
      <c r="D222" s="606">
        <v>4680115883963</v>
      </c>
      <c r="E222" s="606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08"/>
      <c r="R222" s="608"/>
      <c r="S222" s="608"/>
      <c r="T222" s="609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00"/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601"/>
      <c r="P223" s="597" t="s">
        <v>40</v>
      </c>
      <c r="Q223" s="598"/>
      <c r="R223" s="598"/>
      <c r="S223" s="598"/>
      <c r="T223" s="598"/>
      <c r="U223" s="598"/>
      <c r="V223" s="599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119.04761904761905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120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1.0824</v>
      </c>
      <c r="AA223" s="64"/>
      <c r="AB223" s="64"/>
      <c r="AC223" s="64"/>
    </row>
    <row r="224" spans="1:68" x14ac:dyDescent="0.2">
      <c r="A224" s="600"/>
      <c r="B224" s="60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601"/>
      <c r="P224" s="597" t="s">
        <v>40</v>
      </c>
      <c r="Q224" s="598"/>
      <c r="R224" s="598"/>
      <c r="S224" s="598"/>
      <c r="T224" s="598"/>
      <c r="U224" s="598"/>
      <c r="V224" s="599"/>
      <c r="W224" s="40" t="s">
        <v>0</v>
      </c>
      <c r="X224" s="41">
        <f>IFERROR(SUM(X209:X222),"0")</f>
        <v>500</v>
      </c>
      <c r="Y224" s="41">
        <f>IFERROR(SUM(Y209:Y222),"0")</f>
        <v>504.00000000000006</v>
      </c>
      <c r="Z224" s="40"/>
      <c r="AA224" s="64"/>
      <c r="AB224" s="64"/>
      <c r="AC224" s="64"/>
    </row>
    <row r="225" spans="1:68" ht="14.25" customHeight="1" x14ac:dyDescent="0.25">
      <c r="A225" s="611" t="s">
        <v>92</v>
      </c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3"/>
      <c r="AB225" s="63"/>
      <c r="AC225" s="63"/>
    </row>
    <row r="226" spans="1:68" ht="27" customHeight="1" x14ac:dyDescent="0.25">
      <c r="A226" s="60" t="s">
        <v>397</v>
      </c>
      <c r="B226" s="60" t="s">
        <v>398</v>
      </c>
      <c r="C226" s="34">
        <v>4301052177</v>
      </c>
      <c r="D226" s="606">
        <v>4680115888951</v>
      </c>
      <c r="E226" s="60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08"/>
      <c r="R226" s="608"/>
      <c r="S226" s="608"/>
      <c r="T226" s="60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0"/>
      <c r="B227" s="60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601"/>
      <c r="P227" s="597" t="s">
        <v>40</v>
      </c>
      <c r="Q227" s="598"/>
      <c r="R227" s="598"/>
      <c r="S227" s="598"/>
      <c r="T227" s="598"/>
      <c r="U227" s="598"/>
      <c r="V227" s="599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600"/>
      <c r="B228" s="60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601"/>
      <c r="P228" s="597" t="s">
        <v>40</v>
      </c>
      <c r="Q228" s="598"/>
      <c r="R228" s="598"/>
      <c r="S228" s="598"/>
      <c r="T228" s="598"/>
      <c r="U228" s="598"/>
      <c r="V228" s="599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customHeight="1" x14ac:dyDescent="0.25">
      <c r="A229" s="611" t="s">
        <v>123</v>
      </c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3"/>
      <c r="AB229" s="63"/>
      <c r="AC229" s="63"/>
    </row>
    <row r="230" spans="1:68" ht="27" customHeight="1" x14ac:dyDescent="0.25">
      <c r="A230" s="60" t="s">
        <v>400</v>
      </c>
      <c r="B230" s="60" t="s">
        <v>401</v>
      </c>
      <c r="C230" s="34">
        <v>4301032053</v>
      </c>
      <c r="D230" s="606">
        <v>4680115886780</v>
      </c>
      <c r="E230" s="60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8"/>
      <c r="R230" s="608"/>
      <c r="S230" s="608"/>
      <c r="T230" s="60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403</v>
      </c>
      <c r="B231" s="60" t="s">
        <v>404</v>
      </c>
      <c r="C231" s="34">
        <v>4301032051</v>
      </c>
      <c r="D231" s="606">
        <v>4680115886742</v>
      </c>
      <c r="E231" s="60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8"/>
      <c r="R231" s="608"/>
      <c r="S231" s="608"/>
      <c r="T231" s="60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406</v>
      </c>
      <c r="B232" s="60" t="s">
        <v>407</v>
      </c>
      <c r="C232" s="34">
        <v>4301032052</v>
      </c>
      <c r="D232" s="606">
        <v>4680115886766</v>
      </c>
      <c r="E232" s="60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8"/>
      <c r="R232" s="608"/>
      <c r="S232" s="608"/>
      <c r="T232" s="60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0"/>
      <c r="B233" s="60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601"/>
      <c r="P233" s="597" t="s">
        <v>40</v>
      </c>
      <c r="Q233" s="598"/>
      <c r="R233" s="598"/>
      <c r="S233" s="598"/>
      <c r="T233" s="598"/>
      <c r="U233" s="598"/>
      <c r="V233" s="599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0"/>
      <c r="B234" s="60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601"/>
      <c r="P234" s="597" t="s">
        <v>40</v>
      </c>
      <c r="Q234" s="598"/>
      <c r="R234" s="598"/>
      <c r="S234" s="598"/>
      <c r="T234" s="598"/>
      <c r="U234" s="598"/>
      <c r="V234" s="599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11" t="s">
        <v>408</v>
      </c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3"/>
      <c r="AB235" s="63"/>
      <c r="AC235" s="63"/>
    </row>
    <row r="236" spans="1:68" ht="27" customHeight="1" x14ac:dyDescent="0.25">
      <c r="A236" s="60" t="s">
        <v>409</v>
      </c>
      <c r="B236" s="60" t="s">
        <v>410</v>
      </c>
      <c r="C236" s="34">
        <v>4301170013</v>
      </c>
      <c r="D236" s="606">
        <v>4680115886797</v>
      </c>
      <c r="E236" s="60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8"/>
      <c r="R236" s="608"/>
      <c r="S236" s="608"/>
      <c r="T236" s="60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00"/>
      <c r="B237" s="60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601"/>
      <c r="P237" s="597" t="s">
        <v>40</v>
      </c>
      <c r="Q237" s="598"/>
      <c r="R237" s="598"/>
      <c r="S237" s="598"/>
      <c r="T237" s="598"/>
      <c r="U237" s="598"/>
      <c r="V237" s="599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0"/>
      <c r="B238" s="60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601"/>
      <c r="P238" s="597" t="s">
        <v>40</v>
      </c>
      <c r="Q238" s="598"/>
      <c r="R238" s="598"/>
      <c r="S238" s="598"/>
      <c r="T238" s="598"/>
      <c r="U238" s="598"/>
      <c r="V238" s="599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0" t="s">
        <v>411</v>
      </c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2"/>
      <c r="AB239" s="62"/>
      <c r="AC239" s="62"/>
    </row>
    <row r="240" spans="1:68" ht="14.25" customHeight="1" x14ac:dyDescent="0.25">
      <c r="A240" s="611" t="s">
        <v>146</v>
      </c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3"/>
      <c r="AB240" s="63"/>
      <c r="AC240" s="63"/>
    </row>
    <row r="241" spans="1:68" ht="27" customHeight="1" x14ac:dyDescent="0.25">
      <c r="A241" s="60" t="s">
        <v>412</v>
      </c>
      <c r="B241" s="60" t="s">
        <v>413</v>
      </c>
      <c r="C241" s="34">
        <v>4301011450</v>
      </c>
      <c r="D241" s="606">
        <v>4680115881402</v>
      </c>
      <c r="E241" s="60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8"/>
      <c r="R241" s="608"/>
      <c r="S241" s="608"/>
      <c r="T241" s="60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416</v>
      </c>
      <c r="C242" s="34">
        <v>4301011768</v>
      </c>
      <c r="D242" s="606">
        <v>4680115881396</v>
      </c>
      <c r="E242" s="60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8"/>
      <c r="R242" s="608"/>
      <c r="S242" s="608"/>
      <c r="T242" s="609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0"/>
      <c r="B243" s="60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601"/>
      <c r="P243" s="597" t="s">
        <v>40</v>
      </c>
      <c r="Q243" s="598"/>
      <c r="R243" s="598"/>
      <c r="S243" s="598"/>
      <c r="T243" s="598"/>
      <c r="U243" s="598"/>
      <c r="V243" s="59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0"/>
      <c r="B244" s="60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601"/>
      <c r="P244" s="597" t="s">
        <v>40</v>
      </c>
      <c r="Q244" s="598"/>
      <c r="R244" s="598"/>
      <c r="S244" s="598"/>
      <c r="T244" s="598"/>
      <c r="U244" s="598"/>
      <c r="V244" s="59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11" t="s">
        <v>180</v>
      </c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3"/>
      <c r="AB245" s="63"/>
      <c r="AC245" s="63"/>
    </row>
    <row r="246" spans="1:68" ht="16.5" customHeight="1" x14ac:dyDescent="0.25">
      <c r="A246" s="60" t="s">
        <v>417</v>
      </c>
      <c r="B246" s="60" t="s">
        <v>418</v>
      </c>
      <c r="C246" s="34">
        <v>4301020261</v>
      </c>
      <c r="D246" s="606">
        <v>4680115882935</v>
      </c>
      <c r="E246" s="60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8"/>
      <c r="R246" s="608"/>
      <c r="S246" s="608"/>
      <c r="T246" s="60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420</v>
      </c>
      <c r="B247" s="60" t="s">
        <v>421</v>
      </c>
      <c r="C247" s="34">
        <v>4301020220</v>
      </c>
      <c r="D247" s="606">
        <v>4680115880764</v>
      </c>
      <c r="E247" s="60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8"/>
      <c r="R247" s="608"/>
      <c r="S247" s="608"/>
      <c r="T247" s="60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0"/>
      <c r="B248" s="60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601"/>
      <c r="P248" s="597" t="s">
        <v>40</v>
      </c>
      <c r="Q248" s="598"/>
      <c r="R248" s="598"/>
      <c r="S248" s="598"/>
      <c r="T248" s="598"/>
      <c r="U248" s="598"/>
      <c r="V248" s="599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0"/>
      <c r="B249" s="60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601"/>
      <c r="P249" s="597" t="s">
        <v>40</v>
      </c>
      <c r="Q249" s="598"/>
      <c r="R249" s="598"/>
      <c r="S249" s="598"/>
      <c r="T249" s="598"/>
      <c r="U249" s="598"/>
      <c r="V249" s="599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11" t="s">
        <v>77</v>
      </c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06">
        <v>4680115882683</v>
      </c>
      <c r="E251" s="60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8"/>
      <c r="R251" s="608"/>
      <c r="S251" s="608"/>
      <c r="T251" s="609"/>
      <c r="U251" s="37" t="s">
        <v>46</v>
      </c>
      <c r="V251" s="37" t="s">
        <v>46</v>
      </c>
      <c r="W251" s="38" t="s">
        <v>0</v>
      </c>
      <c r="X251" s="56">
        <v>100</v>
      </c>
      <c r="Y251" s="53">
        <f t="shared" ref="Y251:Y258" si="27">IFERROR(IF(X251="",0,CEILING((X251/$H251),1)*$H251),"")</f>
        <v>102.60000000000001</v>
      </c>
      <c r="Z251" s="39">
        <f>IFERROR(IF(Y251=0,"",ROUNDUP(Y251/H251,0)*0.00902),"")</f>
        <v>0.17138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103.5185185185185</v>
      </c>
      <c r="BN251" s="75">
        <f t="shared" ref="BN251:BN258" si="29">IFERROR(Y251*I251/H251,"0")</f>
        <v>106.21</v>
      </c>
      <c r="BO251" s="75">
        <f t="shared" ref="BO251:BO258" si="30">IFERROR(1/J251*(X251/H251),"0")</f>
        <v>0.14029180695847362</v>
      </c>
      <c r="BP251" s="75">
        <f t="shared" ref="BP251:BP258" si="31">IFERROR(1/J251*(Y251/H251),"0")</f>
        <v>0.14393939393939395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06">
        <v>4680115882690</v>
      </c>
      <c r="E252" s="60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8"/>
      <c r="R252" s="608"/>
      <c r="S252" s="608"/>
      <c r="T252" s="609"/>
      <c r="U252" s="37" t="s">
        <v>46</v>
      </c>
      <c r="V252" s="37" t="s">
        <v>46</v>
      </c>
      <c r="W252" s="38" t="s">
        <v>0</v>
      </c>
      <c r="X252" s="56"/>
      <c r="Y252" s="53">
        <f t="shared" si="27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0</v>
      </c>
      <c r="BN252" s="75">
        <f t="shared" si="29"/>
        <v>0</v>
      </c>
      <c r="BO252" s="75">
        <f t="shared" si="30"/>
        <v>0</v>
      </c>
      <c r="BP252" s="75">
        <f t="shared" si="31"/>
        <v>0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06">
        <v>4680115882669</v>
      </c>
      <c r="E253" s="60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8"/>
      <c r="R253" s="608"/>
      <c r="S253" s="608"/>
      <c r="T253" s="609"/>
      <c r="U253" s="37" t="s">
        <v>46</v>
      </c>
      <c r="V253" s="37" t="s">
        <v>46</v>
      </c>
      <c r="W253" s="38" t="s">
        <v>0</v>
      </c>
      <c r="X253" s="56">
        <v>250</v>
      </c>
      <c r="Y253" s="53">
        <f t="shared" si="27"/>
        <v>253.8</v>
      </c>
      <c r="Z253" s="39">
        <f>IFERROR(IF(Y253=0,"",ROUNDUP(Y253/H253,0)*0.00902),"")</f>
        <v>0.42393999999999998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258.7962962962963</v>
      </c>
      <c r="BN253" s="75">
        <f t="shared" si="29"/>
        <v>262.72999999999996</v>
      </c>
      <c r="BO253" s="75">
        <f t="shared" si="30"/>
        <v>0.35072951739618402</v>
      </c>
      <c r="BP253" s="75">
        <f t="shared" si="31"/>
        <v>0.35606060606060608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06">
        <v>4680115882676</v>
      </c>
      <c r="E254" s="60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8"/>
      <c r="R254" s="608"/>
      <c r="S254" s="608"/>
      <c r="T254" s="609"/>
      <c r="U254" s="37" t="s">
        <v>46</v>
      </c>
      <c r="V254" s="37" t="s">
        <v>46</v>
      </c>
      <c r="W254" s="38" t="s">
        <v>0</v>
      </c>
      <c r="X254" s="56"/>
      <c r="Y254" s="53">
        <f t="shared" si="27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0</v>
      </c>
      <c r="BN254" s="75">
        <f t="shared" si="29"/>
        <v>0</v>
      </c>
      <c r="BO254" s="75">
        <f t="shared" si="30"/>
        <v>0</v>
      </c>
      <c r="BP254" s="75">
        <f t="shared" si="31"/>
        <v>0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06">
        <v>4680115884014</v>
      </c>
      <c r="E255" s="60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8"/>
      <c r="R255" s="608"/>
      <c r="S255" s="608"/>
      <c r="T255" s="609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06">
        <v>4680115884007</v>
      </c>
      <c r="E256" s="60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8"/>
      <c r="R256" s="608"/>
      <c r="S256" s="608"/>
      <c r="T256" s="609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06">
        <v>4680115884038</v>
      </c>
      <c r="E257" s="60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8"/>
      <c r="R257" s="608"/>
      <c r="S257" s="608"/>
      <c r="T257" s="609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06">
        <v>4680115884021</v>
      </c>
      <c r="E258" s="60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8"/>
      <c r="R258" s="608"/>
      <c r="S258" s="608"/>
      <c r="T258" s="609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00"/>
      <c r="B259" s="60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601"/>
      <c r="P259" s="597" t="s">
        <v>40</v>
      </c>
      <c r="Q259" s="598"/>
      <c r="R259" s="598"/>
      <c r="S259" s="598"/>
      <c r="T259" s="598"/>
      <c r="U259" s="598"/>
      <c r="V259" s="599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64.81481481481481</v>
      </c>
      <c r="Y259" s="41">
        <f>IFERROR(Y251/H251,"0")+IFERROR(Y252/H252,"0")+IFERROR(Y253/H253,"0")+IFERROR(Y254/H254,"0")+IFERROR(Y255/H255,"0")+IFERROR(Y256/H256,"0")+IFERROR(Y257/H257,"0")+IFERROR(Y258/H258,"0")</f>
        <v>66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0.59531999999999996</v>
      </c>
      <c r="AA259" s="64"/>
      <c r="AB259" s="64"/>
      <c r="AC259" s="64"/>
    </row>
    <row r="260" spans="1:68" x14ac:dyDescent="0.2">
      <c r="A260" s="600"/>
      <c r="B260" s="60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601"/>
      <c r="P260" s="597" t="s">
        <v>40</v>
      </c>
      <c r="Q260" s="598"/>
      <c r="R260" s="598"/>
      <c r="S260" s="598"/>
      <c r="T260" s="598"/>
      <c r="U260" s="598"/>
      <c r="V260" s="599"/>
      <c r="W260" s="40" t="s">
        <v>0</v>
      </c>
      <c r="X260" s="41">
        <f>IFERROR(SUM(X251:X258),"0")</f>
        <v>350</v>
      </c>
      <c r="Y260" s="41">
        <f>IFERROR(SUM(Y251:Y258),"0")</f>
        <v>356.40000000000003</v>
      </c>
      <c r="Z260" s="40"/>
      <c r="AA260" s="64"/>
      <c r="AB260" s="64"/>
      <c r="AC260" s="64"/>
    </row>
    <row r="261" spans="1:68" ht="14.25" customHeight="1" x14ac:dyDescent="0.25">
      <c r="A261" s="611" t="s">
        <v>92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06">
        <v>4680115881594</v>
      </c>
      <c r="E262" s="60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8"/>
      <c r="R262" s="608"/>
      <c r="S262" s="608"/>
      <c r="T262" s="609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06">
        <v>4680115881617</v>
      </c>
      <c r="E263" s="60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8"/>
      <c r="R263" s="608"/>
      <c r="S263" s="608"/>
      <c r="T263" s="609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06">
        <v>4680115880573</v>
      </c>
      <c r="E264" s="60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8"/>
      <c r="R264" s="608"/>
      <c r="S264" s="608"/>
      <c r="T264" s="609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06">
        <v>4680115882195</v>
      </c>
      <c r="E265" s="60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8"/>
      <c r="R265" s="608"/>
      <c r="S265" s="608"/>
      <c r="T265" s="609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customHeight="1" x14ac:dyDescent="0.25">
      <c r="A266" s="60" t="s">
        <v>453</v>
      </c>
      <c r="B266" s="60" t="s">
        <v>454</v>
      </c>
      <c r="C266" s="34">
        <v>4301051752</v>
      </c>
      <c r="D266" s="606">
        <v>4680115882607</v>
      </c>
      <c r="E266" s="60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8"/>
      <c r="R266" s="608"/>
      <c r="S266" s="608"/>
      <c r="T266" s="609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06">
        <v>4680115880092</v>
      </c>
      <c r="E267" s="606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08"/>
      <c r="R267" s="608"/>
      <c r="S267" s="608"/>
      <c r="T267" s="609"/>
      <c r="U267" s="37" t="s">
        <v>46</v>
      </c>
      <c r="V267" s="37" t="s">
        <v>46</v>
      </c>
      <c r="W267" s="38" t="s">
        <v>0</v>
      </c>
      <c r="X267" s="56"/>
      <c r="Y267" s="53">
        <f t="shared" si="32"/>
        <v>0</v>
      </c>
      <c r="Z267" s="39" t="str">
        <f t="shared" si="37"/>
        <v/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0</v>
      </c>
      <c r="BN267" s="75">
        <f t="shared" si="34"/>
        <v>0</v>
      </c>
      <c r="BO267" s="75">
        <f t="shared" si="35"/>
        <v>0</v>
      </c>
      <c r="BP267" s="75">
        <f t="shared" si="36"/>
        <v>0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06">
        <v>4680115880221</v>
      </c>
      <c r="E268" s="60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08"/>
      <c r="R268" s="608"/>
      <c r="S268" s="608"/>
      <c r="T268" s="609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06">
        <v>4680115880504</v>
      </c>
      <c r="E269" s="606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08"/>
      <c r="R269" s="608"/>
      <c r="S269" s="608"/>
      <c r="T269" s="609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06">
        <v>4680115882164</v>
      </c>
      <c r="E270" s="606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08"/>
      <c r="R270" s="608"/>
      <c r="S270" s="608"/>
      <c r="T270" s="609"/>
      <c r="U270" s="37" t="s">
        <v>46</v>
      </c>
      <c r="V270" s="37" t="s">
        <v>46</v>
      </c>
      <c r="W270" s="38" t="s">
        <v>0</v>
      </c>
      <c r="X270" s="56"/>
      <c r="Y270" s="53">
        <f t="shared" si="32"/>
        <v>0</v>
      </c>
      <c r="Z270" s="39" t="str">
        <f t="shared" si="37"/>
        <v/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0</v>
      </c>
      <c r="BN270" s="75">
        <f t="shared" si="34"/>
        <v>0</v>
      </c>
      <c r="BO270" s="75">
        <f t="shared" si="35"/>
        <v>0</v>
      </c>
      <c r="BP270" s="75">
        <f t="shared" si="36"/>
        <v>0</v>
      </c>
    </row>
    <row r="271" spans="1:68" ht="27" customHeight="1" x14ac:dyDescent="0.25">
      <c r="A271" s="60" t="s">
        <v>465</v>
      </c>
      <c r="B271" s="60" t="s">
        <v>466</v>
      </c>
      <c r="C271" s="34">
        <v>4301052180</v>
      </c>
      <c r="D271" s="606">
        <v>4680115888340</v>
      </c>
      <c r="E271" s="60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08"/>
      <c r="R271" s="608"/>
      <c r="S271" s="608"/>
      <c r="T271" s="609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00"/>
      <c r="B272" s="60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601"/>
      <c r="P272" s="597" t="s">
        <v>40</v>
      </c>
      <c r="Q272" s="598"/>
      <c r="R272" s="598"/>
      <c r="S272" s="598"/>
      <c r="T272" s="598"/>
      <c r="U272" s="598"/>
      <c r="V272" s="599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0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0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4"/>
      <c r="AB272" s="64"/>
      <c r="AC272" s="64"/>
    </row>
    <row r="273" spans="1:68" x14ac:dyDescent="0.2">
      <c r="A273" s="600"/>
      <c r="B273" s="60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601"/>
      <c r="P273" s="597" t="s">
        <v>40</v>
      </c>
      <c r="Q273" s="598"/>
      <c r="R273" s="598"/>
      <c r="S273" s="598"/>
      <c r="T273" s="598"/>
      <c r="U273" s="598"/>
      <c r="V273" s="599"/>
      <c r="W273" s="40" t="s">
        <v>0</v>
      </c>
      <c r="X273" s="41">
        <f>IFERROR(SUM(X262:X271),"0")</f>
        <v>0</v>
      </c>
      <c r="Y273" s="41">
        <f>IFERROR(SUM(Y262:Y271),"0")</f>
        <v>0</v>
      </c>
      <c r="Z273" s="40"/>
      <c r="AA273" s="64"/>
      <c r="AB273" s="64"/>
      <c r="AC273" s="64"/>
    </row>
    <row r="274" spans="1:68" ht="14.25" customHeight="1" x14ac:dyDescent="0.25">
      <c r="A274" s="611" t="s">
        <v>197</v>
      </c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1"/>
      <c r="AA274" s="63"/>
      <c r="AB274" s="63"/>
      <c r="AC274" s="63"/>
    </row>
    <row r="275" spans="1:68" ht="27" customHeight="1" x14ac:dyDescent="0.25">
      <c r="A275" s="60" t="s">
        <v>468</v>
      </c>
      <c r="B275" s="60" t="s">
        <v>469</v>
      </c>
      <c r="C275" s="34">
        <v>4301060463</v>
      </c>
      <c r="D275" s="606">
        <v>4680115880818</v>
      </c>
      <c r="E275" s="606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08"/>
      <c r="R275" s="608"/>
      <c r="S275" s="608"/>
      <c r="T275" s="609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customHeight="1" x14ac:dyDescent="0.25">
      <c r="A276" s="60" t="s">
        <v>471</v>
      </c>
      <c r="B276" s="60" t="s">
        <v>472</v>
      </c>
      <c r="C276" s="34">
        <v>4301060389</v>
      </c>
      <c r="D276" s="606">
        <v>4680115880801</v>
      </c>
      <c r="E276" s="60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08"/>
      <c r="R276" s="608"/>
      <c r="S276" s="608"/>
      <c r="T276" s="609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x14ac:dyDescent="0.2">
      <c r="A277" s="600"/>
      <c r="B277" s="60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601"/>
      <c r="P277" s="597" t="s">
        <v>40</v>
      </c>
      <c r="Q277" s="598"/>
      <c r="R277" s="598"/>
      <c r="S277" s="598"/>
      <c r="T277" s="598"/>
      <c r="U277" s="598"/>
      <c r="V277" s="599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x14ac:dyDescent="0.2">
      <c r="A278" s="600"/>
      <c r="B278" s="60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601"/>
      <c r="P278" s="597" t="s">
        <v>40</v>
      </c>
      <c r="Q278" s="598"/>
      <c r="R278" s="598"/>
      <c r="S278" s="598"/>
      <c r="T278" s="598"/>
      <c r="U278" s="598"/>
      <c r="V278" s="599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customHeight="1" x14ac:dyDescent="0.25">
      <c r="A279" s="610" t="s">
        <v>474</v>
      </c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2"/>
      <c r="AB279" s="62"/>
      <c r="AC279" s="62"/>
    </row>
    <row r="280" spans="1:68" ht="14.25" customHeight="1" x14ac:dyDescent="0.25">
      <c r="A280" s="611" t="s">
        <v>146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  <c r="P280" s="611"/>
      <c r="Q280" s="611"/>
      <c r="R280" s="611"/>
      <c r="S280" s="611"/>
      <c r="T280" s="611"/>
      <c r="U280" s="611"/>
      <c r="V280" s="611"/>
      <c r="W280" s="611"/>
      <c r="X280" s="611"/>
      <c r="Y280" s="611"/>
      <c r="Z280" s="611"/>
      <c r="AA280" s="63"/>
      <c r="AB280" s="63"/>
      <c r="AC280" s="63"/>
    </row>
    <row r="281" spans="1:68" ht="27" customHeight="1" x14ac:dyDescent="0.25">
      <c r="A281" s="60" t="s">
        <v>475</v>
      </c>
      <c r="B281" s="60" t="s">
        <v>476</v>
      </c>
      <c r="C281" s="34">
        <v>4301011826</v>
      </c>
      <c r="D281" s="606">
        <v>4680115884137</v>
      </c>
      <c r="E281" s="606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08"/>
      <c r="R281" s="608"/>
      <c r="S281" s="608"/>
      <c r="T281" s="60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customHeight="1" x14ac:dyDescent="0.25">
      <c r="A282" s="60" t="s">
        <v>478</v>
      </c>
      <c r="B282" s="60" t="s">
        <v>479</v>
      </c>
      <c r="C282" s="34">
        <v>4301011724</v>
      </c>
      <c r="D282" s="606">
        <v>4680115884236</v>
      </c>
      <c r="E282" s="606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08"/>
      <c r="R282" s="608"/>
      <c r="S282" s="608"/>
      <c r="T282" s="60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481</v>
      </c>
      <c r="B283" s="60" t="s">
        <v>482</v>
      </c>
      <c r="C283" s="34">
        <v>4301011721</v>
      </c>
      <c r="D283" s="606">
        <v>4680115884175</v>
      </c>
      <c r="E283" s="60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08"/>
      <c r="R283" s="608"/>
      <c r="S283" s="608"/>
      <c r="T283" s="60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483</v>
      </c>
      <c r="B284" s="60" t="s">
        <v>484</v>
      </c>
      <c r="C284" s="34">
        <v>4301011824</v>
      </c>
      <c r="D284" s="606">
        <v>4680115884144</v>
      </c>
      <c r="E284" s="606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08"/>
      <c r="R284" s="608"/>
      <c r="S284" s="608"/>
      <c r="T284" s="60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485</v>
      </c>
      <c r="B285" s="60" t="s">
        <v>486</v>
      </c>
      <c r="C285" s="34">
        <v>4301012149</v>
      </c>
      <c r="D285" s="606">
        <v>4680115886551</v>
      </c>
      <c r="E285" s="606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08"/>
      <c r="R285" s="608"/>
      <c r="S285" s="608"/>
      <c r="T285" s="60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488</v>
      </c>
      <c r="B286" s="60" t="s">
        <v>489</v>
      </c>
      <c r="C286" s="34">
        <v>4301012228</v>
      </c>
      <c r="D286" s="606">
        <v>4680115887282</v>
      </c>
      <c r="E286" s="606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08"/>
      <c r="R286" s="608"/>
      <c r="S286" s="608"/>
      <c r="T286" s="60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491</v>
      </c>
      <c r="B287" s="60" t="s">
        <v>492</v>
      </c>
      <c r="C287" s="34">
        <v>4301011722</v>
      </c>
      <c r="D287" s="606">
        <v>4680115884205</v>
      </c>
      <c r="E287" s="60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08"/>
      <c r="R287" s="608"/>
      <c r="S287" s="608"/>
      <c r="T287" s="60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x14ac:dyDescent="0.2">
      <c r="A288" s="600"/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1"/>
      <c r="P288" s="597" t="s">
        <v>40</v>
      </c>
      <c r="Q288" s="598"/>
      <c r="R288" s="598"/>
      <c r="S288" s="598"/>
      <c r="T288" s="598"/>
      <c r="U288" s="598"/>
      <c r="V288" s="599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600"/>
      <c r="B289" s="60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601"/>
      <c r="P289" s="597" t="s">
        <v>40</v>
      </c>
      <c r="Q289" s="598"/>
      <c r="R289" s="598"/>
      <c r="S289" s="598"/>
      <c r="T289" s="598"/>
      <c r="U289" s="598"/>
      <c r="V289" s="599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customHeight="1" x14ac:dyDescent="0.25">
      <c r="A290" s="611" t="s">
        <v>180</v>
      </c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  <c r="P290" s="611"/>
      <c r="Q290" s="611"/>
      <c r="R290" s="611"/>
      <c r="S290" s="611"/>
      <c r="T290" s="611"/>
      <c r="U290" s="611"/>
      <c r="V290" s="611"/>
      <c r="W290" s="611"/>
      <c r="X290" s="611"/>
      <c r="Y290" s="611"/>
      <c r="Z290" s="611"/>
      <c r="AA290" s="63"/>
      <c r="AB290" s="63"/>
      <c r="AC290" s="63"/>
    </row>
    <row r="291" spans="1:68" ht="27" customHeight="1" x14ac:dyDescent="0.25">
      <c r="A291" s="60" t="s">
        <v>493</v>
      </c>
      <c r="B291" s="60" t="s">
        <v>494</v>
      </c>
      <c r="C291" s="34">
        <v>4301020377</v>
      </c>
      <c r="D291" s="606">
        <v>4680115885981</v>
      </c>
      <c r="E291" s="606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08"/>
      <c r="R291" s="608"/>
      <c r="S291" s="608"/>
      <c r="T291" s="60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x14ac:dyDescent="0.2">
      <c r="A292" s="600"/>
      <c r="B292" s="60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601"/>
      <c r="P292" s="597" t="s">
        <v>40</v>
      </c>
      <c r="Q292" s="598"/>
      <c r="R292" s="598"/>
      <c r="S292" s="598"/>
      <c r="T292" s="598"/>
      <c r="U292" s="598"/>
      <c r="V292" s="599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x14ac:dyDescent="0.2">
      <c r="A293" s="600"/>
      <c r="B293" s="60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601"/>
      <c r="P293" s="597" t="s">
        <v>40</v>
      </c>
      <c r="Q293" s="598"/>
      <c r="R293" s="598"/>
      <c r="S293" s="598"/>
      <c r="T293" s="598"/>
      <c r="U293" s="598"/>
      <c r="V293" s="599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customHeight="1" x14ac:dyDescent="0.25">
      <c r="A294" s="611" t="s">
        <v>496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3"/>
      <c r="AB294" s="63"/>
      <c r="AC294" s="63"/>
    </row>
    <row r="295" spans="1:68" ht="27" customHeight="1" x14ac:dyDescent="0.25">
      <c r="A295" s="60" t="s">
        <v>497</v>
      </c>
      <c r="B295" s="60" t="s">
        <v>498</v>
      </c>
      <c r="C295" s="34">
        <v>4301040362</v>
      </c>
      <c r="D295" s="606">
        <v>4680115886803</v>
      </c>
      <c r="E295" s="606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08"/>
      <c r="R295" s="608"/>
      <c r="S295" s="608"/>
      <c r="T295" s="60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x14ac:dyDescent="0.2">
      <c r="A296" s="600"/>
      <c r="B296" s="60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601"/>
      <c r="P296" s="597" t="s">
        <v>40</v>
      </c>
      <c r="Q296" s="598"/>
      <c r="R296" s="598"/>
      <c r="S296" s="598"/>
      <c r="T296" s="598"/>
      <c r="U296" s="598"/>
      <c r="V296" s="599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x14ac:dyDescent="0.2">
      <c r="A297" s="600"/>
      <c r="B297" s="60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601"/>
      <c r="P297" s="597" t="s">
        <v>40</v>
      </c>
      <c r="Q297" s="598"/>
      <c r="R297" s="598"/>
      <c r="S297" s="598"/>
      <c r="T297" s="598"/>
      <c r="U297" s="598"/>
      <c r="V297" s="599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customHeight="1" x14ac:dyDescent="0.25">
      <c r="A298" s="611" t="s">
        <v>338</v>
      </c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  <c r="P298" s="611"/>
      <c r="Q298" s="611"/>
      <c r="R298" s="611"/>
      <c r="S298" s="611"/>
      <c r="T298" s="611"/>
      <c r="U298" s="611"/>
      <c r="V298" s="611"/>
      <c r="W298" s="611"/>
      <c r="X298" s="611"/>
      <c r="Y298" s="611"/>
      <c r="Z298" s="611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4301041004</v>
      </c>
      <c r="D299" s="606">
        <v>4680115886704</v>
      </c>
      <c r="E299" s="606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08"/>
      <c r="R299" s="608"/>
      <c r="S299" s="608"/>
      <c r="T299" s="60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4301041008</v>
      </c>
      <c r="D300" s="606">
        <v>4680115886681</v>
      </c>
      <c r="E300" s="606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08"/>
      <c r="R300" s="608"/>
      <c r="S300" s="608"/>
      <c r="T300" s="60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505</v>
      </c>
      <c r="B301" s="60" t="s">
        <v>506</v>
      </c>
      <c r="C301" s="34">
        <v>4301041007</v>
      </c>
      <c r="D301" s="606">
        <v>4680115886735</v>
      </c>
      <c r="E301" s="606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08"/>
      <c r="R301" s="608"/>
      <c r="S301" s="608"/>
      <c r="T301" s="60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507</v>
      </c>
      <c r="B302" s="60" t="s">
        <v>508</v>
      </c>
      <c r="C302" s="34">
        <v>4301041006</v>
      </c>
      <c r="D302" s="606">
        <v>4680115886728</v>
      </c>
      <c r="E302" s="606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7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08"/>
      <c r="R302" s="608"/>
      <c r="S302" s="608"/>
      <c r="T302" s="60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509</v>
      </c>
      <c r="B303" s="60" t="s">
        <v>510</v>
      </c>
      <c r="C303" s="34">
        <v>4301041005</v>
      </c>
      <c r="D303" s="606">
        <v>4680115886711</v>
      </c>
      <c r="E303" s="606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7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08"/>
      <c r="R303" s="608"/>
      <c r="S303" s="608"/>
      <c r="T303" s="60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x14ac:dyDescent="0.2">
      <c r="A304" s="600"/>
      <c r="B304" s="60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601"/>
      <c r="P304" s="597" t="s">
        <v>40</v>
      </c>
      <c r="Q304" s="598"/>
      <c r="R304" s="598"/>
      <c r="S304" s="598"/>
      <c r="T304" s="598"/>
      <c r="U304" s="598"/>
      <c r="V304" s="599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00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1"/>
      <c r="P305" s="597" t="s">
        <v>40</v>
      </c>
      <c r="Q305" s="598"/>
      <c r="R305" s="598"/>
      <c r="S305" s="598"/>
      <c r="T305" s="598"/>
      <c r="U305" s="598"/>
      <c r="V305" s="599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customHeight="1" x14ac:dyDescent="0.25">
      <c r="A306" s="610" t="s">
        <v>511</v>
      </c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2"/>
      <c r="AB306" s="62"/>
      <c r="AC306" s="62"/>
    </row>
    <row r="307" spans="1:68" ht="14.25" customHeight="1" x14ac:dyDescent="0.25">
      <c r="A307" s="611" t="s">
        <v>146</v>
      </c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  <c r="P307" s="611"/>
      <c r="Q307" s="611"/>
      <c r="R307" s="611"/>
      <c r="S307" s="611"/>
      <c r="T307" s="611"/>
      <c r="U307" s="611"/>
      <c r="V307" s="611"/>
      <c r="W307" s="611"/>
      <c r="X307" s="611"/>
      <c r="Y307" s="611"/>
      <c r="Z307" s="611"/>
      <c r="AA307" s="63"/>
      <c r="AB307" s="63"/>
      <c r="AC307" s="63"/>
    </row>
    <row r="308" spans="1:68" ht="27" customHeight="1" x14ac:dyDescent="0.25">
      <c r="A308" s="60" t="s">
        <v>512</v>
      </c>
      <c r="B308" s="60" t="s">
        <v>513</v>
      </c>
      <c r="C308" s="34">
        <v>4301011855</v>
      </c>
      <c r="D308" s="606">
        <v>4680115885837</v>
      </c>
      <c r="E308" s="606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71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08"/>
      <c r="R308" s="608"/>
      <c r="S308" s="608"/>
      <c r="T308" s="609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customHeight="1" x14ac:dyDescent="0.25">
      <c r="A309" s="60" t="s">
        <v>515</v>
      </c>
      <c r="B309" s="60" t="s">
        <v>516</v>
      </c>
      <c r="C309" s="34">
        <v>4301012234</v>
      </c>
      <c r="D309" s="606">
        <v>4680115887237</v>
      </c>
      <c r="E309" s="60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08"/>
      <c r="R309" s="608"/>
      <c r="S309" s="608"/>
      <c r="T309" s="609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06">
        <v>4680115885806</v>
      </c>
      <c r="E310" s="60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08"/>
      <c r="R310" s="608"/>
      <c r="S310" s="608"/>
      <c r="T310" s="609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521</v>
      </c>
      <c r="B311" s="60" t="s">
        <v>522</v>
      </c>
      <c r="C311" s="34">
        <v>4301011852</v>
      </c>
      <c r="D311" s="606">
        <v>4680115885844</v>
      </c>
      <c r="E311" s="60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08"/>
      <c r="R311" s="608"/>
      <c r="S311" s="608"/>
      <c r="T311" s="609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customHeight="1" x14ac:dyDescent="0.25">
      <c r="A312" s="60" t="s">
        <v>524</v>
      </c>
      <c r="B312" s="60" t="s">
        <v>525</v>
      </c>
      <c r="C312" s="34">
        <v>4301011851</v>
      </c>
      <c r="D312" s="606">
        <v>4680115885820</v>
      </c>
      <c r="E312" s="60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08"/>
      <c r="R312" s="608"/>
      <c r="S312" s="608"/>
      <c r="T312" s="609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00"/>
      <c r="B313" s="60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601"/>
      <c r="P313" s="597" t="s">
        <v>40</v>
      </c>
      <c r="Q313" s="598"/>
      <c r="R313" s="598"/>
      <c r="S313" s="598"/>
      <c r="T313" s="598"/>
      <c r="U313" s="598"/>
      <c r="V313" s="599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x14ac:dyDescent="0.2">
      <c r="A314" s="600"/>
      <c r="B314" s="60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601"/>
      <c r="P314" s="597" t="s">
        <v>40</v>
      </c>
      <c r="Q314" s="598"/>
      <c r="R314" s="598"/>
      <c r="S314" s="598"/>
      <c r="T314" s="598"/>
      <c r="U314" s="598"/>
      <c r="V314" s="599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customHeight="1" x14ac:dyDescent="0.25">
      <c r="A315" s="610" t="s">
        <v>527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2"/>
      <c r="AB315" s="62"/>
      <c r="AC315" s="62"/>
    </row>
    <row r="316" spans="1:68" ht="14.25" customHeight="1" x14ac:dyDescent="0.25">
      <c r="A316" s="611" t="s">
        <v>92</v>
      </c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3"/>
      <c r="AB316" s="63"/>
      <c r="AC316" s="63"/>
    </row>
    <row r="317" spans="1:68" ht="27" customHeight="1" x14ac:dyDescent="0.25">
      <c r="A317" s="60" t="s">
        <v>528</v>
      </c>
      <c r="B317" s="60" t="s">
        <v>529</v>
      </c>
      <c r="C317" s="34">
        <v>4301051893</v>
      </c>
      <c r="D317" s="606">
        <v>4680115886186</v>
      </c>
      <c r="E317" s="606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7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08"/>
      <c r="R317" s="608"/>
      <c r="S317" s="608"/>
      <c r="T317" s="609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531</v>
      </c>
      <c r="B318" s="60" t="s">
        <v>532</v>
      </c>
      <c r="C318" s="34">
        <v>4301051795</v>
      </c>
      <c r="D318" s="606">
        <v>4680115881228</v>
      </c>
      <c r="E318" s="606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08"/>
      <c r="R318" s="608"/>
      <c r="S318" s="608"/>
      <c r="T318" s="609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534</v>
      </c>
      <c r="B319" s="60" t="s">
        <v>535</v>
      </c>
      <c r="C319" s="34">
        <v>4301051388</v>
      </c>
      <c r="D319" s="606">
        <v>4680115881211</v>
      </c>
      <c r="E319" s="606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08"/>
      <c r="R319" s="608"/>
      <c r="S319" s="608"/>
      <c r="T319" s="609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600"/>
      <c r="B320" s="60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1"/>
      <c r="P320" s="597" t="s">
        <v>40</v>
      </c>
      <c r="Q320" s="598"/>
      <c r="R320" s="598"/>
      <c r="S320" s="598"/>
      <c r="T320" s="598"/>
      <c r="U320" s="598"/>
      <c r="V320" s="599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600"/>
      <c r="B321" s="60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601"/>
      <c r="P321" s="597" t="s">
        <v>40</v>
      </c>
      <c r="Q321" s="598"/>
      <c r="R321" s="598"/>
      <c r="S321" s="598"/>
      <c r="T321" s="598"/>
      <c r="U321" s="598"/>
      <c r="V321" s="599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customHeight="1" x14ac:dyDescent="0.25">
      <c r="A322" s="610" t="s">
        <v>536</v>
      </c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2"/>
      <c r="AB322" s="62"/>
      <c r="AC322" s="62"/>
    </row>
    <row r="323" spans="1:68" ht="14.25" customHeight="1" x14ac:dyDescent="0.25">
      <c r="A323" s="611" t="s">
        <v>77</v>
      </c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  <c r="S323" s="611"/>
      <c r="T323" s="611"/>
      <c r="U323" s="611"/>
      <c r="V323" s="611"/>
      <c r="W323" s="611"/>
      <c r="X323" s="611"/>
      <c r="Y323" s="611"/>
      <c r="Z323" s="611"/>
      <c r="AA323" s="63"/>
      <c r="AB323" s="63"/>
      <c r="AC323" s="63"/>
    </row>
    <row r="324" spans="1:68" ht="27" customHeight="1" x14ac:dyDescent="0.25">
      <c r="A324" s="60" t="s">
        <v>537</v>
      </c>
      <c r="B324" s="60" t="s">
        <v>538</v>
      </c>
      <c r="C324" s="34">
        <v>4301031445</v>
      </c>
      <c r="D324" s="606">
        <v>4680115888319</v>
      </c>
      <c r="E324" s="606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08"/>
      <c r="R324" s="608"/>
      <c r="S324" s="608"/>
      <c r="T324" s="60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539</v>
      </c>
      <c r="B325" s="60" t="s">
        <v>540</v>
      </c>
      <c r="C325" s="34">
        <v>4301031502</v>
      </c>
      <c r="D325" s="606">
        <v>4680115884700</v>
      </c>
      <c r="E325" s="606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08"/>
      <c r="R325" s="608"/>
      <c r="S325" s="608"/>
      <c r="T325" s="60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542</v>
      </c>
      <c r="B326" s="60" t="s">
        <v>543</v>
      </c>
      <c r="C326" s="34">
        <v>4301031307</v>
      </c>
      <c r="D326" s="606">
        <v>4680115880344</v>
      </c>
      <c r="E326" s="606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08"/>
      <c r="R326" s="608"/>
      <c r="S326" s="608"/>
      <c r="T326" s="60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545</v>
      </c>
      <c r="B327" s="60" t="s">
        <v>546</v>
      </c>
      <c r="C327" s="34">
        <v>4301031501</v>
      </c>
      <c r="D327" s="606">
        <v>4680115886919</v>
      </c>
      <c r="E327" s="60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08"/>
      <c r="R327" s="608"/>
      <c r="S327" s="608"/>
      <c r="T327" s="60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548</v>
      </c>
      <c r="B328" s="60" t="s">
        <v>549</v>
      </c>
      <c r="C328" s="34">
        <v>4301031246</v>
      </c>
      <c r="D328" s="606">
        <v>4680115883970</v>
      </c>
      <c r="E328" s="606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7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08"/>
      <c r="R328" s="608"/>
      <c r="S328" s="608"/>
      <c r="T328" s="60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00"/>
      <c r="B329" s="60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601"/>
      <c r="P329" s="597" t="s">
        <v>40</v>
      </c>
      <c r="Q329" s="598"/>
      <c r="R329" s="598"/>
      <c r="S329" s="598"/>
      <c r="T329" s="598"/>
      <c r="U329" s="598"/>
      <c r="V329" s="599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00"/>
      <c r="B330" s="60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601"/>
      <c r="P330" s="597" t="s">
        <v>40</v>
      </c>
      <c r="Q330" s="598"/>
      <c r="R330" s="598"/>
      <c r="S330" s="598"/>
      <c r="T330" s="598"/>
      <c r="U330" s="598"/>
      <c r="V330" s="599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customHeight="1" x14ac:dyDescent="0.25">
      <c r="A331" s="611" t="s">
        <v>92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3"/>
      <c r="AB331" s="63"/>
      <c r="AC331" s="63"/>
    </row>
    <row r="332" spans="1:68" ht="37.5" customHeight="1" x14ac:dyDescent="0.25">
      <c r="A332" s="60" t="s">
        <v>551</v>
      </c>
      <c r="B332" s="60" t="s">
        <v>552</v>
      </c>
      <c r="C332" s="34">
        <v>4301051782</v>
      </c>
      <c r="D332" s="606">
        <v>4680115884618</v>
      </c>
      <c r="E332" s="606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08"/>
      <c r="R332" s="608"/>
      <c r="S332" s="608"/>
      <c r="T332" s="60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554</v>
      </c>
      <c r="B333" s="60" t="s">
        <v>555</v>
      </c>
      <c r="C333" s="34">
        <v>4301052057</v>
      </c>
      <c r="D333" s="606">
        <v>4680115887114</v>
      </c>
      <c r="E333" s="606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08"/>
      <c r="R333" s="608"/>
      <c r="S333" s="608"/>
      <c r="T333" s="60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00"/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1"/>
      <c r="P334" s="597" t="s">
        <v>40</v>
      </c>
      <c r="Q334" s="598"/>
      <c r="R334" s="598"/>
      <c r="S334" s="598"/>
      <c r="T334" s="598"/>
      <c r="U334" s="598"/>
      <c r="V334" s="599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x14ac:dyDescent="0.2">
      <c r="A335" s="600"/>
      <c r="B335" s="60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601"/>
      <c r="P335" s="597" t="s">
        <v>40</v>
      </c>
      <c r="Q335" s="598"/>
      <c r="R335" s="598"/>
      <c r="S335" s="598"/>
      <c r="T335" s="598"/>
      <c r="U335" s="598"/>
      <c r="V335" s="599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customHeight="1" x14ac:dyDescent="0.25">
      <c r="A336" s="610" t="s">
        <v>557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2"/>
      <c r="AB336" s="62"/>
      <c r="AC336" s="62"/>
    </row>
    <row r="337" spans="1:68" ht="14.25" customHeight="1" x14ac:dyDescent="0.25">
      <c r="A337" s="611" t="s">
        <v>146</v>
      </c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1"/>
      <c r="O337" s="611"/>
      <c r="P337" s="611"/>
      <c r="Q337" s="611"/>
      <c r="R337" s="611"/>
      <c r="S337" s="611"/>
      <c r="T337" s="611"/>
      <c r="U337" s="611"/>
      <c r="V337" s="611"/>
      <c r="W337" s="611"/>
      <c r="X337" s="611"/>
      <c r="Y337" s="611"/>
      <c r="Z337" s="611"/>
      <c r="AA337" s="63"/>
      <c r="AB337" s="63"/>
      <c r="AC337" s="63"/>
    </row>
    <row r="338" spans="1:68" ht="27" customHeight="1" x14ac:dyDescent="0.25">
      <c r="A338" s="60" t="s">
        <v>558</v>
      </c>
      <c r="B338" s="60" t="s">
        <v>559</v>
      </c>
      <c r="C338" s="34">
        <v>4301012324</v>
      </c>
      <c r="D338" s="606">
        <v>4680115887947</v>
      </c>
      <c r="E338" s="606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08"/>
      <c r="R338" s="608"/>
      <c r="S338" s="608"/>
      <c r="T338" s="60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561</v>
      </c>
      <c r="B339" s="60" t="s">
        <v>562</v>
      </c>
      <c r="C339" s="34">
        <v>4301012325</v>
      </c>
      <c r="D339" s="606">
        <v>4680115887978</v>
      </c>
      <c r="E339" s="60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08"/>
      <c r="R339" s="608"/>
      <c r="S339" s="608"/>
      <c r="T339" s="60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564</v>
      </c>
      <c r="B340" s="60" t="s">
        <v>565</v>
      </c>
      <c r="C340" s="34">
        <v>4301012327</v>
      </c>
      <c r="D340" s="606">
        <v>4680115887992</v>
      </c>
      <c r="E340" s="60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7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08"/>
      <c r="R340" s="608"/>
      <c r="S340" s="608"/>
      <c r="T340" s="60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x14ac:dyDescent="0.2">
      <c r="A341" s="600"/>
      <c r="B341" s="60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601"/>
      <c r="P341" s="597" t="s">
        <v>40</v>
      </c>
      <c r="Q341" s="598"/>
      <c r="R341" s="598"/>
      <c r="S341" s="598"/>
      <c r="T341" s="598"/>
      <c r="U341" s="598"/>
      <c r="V341" s="599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x14ac:dyDescent="0.2">
      <c r="A342" s="600"/>
      <c r="B342" s="60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601"/>
      <c r="P342" s="597" t="s">
        <v>40</v>
      </c>
      <c r="Q342" s="598"/>
      <c r="R342" s="598"/>
      <c r="S342" s="598"/>
      <c r="T342" s="598"/>
      <c r="U342" s="598"/>
      <c r="V342" s="599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customHeight="1" x14ac:dyDescent="0.25">
      <c r="A343" s="610" t="s">
        <v>567</v>
      </c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2"/>
      <c r="AB343" s="62"/>
      <c r="AC343" s="62"/>
    </row>
    <row r="344" spans="1:68" ht="14.25" customHeight="1" x14ac:dyDescent="0.25">
      <c r="A344" s="611" t="s">
        <v>146</v>
      </c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1"/>
      <c r="P344" s="611"/>
      <c r="Q344" s="611"/>
      <c r="R344" s="611"/>
      <c r="S344" s="611"/>
      <c r="T344" s="611"/>
      <c r="U344" s="611"/>
      <c r="V344" s="611"/>
      <c r="W344" s="611"/>
      <c r="X344" s="611"/>
      <c r="Y344" s="611"/>
      <c r="Z344" s="611"/>
      <c r="AA344" s="63"/>
      <c r="AB344" s="63"/>
      <c r="AC344" s="63"/>
    </row>
    <row r="345" spans="1:68" ht="27" customHeight="1" x14ac:dyDescent="0.25">
      <c r="A345" s="60" t="s">
        <v>568</v>
      </c>
      <c r="B345" s="60" t="s">
        <v>569</v>
      </c>
      <c r="C345" s="34">
        <v>4301012126</v>
      </c>
      <c r="D345" s="606">
        <v>4607091386004</v>
      </c>
      <c r="E345" s="606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6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08"/>
      <c r="R345" s="608"/>
      <c r="S345" s="608"/>
      <c r="T345" s="60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customHeight="1" x14ac:dyDescent="0.25">
      <c r="A346" s="60" t="s">
        <v>571</v>
      </c>
      <c r="B346" s="60" t="s">
        <v>572</v>
      </c>
      <c r="C346" s="34">
        <v>4301012235</v>
      </c>
      <c r="D346" s="606">
        <v>4680115887190</v>
      </c>
      <c r="E346" s="60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8"/>
      <c r="R346" s="608"/>
      <c r="S346" s="608"/>
      <c r="T346" s="609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customHeight="1" x14ac:dyDescent="0.25">
      <c r="A347" s="60" t="s">
        <v>574</v>
      </c>
      <c r="B347" s="60" t="s">
        <v>575</v>
      </c>
      <c r="C347" s="34">
        <v>4301012233</v>
      </c>
      <c r="D347" s="606">
        <v>4680115887138</v>
      </c>
      <c r="E347" s="60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69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8"/>
      <c r="R347" s="608"/>
      <c r="S347" s="608"/>
      <c r="T347" s="60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customHeight="1" x14ac:dyDescent="0.25">
      <c r="A348" s="60" t="s">
        <v>577</v>
      </c>
      <c r="B348" s="60" t="s">
        <v>578</v>
      </c>
      <c r="C348" s="34">
        <v>4301012016</v>
      </c>
      <c r="D348" s="606">
        <v>4680115885554</v>
      </c>
      <c r="E348" s="60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69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8"/>
      <c r="R348" s="608"/>
      <c r="S348" s="608"/>
      <c r="T348" s="60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customHeight="1" x14ac:dyDescent="0.25">
      <c r="A349" s="60" t="s">
        <v>580</v>
      </c>
      <c r="B349" s="60" t="s">
        <v>581</v>
      </c>
      <c r="C349" s="34">
        <v>4301012236</v>
      </c>
      <c r="D349" s="606">
        <v>4680115887220</v>
      </c>
      <c r="E349" s="60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6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8"/>
      <c r="R349" s="608"/>
      <c r="S349" s="608"/>
      <c r="T349" s="609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customHeight="1" x14ac:dyDescent="0.25">
      <c r="A350" s="60" t="s">
        <v>582</v>
      </c>
      <c r="B350" s="60" t="s">
        <v>583</v>
      </c>
      <c r="C350" s="34">
        <v>4301011859</v>
      </c>
      <c r="D350" s="606">
        <v>4680115885608</v>
      </c>
      <c r="E350" s="60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8"/>
      <c r="R350" s="608"/>
      <c r="S350" s="608"/>
      <c r="T350" s="609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x14ac:dyDescent="0.2">
      <c r="A351" s="600"/>
      <c r="B351" s="60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601"/>
      <c r="P351" s="597" t="s">
        <v>40</v>
      </c>
      <c r="Q351" s="598"/>
      <c r="R351" s="598"/>
      <c r="S351" s="598"/>
      <c r="T351" s="598"/>
      <c r="U351" s="598"/>
      <c r="V351" s="599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00"/>
      <c r="B352" s="60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601"/>
      <c r="P352" s="597" t="s">
        <v>40</v>
      </c>
      <c r="Q352" s="598"/>
      <c r="R352" s="598"/>
      <c r="S352" s="598"/>
      <c r="T352" s="598"/>
      <c r="U352" s="598"/>
      <c r="V352" s="599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customHeight="1" x14ac:dyDescent="0.25">
      <c r="A353" s="611" t="s">
        <v>77</v>
      </c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1"/>
      <c r="P353" s="611"/>
      <c r="Q353" s="611"/>
      <c r="R353" s="611"/>
      <c r="S353" s="611"/>
      <c r="T353" s="611"/>
      <c r="U353" s="611"/>
      <c r="V353" s="611"/>
      <c r="W353" s="611"/>
      <c r="X353" s="611"/>
      <c r="Y353" s="611"/>
      <c r="Z353" s="611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06">
        <v>4607091387193</v>
      </c>
      <c r="E354" s="60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8"/>
      <c r="R354" s="608"/>
      <c r="S354" s="608"/>
      <c r="T354" s="609"/>
      <c r="U354" s="37" t="s">
        <v>46</v>
      </c>
      <c r="V354" s="37" t="s">
        <v>46</v>
      </c>
      <c r="W354" s="38" t="s">
        <v>0</v>
      </c>
      <c r="X354" s="56"/>
      <c r="Y354" s="53">
        <f t="shared" ref="Y354:Y360" si="48"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0</v>
      </c>
      <c r="BN354" s="75">
        <f t="shared" ref="BN354:BN360" si="50">IFERROR(Y354*I354/H354,"0")</f>
        <v>0</v>
      </c>
      <c r="BO354" s="75">
        <f t="shared" ref="BO354:BO360" si="51">IFERROR(1/J354*(X354/H354),"0")</f>
        <v>0</v>
      </c>
      <c r="BP354" s="75">
        <f t="shared" ref="BP354:BP360" si="52">IFERROR(1/J354*(Y354/H354),"0")</f>
        <v>0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06">
        <v>4607091387230</v>
      </c>
      <c r="E355" s="60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6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8"/>
      <c r="R355" s="608"/>
      <c r="S355" s="608"/>
      <c r="T355" s="609"/>
      <c r="U355" s="37" t="s">
        <v>46</v>
      </c>
      <c r="V355" s="37" t="s">
        <v>46</v>
      </c>
      <c r="W355" s="38" t="s">
        <v>0</v>
      </c>
      <c r="X355" s="56"/>
      <c r="Y355" s="53">
        <f t="shared" si="48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0</v>
      </c>
      <c r="BN355" s="75">
        <f t="shared" si="50"/>
        <v>0</v>
      </c>
      <c r="BO355" s="75">
        <f t="shared" si="51"/>
        <v>0</v>
      </c>
      <c r="BP355" s="75">
        <f t="shared" si="52"/>
        <v>0</v>
      </c>
    </row>
    <row r="356" spans="1:68" ht="27" customHeight="1" x14ac:dyDescent="0.25">
      <c r="A356" s="60" t="s">
        <v>591</v>
      </c>
      <c r="B356" s="60" t="s">
        <v>592</v>
      </c>
      <c r="C356" s="34">
        <v>4301031154</v>
      </c>
      <c r="D356" s="606">
        <v>4607091387292</v>
      </c>
      <c r="E356" s="60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6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8"/>
      <c r="R356" s="608"/>
      <c r="S356" s="608"/>
      <c r="T356" s="609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customHeight="1" x14ac:dyDescent="0.25">
      <c r="A357" s="60" t="s">
        <v>594</v>
      </c>
      <c r="B357" s="60" t="s">
        <v>595</v>
      </c>
      <c r="C357" s="34">
        <v>4301031152</v>
      </c>
      <c r="D357" s="606">
        <v>4607091387285</v>
      </c>
      <c r="E357" s="60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8"/>
      <c r="R357" s="608"/>
      <c r="S357" s="608"/>
      <c r="T357" s="609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customHeight="1" x14ac:dyDescent="0.25">
      <c r="A358" s="60" t="s">
        <v>596</v>
      </c>
      <c r="B358" s="60" t="s">
        <v>597</v>
      </c>
      <c r="C358" s="34">
        <v>4301031305</v>
      </c>
      <c r="D358" s="606">
        <v>4607091389845</v>
      </c>
      <c r="E358" s="60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8"/>
      <c r="R358" s="608"/>
      <c r="S358" s="608"/>
      <c r="T358" s="609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customHeight="1" x14ac:dyDescent="0.25">
      <c r="A359" s="60" t="s">
        <v>599</v>
      </c>
      <c r="B359" s="60" t="s">
        <v>600</v>
      </c>
      <c r="C359" s="34">
        <v>4301031460</v>
      </c>
      <c r="D359" s="606">
        <v>4680115887442</v>
      </c>
      <c r="E359" s="60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6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8"/>
      <c r="R359" s="608"/>
      <c r="S359" s="608"/>
      <c r="T359" s="609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customHeight="1" x14ac:dyDescent="0.25">
      <c r="A360" s="60" t="s">
        <v>601</v>
      </c>
      <c r="B360" s="60" t="s">
        <v>602</v>
      </c>
      <c r="C360" s="34">
        <v>4301031066</v>
      </c>
      <c r="D360" s="606">
        <v>4607091383836</v>
      </c>
      <c r="E360" s="60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6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8"/>
      <c r="R360" s="608"/>
      <c r="S360" s="608"/>
      <c r="T360" s="609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00"/>
      <c r="B361" s="60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601"/>
      <c r="P361" s="597" t="s">
        <v>40</v>
      </c>
      <c r="Q361" s="598"/>
      <c r="R361" s="598"/>
      <c r="S361" s="598"/>
      <c r="T361" s="598"/>
      <c r="U361" s="598"/>
      <c r="V361" s="599"/>
      <c r="W361" s="40" t="s">
        <v>39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x14ac:dyDescent="0.2">
      <c r="A362" s="600"/>
      <c r="B362" s="60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601"/>
      <c r="P362" s="597" t="s">
        <v>40</v>
      </c>
      <c r="Q362" s="598"/>
      <c r="R362" s="598"/>
      <c r="S362" s="598"/>
      <c r="T362" s="598"/>
      <c r="U362" s="598"/>
      <c r="V362" s="599"/>
      <c r="W362" s="40" t="s">
        <v>0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customHeight="1" x14ac:dyDescent="0.25">
      <c r="A363" s="611" t="s">
        <v>92</v>
      </c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06">
        <v>4607091387766</v>
      </c>
      <c r="E364" s="60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8"/>
      <c r="R364" s="608"/>
      <c r="S364" s="608"/>
      <c r="T364" s="609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607</v>
      </c>
      <c r="B365" s="60" t="s">
        <v>608</v>
      </c>
      <c r="C365" s="34">
        <v>4301051818</v>
      </c>
      <c r="D365" s="606">
        <v>4607091387957</v>
      </c>
      <c r="E365" s="60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8"/>
      <c r="R365" s="608"/>
      <c r="S365" s="608"/>
      <c r="T365" s="609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610</v>
      </c>
      <c r="B366" s="60" t="s">
        <v>611</v>
      </c>
      <c r="C366" s="34">
        <v>4301051819</v>
      </c>
      <c r="D366" s="606">
        <v>4607091387964</v>
      </c>
      <c r="E366" s="60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6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8"/>
      <c r="R366" s="608"/>
      <c r="S366" s="608"/>
      <c r="T366" s="609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613</v>
      </c>
      <c r="B367" s="60" t="s">
        <v>614</v>
      </c>
      <c r="C367" s="34">
        <v>4301051734</v>
      </c>
      <c r="D367" s="606">
        <v>4680115884588</v>
      </c>
      <c r="E367" s="60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6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8"/>
      <c r="R367" s="608"/>
      <c r="S367" s="608"/>
      <c r="T367" s="609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0"/>
      <c r="B368" s="60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601"/>
      <c r="P368" s="597" t="s">
        <v>40</v>
      </c>
      <c r="Q368" s="598"/>
      <c r="R368" s="598"/>
      <c r="S368" s="598"/>
      <c r="T368" s="598"/>
      <c r="U368" s="598"/>
      <c r="V368" s="599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00"/>
      <c r="B369" s="60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601"/>
      <c r="P369" s="597" t="s">
        <v>40</v>
      </c>
      <c r="Q369" s="598"/>
      <c r="R369" s="598"/>
      <c r="S369" s="598"/>
      <c r="T369" s="598"/>
      <c r="U369" s="598"/>
      <c r="V369" s="599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11" t="s">
        <v>197</v>
      </c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1"/>
      <c r="O370" s="611"/>
      <c r="P370" s="611"/>
      <c r="Q370" s="611"/>
      <c r="R370" s="611"/>
      <c r="S370" s="611"/>
      <c r="T370" s="611"/>
      <c r="U370" s="611"/>
      <c r="V370" s="611"/>
      <c r="W370" s="611"/>
      <c r="X370" s="611"/>
      <c r="Y370" s="611"/>
      <c r="Z370" s="611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06">
        <v>4607091380880</v>
      </c>
      <c r="E371" s="60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6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8"/>
      <c r="R371" s="608"/>
      <c r="S371" s="608"/>
      <c r="T371" s="609"/>
      <c r="U371" s="37" t="s">
        <v>46</v>
      </c>
      <c r="V371" s="37" t="s">
        <v>46</v>
      </c>
      <c r="W371" s="38" t="s">
        <v>0</v>
      </c>
      <c r="X371" s="56">
        <v>50</v>
      </c>
      <c r="Y371" s="53">
        <f>IFERROR(IF(X371="",0,CEILING((X371/$H371),1)*$H371),"")</f>
        <v>50.400000000000006</v>
      </c>
      <c r="Z371" s="39">
        <f>IFERROR(IF(Y371=0,"",ROUNDUP(Y371/H371,0)*0.01898),"")</f>
        <v>0.11388000000000001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52.94047619047619</v>
      </c>
      <c r="BN371" s="75">
        <f>IFERROR(Y371*I371/H371,"0")</f>
        <v>53.364000000000004</v>
      </c>
      <c r="BO371" s="75">
        <f>IFERROR(1/J371*(X371/H371),"0")</f>
        <v>9.3005952380952384E-2</v>
      </c>
      <c r="BP371" s="75">
        <f>IFERROR(1/J371*(Y371/H371),"0")</f>
        <v>9.375E-2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06">
        <v>4607091384482</v>
      </c>
      <c r="E372" s="60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8"/>
      <c r="R372" s="608"/>
      <c r="S372" s="608"/>
      <c r="T372" s="609"/>
      <c r="U372" s="37" t="s">
        <v>46</v>
      </c>
      <c r="V372" s="37" t="s">
        <v>46</v>
      </c>
      <c r="W372" s="38" t="s">
        <v>0</v>
      </c>
      <c r="X372" s="56">
        <v>350</v>
      </c>
      <c r="Y372" s="53">
        <f>IFERROR(IF(X372="",0,CEILING((X372/$H372),1)*$H372),"")</f>
        <v>351</v>
      </c>
      <c r="Z372" s="39">
        <f>IFERROR(IF(Y372=0,"",ROUNDUP(Y372/H372,0)*0.01898),"")</f>
        <v>0.85409999999999997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372.16666666666669</v>
      </c>
      <c r="BN372" s="75">
        <f>IFERROR(Y372*I372/H372,"0")</f>
        <v>373.23</v>
      </c>
      <c r="BO372" s="75">
        <f>IFERROR(1/J372*(X372/H372),"0")</f>
        <v>0.70112179487179493</v>
      </c>
      <c r="BP372" s="75">
        <f>IFERROR(1/J372*(Y372/H372),"0")</f>
        <v>0.703125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06">
        <v>4607091380897</v>
      </c>
      <c r="E373" s="60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8"/>
      <c r="R373" s="608"/>
      <c r="S373" s="608"/>
      <c r="T373" s="609"/>
      <c r="U373" s="37" t="s">
        <v>46</v>
      </c>
      <c r="V373" s="37" t="s">
        <v>46</v>
      </c>
      <c r="W373" s="38" t="s">
        <v>0</v>
      </c>
      <c r="X373" s="56">
        <v>70</v>
      </c>
      <c r="Y373" s="53">
        <f>IFERROR(IF(X373="",0,CEILING((X373/$H373),1)*$H373),"")</f>
        <v>75.600000000000009</v>
      </c>
      <c r="Z373" s="39">
        <f>IFERROR(IF(Y373=0,"",ROUNDUP(Y373/H373,0)*0.01898),"")</f>
        <v>0.17082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74.116666666666674</v>
      </c>
      <c r="BN373" s="75">
        <f>IFERROR(Y373*I373/H373,"0")</f>
        <v>80.046000000000006</v>
      </c>
      <c r="BO373" s="75">
        <f>IFERROR(1/J373*(X373/H373),"0")</f>
        <v>0.13020833333333331</v>
      </c>
      <c r="BP373" s="75">
        <f>IFERROR(1/J373*(Y373/H373),"0")</f>
        <v>0.140625</v>
      </c>
    </row>
    <row r="374" spans="1:68" x14ac:dyDescent="0.2">
      <c r="A374" s="600"/>
      <c r="B374" s="60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601"/>
      <c r="P374" s="597" t="s">
        <v>40</v>
      </c>
      <c r="Q374" s="598"/>
      <c r="R374" s="598"/>
      <c r="S374" s="598"/>
      <c r="T374" s="598"/>
      <c r="U374" s="598"/>
      <c r="V374" s="599"/>
      <c r="W374" s="40" t="s">
        <v>39</v>
      </c>
      <c r="X374" s="41">
        <f>IFERROR(X371/H371,"0")+IFERROR(X372/H372,"0")+IFERROR(X373/H373,"0")</f>
        <v>59.157509157509153</v>
      </c>
      <c r="Y374" s="41">
        <f>IFERROR(Y371/H371,"0")+IFERROR(Y372/H372,"0")+IFERROR(Y373/H373,"0")</f>
        <v>60</v>
      </c>
      <c r="Z374" s="41">
        <f>IFERROR(IF(Z371="",0,Z371),"0")+IFERROR(IF(Z372="",0,Z372),"0")+IFERROR(IF(Z373="",0,Z373),"0")</f>
        <v>1.1388</v>
      </c>
      <c r="AA374" s="64"/>
      <c r="AB374" s="64"/>
      <c r="AC374" s="64"/>
    </row>
    <row r="375" spans="1:68" x14ac:dyDescent="0.2">
      <c r="A375" s="600"/>
      <c r="B375" s="60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601"/>
      <c r="P375" s="597" t="s">
        <v>40</v>
      </c>
      <c r="Q375" s="598"/>
      <c r="R375" s="598"/>
      <c r="S375" s="598"/>
      <c r="T375" s="598"/>
      <c r="U375" s="598"/>
      <c r="V375" s="599"/>
      <c r="W375" s="40" t="s">
        <v>0</v>
      </c>
      <c r="X375" s="41">
        <f>IFERROR(SUM(X371:X373),"0")</f>
        <v>470</v>
      </c>
      <c r="Y375" s="41">
        <f>IFERROR(SUM(Y371:Y373),"0")</f>
        <v>477</v>
      </c>
      <c r="Z375" s="40"/>
      <c r="AA375" s="64"/>
      <c r="AB375" s="64"/>
      <c r="AC375" s="64"/>
    </row>
    <row r="376" spans="1:68" ht="14.25" customHeight="1" x14ac:dyDescent="0.25">
      <c r="A376" s="611" t="s">
        <v>123</v>
      </c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1"/>
      <c r="O376" s="611"/>
      <c r="P376" s="611"/>
      <c r="Q376" s="611"/>
      <c r="R376" s="611"/>
      <c r="S376" s="611"/>
      <c r="T376" s="611"/>
      <c r="U376" s="611"/>
      <c r="V376" s="611"/>
      <c r="W376" s="611"/>
      <c r="X376" s="611"/>
      <c r="Y376" s="611"/>
      <c r="Z376" s="611"/>
      <c r="AA376" s="63"/>
      <c r="AB376" s="63"/>
      <c r="AC376" s="63"/>
    </row>
    <row r="377" spans="1:68" ht="27" customHeight="1" x14ac:dyDescent="0.25">
      <c r="A377" s="60" t="s">
        <v>624</v>
      </c>
      <c r="B377" s="60" t="s">
        <v>625</v>
      </c>
      <c r="C377" s="34">
        <v>4301030235</v>
      </c>
      <c r="D377" s="606">
        <v>4607091388381</v>
      </c>
      <c r="E377" s="60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6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8"/>
      <c r="R377" s="608"/>
      <c r="S377" s="608"/>
      <c r="T377" s="60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627</v>
      </c>
      <c r="B378" s="60" t="s">
        <v>628</v>
      </c>
      <c r="C378" s="34">
        <v>4301030232</v>
      </c>
      <c r="D378" s="606">
        <v>4607091388374</v>
      </c>
      <c r="E378" s="60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6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8"/>
      <c r="R378" s="608"/>
      <c r="S378" s="608"/>
      <c r="T378" s="60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4301032015</v>
      </c>
      <c r="D379" s="606">
        <v>4607091383102</v>
      </c>
      <c r="E379" s="60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6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8"/>
      <c r="R379" s="608"/>
      <c r="S379" s="608"/>
      <c r="T379" s="60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631</v>
      </c>
      <c r="B380" s="60" t="s">
        <v>632</v>
      </c>
      <c r="C380" s="34">
        <v>4301030233</v>
      </c>
      <c r="D380" s="606">
        <v>4607091388404</v>
      </c>
      <c r="E380" s="60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8"/>
      <c r="R380" s="608"/>
      <c r="S380" s="608"/>
      <c r="T380" s="60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00"/>
      <c r="B381" s="60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601"/>
      <c r="P381" s="597" t="s">
        <v>40</v>
      </c>
      <c r="Q381" s="598"/>
      <c r="R381" s="598"/>
      <c r="S381" s="598"/>
      <c r="T381" s="598"/>
      <c r="U381" s="598"/>
      <c r="V381" s="59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00"/>
      <c r="B382" s="60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601"/>
      <c r="P382" s="597" t="s">
        <v>40</v>
      </c>
      <c r="Q382" s="598"/>
      <c r="R382" s="598"/>
      <c r="S382" s="598"/>
      <c r="T382" s="598"/>
      <c r="U382" s="598"/>
      <c r="V382" s="59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11" t="s">
        <v>633</v>
      </c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1"/>
      <c r="S383" s="611"/>
      <c r="T383" s="611"/>
      <c r="U383" s="611"/>
      <c r="V383" s="611"/>
      <c r="W383" s="611"/>
      <c r="X383" s="611"/>
      <c r="Y383" s="611"/>
      <c r="Z383" s="611"/>
      <c r="AA383" s="63"/>
      <c r="AB383" s="63"/>
      <c r="AC383" s="63"/>
    </row>
    <row r="384" spans="1:68" ht="16.5" customHeight="1" x14ac:dyDescent="0.25">
      <c r="A384" s="60" t="s">
        <v>634</v>
      </c>
      <c r="B384" s="60" t="s">
        <v>635</v>
      </c>
      <c r="C384" s="34">
        <v>4301180007</v>
      </c>
      <c r="D384" s="606">
        <v>4680115881808</v>
      </c>
      <c r="E384" s="60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8"/>
      <c r="R384" s="608"/>
      <c r="S384" s="608"/>
      <c r="T384" s="60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638</v>
      </c>
      <c r="B385" s="60" t="s">
        <v>639</v>
      </c>
      <c r="C385" s="34">
        <v>4301180006</v>
      </c>
      <c r="D385" s="606">
        <v>4680115881822</v>
      </c>
      <c r="E385" s="60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67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8"/>
      <c r="R385" s="608"/>
      <c r="S385" s="608"/>
      <c r="T385" s="60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640</v>
      </c>
      <c r="B386" s="60" t="s">
        <v>641</v>
      </c>
      <c r="C386" s="34">
        <v>4301180001</v>
      </c>
      <c r="D386" s="606">
        <v>4680115880016</v>
      </c>
      <c r="E386" s="60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8"/>
      <c r="R386" s="608"/>
      <c r="S386" s="608"/>
      <c r="T386" s="60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00"/>
      <c r="B387" s="60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601"/>
      <c r="P387" s="597" t="s">
        <v>40</v>
      </c>
      <c r="Q387" s="598"/>
      <c r="R387" s="598"/>
      <c r="S387" s="598"/>
      <c r="T387" s="598"/>
      <c r="U387" s="598"/>
      <c r="V387" s="59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00"/>
      <c r="B388" s="60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601"/>
      <c r="P388" s="597" t="s">
        <v>40</v>
      </c>
      <c r="Q388" s="598"/>
      <c r="R388" s="598"/>
      <c r="S388" s="598"/>
      <c r="T388" s="598"/>
      <c r="U388" s="598"/>
      <c r="V388" s="59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10" t="s">
        <v>642</v>
      </c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2"/>
      <c r="AB389" s="62"/>
      <c r="AC389" s="62"/>
    </row>
    <row r="390" spans="1:68" ht="14.25" customHeight="1" x14ac:dyDescent="0.25">
      <c r="A390" s="611" t="s">
        <v>92</v>
      </c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1"/>
      <c r="O390" s="611"/>
      <c r="P390" s="611"/>
      <c r="Q390" s="611"/>
      <c r="R390" s="611"/>
      <c r="S390" s="611"/>
      <c r="T390" s="611"/>
      <c r="U390" s="611"/>
      <c r="V390" s="611"/>
      <c r="W390" s="611"/>
      <c r="X390" s="611"/>
      <c r="Y390" s="611"/>
      <c r="Z390" s="611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06">
        <v>4607091387919</v>
      </c>
      <c r="E391" s="60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6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8"/>
      <c r="R391" s="608"/>
      <c r="S391" s="608"/>
      <c r="T391" s="609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06">
        <v>4680115883604</v>
      </c>
      <c r="E392" s="60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67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8"/>
      <c r="R392" s="608"/>
      <c r="S392" s="608"/>
      <c r="T392" s="609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649</v>
      </c>
      <c r="B393" s="60" t="s">
        <v>650</v>
      </c>
      <c r="C393" s="34">
        <v>4301051864</v>
      </c>
      <c r="D393" s="606">
        <v>4680115883567</v>
      </c>
      <c r="E393" s="60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6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8"/>
      <c r="R393" s="608"/>
      <c r="S393" s="608"/>
      <c r="T393" s="609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0"/>
      <c r="B394" s="60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601"/>
      <c r="P394" s="597" t="s">
        <v>40</v>
      </c>
      <c r="Q394" s="598"/>
      <c r="R394" s="598"/>
      <c r="S394" s="598"/>
      <c r="T394" s="598"/>
      <c r="U394" s="598"/>
      <c r="V394" s="599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00"/>
      <c r="B395" s="60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601"/>
      <c r="P395" s="597" t="s">
        <v>40</v>
      </c>
      <c r="Q395" s="598"/>
      <c r="R395" s="598"/>
      <c r="S395" s="598"/>
      <c r="T395" s="598"/>
      <c r="U395" s="598"/>
      <c r="V395" s="599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customHeight="1" x14ac:dyDescent="0.2">
      <c r="A396" s="617" t="s">
        <v>652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52"/>
      <c r="AB396" s="52"/>
      <c r="AC396" s="52"/>
    </row>
    <row r="397" spans="1:68" ht="16.5" customHeight="1" x14ac:dyDescent="0.25">
      <c r="A397" s="610" t="s">
        <v>653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2"/>
      <c r="AB397" s="62"/>
      <c r="AC397" s="62"/>
    </row>
    <row r="398" spans="1:68" ht="14.25" customHeight="1" x14ac:dyDescent="0.25">
      <c r="A398" s="611" t="s">
        <v>146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3"/>
      <c r="AB398" s="63"/>
      <c r="AC398" s="63"/>
    </row>
    <row r="399" spans="1:68" ht="27" customHeight="1" x14ac:dyDescent="0.25">
      <c r="A399" s="60" t="s">
        <v>654</v>
      </c>
      <c r="B399" s="60" t="s">
        <v>655</v>
      </c>
      <c r="C399" s="34">
        <v>4301012332</v>
      </c>
      <c r="D399" s="606">
        <v>4680115888401</v>
      </c>
      <c r="E399" s="60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6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8"/>
      <c r="R399" s="608"/>
      <c r="S399" s="608"/>
      <c r="T399" s="609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06">
        <v>4680115884847</v>
      </c>
      <c r="E400" s="60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8"/>
      <c r="R400" s="608"/>
      <c r="S400" s="608"/>
      <c r="T400" s="609"/>
      <c r="U400" s="37" t="s">
        <v>46</v>
      </c>
      <c r="V400" s="37" t="s">
        <v>46</v>
      </c>
      <c r="W400" s="38" t="s">
        <v>0</v>
      </c>
      <c r="X400" s="56">
        <v>4100</v>
      </c>
      <c r="Y400" s="53">
        <f t="shared" si="53"/>
        <v>4110</v>
      </c>
      <c r="Z400" s="39">
        <f>IFERROR(IF(Y400=0,"",ROUNDUP(Y400/H400,0)*0.02175),"")</f>
        <v>5.9594999999999994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4228.4666666666662</v>
      </c>
      <c r="BN400" s="75">
        <f t="shared" si="55"/>
        <v>4238.7800000000007</v>
      </c>
      <c r="BO400" s="75">
        <f t="shared" si="56"/>
        <v>5.6944444444444438</v>
      </c>
      <c r="BP400" s="75">
        <f t="shared" si="57"/>
        <v>5.708333333333333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06">
        <v>4680115884854</v>
      </c>
      <c r="E401" s="60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6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8"/>
      <c r="R401" s="608"/>
      <c r="S401" s="608"/>
      <c r="T401" s="609"/>
      <c r="U401" s="37" t="s">
        <v>46</v>
      </c>
      <c r="V401" s="37" t="s">
        <v>46</v>
      </c>
      <c r="W401" s="38" t="s">
        <v>0</v>
      </c>
      <c r="X401" s="56">
        <v>2500</v>
      </c>
      <c r="Y401" s="53">
        <f t="shared" si="53"/>
        <v>2505</v>
      </c>
      <c r="Z401" s="39">
        <f>IFERROR(IF(Y401=0,"",ROUNDUP(Y401/H401,0)*0.02175),"")</f>
        <v>3.6322499999999995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2578.3333333333335</v>
      </c>
      <c r="BN401" s="75">
        <f t="shared" si="55"/>
        <v>2583.4899999999998</v>
      </c>
      <c r="BO401" s="75">
        <f t="shared" si="56"/>
        <v>3.4722222222222219</v>
      </c>
      <c r="BP401" s="75">
        <f t="shared" si="57"/>
        <v>3.4791666666666665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06">
        <v>4680115884830</v>
      </c>
      <c r="E402" s="60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8"/>
      <c r="R402" s="608"/>
      <c r="S402" s="608"/>
      <c r="T402" s="609"/>
      <c r="U402" s="37" t="s">
        <v>46</v>
      </c>
      <c r="V402" s="37" t="s">
        <v>46</v>
      </c>
      <c r="W402" s="38" t="s">
        <v>0</v>
      </c>
      <c r="X402" s="56">
        <v>2500</v>
      </c>
      <c r="Y402" s="53">
        <f t="shared" si="53"/>
        <v>2505</v>
      </c>
      <c r="Z402" s="39">
        <f>IFERROR(IF(Y402=0,"",ROUNDUP(Y402/H402,0)*0.02175),"")</f>
        <v>3.6322499999999995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2578.3333333333335</v>
      </c>
      <c r="BN402" s="75">
        <f t="shared" si="55"/>
        <v>2583.4899999999998</v>
      </c>
      <c r="BO402" s="75">
        <f t="shared" si="56"/>
        <v>3.4722222222222219</v>
      </c>
      <c r="BP402" s="75">
        <f t="shared" si="57"/>
        <v>3.4791666666666665</v>
      </c>
    </row>
    <row r="403" spans="1:68" ht="27" customHeight="1" x14ac:dyDescent="0.25">
      <c r="A403" s="60" t="s">
        <v>666</v>
      </c>
      <c r="B403" s="60" t="s">
        <v>667</v>
      </c>
      <c r="C403" s="34">
        <v>4301012215</v>
      </c>
      <c r="D403" s="606">
        <v>4680115887046</v>
      </c>
      <c r="E403" s="60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08"/>
      <c r="R403" s="608"/>
      <c r="S403" s="608"/>
      <c r="T403" s="609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customHeight="1" x14ac:dyDescent="0.25">
      <c r="A404" s="60" t="s">
        <v>669</v>
      </c>
      <c r="B404" s="60" t="s">
        <v>670</v>
      </c>
      <c r="C404" s="34">
        <v>4301011433</v>
      </c>
      <c r="D404" s="606">
        <v>4680115882638</v>
      </c>
      <c r="E404" s="60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8"/>
      <c r="R404" s="608"/>
      <c r="S404" s="608"/>
      <c r="T404" s="609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customHeight="1" x14ac:dyDescent="0.25">
      <c r="A405" s="60" t="s">
        <v>672</v>
      </c>
      <c r="B405" s="60" t="s">
        <v>673</v>
      </c>
      <c r="C405" s="34">
        <v>4301011952</v>
      </c>
      <c r="D405" s="606">
        <v>4680115884922</v>
      </c>
      <c r="E405" s="60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6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8"/>
      <c r="R405" s="608"/>
      <c r="S405" s="608"/>
      <c r="T405" s="609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customHeight="1" x14ac:dyDescent="0.25">
      <c r="A406" s="60" t="s">
        <v>675</v>
      </c>
      <c r="B406" s="60" t="s">
        <v>676</v>
      </c>
      <c r="C406" s="34">
        <v>4301011868</v>
      </c>
      <c r="D406" s="606">
        <v>4680115884861</v>
      </c>
      <c r="E406" s="60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6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8"/>
      <c r="R406" s="608"/>
      <c r="S406" s="608"/>
      <c r="T406" s="609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00"/>
      <c r="B407" s="60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601"/>
      <c r="P407" s="597" t="s">
        <v>40</v>
      </c>
      <c r="Q407" s="598"/>
      <c r="R407" s="598"/>
      <c r="S407" s="598"/>
      <c r="T407" s="598"/>
      <c r="U407" s="598"/>
      <c r="V407" s="599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606.66666666666663</v>
      </c>
      <c r="Y407" s="41">
        <f>IFERROR(Y399/H399,"0")+IFERROR(Y400/H400,"0")+IFERROR(Y401/H401,"0")+IFERROR(Y402/H402,"0")+IFERROR(Y403/H403,"0")+IFERROR(Y404/H404,"0")+IFERROR(Y405/H405,"0")+IFERROR(Y406/H406,"0")</f>
        <v>608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13.223999999999998</v>
      </c>
      <c r="AA407" s="64"/>
      <c r="AB407" s="64"/>
      <c r="AC407" s="64"/>
    </row>
    <row r="408" spans="1:68" x14ac:dyDescent="0.2">
      <c r="A408" s="600"/>
      <c r="B408" s="60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601"/>
      <c r="P408" s="597" t="s">
        <v>40</v>
      </c>
      <c r="Q408" s="598"/>
      <c r="R408" s="598"/>
      <c r="S408" s="598"/>
      <c r="T408" s="598"/>
      <c r="U408" s="598"/>
      <c r="V408" s="599"/>
      <c r="W408" s="40" t="s">
        <v>0</v>
      </c>
      <c r="X408" s="41">
        <f>IFERROR(SUM(X399:X406),"0")</f>
        <v>9100</v>
      </c>
      <c r="Y408" s="41">
        <f>IFERROR(SUM(Y399:Y406),"0")</f>
        <v>9120</v>
      </c>
      <c r="Z408" s="40"/>
      <c r="AA408" s="64"/>
      <c r="AB408" s="64"/>
      <c r="AC408" s="64"/>
    </row>
    <row r="409" spans="1:68" ht="14.25" customHeight="1" x14ac:dyDescent="0.25">
      <c r="A409" s="611" t="s">
        <v>180</v>
      </c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1"/>
      <c r="O409" s="611"/>
      <c r="P409" s="611"/>
      <c r="Q409" s="611"/>
      <c r="R409" s="611"/>
      <c r="S409" s="611"/>
      <c r="T409" s="611"/>
      <c r="U409" s="611"/>
      <c r="V409" s="611"/>
      <c r="W409" s="611"/>
      <c r="X409" s="611"/>
      <c r="Y409" s="611"/>
      <c r="Z409" s="611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06">
        <v>4607091383980</v>
      </c>
      <c r="E410" s="60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6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8"/>
      <c r="R410" s="608"/>
      <c r="S410" s="608"/>
      <c r="T410" s="609"/>
      <c r="U410" s="37" t="s">
        <v>46</v>
      </c>
      <c r="V410" s="37" t="s">
        <v>46</v>
      </c>
      <c r="W410" s="38" t="s">
        <v>0</v>
      </c>
      <c r="X410" s="56">
        <v>3000</v>
      </c>
      <c r="Y410" s="53">
        <f>IFERROR(IF(X410="",0,CEILING((X410/$H410),1)*$H410),"")</f>
        <v>3000</v>
      </c>
      <c r="Z410" s="39">
        <f>IFERROR(IF(Y410=0,"",ROUNDUP(Y410/H410,0)*0.02175),"")</f>
        <v>4.3499999999999996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3094</v>
      </c>
      <c r="BN410" s="75">
        <f>IFERROR(Y410*I410/H410,"0")</f>
        <v>3094</v>
      </c>
      <c r="BO410" s="75">
        <f>IFERROR(1/J410*(X410/H410),"0")</f>
        <v>4.1666666666666661</v>
      </c>
      <c r="BP410" s="75">
        <f>IFERROR(1/J410*(Y410/H410),"0")</f>
        <v>4.1666666666666661</v>
      </c>
    </row>
    <row r="411" spans="1:68" ht="27" customHeight="1" x14ac:dyDescent="0.25">
      <c r="A411" s="60" t="s">
        <v>681</v>
      </c>
      <c r="B411" s="60" t="s">
        <v>682</v>
      </c>
      <c r="C411" s="34">
        <v>4301020355</v>
      </c>
      <c r="D411" s="606">
        <v>4680115888425</v>
      </c>
      <c r="E411" s="60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6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8"/>
      <c r="R411" s="608"/>
      <c r="S411" s="608"/>
      <c r="T411" s="609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684</v>
      </c>
      <c r="B412" s="60" t="s">
        <v>685</v>
      </c>
      <c r="C412" s="34">
        <v>4301020179</v>
      </c>
      <c r="D412" s="606">
        <v>4607091384178</v>
      </c>
      <c r="E412" s="60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6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8"/>
      <c r="R412" s="608"/>
      <c r="S412" s="608"/>
      <c r="T412" s="609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0"/>
      <c r="B413" s="60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601"/>
      <c r="P413" s="597" t="s">
        <v>40</v>
      </c>
      <c r="Q413" s="598"/>
      <c r="R413" s="598"/>
      <c r="S413" s="598"/>
      <c r="T413" s="598"/>
      <c r="U413" s="598"/>
      <c r="V413" s="599"/>
      <c r="W413" s="40" t="s">
        <v>39</v>
      </c>
      <c r="X413" s="41">
        <f>IFERROR(X410/H410,"0")+IFERROR(X411/H411,"0")+IFERROR(X412/H412,"0")</f>
        <v>200</v>
      </c>
      <c r="Y413" s="41">
        <f>IFERROR(Y410/H410,"0")+IFERROR(Y411/H411,"0")+IFERROR(Y412/H412,"0")</f>
        <v>200</v>
      </c>
      <c r="Z413" s="41">
        <f>IFERROR(IF(Z410="",0,Z410),"0")+IFERROR(IF(Z411="",0,Z411),"0")+IFERROR(IF(Z412="",0,Z412),"0")</f>
        <v>4.3499999999999996</v>
      </c>
      <c r="AA413" s="64"/>
      <c r="AB413" s="64"/>
      <c r="AC413" s="64"/>
    </row>
    <row r="414" spans="1:68" x14ac:dyDescent="0.2">
      <c r="A414" s="600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1"/>
      <c r="P414" s="597" t="s">
        <v>40</v>
      </c>
      <c r="Q414" s="598"/>
      <c r="R414" s="598"/>
      <c r="S414" s="598"/>
      <c r="T414" s="598"/>
      <c r="U414" s="598"/>
      <c r="V414" s="599"/>
      <c r="W414" s="40" t="s">
        <v>0</v>
      </c>
      <c r="X414" s="41">
        <f>IFERROR(SUM(X410:X412),"0")</f>
        <v>3000</v>
      </c>
      <c r="Y414" s="41">
        <f>IFERROR(SUM(Y410:Y412),"0")</f>
        <v>3000</v>
      </c>
      <c r="Z414" s="40"/>
      <c r="AA414" s="64"/>
      <c r="AB414" s="64"/>
      <c r="AC414" s="64"/>
    </row>
    <row r="415" spans="1:68" ht="14.25" customHeight="1" x14ac:dyDescent="0.25">
      <c r="A415" s="611" t="s">
        <v>92</v>
      </c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1"/>
      <c r="P415" s="611"/>
      <c r="Q415" s="611"/>
      <c r="R415" s="611"/>
      <c r="S415" s="611"/>
      <c r="T415" s="611"/>
      <c r="U415" s="611"/>
      <c r="V415" s="611"/>
      <c r="W415" s="611"/>
      <c r="X415" s="611"/>
      <c r="Y415" s="611"/>
      <c r="Z415" s="611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06">
        <v>4607091383928</v>
      </c>
      <c r="E416" s="60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6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8"/>
      <c r="R416" s="608"/>
      <c r="S416" s="608"/>
      <c r="T416" s="609"/>
      <c r="U416" s="37" t="s">
        <v>46</v>
      </c>
      <c r="V416" s="37" t="s">
        <v>46</v>
      </c>
      <c r="W416" s="38" t="s">
        <v>0</v>
      </c>
      <c r="X416" s="56">
        <v>1400</v>
      </c>
      <c r="Y416" s="53">
        <f>IFERROR(IF(X416="",0,CEILING((X416/$H416),1)*$H416),"")</f>
        <v>1404</v>
      </c>
      <c r="Z416" s="39">
        <f>IFERROR(IF(Y416=0,"",ROUNDUP(Y416/H416,0)*0.01898),"")</f>
        <v>2.96088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1477.7777777777778</v>
      </c>
      <c r="BN416" s="75">
        <f>IFERROR(Y416*I416/H416,"0")</f>
        <v>1482</v>
      </c>
      <c r="BO416" s="75">
        <f>IFERROR(1/J416*(X416/H416),"0")</f>
        <v>2.4305555555555554</v>
      </c>
      <c r="BP416" s="75">
        <f>IFERROR(1/J416*(Y416/H416),"0")</f>
        <v>2.4375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06">
        <v>4607091384260</v>
      </c>
      <c r="E417" s="60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6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8"/>
      <c r="R417" s="608"/>
      <c r="S417" s="608"/>
      <c r="T417" s="609"/>
      <c r="U417" s="37" t="s">
        <v>46</v>
      </c>
      <c r="V417" s="37" t="s">
        <v>46</v>
      </c>
      <c r="W417" s="38" t="s">
        <v>0</v>
      </c>
      <c r="X417" s="56">
        <v>150</v>
      </c>
      <c r="Y417" s="53">
        <f>IFERROR(IF(X417="",0,CEILING((X417/$H417),1)*$H417),"")</f>
        <v>153</v>
      </c>
      <c r="Z417" s="39">
        <f>IFERROR(IF(Y417=0,"",ROUNDUP(Y417/H417,0)*0.01898),"")</f>
        <v>0.32266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158.23333333333332</v>
      </c>
      <c r="BN417" s="75">
        <f>IFERROR(Y417*I417/H417,"0")</f>
        <v>161.398</v>
      </c>
      <c r="BO417" s="75">
        <f>IFERROR(1/J417*(X417/H417),"0")</f>
        <v>0.26041666666666669</v>
      </c>
      <c r="BP417" s="75">
        <f>IFERROR(1/J417*(Y417/H417),"0")</f>
        <v>0.265625</v>
      </c>
    </row>
    <row r="418" spans="1:68" x14ac:dyDescent="0.2">
      <c r="A418" s="600"/>
      <c r="B418" s="60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601"/>
      <c r="P418" s="597" t="s">
        <v>40</v>
      </c>
      <c r="Q418" s="598"/>
      <c r="R418" s="598"/>
      <c r="S418" s="598"/>
      <c r="T418" s="598"/>
      <c r="U418" s="598"/>
      <c r="V418" s="599"/>
      <c r="W418" s="40" t="s">
        <v>39</v>
      </c>
      <c r="X418" s="41">
        <f>IFERROR(X416/H416,"0")+IFERROR(X417/H417,"0")</f>
        <v>172.2222222222222</v>
      </c>
      <c r="Y418" s="41">
        <f>IFERROR(Y416/H416,"0")+IFERROR(Y417/H417,"0")</f>
        <v>173</v>
      </c>
      <c r="Z418" s="41">
        <f>IFERROR(IF(Z416="",0,Z416),"0")+IFERROR(IF(Z417="",0,Z417),"0")</f>
        <v>3.2835399999999999</v>
      </c>
      <c r="AA418" s="64"/>
      <c r="AB418" s="64"/>
      <c r="AC418" s="64"/>
    </row>
    <row r="419" spans="1:68" x14ac:dyDescent="0.2">
      <c r="A419" s="600"/>
      <c r="B419" s="60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601"/>
      <c r="P419" s="597" t="s">
        <v>40</v>
      </c>
      <c r="Q419" s="598"/>
      <c r="R419" s="598"/>
      <c r="S419" s="598"/>
      <c r="T419" s="598"/>
      <c r="U419" s="598"/>
      <c r="V419" s="599"/>
      <c r="W419" s="40" t="s">
        <v>0</v>
      </c>
      <c r="X419" s="41">
        <f>IFERROR(SUM(X416:X417),"0")</f>
        <v>1550</v>
      </c>
      <c r="Y419" s="41">
        <f>IFERROR(SUM(Y416:Y417),"0")</f>
        <v>1557</v>
      </c>
      <c r="Z419" s="40"/>
      <c r="AA419" s="64"/>
      <c r="AB419" s="64"/>
      <c r="AC419" s="64"/>
    </row>
    <row r="420" spans="1:68" ht="14.25" customHeight="1" x14ac:dyDescent="0.25">
      <c r="A420" s="611" t="s">
        <v>197</v>
      </c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1"/>
      <c r="P420" s="611"/>
      <c r="Q420" s="611"/>
      <c r="R420" s="611"/>
      <c r="S420" s="611"/>
      <c r="T420" s="611"/>
      <c r="U420" s="611"/>
      <c r="V420" s="611"/>
      <c r="W420" s="611"/>
      <c r="X420" s="611"/>
      <c r="Y420" s="611"/>
      <c r="Z420" s="611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06">
        <v>4607091384673</v>
      </c>
      <c r="E421" s="60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6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8"/>
      <c r="R421" s="608"/>
      <c r="S421" s="608"/>
      <c r="T421" s="609"/>
      <c r="U421" s="37" t="s">
        <v>46</v>
      </c>
      <c r="V421" s="37" t="s">
        <v>46</v>
      </c>
      <c r="W421" s="38" t="s">
        <v>0</v>
      </c>
      <c r="X421" s="56">
        <v>600</v>
      </c>
      <c r="Y421" s="53">
        <f>IFERROR(IF(X421="",0,CEILING((X421/$H421),1)*$H421),"")</f>
        <v>603</v>
      </c>
      <c r="Z421" s="39">
        <f>IFERROR(IF(Y421=0,"",ROUNDUP(Y421/H421,0)*0.01898),"")</f>
        <v>1.27166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632.93333333333328</v>
      </c>
      <c r="BN421" s="75">
        <f>IFERROR(Y421*I421/H421,"0")</f>
        <v>636.09799999999996</v>
      </c>
      <c r="BO421" s="75">
        <f>IFERROR(1/J421*(X421/H421),"0")</f>
        <v>1.0416666666666667</v>
      </c>
      <c r="BP421" s="75">
        <f>IFERROR(1/J421*(Y421/H421),"0")</f>
        <v>1.046875</v>
      </c>
    </row>
    <row r="422" spans="1:68" x14ac:dyDescent="0.2">
      <c r="A422" s="600"/>
      <c r="B422" s="60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601"/>
      <c r="P422" s="597" t="s">
        <v>40</v>
      </c>
      <c r="Q422" s="598"/>
      <c r="R422" s="598"/>
      <c r="S422" s="598"/>
      <c r="T422" s="598"/>
      <c r="U422" s="598"/>
      <c r="V422" s="599"/>
      <c r="W422" s="40" t="s">
        <v>39</v>
      </c>
      <c r="X422" s="41">
        <f>IFERROR(X421/H421,"0")</f>
        <v>66.666666666666671</v>
      </c>
      <c r="Y422" s="41">
        <f>IFERROR(Y421/H421,"0")</f>
        <v>67</v>
      </c>
      <c r="Z422" s="41">
        <f>IFERROR(IF(Z421="",0,Z421),"0")</f>
        <v>1.27166</v>
      </c>
      <c r="AA422" s="64"/>
      <c r="AB422" s="64"/>
      <c r="AC422" s="64"/>
    </row>
    <row r="423" spans="1:68" x14ac:dyDescent="0.2">
      <c r="A423" s="600"/>
      <c r="B423" s="60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601"/>
      <c r="P423" s="597" t="s">
        <v>40</v>
      </c>
      <c r="Q423" s="598"/>
      <c r="R423" s="598"/>
      <c r="S423" s="598"/>
      <c r="T423" s="598"/>
      <c r="U423" s="598"/>
      <c r="V423" s="599"/>
      <c r="W423" s="40" t="s">
        <v>0</v>
      </c>
      <c r="X423" s="41">
        <f>IFERROR(SUM(X421:X421),"0")</f>
        <v>600</v>
      </c>
      <c r="Y423" s="41">
        <f>IFERROR(SUM(Y421:Y421),"0")</f>
        <v>603</v>
      </c>
      <c r="Z423" s="40"/>
      <c r="AA423" s="64"/>
      <c r="AB423" s="64"/>
      <c r="AC423" s="64"/>
    </row>
    <row r="424" spans="1:68" ht="16.5" customHeight="1" x14ac:dyDescent="0.25">
      <c r="A424" s="610" t="s">
        <v>696</v>
      </c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2"/>
      <c r="AB424" s="62"/>
      <c r="AC424" s="62"/>
    </row>
    <row r="425" spans="1:68" ht="14.25" customHeight="1" x14ac:dyDescent="0.25">
      <c r="A425" s="611" t="s">
        <v>146</v>
      </c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1"/>
      <c r="P425" s="611"/>
      <c r="Q425" s="611"/>
      <c r="R425" s="611"/>
      <c r="S425" s="611"/>
      <c r="T425" s="611"/>
      <c r="U425" s="611"/>
      <c r="V425" s="611"/>
      <c r="W425" s="611"/>
      <c r="X425" s="611"/>
      <c r="Y425" s="611"/>
      <c r="Z425" s="611"/>
      <c r="AA425" s="63"/>
      <c r="AB425" s="63"/>
      <c r="AC425" s="63"/>
    </row>
    <row r="426" spans="1:68" ht="27" customHeight="1" x14ac:dyDescent="0.25">
      <c r="A426" s="60" t="s">
        <v>697</v>
      </c>
      <c r="B426" s="60" t="s">
        <v>698</v>
      </c>
      <c r="C426" s="34">
        <v>4301011875</v>
      </c>
      <c r="D426" s="606">
        <v>4680115884885</v>
      </c>
      <c r="E426" s="60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6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8"/>
      <c r="R426" s="608"/>
      <c r="S426" s="608"/>
      <c r="T426" s="609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700</v>
      </c>
      <c r="B427" s="60" t="s">
        <v>701</v>
      </c>
      <c r="C427" s="34">
        <v>4301011871</v>
      </c>
      <c r="D427" s="606">
        <v>4680115884908</v>
      </c>
      <c r="E427" s="60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6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8"/>
      <c r="R427" s="608"/>
      <c r="S427" s="608"/>
      <c r="T427" s="609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00"/>
      <c r="B428" s="60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601"/>
      <c r="P428" s="597" t="s">
        <v>40</v>
      </c>
      <c r="Q428" s="598"/>
      <c r="R428" s="598"/>
      <c r="S428" s="598"/>
      <c r="T428" s="598"/>
      <c r="U428" s="598"/>
      <c r="V428" s="599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00"/>
      <c r="B429" s="60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601"/>
      <c r="P429" s="597" t="s">
        <v>40</v>
      </c>
      <c r="Q429" s="598"/>
      <c r="R429" s="598"/>
      <c r="S429" s="598"/>
      <c r="T429" s="598"/>
      <c r="U429" s="598"/>
      <c r="V429" s="599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11" t="s">
        <v>77</v>
      </c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1"/>
      <c r="P430" s="611"/>
      <c r="Q430" s="611"/>
      <c r="R430" s="611"/>
      <c r="S430" s="611"/>
      <c r="T430" s="611"/>
      <c r="U430" s="611"/>
      <c r="V430" s="611"/>
      <c r="W430" s="611"/>
      <c r="X430" s="611"/>
      <c r="Y430" s="611"/>
      <c r="Z430" s="611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06">
        <v>4607091384802</v>
      </c>
      <c r="E431" s="60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6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8"/>
      <c r="R431" s="608"/>
      <c r="S431" s="608"/>
      <c r="T431" s="609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00"/>
      <c r="B432" s="60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601"/>
      <c r="P432" s="597" t="s">
        <v>40</v>
      </c>
      <c r="Q432" s="598"/>
      <c r="R432" s="598"/>
      <c r="S432" s="598"/>
      <c r="T432" s="598"/>
      <c r="U432" s="598"/>
      <c r="V432" s="599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00"/>
      <c r="B433" s="60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601"/>
      <c r="P433" s="597" t="s">
        <v>40</v>
      </c>
      <c r="Q433" s="598"/>
      <c r="R433" s="598"/>
      <c r="S433" s="598"/>
      <c r="T433" s="598"/>
      <c r="U433" s="598"/>
      <c r="V433" s="599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11" t="s">
        <v>92</v>
      </c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1"/>
      <c r="O434" s="611"/>
      <c r="P434" s="611"/>
      <c r="Q434" s="611"/>
      <c r="R434" s="611"/>
      <c r="S434" s="611"/>
      <c r="T434" s="611"/>
      <c r="U434" s="611"/>
      <c r="V434" s="611"/>
      <c r="W434" s="611"/>
      <c r="X434" s="611"/>
      <c r="Y434" s="611"/>
      <c r="Z434" s="611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06">
        <v>4607091384246</v>
      </c>
      <c r="E435" s="60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6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8"/>
      <c r="R435" s="608"/>
      <c r="S435" s="608"/>
      <c r="T435" s="609"/>
      <c r="U435" s="37" t="s">
        <v>46</v>
      </c>
      <c r="V435" s="37" t="s">
        <v>46</v>
      </c>
      <c r="W435" s="38" t="s">
        <v>0</v>
      </c>
      <c r="X435" s="56">
        <v>150</v>
      </c>
      <c r="Y435" s="53">
        <f>IFERROR(IF(X435="",0,CEILING((X435/$H435),1)*$H435),"")</f>
        <v>153</v>
      </c>
      <c r="Z435" s="39">
        <f>IFERROR(IF(Y435=0,"",ROUNDUP(Y435/H435,0)*0.01898),"")</f>
        <v>0.32266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158.23333333333332</v>
      </c>
      <c r="BN435" s="75">
        <f>IFERROR(Y435*I435/H435,"0")</f>
        <v>161.398</v>
      </c>
      <c r="BO435" s="75">
        <f>IFERROR(1/J435*(X435/H435),"0")</f>
        <v>0.26041666666666669</v>
      </c>
      <c r="BP435" s="75">
        <f>IFERROR(1/J435*(Y435/H435),"0")</f>
        <v>0.265625</v>
      </c>
    </row>
    <row r="436" spans="1:68" ht="27" customHeight="1" x14ac:dyDescent="0.25">
      <c r="A436" s="60" t="s">
        <v>708</v>
      </c>
      <c r="B436" s="60" t="s">
        <v>709</v>
      </c>
      <c r="C436" s="34">
        <v>4301051660</v>
      </c>
      <c r="D436" s="606">
        <v>4607091384253</v>
      </c>
      <c r="E436" s="60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6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8"/>
      <c r="R436" s="608"/>
      <c r="S436" s="608"/>
      <c r="T436" s="609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708</v>
      </c>
      <c r="B437" s="60" t="s">
        <v>710</v>
      </c>
      <c r="C437" s="34">
        <v>4301052069</v>
      </c>
      <c r="D437" s="606">
        <v>4607091384253</v>
      </c>
      <c r="E437" s="60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6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8"/>
      <c r="R437" s="608"/>
      <c r="S437" s="608"/>
      <c r="T437" s="609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0"/>
      <c r="B438" s="60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601"/>
      <c r="P438" s="597" t="s">
        <v>40</v>
      </c>
      <c r="Q438" s="598"/>
      <c r="R438" s="598"/>
      <c r="S438" s="598"/>
      <c r="T438" s="598"/>
      <c r="U438" s="598"/>
      <c r="V438" s="599"/>
      <c r="W438" s="40" t="s">
        <v>39</v>
      </c>
      <c r="X438" s="41">
        <f>IFERROR(X435/H435,"0")+IFERROR(X436/H436,"0")+IFERROR(X437/H437,"0")</f>
        <v>16.666666666666668</v>
      </c>
      <c r="Y438" s="41">
        <f>IFERROR(Y435/H435,"0")+IFERROR(Y436/H436,"0")+IFERROR(Y437/H437,"0")</f>
        <v>17</v>
      </c>
      <c r="Z438" s="41">
        <f>IFERROR(IF(Z435="",0,Z435),"0")+IFERROR(IF(Z436="",0,Z436),"0")+IFERROR(IF(Z437="",0,Z437),"0")</f>
        <v>0.32266</v>
      </c>
      <c r="AA438" s="64"/>
      <c r="AB438" s="64"/>
      <c r="AC438" s="64"/>
    </row>
    <row r="439" spans="1:68" x14ac:dyDescent="0.2">
      <c r="A439" s="600"/>
      <c r="B439" s="60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601"/>
      <c r="P439" s="597" t="s">
        <v>40</v>
      </c>
      <c r="Q439" s="598"/>
      <c r="R439" s="598"/>
      <c r="S439" s="598"/>
      <c r="T439" s="598"/>
      <c r="U439" s="598"/>
      <c r="V439" s="599"/>
      <c r="W439" s="40" t="s">
        <v>0</v>
      </c>
      <c r="X439" s="41">
        <f>IFERROR(SUM(X435:X437),"0")</f>
        <v>150</v>
      </c>
      <c r="Y439" s="41">
        <f>IFERROR(SUM(Y435:Y437),"0")</f>
        <v>153</v>
      </c>
      <c r="Z439" s="40"/>
      <c r="AA439" s="64"/>
      <c r="AB439" s="64"/>
      <c r="AC439" s="64"/>
    </row>
    <row r="440" spans="1:68" ht="27.75" customHeight="1" x14ac:dyDescent="0.2">
      <c r="A440" s="617" t="s">
        <v>712</v>
      </c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  <c r="Y440" s="617"/>
      <c r="Z440" s="617"/>
      <c r="AA440" s="52"/>
      <c r="AB440" s="52"/>
      <c r="AC440" s="52"/>
    </row>
    <row r="441" spans="1:68" ht="16.5" customHeight="1" x14ac:dyDescent="0.25">
      <c r="A441" s="610" t="s">
        <v>713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2"/>
      <c r="AB441" s="62"/>
      <c r="AC441" s="62"/>
    </row>
    <row r="442" spans="1:68" ht="14.25" customHeight="1" x14ac:dyDescent="0.25">
      <c r="A442" s="611" t="s">
        <v>77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06">
        <v>4680115886100</v>
      </c>
      <c r="E443" s="60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6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8"/>
      <c r="R443" s="608"/>
      <c r="S443" s="608"/>
      <c r="T443" s="609"/>
      <c r="U443" s="37" t="s">
        <v>46</v>
      </c>
      <c r="V443" s="37" t="s">
        <v>46</v>
      </c>
      <c r="W443" s="38" t="s">
        <v>0</v>
      </c>
      <c r="X443" s="56">
        <v>50</v>
      </c>
      <c r="Y443" s="53">
        <f t="shared" ref="Y443:Y448" si="58">IFERROR(IF(X443="",0,CEILING((X443/$H443),1)*$H443),"")</f>
        <v>54</v>
      </c>
      <c r="Z443" s="39">
        <f>IFERROR(IF(Y443=0,"",ROUNDUP(Y443/H443,0)*0.00902),"")</f>
        <v>9.0200000000000002E-2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51.759259259259252</v>
      </c>
      <c r="BN443" s="75">
        <f t="shared" ref="BN443:BN448" si="60">IFERROR(Y443*I443/H443,"0")</f>
        <v>55.9</v>
      </c>
      <c r="BO443" s="75">
        <f t="shared" ref="BO443:BO448" si="61">IFERROR(1/J443*(X443/H443),"0")</f>
        <v>7.0145903479236812E-2</v>
      </c>
      <c r="BP443" s="75">
        <f t="shared" ref="BP443:BP448" si="62">IFERROR(1/J443*(Y443/H443),"0")</f>
        <v>7.575757575757576E-2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06">
        <v>4680115886124</v>
      </c>
      <c r="E444" s="60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6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8"/>
      <c r="R444" s="608"/>
      <c r="S444" s="608"/>
      <c r="T444" s="609"/>
      <c r="U444" s="37" t="s">
        <v>46</v>
      </c>
      <c r="V444" s="37" t="s">
        <v>46</v>
      </c>
      <c r="W444" s="38" t="s">
        <v>0</v>
      </c>
      <c r="X444" s="56"/>
      <c r="Y444" s="53">
        <f t="shared" si="58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0</v>
      </c>
      <c r="BN444" s="75">
        <f t="shared" si="60"/>
        <v>0</v>
      </c>
      <c r="BO444" s="75">
        <f t="shared" si="61"/>
        <v>0</v>
      </c>
      <c r="BP444" s="75">
        <f t="shared" si="62"/>
        <v>0</v>
      </c>
    </row>
    <row r="445" spans="1:68" ht="27" customHeight="1" x14ac:dyDescent="0.25">
      <c r="A445" s="60" t="s">
        <v>720</v>
      </c>
      <c r="B445" s="60" t="s">
        <v>721</v>
      </c>
      <c r="C445" s="34">
        <v>4301031362</v>
      </c>
      <c r="D445" s="606">
        <v>4607091384338</v>
      </c>
      <c r="E445" s="60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8"/>
      <c r="R445" s="608"/>
      <c r="S445" s="608"/>
      <c r="T445" s="609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06">
        <v>4680115883161</v>
      </c>
      <c r="E446" s="60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6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8"/>
      <c r="R446" s="608"/>
      <c r="S446" s="608"/>
      <c r="T446" s="609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06">
        <v>4607091389531</v>
      </c>
      <c r="E447" s="60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6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8"/>
      <c r="R447" s="608"/>
      <c r="S447" s="608"/>
      <c r="T447" s="609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06">
        <v>4607091384345</v>
      </c>
      <c r="E448" s="60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6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8"/>
      <c r="R448" s="608"/>
      <c r="S448" s="608"/>
      <c r="T448" s="609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00"/>
      <c r="B449" s="60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601"/>
      <c r="P449" s="597" t="s">
        <v>40</v>
      </c>
      <c r="Q449" s="598"/>
      <c r="R449" s="598"/>
      <c r="S449" s="598"/>
      <c r="T449" s="598"/>
      <c r="U449" s="598"/>
      <c r="V449" s="599"/>
      <c r="W449" s="40" t="s">
        <v>39</v>
      </c>
      <c r="X449" s="41">
        <f>IFERROR(X443/H443,"0")+IFERROR(X444/H444,"0")+IFERROR(X445/H445,"0")+IFERROR(X446/H446,"0")+IFERROR(X447/H447,"0")+IFERROR(X448/H448,"0")</f>
        <v>9.2592592592592595</v>
      </c>
      <c r="Y449" s="41">
        <f>IFERROR(Y443/H443,"0")+IFERROR(Y444/H444,"0")+IFERROR(Y445/H445,"0")+IFERROR(Y446/H446,"0")+IFERROR(Y447/H447,"0")+IFERROR(Y448/H448,"0")</f>
        <v>10</v>
      </c>
      <c r="Z449" s="41">
        <f>IFERROR(IF(Z443="",0,Z443),"0")+IFERROR(IF(Z444="",0,Z444),"0")+IFERROR(IF(Z445="",0,Z445),"0")+IFERROR(IF(Z446="",0,Z446),"0")+IFERROR(IF(Z447="",0,Z447),"0")+IFERROR(IF(Z448="",0,Z448),"0")</f>
        <v>9.0200000000000002E-2</v>
      </c>
      <c r="AA449" s="64"/>
      <c r="AB449" s="64"/>
      <c r="AC449" s="64"/>
    </row>
    <row r="450" spans="1:68" x14ac:dyDescent="0.2">
      <c r="A450" s="600"/>
      <c r="B450" s="60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601"/>
      <c r="P450" s="597" t="s">
        <v>40</v>
      </c>
      <c r="Q450" s="598"/>
      <c r="R450" s="598"/>
      <c r="S450" s="598"/>
      <c r="T450" s="598"/>
      <c r="U450" s="598"/>
      <c r="V450" s="599"/>
      <c r="W450" s="40" t="s">
        <v>0</v>
      </c>
      <c r="X450" s="41">
        <f>IFERROR(SUM(X443:X448),"0")</f>
        <v>50</v>
      </c>
      <c r="Y450" s="41">
        <f>IFERROR(SUM(Y443:Y448),"0")</f>
        <v>54</v>
      </c>
      <c r="Z450" s="40"/>
      <c r="AA450" s="64"/>
      <c r="AB450" s="64"/>
      <c r="AC450" s="64"/>
    </row>
    <row r="451" spans="1:68" ht="14.25" customHeight="1" x14ac:dyDescent="0.25">
      <c r="A451" s="611" t="s">
        <v>92</v>
      </c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1"/>
      <c r="P451" s="611"/>
      <c r="Q451" s="611"/>
      <c r="R451" s="611"/>
      <c r="S451" s="611"/>
      <c r="T451" s="611"/>
      <c r="U451" s="611"/>
      <c r="V451" s="611"/>
      <c r="W451" s="611"/>
      <c r="X451" s="611"/>
      <c r="Y451" s="611"/>
      <c r="Z451" s="611"/>
      <c r="AA451" s="63"/>
      <c r="AB451" s="63"/>
      <c r="AC451" s="63"/>
    </row>
    <row r="452" spans="1:68" ht="27" customHeight="1" x14ac:dyDescent="0.25">
      <c r="A452" s="60" t="s">
        <v>730</v>
      </c>
      <c r="B452" s="60" t="s">
        <v>731</v>
      </c>
      <c r="C452" s="34">
        <v>4301051284</v>
      </c>
      <c r="D452" s="606">
        <v>4607091384352</v>
      </c>
      <c r="E452" s="60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6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8"/>
      <c r="R452" s="608"/>
      <c r="S452" s="608"/>
      <c r="T452" s="60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733</v>
      </c>
      <c r="B453" s="60" t="s">
        <v>734</v>
      </c>
      <c r="C453" s="34">
        <v>4301051431</v>
      </c>
      <c r="D453" s="606">
        <v>4607091389654</v>
      </c>
      <c r="E453" s="60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6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8"/>
      <c r="R453" s="608"/>
      <c r="S453" s="608"/>
      <c r="T453" s="60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00"/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601"/>
      <c r="P454" s="597" t="s">
        <v>40</v>
      </c>
      <c r="Q454" s="598"/>
      <c r="R454" s="598"/>
      <c r="S454" s="598"/>
      <c r="T454" s="598"/>
      <c r="U454" s="598"/>
      <c r="V454" s="59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00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1"/>
      <c r="P455" s="597" t="s">
        <v>40</v>
      </c>
      <c r="Q455" s="598"/>
      <c r="R455" s="598"/>
      <c r="S455" s="598"/>
      <c r="T455" s="598"/>
      <c r="U455" s="598"/>
      <c r="V455" s="59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10" t="s">
        <v>736</v>
      </c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2"/>
      <c r="AB456" s="62"/>
      <c r="AC456" s="62"/>
    </row>
    <row r="457" spans="1:68" ht="14.25" customHeight="1" x14ac:dyDescent="0.25">
      <c r="A457" s="611" t="s">
        <v>180</v>
      </c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1"/>
      <c r="P457" s="611"/>
      <c r="Q457" s="611"/>
      <c r="R457" s="611"/>
      <c r="S457" s="611"/>
      <c r="T457" s="611"/>
      <c r="U457" s="611"/>
      <c r="V457" s="611"/>
      <c r="W457" s="611"/>
      <c r="X457" s="611"/>
      <c r="Y457" s="611"/>
      <c r="Z457" s="611"/>
      <c r="AA457" s="63"/>
      <c r="AB457" s="63"/>
      <c r="AC457" s="63"/>
    </row>
    <row r="458" spans="1:68" ht="27" customHeight="1" x14ac:dyDescent="0.25">
      <c r="A458" s="60" t="s">
        <v>737</v>
      </c>
      <c r="B458" s="60" t="s">
        <v>738</v>
      </c>
      <c r="C458" s="34">
        <v>4301020416</v>
      </c>
      <c r="D458" s="606">
        <v>4680115885240</v>
      </c>
      <c r="E458" s="60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8"/>
      <c r="R458" s="608"/>
      <c r="S458" s="608"/>
      <c r="T458" s="609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00"/>
      <c r="B459" s="60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601"/>
      <c r="P459" s="597" t="s">
        <v>40</v>
      </c>
      <c r="Q459" s="598"/>
      <c r="R459" s="598"/>
      <c r="S459" s="598"/>
      <c r="T459" s="598"/>
      <c r="U459" s="598"/>
      <c r="V459" s="59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600"/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601"/>
      <c r="P460" s="597" t="s">
        <v>40</v>
      </c>
      <c r="Q460" s="598"/>
      <c r="R460" s="598"/>
      <c r="S460" s="598"/>
      <c r="T460" s="598"/>
      <c r="U460" s="598"/>
      <c r="V460" s="59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611" t="s">
        <v>77</v>
      </c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06">
        <v>4680115886094</v>
      </c>
      <c r="E462" s="60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6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8"/>
      <c r="R462" s="608"/>
      <c r="S462" s="608"/>
      <c r="T462" s="609"/>
      <c r="U462" s="37" t="s">
        <v>46</v>
      </c>
      <c r="V462" s="37" t="s">
        <v>46</v>
      </c>
      <c r="W462" s="38" t="s">
        <v>0</v>
      </c>
      <c r="X462" s="56">
        <v>400</v>
      </c>
      <c r="Y462" s="53">
        <f>IFERROR(IF(X462="",0,CEILING((X462/$H462),1)*$H462),"")</f>
        <v>405</v>
      </c>
      <c r="Z462" s="39">
        <f>IFERROR(IF(Y462=0,"",ROUNDUP(Y462/H462,0)*0.00902),"")</f>
        <v>0.67649999999999999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414.07407407407402</v>
      </c>
      <c r="BN462" s="75">
        <f>IFERROR(Y462*I462/H462,"0")</f>
        <v>419.24999999999994</v>
      </c>
      <c r="BO462" s="75">
        <f>IFERROR(1/J462*(X462/H462),"0")</f>
        <v>0.5611672278338945</v>
      </c>
      <c r="BP462" s="75">
        <f>IFERROR(1/J462*(Y462/H462),"0")</f>
        <v>0.56818181818181823</v>
      </c>
    </row>
    <row r="463" spans="1:68" ht="27" customHeight="1" x14ac:dyDescent="0.25">
      <c r="A463" s="60" t="s">
        <v>743</v>
      </c>
      <c r="B463" s="60" t="s">
        <v>744</v>
      </c>
      <c r="C463" s="34">
        <v>4301031373</v>
      </c>
      <c r="D463" s="606">
        <v>4680115880771</v>
      </c>
      <c r="E463" s="60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8"/>
      <c r="R463" s="608"/>
      <c r="S463" s="608"/>
      <c r="T463" s="609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06">
        <v>4607091389500</v>
      </c>
      <c r="E464" s="60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8"/>
      <c r="R464" s="608"/>
      <c r="S464" s="608"/>
      <c r="T464" s="609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0"/>
      <c r="B465" s="60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601"/>
      <c r="P465" s="597" t="s">
        <v>40</v>
      </c>
      <c r="Q465" s="598"/>
      <c r="R465" s="598"/>
      <c r="S465" s="598"/>
      <c r="T465" s="598"/>
      <c r="U465" s="598"/>
      <c r="V465" s="599"/>
      <c r="W465" s="40" t="s">
        <v>39</v>
      </c>
      <c r="X465" s="41">
        <f>IFERROR(X462/H462,"0")+IFERROR(X463/H463,"0")+IFERROR(X464/H464,"0")</f>
        <v>74.074074074074076</v>
      </c>
      <c r="Y465" s="41">
        <f>IFERROR(Y462/H462,"0")+IFERROR(Y463/H463,"0")+IFERROR(Y464/H464,"0")</f>
        <v>75</v>
      </c>
      <c r="Z465" s="41">
        <f>IFERROR(IF(Z462="",0,Z462),"0")+IFERROR(IF(Z463="",0,Z463),"0")+IFERROR(IF(Z464="",0,Z464),"0")</f>
        <v>0.67649999999999999</v>
      </c>
      <c r="AA465" s="64"/>
      <c r="AB465" s="64"/>
      <c r="AC465" s="64"/>
    </row>
    <row r="466" spans="1:68" x14ac:dyDescent="0.2">
      <c r="A466" s="600"/>
      <c r="B466" s="60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601"/>
      <c r="P466" s="597" t="s">
        <v>40</v>
      </c>
      <c r="Q466" s="598"/>
      <c r="R466" s="598"/>
      <c r="S466" s="598"/>
      <c r="T466" s="598"/>
      <c r="U466" s="598"/>
      <c r="V466" s="599"/>
      <c r="W466" s="40" t="s">
        <v>0</v>
      </c>
      <c r="X466" s="41">
        <f>IFERROR(SUM(X462:X464),"0")</f>
        <v>400</v>
      </c>
      <c r="Y466" s="41">
        <f>IFERROR(SUM(Y462:Y464),"0")</f>
        <v>405</v>
      </c>
      <c r="Z466" s="40"/>
      <c r="AA466" s="64"/>
      <c r="AB466" s="64"/>
      <c r="AC466" s="64"/>
    </row>
    <row r="467" spans="1:68" ht="27.75" customHeight="1" x14ac:dyDescent="0.2">
      <c r="A467" s="617" t="s">
        <v>748</v>
      </c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  <c r="AA467" s="52"/>
      <c r="AB467" s="52"/>
      <c r="AC467" s="52"/>
    </row>
    <row r="468" spans="1:68" ht="16.5" customHeight="1" x14ac:dyDescent="0.25">
      <c r="A468" s="610" t="s">
        <v>748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2"/>
      <c r="AB468" s="62"/>
      <c r="AC468" s="62"/>
    </row>
    <row r="469" spans="1:68" ht="14.25" customHeight="1" x14ac:dyDescent="0.25">
      <c r="A469" s="611" t="s">
        <v>146</v>
      </c>
      <c r="B469" s="611"/>
      <c r="C469" s="611"/>
      <c r="D469" s="611"/>
      <c r="E469" s="611"/>
      <c r="F469" s="611"/>
      <c r="G469" s="611"/>
      <c r="H469" s="611"/>
      <c r="I469" s="611"/>
      <c r="J469" s="611"/>
      <c r="K469" s="611"/>
      <c r="L469" s="611"/>
      <c r="M469" s="611"/>
      <c r="N469" s="611"/>
      <c r="O469" s="611"/>
      <c r="P469" s="611"/>
      <c r="Q469" s="611"/>
      <c r="R469" s="611"/>
      <c r="S469" s="611"/>
      <c r="T469" s="611"/>
      <c r="U469" s="611"/>
      <c r="V469" s="611"/>
      <c r="W469" s="611"/>
      <c r="X469" s="611"/>
      <c r="Y469" s="611"/>
      <c r="Z469" s="611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06">
        <v>4607091389067</v>
      </c>
      <c r="E470" s="60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6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8"/>
      <c r="R470" s="608"/>
      <c r="S470" s="608"/>
      <c r="T470" s="609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customHeight="1" x14ac:dyDescent="0.25">
      <c r="A471" s="60" t="s">
        <v>751</v>
      </c>
      <c r="B471" s="60" t="s">
        <v>752</v>
      </c>
      <c r="C471" s="34">
        <v>4301012210</v>
      </c>
      <c r="D471" s="606">
        <v>4607091383522</v>
      </c>
      <c r="E471" s="60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63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8"/>
      <c r="R471" s="608"/>
      <c r="S471" s="608"/>
      <c r="T471" s="609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06">
        <v>4680115885271</v>
      </c>
      <c r="E472" s="60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8"/>
      <c r="R472" s="608"/>
      <c r="S472" s="608"/>
      <c r="T472" s="609"/>
      <c r="U472" s="37" t="s">
        <v>46</v>
      </c>
      <c r="V472" s="37" t="s">
        <v>46</v>
      </c>
      <c r="W472" s="38" t="s">
        <v>0</v>
      </c>
      <c r="X472" s="56">
        <v>30</v>
      </c>
      <c r="Y472" s="53">
        <f t="shared" si="63"/>
        <v>31.68</v>
      </c>
      <c r="Z472" s="39">
        <f t="shared" si="64"/>
        <v>7.1760000000000004E-2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31.988636363636363</v>
      </c>
      <c r="BN472" s="75">
        <f t="shared" si="66"/>
        <v>33.779999999999994</v>
      </c>
      <c r="BO472" s="75">
        <f t="shared" si="67"/>
        <v>5.4632867132867136E-2</v>
      </c>
      <c r="BP472" s="75">
        <f t="shared" si="68"/>
        <v>5.7692307692307696E-2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06">
        <v>4680115885226</v>
      </c>
      <c r="E473" s="60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8"/>
      <c r="R473" s="608"/>
      <c r="S473" s="608"/>
      <c r="T473" s="609"/>
      <c r="U473" s="37" t="s">
        <v>46</v>
      </c>
      <c r="V473" s="37" t="s">
        <v>46</v>
      </c>
      <c r="W473" s="38" t="s">
        <v>0</v>
      </c>
      <c r="X473" s="56">
        <v>150</v>
      </c>
      <c r="Y473" s="53">
        <f t="shared" si="63"/>
        <v>153.12</v>
      </c>
      <c r="Z473" s="39">
        <f t="shared" si="64"/>
        <v>0.34683999999999998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159.94318181818181</v>
      </c>
      <c r="BN473" s="75">
        <f t="shared" si="66"/>
        <v>163.26999999999998</v>
      </c>
      <c r="BO473" s="75">
        <f t="shared" si="67"/>
        <v>0.27316433566433568</v>
      </c>
      <c r="BP473" s="75">
        <f t="shared" si="68"/>
        <v>0.27884615384615385</v>
      </c>
    </row>
    <row r="474" spans="1:68" ht="16.5" customHeight="1" x14ac:dyDescent="0.25">
      <c r="A474" s="60" t="s">
        <v>760</v>
      </c>
      <c r="B474" s="60" t="s">
        <v>761</v>
      </c>
      <c r="C474" s="34">
        <v>4301011797</v>
      </c>
      <c r="D474" s="606">
        <v>4680115884502</v>
      </c>
      <c r="E474" s="60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8"/>
      <c r="R474" s="608"/>
      <c r="S474" s="608"/>
      <c r="T474" s="609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06">
        <v>4607091389104</v>
      </c>
      <c r="E475" s="60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8"/>
      <c r="R475" s="608"/>
      <c r="S475" s="608"/>
      <c r="T475" s="609"/>
      <c r="U475" s="37" t="s">
        <v>46</v>
      </c>
      <c r="V475" s="37" t="s">
        <v>46</v>
      </c>
      <c r="W475" s="38" t="s">
        <v>0</v>
      </c>
      <c r="X475" s="56">
        <v>250</v>
      </c>
      <c r="Y475" s="53">
        <f t="shared" si="63"/>
        <v>253.44</v>
      </c>
      <c r="Z475" s="39">
        <f t="shared" si="64"/>
        <v>0.57408000000000003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266.57196969696969</v>
      </c>
      <c r="BN475" s="75">
        <f t="shared" si="66"/>
        <v>270.23999999999995</v>
      </c>
      <c r="BO475" s="75">
        <f t="shared" si="67"/>
        <v>0.45527389277389274</v>
      </c>
      <c r="BP475" s="75">
        <f t="shared" si="68"/>
        <v>0.46153846153846156</v>
      </c>
    </row>
    <row r="476" spans="1:68" ht="27" customHeight="1" x14ac:dyDescent="0.25">
      <c r="A476" s="60" t="s">
        <v>766</v>
      </c>
      <c r="B476" s="60" t="s">
        <v>767</v>
      </c>
      <c r="C476" s="34">
        <v>4301012125</v>
      </c>
      <c r="D476" s="606">
        <v>4680115886391</v>
      </c>
      <c r="E476" s="60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8"/>
      <c r="R476" s="608"/>
      <c r="S476" s="608"/>
      <c r="T476" s="609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customHeight="1" x14ac:dyDescent="0.25">
      <c r="A477" s="60" t="s">
        <v>768</v>
      </c>
      <c r="B477" s="60" t="s">
        <v>769</v>
      </c>
      <c r="C477" s="34">
        <v>4301012048</v>
      </c>
      <c r="D477" s="606">
        <v>4680115880603</v>
      </c>
      <c r="E477" s="60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6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8"/>
      <c r="R477" s="608"/>
      <c r="S477" s="608"/>
      <c r="T477" s="609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customHeight="1" x14ac:dyDescent="0.25">
      <c r="A478" s="60" t="s">
        <v>770</v>
      </c>
      <c r="B478" s="60" t="s">
        <v>771</v>
      </c>
      <c r="C478" s="34">
        <v>4301012034</v>
      </c>
      <c r="D478" s="606">
        <v>4607091389982</v>
      </c>
      <c r="E478" s="60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6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8"/>
      <c r="R478" s="608"/>
      <c r="S478" s="608"/>
      <c r="T478" s="609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00"/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1"/>
      <c r="P479" s="597" t="s">
        <v>40</v>
      </c>
      <c r="Q479" s="598"/>
      <c r="R479" s="598"/>
      <c r="S479" s="598"/>
      <c r="T479" s="598"/>
      <c r="U479" s="598"/>
      <c r="V479" s="599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81.439393939393938</v>
      </c>
      <c r="Y479" s="41">
        <f>IFERROR(Y470/H470,"0")+IFERROR(Y471/H471,"0")+IFERROR(Y472/H472,"0")+IFERROR(Y473/H473,"0")+IFERROR(Y474/H474,"0")+IFERROR(Y475/H475,"0")+IFERROR(Y476/H476,"0")+IFERROR(Y477/H477,"0")+IFERROR(Y478/H478,"0")</f>
        <v>83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0.99268000000000001</v>
      </c>
      <c r="AA479" s="64"/>
      <c r="AB479" s="64"/>
      <c r="AC479" s="64"/>
    </row>
    <row r="480" spans="1:68" x14ac:dyDescent="0.2">
      <c r="A480" s="600"/>
      <c r="B480" s="60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601"/>
      <c r="P480" s="597" t="s">
        <v>40</v>
      </c>
      <c r="Q480" s="598"/>
      <c r="R480" s="598"/>
      <c r="S480" s="598"/>
      <c r="T480" s="598"/>
      <c r="U480" s="598"/>
      <c r="V480" s="599"/>
      <c r="W480" s="40" t="s">
        <v>0</v>
      </c>
      <c r="X480" s="41">
        <f>IFERROR(SUM(X470:X478),"0")</f>
        <v>430</v>
      </c>
      <c r="Y480" s="41">
        <f>IFERROR(SUM(Y470:Y478),"0")</f>
        <v>438.24</v>
      </c>
      <c r="Z480" s="40"/>
      <c r="AA480" s="64"/>
      <c r="AB480" s="64"/>
      <c r="AC480" s="64"/>
    </row>
    <row r="481" spans="1:68" ht="14.25" customHeight="1" x14ac:dyDescent="0.25">
      <c r="A481" s="611" t="s">
        <v>180</v>
      </c>
      <c r="B481" s="611"/>
      <c r="C481" s="611"/>
      <c r="D481" s="611"/>
      <c r="E481" s="611"/>
      <c r="F481" s="611"/>
      <c r="G481" s="611"/>
      <c r="H481" s="611"/>
      <c r="I481" s="611"/>
      <c r="J481" s="611"/>
      <c r="K481" s="611"/>
      <c r="L481" s="611"/>
      <c r="M481" s="611"/>
      <c r="N481" s="611"/>
      <c r="O481" s="611"/>
      <c r="P481" s="611"/>
      <c r="Q481" s="611"/>
      <c r="R481" s="611"/>
      <c r="S481" s="611"/>
      <c r="T481" s="611"/>
      <c r="U481" s="611"/>
      <c r="V481" s="611"/>
      <c r="W481" s="611"/>
      <c r="X481" s="611"/>
      <c r="Y481" s="611"/>
      <c r="Z481" s="611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06">
        <v>4607091388930</v>
      </c>
      <c r="E482" s="60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6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8"/>
      <c r="R482" s="608"/>
      <c r="S482" s="608"/>
      <c r="T482" s="609"/>
      <c r="U482" s="37" t="s">
        <v>46</v>
      </c>
      <c r="V482" s="37" t="s">
        <v>46</v>
      </c>
      <c r="W482" s="38" t="s">
        <v>0</v>
      </c>
      <c r="X482" s="56">
        <v>200</v>
      </c>
      <c r="Y482" s="53">
        <f>IFERROR(IF(X482="",0,CEILING((X482/$H482),1)*$H482),"")</f>
        <v>200.64000000000001</v>
      </c>
      <c r="Z482" s="39">
        <f>IFERROR(IF(Y482=0,"",ROUNDUP(Y482/H482,0)*0.01196),"")</f>
        <v>0.45448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213.25757575757575</v>
      </c>
      <c r="BN482" s="75">
        <f>IFERROR(Y482*I482/H482,"0")</f>
        <v>213.94</v>
      </c>
      <c r="BO482" s="75">
        <f>IFERROR(1/J482*(X482/H482),"0")</f>
        <v>0.36421911421911418</v>
      </c>
      <c r="BP482" s="75">
        <f>IFERROR(1/J482*(Y482/H482),"0")</f>
        <v>0.36538461538461542</v>
      </c>
    </row>
    <row r="483" spans="1:68" ht="16.5" customHeight="1" x14ac:dyDescent="0.25">
      <c r="A483" s="60" t="s">
        <v>775</v>
      </c>
      <c r="B483" s="60" t="s">
        <v>776</v>
      </c>
      <c r="C483" s="34">
        <v>4301020374</v>
      </c>
      <c r="D483" s="606">
        <v>4680115886407</v>
      </c>
      <c r="E483" s="60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8"/>
      <c r="R483" s="608"/>
      <c r="S483" s="608"/>
      <c r="T483" s="609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777</v>
      </c>
      <c r="B484" s="60" t="s">
        <v>778</v>
      </c>
      <c r="C484" s="34">
        <v>4301020385</v>
      </c>
      <c r="D484" s="606">
        <v>4680115880054</v>
      </c>
      <c r="E484" s="60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6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8"/>
      <c r="R484" s="608"/>
      <c r="S484" s="608"/>
      <c r="T484" s="609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0"/>
      <c r="B485" s="60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601"/>
      <c r="P485" s="597" t="s">
        <v>40</v>
      </c>
      <c r="Q485" s="598"/>
      <c r="R485" s="598"/>
      <c r="S485" s="598"/>
      <c r="T485" s="598"/>
      <c r="U485" s="598"/>
      <c r="V485" s="599"/>
      <c r="W485" s="40" t="s">
        <v>39</v>
      </c>
      <c r="X485" s="41">
        <f>IFERROR(X482/H482,"0")+IFERROR(X483/H483,"0")+IFERROR(X484/H484,"0")</f>
        <v>37.878787878787875</v>
      </c>
      <c r="Y485" s="41">
        <f>IFERROR(Y482/H482,"0")+IFERROR(Y483/H483,"0")+IFERROR(Y484/H484,"0")</f>
        <v>38</v>
      </c>
      <c r="Z485" s="41">
        <f>IFERROR(IF(Z482="",0,Z482),"0")+IFERROR(IF(Z483="",0,Z483),"0")+IFERROR(IF(Z484="",0,Z484),"0")</f>
        <v>0.45448</v>
      </c>
      <c r="AA485" s="64"/>
      <c r="AB485" s="64"/>
      <c r="AC485" s="64"/>
    </row>
    <row r="486" spans="1:68" x14ac:dyDescent="0.2">
      <c r="A486" s="600"/>
      <c r="B486" s="60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601"/>
      <c r="P486" s="597" t="s">
        <v>40</v>
      </c>
      <c r="Q486" s="598"/>
      <c r="R486" s="598"/>
      <c r="S486" s="598"/>
      <c r="T486" s="598"/>
      <c r="U486" s="598"/>
      <c r="V486" s="599"/>
      <c r="W486" s="40" t="s">
        <v>0</v>
      </c>
      <c r="X486" s="41">
        <f>IFERROR(SUM(X482:X484),"0")</f>
        <v>200</v>
      </c>
      <c r="Y486" s="41">
        <f>IFERROR(SUM(Y482:Y484),"0")</f>
        <v>200.64000000000001</v>
      </c>
      <c r="Z486" s="40"/>
      <c r="AA486" s="64"/>
      <c r="AB486" s="64"/>
      <c r="AC486" s="64"/>
    </row>
    <row r="487" spans="1:68" ht="14.25" customHeight="1" x14ac:dyDescent="0.25">
      <c r="A487" s="611" t="s">
        <v>77</v>
      </c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1"/>
      <c r="P487" s="611"/>
      <c r="Q487" s="611"/>
      <c r="R487" s="611"/>
      <c r="S487" s="611"/>
      <c r="T487" s="611"/>
      <c r="U487" s="611"/>
      <c r="V487" s="611"/>
      <c r="W487" s="611"/>
      <c r="X487" s="611"/>
      <c r="Y487" s="611"/>
      <c r="Z487" s="611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06">
        <v>4680115883116</v>
      </c>
      <c r="E488" s="60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62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8"/>
      <c r="R488" s="608"/>
      <c r="S488" s="608"/>
      <c r="T488" s="609"/>
      <c r="U488" s="37" t="s">
        <v>46</v>
      </c>
      <c r="V488" s="37" t="s">
        <v>46</v>
      </c>
      <c r="W488" s="38" t="s">
        <v>0</v>
      </c>
      <c r="X488" s="56">
        <v>100</v>
      </c>
      <c r="Y488" s="53">
        <f t="shared" ref="Y488:Y494" si="69">IFERROR(IF(X488="",0,CEILING((X488/$H488),1)*$H488),"")</f>
        <v>100.32000000000001</v>
      </c>
      <c r="Z488" s="39">
        <f>IFERROR(IF(Y488=0,"",ROUNDUP(Y488/H488,0)*0.01196),"")</f>
        <v>0.22724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106.62878787878788</v>
      </c>
      <c r="BN488" s="75">
        <f t="shared" ref="BN488:BN494" si="71">IFERROR(Y488*I488/H488,"0")</f>
        <v>106.97</v>
      </c>
      <c r="BO488" s="75">
        <f t="shared" ref="BO488:BO494" si="72">IFERROR(1/J488*(X488/H488),"0")</f>
        <v>0.18210955710955709</v>
      </c>
      <c r="BP488" s="75">
        <f t="shared" ref="BP488:BP494" si="73">IFERROR(1/J488*(Y488/H488),"0")</f>
        <v>0.18269230769230771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06">
        <v>4680115883093</v>
      </c>
      <c r="E489" s="60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6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8"/>
      <c r="R489" s="608"/>
      <c r="S489" s="608"/>
      <c r="T489" s="609"/>
      <c r="U489" s="37" t="s">
        <v>46</v>
      </c>
      <c r="V489" s="37" t="s">
        <v>46</v>
      </c>
      <c r="W489" s="38" t="s">
        <v>0</v>
      </c>
      <c r="X489" s="56">
        <v>100</v>
      </c>
      <c r="Y489" s="53">
        <f t="shared" si="69"/>
        <v>100.32000000000001</v>
      </c>
      <c r="Z489" s="39">
        <f>IFERROR(IF(Y489=0,"",ROUNDUP(Y489/H489,0)*0.01196),"")</f>
        <v>0.22724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106.62878787878788</v>
      </c>
      <c r="BN489" s="75">
        <f t="shared" si="71"/>
        <v>106.97</v>
      </c>
      <c r="BO489" s="75">
        <f t="shared" si="72"/>
        <v>0.18210955710955709</v>
      </c>
      <c r="BP489" s="75">
        <f t="shared" si="73"/>
        <v>0.18269230769230771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06">
        <v>4680115883109</v>
      </c>
      <c r="E490" s="60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6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8"/>
      <c r="R490" s="608"/>
      <c r="S490" s="608"/>
      <c r="T490" s="609"/>
      <c r="U490" s="37" t="s">
        <v>46</v>
      </c>
      <c r="V490" s="37" t="s">
        <v>46</v>
      </c>
      <c r="W490" s="38" t="s">
        <v>0</v>
      </c>
      <c r="X490" s="56"/>
      <c r="Y490" s="53">
        <f t="shared" si="69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06">
        <v>4680115882072</v>
      </c>
      <c r="E491" s="60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6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8"/>
      <c r="R491" s="608"/>
      <c r="S491" s="608"/>
      <c r="T491" s="609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790</v>
      </c>
      <c r="B492" s="60" t="s">
        <v>791</v>
      </c>
      <c r="C492" s="34">
        <v>4301031352</v>
      </c>
      <c r="D492" s="606">
        <v>4680115882102</v>
      </c>
      <c r="E492" s="60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8"/>
      <c r="R492" s="608"/>
      <c r="S492" s="608"/>
      <c r="T492" s="609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790</v>
      </c>
      <c r="B493" s="60" t="s">
        <v>792</v>
      </c>
      <c r="C493" s="34">
        <v>4301031418</v>
      </c>
      <c r="D493" s="606">
        <v>4680115882102</v>
      </c>
      <c r="E493" s="60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6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8"/>
      <c r="R493" s="608"/>
      <c r="S493" s="608"/>
      <c r="T493" s="609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793</v>
      </c>
      <c r="B494" s="60" t="s">
        <v>794</v>
      </c>
      <c r="C494" s="34">
        <v>4301031417</v>
      </c>
      <c r="D494" s="606">
        <v>4680115882096</v>
      </c>
      <c r="E494" s="60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6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8"/>
      <c r="R494" s="608"/>
      <c r="S494" s="608"/>
      <c r="T494" s="609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00"/>
      <c r="B495" s="60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601"/>
      <c r="P495" s="597" t="s">
        <v>40</v>
      </c>
      <c r="Q495" s="598"/>
      <c r="R495" s="598"/>
      <c r="S495" s="598"/>
      <c r="T495" s="598"/>
      <c r="U495" s="598"/>
      <c r="V495" s="599"/>
      <c r="W495" s="40" t="s">
        <v>39</v>
      </c>
      <c r="X495" s="41">
        <f>IFERROR(X488/H488,"0")+IFERROR(X489/H489,"0")+IFERROR(X490/H490,"0")+IFERROR(X491/H491,"0")+IFERROR(X492/H492,"0")+IFERROR(X493/H493,"0")+IFERROR(X494/H494,"0")</f>
        <v>37.878787878787875</v>
      </c>
      <c r="Y495" s="41">
        <f>IFERROR(Y488/H488,"0")+IFERROR(Y489/H489,"0")+IFERROR(Y490/H490,"0")+IFERROR(Y491/H491,"0")+IFERROR(Y492/H492,"0")+IFERROR(Y493/H493,"0")+IFERROR(Y494/H494,"0")</f>
        <v>38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0.45448</v>
      </c>
      <c r="AA495" s="64"/>
      <c r="AB495" s="64"/>
      <c r="AC495" s="64"/>
    </row>
    <row r="496" spans="1:68" x14ac:dyDescent="0.2">
      <c r="A496" s="600"/>
      <c r="B496" s="60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601"/>
      <c r="P496" s="597" t="s">
        <v>40</v>
      </c>
      <c r="Q496" s="598"/>
      <c r="R496" s="598"/>
      <c r="S496" s="598"/>
      <c r="T496" s="598"/>
      <c r="U496" s="598"/>
      <c r="V496" s="599"/>
      <c r="W496" s="40" t="s">
        <v>0</v>
      </c>
      <c r="X496" s="41">
        <f>IFERROR(SUM(X488:X494),"0")</f>
        <v>200</v>
      </c>
      <c r="Y496" s="41">
        <f>IFERROR(SUM(Y488:Y494),"0")</f>
        <v>200.64000000000001</v>
      </c>
      <c r="Z496" s="40"/>
      <c r="AA496" s="64"/>
      <c r="AB496" s="64"/>
      <c r="AC496" s="64"/>
    </row>
    <row r="497" spans="1:68" ht="27.75" customHeight="1" x14ac:dyDescent="0.2">
      <c r="A497" s="617" t="s">
        <v>795</v>
      </c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  <c r="Y497" s="617"/>
      <c r="Z497" s="617"/>
      <c r="AA497" s="52"/>
      <c r="AB497" s="52"/>
      <c r="AC497" s="52"/>
    </row>
    <row r="498" spans="1:68" ht="16.5" customHeight="1" x14ac:dyDescent="0.25">
      <c r="A498" s="610" t="s">
        <v>795</v>
      </c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2"/>
      <c r="AB498" s="62"/>
      <c r="AC498" s="62"/>
    </row>
    <row r="499" spans="1:68" ht="14.25" customHeight="1" x14ac:dyDescent="0.25">
      <c r="A499" s="611" t="s">
        <v>146</v>
      </c>
      <c r="B499" s="611"/>
      <c r="C499" s="611"/>
      <c r="D499" s="611"/>
      <c r="E499" s="611"/>
      <c r="F499" s="611"/>
      <c r="G499" s="611"/>
      <c r="H499" s="611"/>
      <c r="I499" s="611"/>
      <c r="J499" s="611"/>
      <c r="K499" s="611"/>
      <c r="L499" s="611"/>
      <c r="M499" s="611"/>
      <c r="N499" s="611"/>
      <c r="O499" s="611"/>
      <c r="P499" s="611"/>
      <c r="Q499" s="611"/>
      <c r="R499" s="611"/>
      <c r="S499" s="611"/>
      <c r="T499" s="611"/>
      <c r="U499" s="611"/>
      <c r="V499" s="611"/>
      <c r="W499" s="611"/>
      <c r="X499" s="611"/>
      <c r="Y499" s="611"/>
      <c r="Z499" s="611"/>
      <c r="AA499" s="63"/>
      <c r="AB499" s="63"/>
      <c r="AC499" s="63"/>
    </row>
    <row r="500" spans="1:68" ht="27" customHeight="1" x14ac:dyDescent="0.25">
      <c r="A500" s="60" t="s">
        <v>796</v>
      </c>
      <c r="B500" s="60" t="s">
        <v>797</v>
      </c>
      <c r="C500" s="34">
        <v>4301011584</v>
      </c>
      <c r="D500" s="606">
        <v>4640242180564</v>
      </c>
      <c r="E500" s="60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6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8"/>
      <c r="R500" s="608"/>
      <c r="S500" s="608"/>
      <c r="T500" s="609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00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1"/>
      <c r="P501" s="597" t="s">
        <v>40</v>
      </c>
      <c r="Q501" s="598"/>
      <c r="R501" s="598"/>
      <c r="S501" s="598"/>
      <c r="T501" s="598"/>
      <c r="U501" s="598"/>
      <c r="V501" s="599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00"/>
      <c r="B502" s="60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601"/>
      <c r="P502" s="597" t="s">
        <v>40</v>
      </c>
      <c r="Q502" s="598"/>
      <c r="R502" s="598"/>
      <c r="S502" s="598"/>
      <c r="T502" s="598"/>
      <c r="U502" s="598"/>
      <c r="V502" s="599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11" t="s">
        <v>180</v>
      </c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1"/>
      <c r="P503" s="611"/>
      <c r="Q503" s="611"/>
      <c r="R503" s="611"/>
      <c r="S503" s="611"/>
      <c r="T503" s="611"/>
      <c r="U503" s="611"/>
      <c r="V503" s="611"/>
      <c r="W503" s="611"/>
      <c r="X503" s="611"/>
      <c r="Y503" s="611"/>
      <c r="Z503" s="611"/>
      <c r="AA503" s="63"/>
      <c r="AB503" s="63"/>
      <c r="AC503" s="63"/>
    </row>
    <row r="504" spans="1:68" ht="27" customHeight="1" x14ac:dyDescent="0.25">
      <c r="A504" s="60" t="s">
        <v>799</v>
      </c>
      <c r="B504" s="60" t="s">
        <v>800</v>
      </c>
      <c r="C504" s="34">
        <v>4301020400</v>
      </c>
      <c r="D504" s="606">
        <v>4640242180519</v>
      </c>
      <c r="E504" s="60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6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8"/>
      <c r="R504" s="608"/>
      <c r="S504" s="608"/>
      <c r="T504" s="609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00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1"/>
      <c r="P505" s="597" t="s">
        <v>40</v>
      </c>
      <c r="Q505" s="598"/>
      <c r="R505" s="598"/>
      <c r="S505" s="598"/>
      <c r="T505" s="598"/>
      <c r="U505" s="598"/>
      <c r="V505" s="599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00"/>
      <c r="B506" s="60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601"/>
      <c r="P506" s="597" t="s">
        <v>40</v>
      </c>
      <c r="Q506" s="598"/>
      <c r="R506" s="598"/>
      <c r="S506" s="598"/>
      <c r="T506" s="598"/>
      <c r="U506" s="598"/>
      <c r="V506" s="599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11" t="s">
        <v>77</v>
      </c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1"/>
      <c r="P507" s="611"/>
      <c r="Q507" s="611"/>
      <c r="R507" s="611"/>
      <c r="S507" s="611"/>
      <c r="T507" s="611"/>
      <c r="U507" s="611"/>
      <c r="V507" s="611"/>
      <c r="W507" s="611"/>
      <c r="X507" s="611"/>
      <c r="Y507" s="611"/>
      <c r="Z507" s="611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06">
        <v>4640242180595</v>
      </c>
      <c r="E508" s="60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61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8"/>
      <c r="R508" s="608"/>
      <c r="S508" s="608"/>
      <c r="T508" s="609"/>
      <c r="U508" s="37" t="s">
        <v>46</v>
      </c>
      <c r="V508" s="37" t="s">
        <v>46</v>
      </c>
      <c r="W508" s="38" t="s">
        <v>0</v>
      </c>
      <c r="X508" s="56"/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x14ac:dyDescent="0.2">
      <c r="A509" s="600"/>
      <c r="B509" s="60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601"/>
      <c r="P509" s="597" t="s">
        <v>40</v>
      </c>
      <c r="Q509" s="598"/>
      <c r="R509" s="598"/>
      <c r="S509" s="598"/>
      <c r="T509" s="598"/>
      <c r="U509" s="598"/>
      <c r="V509" s="599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x14ac:dyDescent="0.2">
      <c r="A510" s="600"/>
      <c r="B510" s="60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601"/>
      <c r="P510" s="597" t="s">
        <v>40</v>
      </c>
      <c r="Q510" s="598"/>
      <c r="R510" s="598"/>
      <c r="S510" s="598"/>
      <c r="T510" s="598"/>
      <c r="U510" s="598"/>
      <c r="V510" s="599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customHeight="1" x14ac:dyDescent="0.25">
      <c r="A511" s="611" t="s">
        <v>92</v>
      </c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3"/>
      <c r="AB511" s="63"/>
      <c r="AC511" s="63"/>
    </row>
    <row r="512" spans="1:68" ht="27" customHeight="1" x14ac:dyDescent="0.25">
      <c r="A512" s="60" t="s">
        <v>805</v>
      </c>
      <c r="B512" s="60" t="s">
        <v>806</v>
      </c>
      <c r="C512" s="34">
        <v>4301052046</v>
      </c>
      <c r="D512" s="606">
        <v>4640242180533</v>
      </c>
      <c r="E512" s="606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6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08"/>
      <c r="R512" s="608"/>
      <c r="S512" s="608"/>
      <c r="T512" s="609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x14ac:dyDescent="0.2">
      <c r="A513" s="600"/>
      <c r="B513" s="60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601"/>
      <c r="P513" s="597" t="s">
        <v>40</v>
      </c>
      <c r="Q513" s="598"/>
      <c r="R513" s="598"/>
      <c r="S513" s="598"/>
      <c r="T513" s="598"/>
      <c r="U513" s="598"/>
      <c r="V513" s="59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x14ac:dyDescent="0.2">
      <c r="A514" s="600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1"/>
      <c r="P514" s="597" t="s">
        <v>40</v>
      </c>
      <c r="Q514" s="598"/>
      <c r="R514" s="598"/>
      <c r="S514" s="598"/>
      <c r="T514" s="598"/>
      <c r="U514" s="598"/>
      <c r="V514" s="59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customHeight="1" x14ac:dyDescent="0.25">
      <c r="A515" s="611" t="s">
        <v>197</v>
      </c>
      <c r="B515" s="611"/>
      <c r="C515" s="611"/>
      <c r="D515" s="611"/>
      <c r="E515" s="611"/>
      <c r="F515" s="611"/>
      <c r="G515" s="611"/>
      <c r="H515" s="611"/>
      <c r="I515" s="611"/>
      <c r="J515" s="611"/>
      <c r="K515" s="611"/>
      <c r="L515" s="611"/>
      <c r="M515" s="611"/>
      <c r="N515" s="611"/>
      <c r="O515" s="611"/>
      <c r="P515" s="611"/>
      <c r="Q515" s="611"/>
      <c r="R515" s="611"/>
      <c r="S515" s="611"/>
      <c r="T515" s="611"/>
      <c r="U515" s="611"/>
      <c r="V515" s="611"/>
      <c r="W515" s="611"/>
      <c r="X515" s="611"/>
      <c r="Y515" s="611"/>
      <c r="Z515" s="611"/>
      <c r="AA515" s="63"/>
      <c r="AB515" s="63"/>
      <c r="AC515" s="63"/>
    </row>
    <row r="516" spans="1:68" ht="27" customHeight="1" x14ac:dyDescent="0.25">
      <c r="A516" s="60" t="s">
        <v>808</v>
      </c>
      <c r="B516" s="60" t="s">
        <v>809</v>
      </c>
      <c r="C516" s="34">
        <v>4301060491</v>
      </c>
      <c r="D516" s="606">
        <v>4640242180120</v>
      </c>
      <c r="E516" s="606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61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08"/>
      <c r="R516" s="608"/>
      <c r="S516" s="608"/>
      <c r="T516" s="60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customHeight="1" x14ac:dyDescent="0.25">
      <c r="A517" s="60" t="s">
        <v>811</v>
      </c>
      <c r="B517" s="60" t="s">
        <v>812</v>
      </c>
      <c r="C517" s="34">
        <v>4301060493</v>
      </c>
      <c r="D517" s="606">
        <v>4640242180137</v>
      </c>
      <c r="E517" s="60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6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08"/>
      <c r="R517" s="608"/>
      <c r="S517" s="608"/>
      <c r="T517" s="60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x14ac:dyDescent="0.2">
      <c r="A518" s="600"/>
      <c r="B518" s="60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601"/>
      <c r="P518" s="597" t="s">
        <v>40</v>
      </c>
      <c r="Q518" s="598"/>
      <c r="R518" s="598"/>
      <c r="S518" s="598"/>
      <c r="T518" s="598"/>
      <c r="U518" s="598"/>
      <c r="V518" s="59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x14ac:dyDescent="0.2">
      <c r="A519" s="600"/>
      <c r="B519" s="60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601"/>
      <c r="P519" s="597" t="s">
        <v>40</v>
      </c>
      <c r="Q519" s="598"/>
      <c r="R519" s="598"/>
      <c r="S519" s="598"/>
      <c r="T519" s="598"/>
      <c r="U519" s="598"/>
      <c r="V519" s="59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customHeight="1" x14ac:dyDescent="0.25">
      <c r="A520" s="610" t="s">
        <v>814</v>
      </c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2"/>
      <c r="AB520" s="62"/>
      <c r="AC520" s="62"/>
    </row>
    <row r="521" spans="1:68" ht="14.25" customHeight="1" x14ac:dyDescent="0.25">
      <c r="A521" s="611" t="s">
        <v>180</v>
      </c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1"/>
      <c r="P521" s="611"/>
      <c r="Q521" s="611"/>
      <c r="R521" s="611"/>
      <c r="S521" s="611"/>
      <c r="T521" s="611"/>
      <c r="U521" s="611"/>
      <c r="V521" s="611"/>
      <c r="W521" s="611"/>
      <c r="X521" s="611"/>
      <c r="Y521" s="611"/>
      <c r="Z521" s="611"/>
      <c r="AA521" s="63"/>
      <c r="AB521" s="63"/>
      <c r="AC521" s="63"/>
    </row>
    <row r="522" spans="1:68" ht="27" customHeight="1" x14ac:dyDescent="0.25">
      <c r="A522" s="60" t="s">
        <v>815</v>
      </c>
      <c r="B522" s="60" t="s">
        <v>816</v>
      </c>
      <c r="C522" s="34">
        <v>4301020428</v>
      </c>
      <c r="D522" s="606">
        <v>4640242180090</v>
      </c>
      <c r="E522" s="606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6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08"/>
      <c r="R522" s="608"/>
      <c r="S522" s="608"/>
      <c r="T522" s="60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00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1"/>
      <c r="P523" s="597" t="s">
        <v>40</v>
      </c>
      <c r="Q523" s="598"/>
      <c r="R523" s="598"/>
      <c r="S523" s="598"/>
      <c r="T523" s="598"/>
      <c r="U523" s="598"/>
      <c r="V523" s="599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x14ac:dyDescent="0.2">
      <c r="A524" s="600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1"/>
      <c r="P524" s="597" t="s">
        <v>40</v>
      </c>
      <c r="Q524" s="598"/>
      <c r="R524" s="598"/>
      <c r="S524" s="598"/>
      <c r="T524" s="598"/>
      <c r="U524" s="598"/>
      <c r="V524" s="599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00"/>
      <c r="B525" s="60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605"/>
      <c r="P525" s="602" t="s">
        <v>33</v>
      </c>
      <c r="Q525" s="603"/>
      <c r="R525" s="603"/>
      <c r="S525" s="603"/>
      <c r="T525" s="603"/>
      <c r="U525" s="603"/>
      <c r="V525" s="604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17988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18081.12</v>
      </c>
      <c r="Z525" s="40"/>
      <c r="AA525" s="64"/>
      <c r="AB525" s="64"/>
      <c r="AC525" s="64"/>
    </row>
    <row r="526" spans="1:68" x14ac:dyDescent="0.2">
      <c r="A526" s="600"/>
      <c r="B526" s="60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605"/>
      <c r="P526" s="602" t="s">
        <v>34</v>
      </c>
      <c r="Q526" s="603"/>
      <c r="R526" s="603"/>
      <c r="S526" s="603"/>
      <c r="T526" s="603"/>
      <c r="U526" s="603"/>
      <c r="V526" s="604"/>
      <c r="W526" s="40" t="s">
        <v>0</v>
      </c>
      <c r="X526" s="41">
        <f>IFERROR(SUM(BM22:BM522),"0")</f>
        <v>18684.888322109986</v>
      </c>
      <c r="Y526" s="41">
        <f>IFERROR(SUM(BN22:BN522),"0")</f>
        <v>18782.384000000002</v>
      </c>
      <c r="Z526" s="40"/>
      <c r="AA526" s="64"/>
      <c r="AB526" s="64"/>
      <c r="AC526" s="64"/>
    </row>
    <row r="527" spans="1:68" x14ac:dyDescent="0.2">
      <c r="A527" s="600"/>
      <c r="B527" s="60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605"/>
      <c r="P527" s="602" t="s">
        <v>35</v>
      </c>
      <c r="Q527" s="603"/>
      <c r="R527" s="603"/>
      <c r="S527" s="603"/>
      <c r="T527" s="603"/>
      <c r="U527" s="603"/>
      <c r="V527" s="604"/>
      <c r="W527" s="40" t="s">
        <v>20</v>
      </c>
      <c r="X527" s="42">
        <f>ROUNDUP(SUM(BO22:BO522),0)</f>
        <v>28</v>
      </c>
      <c r="Y527" s="42">
        <f>ROUNDUP(SUM(BP22:BP522),0)</f>
        <v>28</v>
      </c>
      <c r="Z527" s="40"/>
      <c r="AA527" s="64"/>
      <c r="AB527" s="64"/>
      <c r="AC527" s="64"/>
    </row>
    <row r="528" spans="1:68" x14ac:dyDescent="0.2">
      <c r="A528" s="600"/>
      <c r="B528" s="60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605"/>
      <c r="P528" s="602" t="s">
        <v>36</v>
      </c>
      <c r="Q528" s="603"/>
      <c r="R528" s="603"/>
      <c r="S528" s="603"/>
      <c r="T528" s="603"/>
      <c r="U528" s="603"/>
      <c r="V528" s="604"/>
      <c r="W528" s="40" t="s">
        <v>0</v>
      </c>
      <c r="X528" s="41">
        <f>GrossWeightTotal+PalletQtyTotal*25</f>
        <v>19384.888322109986</v>
      </c>
      <c r="Y528" s="41">
        <f>GrossWeightTotalR+PalletQtyTotalR*25</f>
        <v>19482.384000000002</v>
      </c>
      <c r="Z528" s="40"/>
      <c r="AA528" s="64"/>
      <c r="AB528" s="64"/>
      <c r="AC528" s="64"/>
    </row>
    <row r="529" spans="1:32" x14ac:dyDescent="0.2">
      <c r="A529" s="600"/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5"/>
      <c r="P529" s="602" t="s">
        <v>37</v>
      </c>
      <c r="Q529" s="603"/>
      <c r="R529" s="603"/>
      <c r="S529" s="603"/>
      <c r="T529" s="603"/>
      <c r="U529" s="603"/>
      <c r="V529" s="604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1668.0934559267898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1680</v>
      </c>
      <c r="Z529" s="40"/>
      <c r="AA529" s="64"/>
      <c r="AB529" s="64"/>
      <c r="AC529" s="64"/>
    </row>
    <row r="530" spans="1:32" ht="14.25" x14ac:dyDescent="0.2">
      <c r="A530" s="600"/>
      <c r="B530" s="60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605"/>
      <c r="P530" s="602" t="s">
        <v>38</v>
      </c>
      <c r="Q530" s="603"/>
      <c r="R530" s="603"/>
      <c r="S530" s="603"/>
      <c r="T530" s="603"/>
      <c r="U530" s="603"/>
      <c r="V530" s="604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30.129939999999998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593" t="s">
        <v>144</v>
      </c>
      <c r="E532" s="593" t="s">
        <v>144</v>
      </c>
      <c r="F532" s="593" t="s">
        <v>144</v>
      </c>
      <c r="G532" s="593" t="s">
        <v>144</v>
      </c>
      <c r="H532" s="593" t="s">
        <v>144</v>
      </c>
      <c r="I532" s="593" t="s">
        <v>144</v>
      </c>
      <c r="J532" s="593" t="s">
        <v>144</v>
      </c>
      <c r="K532" s="593" t="s">
        <v>342</v>
      </c>
      <c r="L532" s="593" t="s">
        <v>342</v>
      </c>
      <c r="M532" s="593" t="s">
        <v>342</v>
      </c>
      <c r="N532" s="594"/>
      <c r="O532" s="593" t="s">
        <v>342</v>
      </c>
      <c r="P532" s="593" t="s">
        <v>342</v>
      </c>
      <c r="Q532" s="593" t="s">
        <v>342</v>
      </c>
      <c r="R532" s="593" t="s">
        <v>342</v>
      </c>
      <c r="S532" s="593" t="s">
        <v>342</v>
      </c>
      <c r="T532" s="593" t="s">
        <v>342</v>
      </c>
      <c r="U532" s="593" t="s">
        <v>342</v>
      </c>
      <c r="V532" s="593" t="s">
        <v>652</v>
      </c>
      <c r="W532" s="593" t="s">
        <v>652</v>
      </c>
      <c r="X532" s="593" t="s">
        <v>712</v>
      </c>
      <c r="Y532" s="593" t="s">
        <v>712</v>
      </c>
      <c r="Z532" s="80" t="s">
        <v>748</v>
      </c>
      <c r="AA532" s="593" t="s">
        <v>795</v>
      </c>
      <c r="AB532" s="593" t="s">
        <v>795</v>
      </c>
      <c r="AC532" s="9"/>
      <c r="AF532" s="1"/>
    </row>
    <row r="533" spans="1:32" ht="14.25" customHeight="1" thickTop="1" x14ac:dyDescent="0.2">
      <c r="A533" s="595" t="s">
        <v>10</v>
      </c>
      <c r="B533" s="593" t="s">
        <v>76</v>
      </c>
      <c r="C533" s="593" t="s">
        <v>129</v>
      </c>
      <c r="D533" s="593" t="s">
        <v>145</v>
      </c>
      <c r="E533" s="593" t="s">
        <v>161</v>
      </c>
      <c r="F533" s="593" t="s">
        <v>204</v>
      </c>
      <c r="G533" s="593" t="s">
        <v>225</v>
      </c>
      <c r="H533" s="593" t="s">
        <v>266</v>
      </c>
      <c r="I533" s="593" t="s">
        <v>278</v>
      </c>
      <c r="J533" s="593" t="s">
        <v>144</v>
      </c>
      <c r="K533" s="593" t="s">
        <v>343</v>
      </c>
      <c r="L533" s="593" t="s">
        <v>355</v>
      </c>
      <c r="M533" s="593" t="s">
        <v>411</v>
      </c>
      <c r="N533" s="1"/>
      <c r="O533" s="593" t="s">
        <v>474</v>
      </c>
      <c r="P533" s="593" t="s">
        <v>511</v>
      </c>
      <c r="Q533" s="593" t="s">
        <v>527</v>
      </c>
      <c r="R533" s="593" t="s">
        <v>536</v>
      </c>
      <c r="S533" s="593" t="s">
        <v>557</v>
      </c>
      <c r="T533" s="593" t="s">
        <v>567</v>
      </c>
      <c r="U533" s="593" t="s">
        <v>642</v>
      </c>
      <c r="V533" s="593" t="s">
        <v>653</v>
      </c>
      <c r="W533" s="593" t="s">
        <v>696</v>
      </c>
      <c r="X533" s="593" t="s">
        <v>713</v>
      </c>
      <c r="Y533" s="593" t="s">
        <v>736</v>
      </c>
      <c r="Z533" s="593" t="s">
        <v>748</v>
      </c>
      <c r="AA533" s="593" t="s">
        <v>795</v>
      </c>
      <c r="AB533" s="593" t="s">
        <v>814</v>
      </c>
      <c r="AC533" s="9"/>
      <c r="AF533" s="1"/>
    </row>
    <row r="534" spans="1:32" ht="13.5" thickBot="1" x14ac:dyDescent="0.25">
      <c r="A534" s="596"/>
      <c r="B534" s="593"/>
      <c r="C534" s="593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1"/>
      <c r="O534" s="593"/>
      <c r="P534" s="593"/>
      <c r="Q534" s="593"/>
      <c r="R534" s="593"/>
      <c r="S534" s="593"/>
      <c r="T534" s="593"/>
      <c r="U534" s="593"/>
      <c r="V534" s="593"/>
      <c r="W534" s="593"/>
      <c r="X534" s="593"/>
      <c r="Y534" s="593"/>
      <c r="Z534" s="593"/>
      <c r="AA534" s="593"/>
      <c r="AB534" s="593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207.60000000000002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32.400000000000006</v>
      </c>
      <c r="F535" s="50">
        <f>IFERROR(Y91*1,"0")+IFERROR(Y92*1,"0")+IFERROR(Y93*1,"0")+IFERROR(Y94*1,"0")+IFERROR(Y98*1,"0")+IFERROR(Y99*1,"0")+IFERROR(Y100*1,"0")+IFERROR(Y101*1,"0")</f>
        <v>437.4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334.8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504.00000000000006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356.40000000000003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477</v>
      </c>
      <c r="U535" s="50">
        <f>IFERROR(Y391*1,"0")+IFERROR(Y392*1,"0")+IFERROR(Y393*1,"0")</f>
        <v>0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14280</v>
      </c>
      <c r="W535" s="50">
        <f>IFERROR(Y426*1,"0")+IFERROR(Y427*1,"0")+IFERROR(Y431*1,"0")+IFERROR(Y435*1,"0")+IFERROR(Y436*1,"0")+IFERROR(Y437*1,"0")</f>
        <v>153</v>
      </c>
      <c r="X535" s="50">
        <f>IFERROR(Y443*1,"0")+IFERROR(Y444*1,"0")+IFERROR(Y445*1,"0")+IFERROR(Y446*1,"0")+IFERROR(Y447*1,"0")+IFERROR(Y448*1,"0")+IFERROR(Y452*1,"0")+IFERROR(Y453*1,"0")</f>
        <v>54</v>
      </c>
      <c r="Y535" s="50">
        <f>IFERROR(Y458*1,"0")+IFERROR(Y462*1,"0")+IFERROR(Y463*1,"0")+IFERROR(Y464*1,"0")</f>
        <v>405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839.5200000000001</v>
      </c>
      <c r="AA535" s="50">
        <f>IFERROR(Y500*1,"0")+IFERROR(Y504*1,"0")+IFERROR(Y508*1,"0")+IFERROR(Y512*1,"0")+IFERROR(Y516*1,"0")+IFERROR(Y517*1,"0")</f>
        <v>0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3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1070</vt:i4>
      </vt:variant>
    </vt:vector>
  </HeadingPairs>
  <TitlesOfParts>
    <vt:vector size="10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2026-08-04T07:35:53Z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