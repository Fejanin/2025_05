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B35A5DC-8F51-4063-AE3A-E3F50B8FF9E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AC565" i="2" s="1"/>
  <c r="P552" i="2"/>
  <c r="X549" i="2"/>
  <c r="X548" i="2"/>
  <c r="BO547" i="2"/>
  <c r="BM547" i="2"/>
  <c r="Y547" i="2"/>
  <c r="P547" i="2"/>
  <c r="BO546" i="2"/>
  <c r="BM546" i="2"/>
  <c r="Y546" i="2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P534" i="2"/>
  <c r="X532" i="2"/>
  <c r="X531" i="2"/>
  <c r="BO530" i="2"/>
  <c r="BM530" i="2"/>
  <c r="Y530" i="2"/>
  <c r="P530" i="2"/>
  <c r="X526" i="2"/>
  <c r="X525" i="2"/>
  <c r="BO524" i="2"/>
  <c r="BM524" i="2"/>
  <c r="Y524" i="2"/>
  <c r="P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BP512" i="2" s="1"/>
  <c r="P512" i="2"/>
  <c r="X510" i="2"/>
  <c r="X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X496" i="2"/>
  <c r="X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Z492" i="2" s="1"/>
  <c r="P492" i="2"/>
  <c r="X490" i="2"/>
  <c r="X489" i="2"/>
  <c r="BO488" i="2"/>
  <c r="BM488" i="2"/>
  <c r="Y488" i="2"/>
  <c r="BN488" i="2" s="1"/>
  <c r="P488" i="2"/>
  <c r="X485" i="2"/>
  <c r="X484" i="2"/>
  <c r="BO483" i="2"/>
  <c r="BM483" i="2"/>
  <c r="Y483" i="2"/>
  <c r="BP483" i="2" s="1"/>
  <c r="P483" i="2"/>
  <c r="BO482" i="2"/>
  <c r="BM482" i="2"/>
  <c r="Y482" i="2"/>
  <c r="Y484" i="2" s="1"/>
  <c r="P482" i="2"/>
  <c r="X480" i="2"/>
  <c r="X479" i="2"/>
  <c r="BO478" i="2"/>
  <c r="BM478" i="2"/>
  <c r="Y478" i="2"/>
  <c r="BP478" i="2" s="1"/>
  <c r="P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Z474" i="2" s="1"/>
  <c r="P474" i="2"/>
  <c r="BO473" i="2"/>
  <c r="BM473" i="2"/>
  <c r="Y473" i="2"/>
  <c r="Y479" i="2" s="1"/>
  <c r="P473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X453" i="2"/>
  <c r="X452" i="2"/>
  <c r="BO451" i="2"/>
  <c r="BM451" i="2"/>
  <c r="Y451" i="2"/>
  <c r="P451" i="2"/>
  <c r="BO450" i="2"/>
  <c r="BM450" i="2"/>
  <c r="Y450" i="2"/>
  <c r="BN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P444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Y442" i="2" s="1"/>
  <c r="P438" i="2"/>
  <c r="X436" i="2"/>
  <c r="X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P421" i="2"/>
  <c r="BO420" i="2"/>
  <c r="BM420" i="2"/>
  <c r="Y420" i="2"/>
  <c r="P420" i="2"/>
  <c r="BO419" i="2"/>
  <c r="BM419" i="2"/>
  <c r="Y419" i="2"/>
  <c r="P419" i="2"/>
  <c r="X416" i="2"/>
  <c r="X415" i="2"/>
  <c r="BO414" i="2"/>
  <c r="BM414" i="2"/>
  <c r="Y414" i="2"/>
  <c r="Z414" i="2" s="1"/>
  <c r="BO413" i="2"/>
  <c r="BM413" i="2"/>
  <c r="Y413" i="2"/>
  <c r="X410" i="2"/>
  <c r="X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Y403" i="2" s="1"/>
  <c r="P400" i="2"/>
  <c r="X398" i="2"/>
  <c r="X397" i="2"/>
  <c r="BO396" i="2"/>
  <c r="BM396" i="2"/>
  <c r="Y396" i="2"/>
  <c r="BP396" i="2" s="1"/>
  <c r="P396" i="2"/>
  <c r="BO395" i="2"/>
  <c r="BM395" i="2"/>
  <c r="Y395" i="2"/>
  <c r="BP395" i="2" s="1"/>
  <c r="P395" i="2"/>
  <c r="BO394" i="2"/>
  <c r="BM394" i="2"/>
  <c r="Y394" i="2"/>
  <c r="Z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X385" i="2"/>
  <c r="X384" i="2"/>
  <c r="BO383" i="2"/>
  <c r="BM383" i="2"/>
  <c r="Y383" i="2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P370" i="2"/>
  <c r="X368" i="2"/>
  <c r="X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X351" i="2"/>
  <c r="X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BN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P325" i="2"/>
  <c r="BO324" i="2"/>
  <c r="BM324" i="2"/>
  <c r="Y324" i="2"/>
  <c r="P324" i="2"/>
  <c r="X321" i="2"/>
  <c r="X320" i="2"/>
  <c r="BO319" i="2"/>
  <c r="BM319" i="2"/>
  <c r="Y319" i="2"/>
  <c r="P319" i="2"/>
  <c r="BO318" i="2"/>
  <c r="BM318" i="2"/>
  <c r="Y318" i="2"/>
  <c r="Z318" i="2" s="1"/>
  <c r="P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P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Z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P293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BP287" i="2" s="1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P278" i="2"/>
  <c r="X276" i="2"/>
  <c r="X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P267" i="2"/>
  <c r="X265" i="2"/>
  <c r="X264" i="2"/>
  <c r="BO263" i="2"/>
  <c r="BM263" i="2"/>
  <c r="Y263" i="2"/>
  <c r="Z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Y250" i="2" s="1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Y221" i="2"/>
  <c r="Z221" i="2" s="1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Z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Z190" i="2" s="1"/>
  <c r="P190" i="2"/>
  <c r="BO189" i="2"/>
  <c r="BM189" i="2"/>
  <c r="Y189" i="2"/>
  <c r="BN189" i="2" s="1"/>
  <c r="P189" i="2"/>
  <c r="X187" i="2"/>
  <c r="X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Z170" i="2" s="1"/>
  <c r="P170" i="2"/>
  <c r="X168" i="2"/>
  <c r="X167" i="2"/>
  <c r="BO166" i="2"/>
  <c r="BM166" i="2"/>
  <c r="Y166" i="2"/>
  <c r="Z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P143" i="2"/>
  <c r="BO142" i="2"/>
  <c r="BM142" i="2"/>
  <c r="Y142" i="2"/>
  <c r="Z142" i="2" s="1"/>
  <c r="P142" i="2"/>
  <c r="X140" i="2"/>
  <c r="X139" i="2"/>
  <c r="BO138" i="2"/>
  <c r="BM138" i="2"/>
  <c r="Y138" i="2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BN135" i="2" s="1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BO129" i="2"/>
  <c r="BM129" i="2"/>
  <c r="Y129" i="2"/>
  <c r="BN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Z113" i="2" s="1"/>
  <c r="P113" i="2"/>
  <c r="BO112" i="2"/>
  <c r="BM112" i="2"/>
  <c r="Y112" i="2"/>
  <c r="BP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X96" i="2"/>
  <c r="X95" i="2"/>
  <c r="BO94" i="2"/>
  <c r="BM94" i="2"/>
  <c r="Y94" i="2"/>
  <c r="P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P91" i="2"/>
  <c r="X89" i="2"/>
  <c r="X88" i="2"/>
  <c r="BO87" i="2"/>
  <c r="BM87" i="2"/>
  <c r="Y87" i="2"/>
  <c r="Z87" i="2" s="1"/>
  <c r="P87" i="2"/>
  <c r="BO86" i="2"/>
  <c r="BM86" i="2"/>
  <c r="Y86" i="2"/>
  <c r="BN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BN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Y423" i="2" l="1"/>
  <c r="Y296" i="2"/>
  <c r="Y397" i="2"/>
  <c r="Z152" i="2"/>
  <c r="BP59" i="2"/>
  <c r="Z120" i="2"/>
  <c r="Z27" i="2"/>
  <c r="BP92" i="2"/>
  <c r="BP136" i="2"/>
  <c r="BP170" i="2"/>
  <c r="Z227" i="2"/>
  <c r="BN227" i="2"/>
  <c r="Z231" i="2"/>
  <c r="BN231" i="2"/>
  <c r="Z294" i="2"/>
  <c r="BN294" i="2"/>
  <c r="Z387" i="2"/>
  <c r="BN387" i="2"/>
  <c r="Z446" i="2"/>
  <c r="BN446" i="2"/>
  <c r="Z450" i="2"/>
  <c r="Y452" i="2"/>
  <c r="Y81" i="2"/>
  <c r="Z30" i="2"/>
  <c r="BN30" i="2"/>
  <c r="Z56" i="2"/>
  <c r="Z79" i="2"/>
  <c r="BP86" i="2"/>
  <c r="BP113" i="2"/>
  <c r="Z135" i="2"/>
  <c r="Z153" i="2"/>
  <c r="Y198" i="2"/>
  <c r="Z223" i="2"/>
  <c r="Z328" i="2"/>
  <c r="BN328" i="2"/>
  <c r="BP334" i="2"/>
  <c r="Z374" i="2"/>
  <c r="BN374" i="2"/>
  <c r="Z376" i="2"/>
  <c r="Z429" i="2"/>
  <c r="X559" i="2"/>
  <c r="BN50" i="2"/>
  <c r="BN68" i="2"/>
  <c r="BN84" i="2"/>
  <c r="BP91" i="2"/>
  <c r="BN91" i="2"/>
  <c r="BP94" i="2"/>
  <c r="BN94" i="2"/>
  <c r="Z94" i="2"/>
  <c r="BN111" i="2"/>
  <c r="Z111" i="2"/>
  <c r="BP138" i="2"/>
  <c r="Z138" i="2"/>
  <c r="BP200" i="2"/>
  <c r="Y202" i="2"/>
  <c r="Y201" i="2"/>
  <c r="BN200" i="2"/>
  <c r="Z268" i="2"/>
  <c r="BP268" i="2"/>
  <c r="BP274" i="2"/>
  <c r="BN274" i="2"/>
  <c r="Z274" i="2"/>
  <c r="Z278" i="2"/>
  <c r="BP278" i="2"/>
  <c r="BP284" i="2"/>
  <c r="BN284" i="2"/>
  <c r="Z284" i="2"/>
  <c r="BP286" i="2"/>
  <c r="BN286" i="2"/>
  <c r="Z286" i="2"/>
  <c r="BP343" i="2"/>
  <c r="BN343" i="2"/>
  <c r="Z343" i="2"/>
  <c r="BP370" i="2"/>
  <c r="BN370" i="2"/>
  <c r="Z370" i="2"/>
  <c r="BP371" i="2"/>
  <c r="BN371" i="2"/>
  <c r="Z371" i="2"/>
  <c r="Y378" i="2"/>
  <c r="BP383" i="2"/>
  <c r="Z383" i="2"/>
  <c r="BN406" i="2"/>
  <c r="BP420" i="2"/>
  <c r="BN420" i="2"/>
  <c r="Z420" i="2"/>
  <c r="Z444" i="2"/>
  <c r="BP444" i="2"/>
  <c r="BN475" i="2"/>
  <c r="Z475" i="2"/>
  <c r="BN477" i="2"/>
  <c r="Z477" i="2"/>
  <c r="BN503" i="2"/>
  <c r="BN520" i="2"/>
  <c r="Z520" i="2"/>
  <c r="BN522" i="2"/>
  <c r="Z522" i="2"/>
  <c r="X556" i="2"/>
  <c r="Y24" i="2"/>
  <c r="BP28" i="2"/>
  <c r="BN38" i="2"/>
  <c r="Z39" i="2"/>
  <c r="BN39" i="2"/>
  <c r="BP40" i="2"/>
  <c r="Z58" i="2"/>
  <c r="BN58" i="2"/>
  <c r="Z61" i="2"/>
  <c r="BN62" i="2"/>
  <c r="Z67" i="2"/>
  <c r="BN67" i="2"/>
  <c r="BP79" i="2"/>
  <c r="Z91" i="2"/>
  <c r="BP111" i="2"/>
  <c r="BN112" i="2"/>
  <c r="BN118" i="2"/>
  <c r="BN144" i="2"/>
  <c r="BN176" i="2"/>
  <c r="Z176" i="2"/>
  <c r="BP183" i="2"/>
  <c r="Z183" i="2"/>
  <c r="BN196" i="2"/>
  <c r="Z196" i="2"/>
  <c r="Z197" i="2" s="1"/>
  <c r="BP210" i="2"/>
  <c r="BN210" i="2"/>
  <c r="Z210" i="2"/>
  <c r="BN212" i="2"/>
  <c r="Z225" i="2"/>
  <c r="BP225" i="2"/>
  <c r="BP238" i="2"/>
  <c r="Z238" i="2"/>
  <c r="BP247" i="2"/>
  <c r="BN247" i="2"/>
  <c r="Z247" i="2"/>
  <c r="BN248" i="2"/>
  <c r="BP304" i="2"/>
  <c r="Z304" i="2"/>
  <c r="BP324" i="2"/>
  <c r="BN324" i="2"/>
  <c r="Z324" i="2"/>
  <c r="BP325" i="2"/>
  <c r="BN325" i="2"/>
  <c r="Z325" i="2"/>
  <c r="Y367" i="2"/>
  <c r="BP363" i="2"/>
  <c r="Z363" i="2"/>
  <c r="BN396" i="2"/>
  <c r="Z396" i="2"/>
  <c r="BN431" i="2"/>
  <c r="BN451" i="2"/>
  <c r="Y453" i="2"/>
  <c r="Y469" i="2"/>
  <c r="BN465" i="2"/>
  <c r="BP477" i="2"/>
  <c r="BN478" i="2"/>
  <c r="Y516" i="2"/>
  <c r="Z512" i="2"/>
  <c r="BP522" i="2"/>
  <c r="BP534" i="2"/>
  <c r="Y535" i="2"/>
  <c r="Z534" i="2"/>
  <c r="Z535" i="2" s="1"/>
  <c r="BP546" i="2"/>
  <c r="Z546" i="2"/>
  <c r="Y107" i="2"/>
  <c r="BN101" i="2"/>
  <c r="BP135" i="2"/>
  <c r="BP152" i="2"/>
  <c r="BN178" i="2"/>
  <c r="BN195" i="2"/>
  <c r="BN206" i="2"/>
  <c r="BP223" i="2"/>
  <c r="BN224" i="2"/>
  <c r="BN233" i="2"/>
  <c r="BN242" i="2"/>
  <c r="BN252" i="2"/>
  <c r="BN270" i="2"/>
  <c r="BN280" i="2"/>
  <c r="BN318" i="2"/>
  <c r="BN349" i="2"/>
  <c r="BP376" i="2"/>
  <c r="BN395" i="2"/>
  <c r="BN440" i="2"/>
  <c r="BN466" i="2"/>
  <c r="BN476" i="2"/>
  <c r="BN502" i="2"/>
  <c r="BN507" i="2"/>
  <c r="BN521" i="2"/>
  <c r="BP31" i="2"/>
  <c r="BP179" i="2"/>
  <c r="Z179" i="2"/>
  <c r="Z211" i="2"/>
  <c r="BN211" i="2"/>
  <c r="Z232" i="2"/>
  <c r="BN232" i="2"/>
  <c r="BP317" i="2"/>
  <c r="Y320" i="2"/>
  <c r="BN317" i="2"/>
  <c r="Y321" i="2"/>
  <c r="Z317" i="2"/>
  <c r="BP430" i="2"/>
  <c r="BN430" i="2"/>
  <c r="Z430" i="2"/>
  <c r="BP494" i="2"/>
  <c r="Z494" i="2"/>
  <c r="X555" i="2"/>
  <c r="D565" i="2"/>
  <c r="E565" i="2"/>
  <c r="BP55" i="2"/>
  <c r="Z57" i="2"/>
  <c r="BP57" i="2"/>
  <c r="Y70" i="2"/>
  <c r="Z74" i="2"/>
  <c r="BP74" i="2"/>
  <c r="Z80" i="2"/>
  <c r="BP78" i="2"/>
  <c r="Z85" i="2"/>
  <c r="Z100" i="2"/>
  <c r="Z102" i="2"/>
  <c r="BP102" i="2"/>
  <c r="Z105" i="2"/>
  <c r="Z109" i="2"/>
  <c r="Y133" i="2"/>
  <c r="Z154" i="2"/>
  <c r="BP155" i="2"/>
  <c r="Z155" i="2"/>
  <c r="Z175" i="2"/>
  <c r="Z180" i="2"/>
  <c r="BP180" i="2"/>
  <c r="BP182" i="2"/>
  <c r="Z182" i="2"/>
  <c r="BP189" i="2"/>
  <c r="BP207" i="2"/>
  <c r="BN207" i="2"/>
  <c r="BP217" i="2"/>
  <c r="Y218" i="2"/>
  <c r="Z217" i="2"/>
  <c r="Z218" i="2" s="1"/>
  <c r="BP228" i="2"/>
  <c r="BN228" i="2"/>
  <c r="BP241" i="2"/>
  <c r="BN241" i="2"/>
  <c r="Z241" i="2"/>
  <c r="Y276" i="2"/>
  <c r="BP269" i="2"/>
  <c r="BP301" i="2"/>
  <c r="BN301" i="2"/>
  <c r="Z301" i="2"/>
  <c r="BN319" i="2"/>
  <c r="BP319" i="2"/>
  <c r="Z319" i="2"/>
  <c r="BN342" i="2"/>
  <c r="BP342" i="2"/>
  <c r="Z342" i="2"/>
  <c r="BN381" i="2"/>
  <c r="BP381" i="2"/>
  <c r="Z381" i="2"/>
  <c r="BN432" i="2"/>
  <c r="BP432" i="2"/>
  <c r="Z432" i="2"/>
  <c r="Z504" i="2"/>
  <c r="BP504" i="2"/>
  <c r="BP547" i="2"/>
  <c r="BN547" i="2"/>
  <c r="BN267" i="2"/>
  <c r="BP267" i="2"/>
  <c r="Z267" i="2"/>
  <c r="BP327" i="2"/>
  <c r="Z327" i="2"/>
  <c r="BN340" i="2"/>
  <c r="Y345" i="2"/>
  <c r="Z340" i="2"/>
  <c r="Z413" i="2"/>
  <c r="Z415" i="2" s="1"/>
  <c r="BN413" i="2"/>
  <c r="Z524" i="2"/>
  <c r="BP524" i="2"/>
  <c r="Z538" i="2"/>
  <c r="Z539" i="2" s="1"/>
  <c r="BP538" i="2"/>
  <c r="Y539" i="2"/>
  <c r="Y25" i="2"/>
  <c r="X557" i="2"/>
  <c r="X558" i="2" s="1"/>
  <c r="BN27" i="2"/>
  <c r="BN31" i="2"/>
  <c r="Z38" i="2"/>
  <c r="Z47" i="2"/>
  <c r="BP47" i="2"/>
  <c r="Z50" i="2"/>
  <c r="Z55" i="2"/>
  <c r="BN61" i="2"/>
  <c r="Z62" i="2"/>
  <c r="Z66" i="2"/>
  <c r="Z68" i="2"/>
  <c r="Y80" i="2"/>
  <c r="G565" i="2"/>
  <c r="BP99" i="2"/>
  <c r="Z101" i="2"/>
  <c r="BP103" i="2"/>
  <c r="Y114" i="2"/>
  <c r="Z118" i="2"/>
  <c r="Y146" i="2"/>
  <c r="Z143" i="2"/>
  <c r="J565" i="2"/>
  <c r="Y168" i="2"/>
  <c r="BP166" i="2"/>
  <c r="BN166" i="2"/>
  <c r="BN179" i="2"/>
  <c r="Z189" i="2"/>
  <c r="BP196" i="2"/>
  <c r="Z207" i="2"/>
  <c r="Y213" i="2"/>
  <c r="BP222" i="2"/>
  <c r="Z222" i="2"/>
  <c r="Z228" i="2"/>
  <c r="Y235" i="2"/>
  <c r="BP271" i="2"/>
  <c r="BN271" i="2"/>
  <c r="Z271" i="2"/>
  <c r="BP335" i="2"/>
  <c r="BN335" i="2"/>
  <c r="Z335" i="2"/>
  <c r="BN355" i="2"/>
  <c r="BP355" i="2"/>
  <c r="Z355" i="2"/>
  <c r="Z365" i="2"/>
  <c r="BN365" i="2"/>
  <c r="Z407" i="2"/>
  <c r="BN407" i="2"/>
  <c r="Z467" i="2"/>
  <c r="BP467" i="2"/>
  <c r="Z514" i="2"/>
  <c r="BP514" i="2"/>
  <c r="Y515" i="2"/>
  <c r="Y531" i="2"/>
  <c r="BN530" i="2"/>
  <c r="Y543" i="2"/>
  <c r="BN542" i="2"/>
  <c r="Y89" i="2"/>
  <c r="BP109" i="2"/>
  <c r="BN119" i="2"/>
  <c r="Z119" i="2"/>
  <c r="BN175" i="2"/>
  <c r="Y187" i="2"/>
  <c r="BP281" i="2"/>
  <c r="BN281" i="2"/>
  <c r="Z281" i="2"/>
  <c r="A10" i="2"/>
  <c r="Z22" i="2"/>
  <c r="BP22" i="2"/>
  <c r="Y33" i="2"/>
  <c r="Y43" i="2"/>
  <c r="BP48" i="2"/>
  <c r="BP69" i="2"/>
  <c r="BN78" i="2"/>
  <c r="Z84" i="2"/>
  <c r="BN85" i="2"/>
  <c r="BN105" i="2"/>
  <c r="Z110" i="2"/>
  <c r="Z112" i="2"/>
  <c r="BP119" i="2"/>
  <c r="Y122" i="2"/>
  <c r="H565" i="2"/>
  <c r="Z129" i="2"/>
  <c r="BN155" i="2"/>
  <c r="BN177" i="2"/>
  <c r="Z177" i="2"/>
  <c r="BN182" i="2"/>
  <c r="BP211" i="2"/>
  <c r="BN217" i="2"/>
  <c r="Y219" i="2"/>
  <c r="BP232" i="2"/>
  <c r="BN279" i="2"/>
  <c r="BP279" i="2"/>
  <c r="Y295" i="2"/>
  <c r="Z293" i="2"/>
  <c r="Z295" i="2" s="1"/>
  <c r="Y330" i="2"/>
  <c r="BP340" i="2"/>
  <c r="BP413" i="2"/>
  <c r="W565" i="2"/>
  <c r="BN427" i="2"/>
  <c r="BP427" i="2"/>
  <c r="Z427" i="2"/>
  <c r="BP130" i="2"/>
  <c r="BN138" i="2"/>
  <c r="BP153" i="2"/>
  <c r="Y173" i="2"/>
  <c r="BN183" i="2"/>
  <c r="BP190" i="2"/>
  <c r="BP195" i="2"/>
  <c r="Y197" i="2"/>
  <c r="BN238" i="2"/>
  <c r="Y244" i="2"/>
  <c r="Y254" i="2"/>
  <c r="BP285" i="2"/>
  <c r="BP299" i="2"/>
  <c r="BN302" i="2"/>
  <c r="BN305" i="2"/>
  <c r="BP309" i="2"/>
  <c r="BP333" i="2"/>
  <c r="BN341" i="2"/>
  <c r="BP344" i="2"/>
  <c r="BN361" i="2"/>
  <c r="BN364" i="2"/>
  <c r="BN366" i="2"/>
  <c r="BP375" i="2"/>
  <c r="BN380" i="2"/>
  <c r="Y385" i="2"/>
  <c r="BP388" i="2"/>
  <c r="BP393" i="2"/>
  <c r="BN408" i="2"/>
  <c r="Y409" i="2"/>
  <c r="BP414" i="2"/>
  <c r="BP419" i="2"/>
  <c r="Y468" i="2"/>
  <c r="BP474" i="2"/>
  <c r="Z565" i="2"/>
  <c r="Y490" i="2"/>
  <c r="BP519" i="2"/>
  <c r="Y525" i="2"/>
  <c r="Y145" i="2"/>
  <c r="BP142" i="2"/>
  <c r="Z144" i="2"/>
  <c r="BP176" i="2"/>
  <c r="Z178" i="2"/>
  <c r="Z200" i="2"/>
  <c r="Z201" i="2" s="1"/>
  <c r="Z206" i="2"/>
  <c r="Z212" i="2"/>
  <c r="Y214" i="2"/>
  <c r="Y236" i="2"/>
  <c r="BP221" i="2"/>
  <c r="Z224" i="2"/>
  <c r="Z233" i="2"/>
  <c r="BP242" i="2"/>
  <c r="Z248" i="2"/>
  <c r="Z252" i="2"/>
  <c r="Z253" i="2" s="1"/>
  <c r="Y265" i="2"/>
  <c r="Z270" i="2"/>
  <c r="Z280" i="2"/>
  <c r="BP318" i="2"/>
  <c r="BP349" i="2"/>
  <c r="Y358" i="2"/>
  <c r="BP354" i="2"/>
  <c r="T565" i="2"/>
  <c r="Y377" i="2"/>
  <c r="Z395" i="2"/>
  <c r="Y422" i="2"/>
  <c r="BP431" i="2"/>
  <c r="Z439" i="2"/>
  <c r="Z451" i="2"/>
  <c r="Z452" i="2" s="1"/>
  <c r="X565" i="2"/>
  <c r="Z466" i="2"/>
  <c r="Z476" i="2"/>
  <c r="Z488" i="2"/>
  <c r="Z489" i="2" s="1"/>
  <c r="BP492" i="2"/>
  <c r="Z503" i="2"/>
  <c r="Z506" i="2"/>
  <c r="BN512" i="2"/>
  <c r="BP513" i="2"/>
  <c r="Z521" i="2"/>
  <c r="BP523" i="2"/>
  <c r="Y536" i="2"/>
  <c r="Z273" i="2"/>
  <c r="Z283" i="2"/>
  <c r="BN285" i="2"/>
  <c r="Y307" i="2"/>
  <c r="Z302" i="2"/>
  <c r="Z305" i="2"/>
  <c r="Y310" i="2"/>
  <c r="Z341" i="2"/>
  <c r="Y357" i="2"/>
  <c r="Z361" i="2"/>
  <c r="BP361" i="2"/>
  <c r="Z364" i="2"/>
  <c r="Z366" i="2"/>
  <c r="Y368" i="2"/>
  <c r="Z373" i="2"/>
  <c r="BN375" i="2"/>
  <c r="Z380" i="2"/>
  <c r="BN393" i="2"/>
  <c r="Y398" i="2"/>
  <c r="BP394" i="2"/>
  <c r="Z406" i="2"/>
  <c r="Z408" i="2"/>
  <c r="Y410" i="2"/>
  <c r="BN414" i="2"/>
  <c r="BN419" i="2"/>
  <c r="Z440" i="2"/>
  <c r="BP450" i="2"/>
  <c r="Z465" i="2"/>
  <c r="BP465" i="2"/>
  <c r="BN474" i="2"/>
  <c r="BP475" i="2"/>
  <c r="Z478" i="2"/>
  <c r="Y489" i="2"/>
  <c r="AA565" i="2"/>
  <c r="BP500" i="2"/>
  <c r="BN501" i="2"/>
  <c r="Z502" i="2"/>
  <c r="Z507" i="2"/>
  <c r="Z513" i="2"/>
  <c r="BN519" i="2"/>
  <c r="BP520" i="2"/>
  <c r="Z523" i="2"/>
  <c r="BN143" i="2"/>
  <c r="Z240" i="2"/>
  <c r="BN29" i="2"/>
  <c r="Y32" i="2"/>
  <c r="BN41" i="2"/>
  <c r="BP56" i="2"/>
  <c r="BP66" i="2"/>
  <c r="BN87" i="2"/>
  <c r="BP100" i="2"/>
  <c r="BP110" i="2"/>
  <c r="BP120" i="2"/>
  <c r="BN131" i="2"/>
  <c r="BP143" i="2"/>
  <c r="BP154" i="2"/>
  <c r="BN165" i="2"/>
  <c r="BP177" i="2"/>
  <c r="BN185" i="2"/>
  <c r="BN209" i="2"/>
  <c r="BN230" i="2"/>
  <c r="BN240" i="2"/>
  <c r="Y243" i="2"/>
  <c r="BP252" i="2"/>
  <c r="BN263" i="2"/>
  <c r="BN273" i="2"/>
  <c r="BN283" i="2"/>
  <c r="BN293" i="2"/>
  <c r="BN304" i="2"/>
  <c r="BN327" i="2"/>
  <c r="BN363" i="2"/>
  <c r="BN373" i="2"/>
  <c r="BN383" i="2"/>
  <c r="Z393" i="2"/>
  <c r="BN429" i="2"/>
  <c r="BN439" i="2"/>
  <c r="BP451" i="2"/>
  <c r="Y463" i="2"/>
  <c r="BP501" i="2"/>
  <c r="Y510" i="2"/>
  <c r="Y548" i="2"/>
  <c r="K565" i="2"/>
  <c r="BP117" i="2"/>
  <c r="Y193" i="2"/>
  <c r="BN100" i="2"/>
  <c r="Z131" i="2"/>
  <c r="BN48" i="2"/>
  <c r="Y51" i="2"/>
  <c r="BN59" i="2"/>
  <c r="BN6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BN225" i="2"/>
  <c r="BP258" i="2"/>
  <c r="BN268" i="2"/>
  <c r="BN278" i="2"/>
  <c r="BP288" i="2"/>
  <c r="BN299" i="2"/>
  <c r="BN309" i="2"/>
  <c r="BN333" i="2"/>
  <c r="Y336" i="2"/>
  <c r="BN344" i="2"/>
  <c r="BN388" i="2"/>
  <c r="BP400" i="2"/>
  <c r="BP434" i="2"/>
  <c r="BN444" i="2"/>
  <c r="Y447" i="2"/>
  <c r="BP457" i="2"/>
  <c r="BN467" i="2"/>
  <c r="Y480" i="2"/>
  <c r="BN492" i="2"/>
  <c r="Y495" i="2"/>
  <c r="BN504" i="2"/>
  <c r="BN514" i="2"/>
  <c r="BN524" i="2"/>
  <c r="BN538" i="2"/>
  <c r="L565" i="2"/>
  <c r="Y125" i="2"/>
  <c r="BP29" i="2"/>
  <c r="BP41" i="2"/>
  <c r="BP87" i="2"/>
  <c r="Y121" i="2"/>
  <c r="BP165" i="2"/>
  <c r="BP185" i="2"/>
  <c r="BP209" i="2"/>
  <c r="BP230" i="2"/>
  <c r="BP263" i="2"/>
  <c r="BP293" i="2"/>
  <c r="Y315" i="2"/>
  <c r="Y404" i="2"/>
  <c r="Y485" i="2"/>
  <c r="Y532" i="2"/>
  <c r="Y544" i="2"/>
  <c r="M565" i="2"/>
  <c r="Y259" i="2"/>
  <c r="Y435" i="2"/>
  <c r="Y458" i="2"/>
  <c r="Y549" i="2"/>
  <c r="O565" i="2"/>
  <c r="Y160" i="2"/>
  <c r="Y42" i="2"/>
  <c r="Y52" i="2"/>
  <c r="Y88" i="2"/>
  <c r="Y96" i="2"/>
  <c r="Y132" i="2"/>
  <c r="Y140" i="2"/>
  <c r="Z150" i="2"/>
  <c r="Y186" i="2"/>
  <c r="Y264" i="2"/>
  <c r="Z289" i="2"/>
  <c r="Y337" i="2"/>
  <c r="Y384" i="2"/>
  <c r="Z401" i="2"/>
  <c r="Y448" i="2"/>
  <c r="Z482" i="2"/>
  <c r="Y496" i="2"/>
  <c r="P565" i="2"/>
  <c r="Q565" i="2"/>
  <c r="Z37" i="2"/>
  <c r="Z49" i="2"/>
  <c r="Z60" i="2"/>
  <c r="Y75" i="2"/>
  <c r="Z93" i="2"/>
  <c r="Z104" i="2"/>
  <c r="BP129" i="2"/>
  <c r="Z137" i="2"/>
  <c r="BN150" i="2"/>
  <c r="Y161" i="2"/>
  <c r="Z171" i="2"/>
  <c r="Z172" i="2" s="1"/>
  <c r="Z181" i="2"/>
  <c r="Z191" i="2"/>
  <c r="Z226" i="2"/>
  <c r="Z246" i="2"/>
  <c r="Y260" i="2"/>
  <c r="Z269" i="2"/>
  <c r="Z279" i="2"/>
  <c r="BN289" i="2"/>
  <c r="Z300" i="2"/>
  <c r="Z334" i="2"/>
  <c r="Y350" i="2"/>
  <c r="Z389" i="2"/>
  <c r="BN401" i="2"/>
  <c r="Y415" i="2"/>
  <c r="Y436" i="2"/>
  <c r="Z445" i="2"/>
  <c r="Y459" i="2"/>
  <c r="BN482" i="2"/>
  <c r="Z493" i="2"/>
  <c r="Z505" i="2"/>
  <c r="Z552" i="2"/>
  <c r="Z553" i="2" s="1"/>
  <c r="R565" i="2"/>
  <c r="BN534" i="2"/>
  <c r="BN546" i="2"/>
  <c r="S565" i="2"/>
  <c r="Z23" i="2"/>
  <c r="Z24" i="2" s="1"/>
  <c r="BN37" i="2"/>
  <c r="BN49" i="2"/>
  <c r="BN60" i="2"/>
  <c r="Y63" i="2"/>
  <c r="Y71" i="2"/>
  <c r="BN93" i="2"/>
  <c r="BN104" i="2"/>
  <c r="Y115" i="2"/>
  <c r="Z124" i="2"/>
  <c r="Z125" i="2" s="1"/>
  <c r="BN171" i="2"/>
  <c r="BN181" i="2"/>
  <c r="BN191" i="2"/>
  <c r="BN226" i="2"/>
  <c r="Y249" i="2"/>
  <c r="Z257" i="2"/>
  <c r="BN269" i="2"/>
  <c r="Z287" i="2"/>
  <c r="BN300" i="2"/>
  <c r="Y311" i="2"/>
  <c r="BN389" i="2"/>
  <c r="Z421" i="2"/>
  <c r="Z433" i="2"/>
  <c r="BN445" i="2"/>
  <c r="Z456" i="2"/>
  <c r="BP482" i="2"/>
  <c r="BN493" i="2"/>
  <c r="BN505" i="2"/>
  <c r="Y526" i="2"/>
  <c r="Y540" i="2"/>
  <c r="BN552" i="2"/>
  <c r="BN137" i="2"/>
  <c r="Z234" i="2"/>
  <c r="BN246" i="2"/>
  <c r="Y346" i="2"/>
  <c r="Z356" i="2"/>
  <c r="Z28" i="2"/>
  <c r="Z40" i="2"/>
  <c r="BN55" i="2"/>
  <c r="Y76" i="2"/>
  <c r="Z86" i="2"/>
  <c r="BN99" i="2"/>
  <c r="Z130" i="2"/>
  <c r="BN142" i="2"/>
  <c r="Y156" i="2"/>
  <c r="Z164" i="2"/>
  <c r="Z167" i="2" s="1"/>
  <c r="Z184" i="2"/>
  <c r="Z208" i="2"/>
  <c r="BN221" i="2"/>
  <c r="Z229" i="2"/>
  <c r="Z239" i="2"/>
  <c r="Z262" i="2"/>
  <c r="Z264" i="2" s="1"/>
  <c r="Z272" i="2"/>
  <c r="Z282" i="2"/>
  <c r="Z303" i="2"/>
  <c r="Z326" i="2"/>
  <c r="Y351" i="2"/>
  <c r="Z362" i="2"/>
  <c r="Z372" i="2"/>
  <c r="Z382" i="2"/>
  <c r="BN394" i="2"/>
  <c r="Y416" i="2"/>
  <c r="Z428" i="2"/>
  <c r="Z438" i="2"/>
  <c r="Z461" i="2"/>
  <c r="Z462" i="2" s="1"/>
  <c r="BP488" i="2"/>
  <c r="BN500" i="2"/>
  <c r="Z508" i="2"/>
  <c r="B565" i="2"/>
  <c r="U565" i="2"/>
  <c r="BP171" i="2"/>
  <c r="Y290" i="2"/>
  <c r="BN421" i="2"/>
  <c r="BN433" i="2"/>
  <c r="BN456" i="2"/>
  <c r="BP552" i="2"/>
  <c r="C565" i="2"/>
  <c r="V565" i="2"/>
  <c r="BN23" i="2"/>
  <c r="BN234" i="2"/>
  <c r="BP246" i="2"/>
  <c r="Y64" i="2"/>
  <c r="Z73" i="2"/>
  <c r="Z117" i="2"/>
  <c r="Z151" i="2"/>
  <c r="BN164" i="2"/>
  <c r="Y167" i="2"/>
  <c r="BN184" i="2"/>
  <c r="BN208" i="2"/>
  <c r="BN229" i="2"/>
  <c r="BN239" i="2"/>
  <c r="BN262" i="2"/>
  <c r="BN272" i="2"/>
  <c r="Y275" i="2"/>
  <c r="BN282" i="2"/>
  <c r="BN303" i="2"/>
  <c r="Y306" i="2"/>
  <c r="Z313" i="2"/>
  <c r="Z314" i="2" s="1"/>
  <c r="BN326" i="2"/>
  <c r="Y329" i="2"/>
  <c r="Z348" i="2"/>
  <c r="Z350" i="2" s="1"/>
  <c r="BN362" i="2"/>
  <c r="BN372" i="2"/>
  <c r="BN382" i="2"/>
  <c r="Z402" i="2"/>
  <c r="BN428" i="2"/>
  <c r="BN438" i="2"/>
  <c r="Y441" i="2"/>
  <c r="BN461" i="2"/>
  <c r="Z473" i="2"/>
  <c r="Z483" i="2"/>
  <c r="BN508" i="2"/>
  <c r="Z518" i="2"/>
  <c r="Z530" i="2"/>
  <c r="Z531" i="2" s="1"/>
  <c r="Z542" i="2"/>
  <c r="Z543" i="2" s="1"/>
  <c r="BN124" i="2"/>
  <c r="BN257" i="2"/>
  <c r="BN287" i="2"/>
  <c r="F9" i="2"/>
  <c r="H9" i="2"/>
  <c r="BP23" i="2"/>
  <c r="BP124" i="2"/>
  <c r="Y157" i="2"/>
  <c r="Y172" i="2"/>
  <c r="Y192" i="2"/>
  <c r="BP234" i="2"/>
  <c r="Z354" i="2"/>
  <c r="BP356" i="2"/>
  <c r="Y390" i="2"/>
  <c r="Z419" i="2"/>
  <c r="BP421" i="2"/>
  <c r="BP456" i="2"/>
  <c r="Z547" i="2"/>
  <c r="Z548" i="2" s="1"/>
  <c r="Y553" i="2"/>
  <c r="J9" i="2"/>
  <c r="BN73" i="2"/>
  <c r="BN151" i="2"/>
  <c r="BP164" i="2"/>
  <c r="Y291" i="2"/>
  <c r="BN313" i="2"/>
  <c r="BN348" i="2"/>
  <c r="BN402" i="2"/>
  <c r="BP438" i="2"/>
  <c r="BP461" i="2"/>
  <c r="BN473" i="2"/>
  <c r="BN483" i="2"/>
  <c r="BN518" i="2"/>
  <c r="F565" i="2"/>
  <c r="Y565" i="2"/>
  <c r="Z149" i="2"/>
  <c r="Z258" i="2"/>
  <c r="Z288" i="2"/>
  <c r="BP313" i="2"/>
  <c r="Y391" i="2"/>
  <c r="Z400" i="2"/>
  <c r="Z434" i="2"/>
  <c r="Z457" i="2"/>
  <c r="BP473" i="2"/>
  <c r="BN494" i="2"/>
  <c r="BN506" i="2"/>
  <c r="Y509" i="2"/>
  <c r="BP530" i="2"/>
  <c r="BP542" i="2"/>
  <c r="Y554" i="2"/>
  <c r="I565" i="2"/>
  <c r="AB565" i="2"/>
  <c r="Z159" i="2"/>
  <c r="Z160" i="2" s="1"/>
  <c r="BN400" i="2"/>
  <c r="Z357" i="2" l="1"/>
  <c r="Z525" i="2"/>
  <c r="Z75" i="2"/>
  <c r="Z377" i="2"/>
  <c r="Z243" i="2"/>
  <c r="Z132" i="2"/>
  <c r="Z32" i="2"/>
  <c r="Z509" i="2"/>
  <c r="Z447" i="2"/>
  <c r="Z390" i="2"/>
  <c r="Z336" i="2"/>
  <c r="Z249" i="2"/>
  <c r="Z95" i="2"/>
  <c r="Z63" i="2"/>
  <c r="Z70" i="2"/>
  <c r="Z422" i="2"/>
  <c r="Z51" i="2"/>
  <c r="Z515" i="2"/>
  <c r="Z409" i="2"/>
  <c r="Z213" i="2"/>
  <c r="Z145" i="2"/>
  <c r="Z345" i="2"/>
  <c r="Y556" i="2"/>
  <c r="Z156" i="2"/>
  <c r="Z479" i="2"/>
  <c r="Z121" i="2"/>
  <c r="Z441" i="2"/>
  <c r="Z329" i="2"/>
  <c r="Z495" i="2"/>
  <c r="Z139" i="2"/>
  <c r="Z397" i="2"/>
  <c r="Z468" i="2"/>
  <c r="Z367" i="2"/>
  <c r="Z290" i="2"/>
  <c r="Z106" i="2"/>
  <c r="Y559" i="2"/>
  <c r="Z114" i="2"/>
  <c r="Z88" i="2"/>
  <c r="Z235" i="2"/>
  <c r="Z275" i="2"/>
  <c r="Z192" i="2"/>
  <c r="Z435" i="2"/>
  <c r="Z384" i="2"/>
  <c r="Z259" i="2"/>
  <c r="Z306" i="2"/>
  <c r="Z186" i="2"/>
  <c r="Y555" i="2"/>
  <c r="Y557" i="2"/>
  <c r="Z320" i="2"/>
  <c r="Z42" i="2"/>
  <c r="Z484" i="2"/>
  <c r="Z403" i="2"/>
  <c r="Z458" i="2"/>
  <c r="Y558" i="2" l="1"/>
  <c r="Z560" i="2"/>
</calcChain>
</file>

<file path=xl/sharedStrings.xml><?xml version="1.0" encoding="utf-8"?>
<sst xmlns="http://schemas.openxmlformats.org/spreadsheetml/2006/main" count="4236" uniqueCount="895">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</sst>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5"/>
  <sheetViews>
    <sheetView showGridLines="0" tabSelected="1" topLeftCell="A534" zoomScaleNormal="100" zoomScaleSheetLayoutView="100" workbookViewId="0">
      <selection activeCell="AA561" sqref="AA56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/>
      <c r="I5" s="649"/>
      <c r="J5" s="649"/>
      <c r="K5" s="649"/>
      <c r="L5" s="649"/>
      <c r="M5" s="649"/>
      <c r="N5" s="72"/>
      <c r="P5" s="27" t="s">
        <v>4</v>
      </c>
      <c r="Q5" s="651">
        <v>46243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877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Воскресенье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1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0.375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60</v>
      </c>
      <c r="Y57" s="55">
        <f t="shared" si="0"/>
        <v>64.800000000000011</v>
      </c>
      <c r="Z57" s="41">
        <f>IFERROR(IF(Y57=0,"",ROUNDUP(Y57/H57,0)*0.01898),"")</f>
        <v>0.11388000000000001</v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62.277777777777779</v>
      </c>
      <c r="BN57" s="78">
        <f t="shared" si="2"/>
        <v>67.260000000000005</v>
      </c>
      <c r="BO57" s="78">
        <f t="shared" si="3"/>
        <v>8.6805555555555552E-2</v>
      </c>
      <c r="BP57" s="78">
        <f t="shared" si="4"/>
        <v>9.3750000000000014E-2</v>
      </c>
    </row>
    <row r="58" spans="1:68" ht="27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67.5</v>
      </c>
      <c r="Y62" s="55">
        <f t="shared" si="0"/>
        <v>67.5</v>
      </c>
      <c r="Z62" s="41">
        <f>IFERROR(IF(Y62=0,"",ROUNDUP(Y62/H62,0)*0.00902),"")</f>
        <v>0.1353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70.350000000000009</v>
      </c>
      <c r="BN62" s="78">
        <f t="shared" si="2"/>
        <v>70.350000000000009</v>
      </c>
      <c r="BO62" s="78">
        <f t="shared" si="3"/>
        <v>0.11363636363636365</v>
      </c>
      <c r="BP62" s="78">
        <f t="shared" si="4"/>
        <v>0.11363636363636365</v>
      </c>
    </row>
    <row r="63" spans="1:68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20.555555555555557</v>
      </c>
      <c r="Y63" s="43">
        <f>IFERROR(Y55/H55,"0")+IFERROR(Y56/H56,"0")+IFERROR(Y57/H57,"0")+IFERROR(Y58/H58,"0")+IFERROR(Y59/H59,"0")+IFERROR(Y60/H60,"0")+IFERROR(Y61/H61,"0")+IFERROR(Y62/H62,"0")</f>
        <v>21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0.24918000000000001</v>
      </c>
      <c r="AA63" s="67"/>
      <c r="AB63" s="67"/>
      <c r="AC63" s="67"/>
    </row>
    <row r="64" spans="1:68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127.5</v>
      </c>
      <c r="Y64" s="43">
        <f>IFERROR(SUM(Y55:Y62),"0")</f>
        <v>132.30000000000001</v>
      </c>
      <c r="Z64" s="42"/>
      <c r="AA64" s="67"/>
      <c r="AB64" s="67"/>
      <c r="AC64" s="67"/>
    </row>
    <row r="65" spans="1:68" ht="14.25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50</v>
      </c>
      <c r="Y66" s="55">
        <f>IFERROR(IF(X66="",0,CEILING((X66/$H66),1)*$H66),"")</f>
        <v>54</v>
      </c>
      <c r="Z66" s="41">
        <f>IFERROR(IF(Y66=0,"",ROUNDUP(Y66/H66,0)*0.01898),"")</f>
        <v>9.4899999999999998E-2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51.898148148148145</v>
      </c>
      <c r="BN66" s="78">
        <f>IFERROR(Y66*I66/H66,"0")</f>
        <v>56.05</v>
      </c>
      <c r="BO66" s="78">
        <f>IFERROR(1/J66*(X66/H66),"0")</f>
        <v>7.2337962962962965E-2</v>
      </c>
      <c r="BP66" s="78">
        <f>IFERROR(1/J66*(Y66/H66),"0")</f>
        <v>7.8125E-2</v>
      </c>
    </row>
    <row r="67" spans="1:68" ht="16.5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4.6296296296296298</v>
      </c>
      <c r="Y70" s="43">
        <f>IFERROR(Y66/H66,"0")+IFERROR(Y67/H67,"0")+IFERROR(Y68/H68,"0")+IFERROR(Y69/H69,"0")</f>
        <v>5</v>
      </c>
      <c r="Z70" s="43">
        <f>IFERROR(IF(Z66="",0,Z66),"0")+IFERROR(IF(Z67="",0,Z67),"0")+IFERROR(IF(Z68="",0,Z68),"0")+IFERROR(IF(Z69="",0,Z69),"0")</f>
        <v>9.4899999999999998E-2</v>
      </c>
      <c r="AA70" s="67"/>
      <c r="AB70" s="67"/>
      <c r="AC70" s="67"/>
    </row>
    <row r="71" spans="1:68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50</v>
      </c>
      <c r="Y71" s="43">
        <f>IFERROR(SUM(Y66:Y69),"0")</f>
        <v>54</v>
      </c>
      <c r="Z71" s="42"/>
      <c r="AA71" s="67"/>
      <c r="AB71" s="67"/>
      <c r="AC71" s="67"/>
    </row>
    <row r="72" spans="1:68" ht="14.25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50</v>
      </c>
      <c r="Y84" s="55">
        <f>IFERROR(IF(X84="",0,CEILING((X84/$H84),1)*$H84),"")</f>
        <v>54</v>
      </c>
      <c r="Z84" s="41">
        <f>IFERROR(IF(Y84=0,"",ROUNDUP(Y84/H84,0)*0.01898),"")</f>
        <v>9.4899999999999998E-2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51.898148148148145</v>
      </c>
      <c r="BN84" s="78">
        <f>IFERROR(Y84*I84/H84,"0")</f>
        <v>56.05</v>
      </c>
      <c r="BO84" s="78">
        <f>IFERROR(1/J84*(X84/H84),"0")</f>
        <v>7.2337962962962965E-2</v>
      </c>
      <c r="BP84" s="78">
        <f>IFERROR(1/J84*(Y84/H84),"0")</f>
        <v>7.8125E-2</v>
      </c>
    </row>
    <row r="85" spans="1:68" ht="27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67.5</v>
      </c>
      <c r="Y87" s="55">
        <f>IFERROR(IF(X87="",0,CEILING((X87/$H87),1)*$H87),"")</f>
        <v>67.5</v>
      </c>
      <c r="Z87" s="41">
        <f>IFERROR(IF(Y87=0,"",ROUNDUP(Y87/H87,0)*0.00902),"")</f>
        <v>0.1353</v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70.350000000000009</v>
      </c>
      <c r="BN87" s="78">
        <f>IFERROR(Y87*I87/H87,"0")</f>
        <v>70.350000000000009</v>
      </c>
      <c r="BO87" s="78">
        <f>IFERROR(1/J87*(X87/H87),"0")</f>
        <v>0.11363636363636365</v>
      </c>
      <c r="BP87" s="78">
        <f>IFERROR(1/J87*(Y87/H87),"0")</f>
        <v>0.11363636363636365</v>
      </c>
    </row>
    <row r="88" spans="1:68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19.62962962962963</v>
      </c>
      <c r="Y88" s="43">
        <f>IFERROR(Y84/H84,"0")+IFERROR(Y85/H85,"0")+IFERROR(Y86/H86,"0")+IFERROR(Y87/H87,"0")</f>
        <v>20</v>
      </c>
      <c r="Z88" s="43">
        <f>IFERROR(IF(Z84="",0,Z84),"0")+IFERROR(IF(Z85="",0,Z85),"0")+IFERROR(IF(Z86="",0,Z86),"0")+IFERROR(IF(Z87="",0,Z87),"0")</f>
        <v>0.23020000000000002</v>
      </c>
      <c r="AA88" s="67"/>
      <c r="AB88" s="67"/>
      <c r="AC88" s="67"/>
    </row>
    <row r="89" spans="1:68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117.5</v>
      </c>
      <c r="Y89" s="43">
        <f>IFERROR(SUM(Y84:Y87),"0")</f>
        <v>121.5</v>
      </c>
      <c r="Z89" s="42"/>
      <c r="AA89" s="67"/>
      <c r="AB89" s="67"/>
      <c r="AC89" s="67"/>
    </row>
    <row r="90" spans="1:68" ht="14.25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150</v>
      </c>
      <c r="Y91" s="55">
        <f>IFERROR(IF(X91="",0,CEILING((X91/$H91),1)*$H91),"")</f>
        <v>153.9</v>
      </c>
      <c r="Z91" s="41">
        <f>IFERROR(IF(Y91=0,"",ROUNDUP(Y91/H91,0)*0.01898),"")</f>
        <v>0.36062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159.14814814814815</v>
      </c>
      <c r="BN91" s="78">
        <f>IFERROR(Y91*I91/H91,"0")</f>
        <v>163.286</v>
      </c>
      <c r="BO91" s="78">
        <f>IFERROR(1/J91*(X91/H91),"0")</f>
        <v>0.28935185185185186</v>
      </c>
      <c r="BP91" s="78">
        <f>IFERROR(1/J91*(Y91/H91),"0")</f>
        <v>0.296875</v>
      </c>
    </row>
    <row r="92" spans="1:68" ht="27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13.5</v>
      </c>
      <c r="Y93" s="55">
        <f>IFERROR(IF(X93="",0,CEILING((X93/$H93),1)*$H93),"")</f>
        <v>13.5</v>
      </c>
      <c r="Z93" s="41">
        <f>IFERROR(IF(Y93=0,"",ROUNDUP(Y93/H93,0)*0.00651),"")</f>
        <v>3.2550000000000003E-2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14.759999999999998</v>
      </c>
      <c r="BN93" s="78">
        <f>IFERROR(Y93*I93/H93,"0")</f>
        <v>14.759999999999998</v>
      </c>
      <c r="BO93" s="78">
        <f>IFERROR(1/J93*(X93/H93),"0")</f>
        <v>2.7472527472527476E-2</v>
      </c>
      <c r="BP93" s="78">
        <f>IFERROR(1/J93*(Y93/H93),"0")</f>
        <v>2.7472527472527476E-2</v>
      </c>
    </row>
    <row r="94" spans="1:68" ht="16.5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23.518518518518519</v>
      </c>
      <c r="Y95" s="43">
        <f>IFERROR(Y91/H91,"0")+IFERROR(Y92/H92,"0")+IFERROR(Y93/H93,"0")+IFERROR(Y94/H94,"0")</f>
        <v>24</v>
      </c>
      <c r="Z95" s="43">
        <f>IFERROR(IF(Z91="",0,Z91),"0")+IFERROR(IF(Z92="",0,Z92),"0")+IFERROR(IF(Z93="",0,Z93),"0")+IFERROR(IF(Z94="",0,Z94),"0")</f>
        <v>0.39317000000000002</v>
      </c>
      <c r="AA95" s="67"/>
      <c r="AB95" s="67"/>
      <c r="AC95" s="67"/>
    </row>
    <row r="96" spans="1:68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163.5</v>
      </c>
      <c r="Y96" s="43">
        <f>IFERROR(SUM(Y91:Y94),"0")</f>
        <v>167.4</v>
      </c>
      <c r="Z96" s="42"/>
      <c r="AA96" s="67"/>
      <c r="AB96" s="67"/>
      <c r="AC96" s="67"/>
    </row>
    <row r="97" spans="1:68" ht="16.5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30</v>
      </c>
      <c r="Y99" s="55">
        <f t="shared" ref="Y99:Y105" si="5">IFERROR(IF(X99="",0,CEILING((X99/$H99),1)*$H99),"")</f>
        <v>32.400000000000006</v>
      </c>
      <c r="Z99" s="41">
        <f>IFERROR(IF(Y99=0,"",ROUNDUP(Y99/H99,0)*0.01898),"")</f>
        <v>5.6940000000000004E-2</v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31.138888888888889</v>
      </c>
      <c r="BN99" s="78">
        <f t="shared" ref="BN99:BN105" si="7">IFERROR(Y99*I99/H99,"0")</f>
        <v>33.630000000000003</v>
      </c>
      <c r="BO99" s="78">
        <f t="shared" ref="BO99:BO105" si="8">IFERROR(1/J99*(X99/H99),"0")</f>
        <v>4.3402777777777776E-2</v>
      </c>
      <c r="BP99" s="78">
        <f t="shared" ref="BP99:BP105" si="9">IFERROR(1/J99*(Y99/H99),"0")</f>
        <v>4.6875000000000007E-2</v>
      </c>
    </row>
    <row r="100" spans="1:68" ht="27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13.5</v>
      </c>
      <c r="Y104" s="55">
        <f t="shared" si="5"/>
        <v>13.5</v>
      </c>
      <c r="Z104" s="41">
        <f>IFERROR(IF(Y104=0,"",ROUNDUP(Y104/H104,0)*0.00902),"")</f>
        <v>2.7060000000000001E-2</v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14.07</v>
      </c>
      <c r="BN104" s="78">
        <f t="shared" si="7"/>
        <v>14.07</v>
      </c>
      <c r="BO104" s="78">
        <f t="shared" si="8"/>
        <v>2.2727272727272728E-2</v>
      </c>
      <c r="BP104" s="78">
        <f t="shared" si="9"/>
        <v>2.2727272727272728E-2</v>
      </c>
    </row>
    <row r="105" spans="1:68" ht="37.5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5.7777777777777777</v>
      </c>
      <c r="Y106" s="43">
        <f>IFERROR(Y99/H99,"0")+IFERROR(Y100/H100,"0")+IFERROR(Y101/H101,"0")+IFERROR(Y102/H102,"0")+IFERROR(Y103/H103,"0")+IFERROR(Y104/H104,"0")+IFERROR(Y105/H105,"0")</f>
        <v>6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8.4000000000000005E-2</v>
      </c>
      <c r="AA106" s="67"/>
      <c r="AB106" s="67"/>
      <c r="AC106" s="67"/>
    </row>
    <row r="107" spans="1:68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43.5</v>
      </c>
      <c r="Y107" s="43">
        <f>IFERROR(SUM(Y99:Y105),"0")</f>
        <v>45.900000000000006</v>
      </c>
      <c r="Z107" s="42"/>
      <c r="AA107" s="67"/>
      <c r="AB107" s="67"/>
      <c r="AC107" s="67"/>
    </row>
    <row r="108" spans="1:68" ht="14.25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250</v>
      </c>
      <c r="Y117" s="55">
        <f>IFERROR(IF(X117="",0,CEILING((X117/$H117),1)*$H117),"")</f>
        <v>251.1</v>
      </c>
      <c r="Z117" s="41">
        <f>IFERROR(IF(Y117=0,"",ROUNDUP(Y117/H117,0)*0.01898),"")</f>
        <v>0.58838000000000001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265.06172839506172</v>
      </c>
      <c r="BN117" s="78">
        <f>IFERROR(Y117*I117/H117,"0")</f>
        <v>266.22799999999995</v>
      </c>
      <c r="BO117" s="78">
        <f>IFERROR(1/J117*(X117/H117),"0")</f>
        <v>0.48225308641975312</v>
      </c>
      <c r="BP117" s="78">
        <f>IFERROR(1/J117*(Y117/H117),"0")</f>
        <v>0.484375</v>
      </c>
    </row>
    <row r="118" spans="1:68" ht="27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36</v>
      </c>
      <c r="Y119" s="55">
        <f>IFERROR(IF(X119="",0,CEILING((X119/$H119),1)*$H119),"")</f>
        <v>37.800000000000004</v>
      </c>
      <c r="Z119" s="41">
        <f>IFERROR(IF(Y119=0,"",ROUNDUP(Y119/H119,0)*0.00651),"")</f>
        <v>9.1139999999999999E-2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39.359999999999992</v>
      </c>
      <c r="BN119" s="78">
        <f>IFERROR(Y119*I119/H119,"0")</f>
        <v>41.328000000000003</v>
      </c>
      <c r="BO119" s="78">
        <f>IFERROR(1/J119*(X119/H119),"0")</f>
        <v>7.3260073260073263E-2</v>
      </c>
      <c r="BP119" s="78">
        <f>IFERROR(1/J119*(Y119/H119),"0")</f>
        <v>7.6923076923076927E-2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12</v>
      </c>
      <c r="Y120" s="55">
        <f>IFERROR(IF(X120="",0,CEILING((X120/$H120),1)*$H120),"")</f>
        <v>12.6</v>
      </c>
      <c r="Z120" s="41">
        <f>IFERROR(IF(Y120=0,"",ROUNDUP(Y120/H120,0)*0.00651),"")</f>
        <v>4.5569999999999999E-2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13.2</v>
      </c>
      <c r="BN120" s="78">
        <f>IFERROR(Y120*I120/H120,"0")</f>
        <v>13.86</v>
      </c>
      <c r="BO120" s="78">
        <f>IFERROR(1/J120*(X120/H120),"0")</f>
        <v>3.6630036630036632E-2</v>
      </c>
      <c r="BP120" s="78">
        <f>IFERROR(1/J120*(Y120/H120),"0")</f>
        <v>3.8461538461538464E-2</v>
      </c>
    </row>
    <row r="121" spans="1:68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50.864197530864196</v>
      </c>
      <c r="Y121" s="43">
        <f>IFERROR(Y117/H117,"0")+IFERROR(Y118/H118,"0")+IFERROR(Y119/H119,"0")+IFERROR(Y120/H120,"0")</f>
        <v>52</v>
      </c>
      <c r="Z121" s="43">
        <f>IFERROR(IF(Z117="",0,Z117),"0")+IFERROR(IF(Z118="",0,Z118),"0")+IFERROR(IF(Z119="",0,Z119),"0")+IFERROR(IF(Z120="",0,Z120),"0")</f>
        <v>0.72509000000000001</v>
      </c>
      <c r="AA121" s="67"/>
      <c r="AB121" s="67"/>
      <c r="AC121" s="67"/>
    </row>
    <row r="122" spans="1:68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298</v>
      </c>
      <c r="Y122" s="43">
        <f>IFERROR(SUM(Y117:Y120),"0")</f>
        <v>301.5</v>
      </c>
      <c r="Z122" s="42"/>
      <c r="AA122" s="67"/>
      <c r="AB122" s="67"/>
      <c r="AC122" s="67"/>
    </row>
    <row r="123" spans="1:68" ht="14.25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12</v>
      </c>
      <c r="Y130" s="55">
        <f>IFERROR(IF(X130="",0,CEILING((X130/$H130),1)*$H130),"")</f>
        <v>12.8</v>
      </c>
      <c r="Z130" s="41">
        <f>IFERROR(IF(Y130=0,"",ROUNDUP(Y130/H130,0)*0.00651),"")</f>
        <v>2.6040000000000001E-2</v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12.675000000000001</v>
      </c>
      <c r="BN130" s="78">
        <f>IFERROR(Y130*I130/H130,"0")</f>
        <v>13.52</v>
      </c>
      <c r="BO130" s="78">
        <f>IFERROR(1/J130*(X130/H130),"0")</f>
        <v>2.0604395604395608E-2</v>
      </c>
      <c r="BP130" s="78">
        <f>IFERROR(1/J130*(Y130/H130),"0")</f>
        <v>2.197802197802198E-2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3.75</v>
      </c>
      <c r="Y132" s="43">
        <f>IFERROR(Y129/H129,"0")+IFERROR(Y130/H130,"0")+IFERROR(Y131/H131,"0")</f>
        <v>4</v>
      </c>
      <c r="Z132" s="43">
        <f>IFERROR(IF(Z129="",0,Z129),"0")+IFERROR(IF(Z130="",0,Z130),"0")+IFERROR(IF(Z131="",0,Z131),"0")</f>
        <v>2.6040000000000001E-2</v>
      </c>
      <c r="AA132" s="67"/>
      <c r="AB132" s="67"/>
      <c r="AC132" s="67"/>
    </row>
    <row r="133" spans="1:68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12</v>
      </c>
      <c r="Y133" s="43">
        <f>IFERROR(SUM(Y129:Y131),"0")</f>
        <v>12.8</v>
      </c>
      <c r="Z133" s="42"/>
      <c r="AA133" s="67"/>
      <c r="AB133" s="67"/>
      <c r="AC133" s="67"/>
    </row>
    <row r="134" spans="1:68" ht="14.25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20</v>
      </c>
      <c r="Y175" s="55">
        <f t="shared" ref="Y175:Y185" si="16">IFERROR(IF(X175="",0,CEILING((X175/$H175),1)*$H175),"")</f>
        <v>21</v>
      </c>
      <c r="Z175" s="41">
        <f>IFERROR(IF(Y175=0,"",ROUNDUP(Y175/H175,0)*0.00902),"")</f>
        <v>5.4120000000000001E-2</v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21.085714285714285</v>
      </c>
      <c r="BN175" s="78">
        <f t="shared" ref="BN175:BN185" si="18">IFERROR(Y175*I175/H175,"0")</f>
        <v>22.139999999999997</v>
      </c>
      <c r="BO175" s="78">
        <f t="shared" ref="BO175:BO185" si="19">IFERROR(1/J175*(X175/H175),"0")</f>
        <v>4.3290043290043295E-2</v>
      </c>
      <c r="BP175" s="78">
        <f t="shared" ref="BP175:BP185" si="20">IFERROR(1/J175*(Y175/H175),"0")</f>
        <v>4.5454545454545456E-2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30</v>
      </c>
      <c r="Y178" s="55">
        <f t="shared" si="16"/>
        <v>31.5</v>
      </c>
      <c r="Z178" s="41">
        <f>IFERROR(IF(Y178=0,"",ROUNDUP(Y178/H178,0)*0.00902),"")</f>
        <v>8.1180000000000002E-2</v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31.62857142857143</v>
      </c>
      <c r="BN178" s="78">
        <f t="shared" si="18"/>
        <v>33.21</v>
      </c>
      <c r="BO178" s="78">
        <f t="shared" si="19"/>
        <v>6.4935064935064929E-2</v>
      </c>
      <c r="BP178" s="78">
        <f t="shared" si="20"/>
        <v>6.8181818181818177E-2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14.285714285714285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15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0.1353</v>
      </c>
      <c r="AA186" s="67"/>
      <c r="AB186" s="67"/>
      <c r="AC186" s="67"/>
    </row>
    <row r="187" spans="1:68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50</v>
      </c>
      <c r="Y187" s="43">
        <f>IFERROR(SUM(Y175:Y185),"0")</f>
        <v>52.5</v>
      </c>
      <c r="Z187" s="42"/>
      <c r="AA187" s="67"/>
      <c r="AB187" s="67"/>
      <c r="AC187" s="67"/>
    </row>
    <row r="188" spans="1:68" ht="14.25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3.2</v>
      </c>
      <c r="Y224" s="55">
        <f t="shared" si="27"/>
        <v>3.2</v>
      </c>
      <c r="Z224" s="41">
        <f>IFERROR(IF(Y224=0,"",ROUNDUP(Y224/H224,0)*0.00556),"")</f>
        <v>2.2239999999999999E-2</v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3.72</v>
      </c>
      <c r="BN224" s="78">
        <f t="shared" si="29"/>
        <v>3.72</v>
      </c>
      <c r="BO224" s="78">
        <f t="shared" si="30"/>
        <v>1.5873015873015872E-2</v>
      </c>
      <c r="BP224" s="78">
        <f t="shared" si="31"/>
        <v>1.5873015873015872E-2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9</v>
      </c>
      <c r="Y230" s="55">
        <f t="shared" si="27"/>
        <v>9</v>
      </c>
      <c r="Z230" s="41">
        <f t="shared" si="32"/>
        <v>2.5100000000000001E-2</v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9.65</v>
      </c>
      <c r="BN230" s="78">
        <f t="shared" si="29"/>
        <v>9.65</v>
      </c>
      <c r="BO230" s="78">
        <f t="shared" si="30"/>
        <v>2.1367521367521368E-2</v>
      </c>
      <c r="BP230" s="78">
        <f t="shared" si="31"/>
        <v>2.1367521367521368E-2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3.2</v>
      </c>
      <c r="Y231" s="55">
        <f t="shared" si="27"/>
        <v>3.2</v>
      </c>
      <c r="Z231" s="41">
        <f>IFERROR(IF(Y231=0,"",ROUNDUP(Y231/H231,0)*0.00417),"")</f>
        <v>1.668E-2</v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4.04</v>
      </c>
      <c r="BN231" s="78">
        <f t="shared" si="29"/>
        <v>4.04</v>
      </c>
      <c r="BO231" s="78">
        <f t="shared" si="30"/>
        <v>1.1904761904761904E-2</v>
      </c>
      <c r="BP231" s="78">
        <f t="shared" si="31"/>
        <v>1.1904761904761904E-2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13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13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6.4019999999999994E-2</v>
      </c>
      <c r="AA235" s="67"/>
      <c r="AB235" s="67"/>
      <c r="AC235" s="67"/>
    </row>
    <row r="236" spans="1:68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15.399999999999999</v>
      </c>
      <c r="Y236" s="43">
        <f>IFERROR(SUM(Y221:Y234),"0")</f>
        <v>15.399999999999999</v>
      </c>
      <c r="Z236" s="42"/>
      <c r="AA236" s="67"/>
      <c r="AB236" s="67"/>
      <c r="AC236" s="67"/>
    </row>
    <row r="237" spans="1:68" ht="14.25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2.8</v>
      </c>
      <c r="Y246" s="55">
        <f>IFERROR(IF(X246="",0,CEILING((X246/$H246),1)*$H246),"")</f>
        <v>3.7800000000000002</v>
      </c>
      <c r="Z246" s="41">
        <f>IFERROR(IF(Y246=0,"",ROUNDUP(Y246/H246,0)*0.0059),"")</f>
        <v>1.77E-2</v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3.2222222222222219</v>
      </c>
      <c r="BN246" s="78">
        <f>IFERROR(Y246*I246/H246,"0")</f>
        <v>4.3499999999999996</v>
      </c>
      <c r="BO246" s="78">
        <f>IFERROR(1/J246*(X246/H246),"0")</f>
        <v>1.0288065843621397E-2</v>
      </c>
      <c r="BP246" s="78">
        <f>IFERROR(1/J246*(Y246/H246),"0")</f>
        <v>1.3888888888888888E-2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2.2222222222222219</v>
      </c>
      <c r="Y249" s="43">
        <f>IFERROR(Y246/H246,"0")+IFERROR(Y247/H247,"0")+IFERROR(Y248/H248,"0")</f>
        <v>3</v>
      </c>
      <c r="Z249" s="43">
        <f>IFERROR(IF(Z246="",0,Z246),"0")+IFERROR(IF(Z247="",0,Z247),"0")+IFERROR(IF(Z248="",0,Z248),"0")</f>
        <v>1.77E-2</v>
      </c>
      <c r="AA249" s="67"/>
      <c r="AB249" s="67"/>
      <c r="AC249" s="67"/>
    </row>
    <row r="250" spans="1:68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2.8</v>
      </c>
      <c r="Y250" s="43">
        <f>IFERROR(SUM(Y246:Y248),"0")</f>
        <v>3.7800000000000002</v>
      </c>
      <c r="Z250" s="42"/>
      <c r="AA250" s="67"/>
      <c r="AB250" s="67"/>
      <c r="AC250" s="67"/>
    </row>
    <row r="251" spans="1:68" ht="14.25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80</v>
      </c>
      <c r="Y267" s="55">
        <f t="shared" ref="Y267:Y274" si="33">IFERROR(IF(X267="",0,CEILING((X267/$H267),1)*$H267),"")</f>
        <v>81</v>
      </c>
      <c r="Z267" s="41">
        <f>IFERROR(IF(Y267=0,"",ROUNDUP(Y267/H267,0)*0.00902),"")</f>
        <v>0.1353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82.81481481481481</v>
      </c>
      <c r="BN267" s="78">
        <f t="shared" ref="BN267:BN274" si="35">IFERROR(Y267*I267/H267,"0")</f>
        <v>83.85</v>
      </c>
      <c r="BO267" s="78">
        <f t="shared" ref="BO267:BO274" si="36">IFERROR(1/J267*(X267/H267),"0")</f>
        <v>0.11223344556677889</v>
      </c>
      <c r="BP267" s="78">
        <f t="shared" ref="BP267:BP274" si="37">IFERROR(1/J267*(Y267/H267),"0")</f>
        <v>0.11363636363636363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40</v>
      </c>
      <c r="Y268" s="55">
        <f t="shared" si="33"/>
        <v>43.2</v>
      </c>
      <c r="Z268" s="41">
        <f>IFERROR(IF(Y268=0,"",ROUNDUP(Y268/H268,0)*0.00902),"")</f>
        <v>7.2160000000000002E-2</v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41.407407407407405</v>
      </c>
      <c r="BN268" s="78">
        <f t="shared" si="35"/>
        <v>44.72</v>
      </c>
      <c r="BO268" s="78">
        <f t="shared" si="36"/>
        <v>5.6116722783389444E-2</v>
      </c>
      <c r="BP268" s="78">
        <f t="shared" si="37"/>
        <v>6.0606060606060608E-2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50</v>
      </c>
      <c r="Y269" s="55">
        <f t="shared" si="33"/>
        <v>54</v>
      </c>
      <c r="Z269" s="41">
        <f>IFERROR(IF(Y269=0,"",ROUNDUP(Y269/H269,0)*0.00902),"")</f>
        <v>9.0200000000000002E-2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51.759259259259252</v>
      </c>
      <c r="BN269" s="78">
        <f t="shared" si="35"/>
        <v>55.9</v>
      </c>
      <c r="BO269" s="78">
        <f t="shared" si="36"/>
        <v>7.0145903479236812E-2</v>
      </c>
      <c r="BP269" s="78">
        <f t="shared" si="37"/>
        <v>7.575757575757576E-2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80</v>
      </c>
      <c r="Y270" s="55">
        <f t="shared" si="33"/>
        <v>81</v>
      </c>
      <c r="Z270" s="41">
        <f>IFERROR(IF(Y270=0,"",ROUNDUP(Y270/H270,0)*0.00902),"")</f>
        <v>0.1353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82.81481481481481</v>
      </c>
      <c r="BN270" s="78">
        <f t="shared" si="35"/>
        <v>83.85</v>
      </c>
      <c r="BO270" s="78">
        <f t="shared" si="36"/>
        <v>0.11223344556677889</v>
      </c>
      <c r="BP270" s="78">
        <f t="shared" si="37"/>
        <v>0.11363636363636363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30</v>
      </c>
      <c r="Y271" s="55">
        <f t="shared" si="33"/>
        <v>30.6</v>
      </c>
      <c r="Z271" s="41">
        <f>IFERROR(IF(Y271=0,"",ROUNDUP(Y271/H271,0)*0.00502),"")</f>
        <v>8.5339999999999999E-2</v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32.166666666666664</v>
      </c>
      <c r="BN271" s="78">
        <f t="shared" si="35"/>
        <v>32.81</v>
      </c>
      <c r="BO271" s="78">
        <f t="shared" si="36"/>
        <v>7.122507122507124E-2</v>
      </c>
      <c r="BP271" s="78">
        <f t="shared" si="37"/>
        <v>7.2649572649572655E-2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30</v>
      </c>
      <c r="Y272" s="55">
        <f t="shared" si="33"/>
        <v>30.6</v>
      </c>
      <c r="Z272" s="41">
        <f>IFERROR(IF(Y272=0,"",ROUNDUP(Y272/H272,0)*0.00502),"")</f>
        <v>8.5339999999999999E-2</v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31.666666666666664</v>
      </c>
      <c r="BN272" s="78">
        <f t="shared" si="35"/>
        <v>32.299999999999997</v>
      </c>
      <c r="BO272" s="78">
        <f t="shared" si="36"/>
        <v>7.122507122507124E-2</v>
      </c>
      <c r="BP272" s="78">
        <f t="shared" si="37"/>
        <v>7.2649572649572655E-2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30</v>
      </c>
      <c r="Y273" s="55">
        <f t="shared" si="33"/>
        <v>30.6</v>
      </c>
      <c r="Z273" s="41">
        <f>IFERROR(IF(Y273=0,"",ROUNDUP(Y273/H273,0)*0.00502),"")</f>
        <v>8.5339999999999999E-2</v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31.666666666666664</v>
      </c>
      <c r="BN273" s="78">
        <f t="shared" si="35"/>
        <v>32.299999999999997</v>
      </c>
      <c r="BO273" s="78">
        <f t="shared" si="36"/>
        <v>7.122507122507124E-2</v>
      </c>
      <c r="BP273" s="78">
        <f t="shared" si="37"/>
        <v>7.2649572649572655E-2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30</v>
      </c>
      <c r="Y274" s="55">
        <f t="shared" si="33"/>
        <v>30.6</v>
      </c>
      <c r="Z274" s="41">
        <f>IFERROR(IF(Y274=0,"",ROUNDUP(Y274/H274,0)*0.00502),"")</f>
        <v>8.5339999999999999E-2</v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31.666666666666664</v>
      </c>
      <c r="BN274" s="78">
        <f t="shared" si="35"/>
        <v>32.299999999999997</v>
      </c>
      <c r="BO274" s="78">
        <f t="shared" si="36"/>
        <v>7.122507122507124E-2</v>
      </c>
      <c r="BP274" s="78">
        <f t="shared" si="37"/>
        <v>7.2649572649572655E-2</v>
      </c>
    </row>
    <row r="275" spans="1:68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112.96296296296298</v>
      </c>
      <c r="Y275" s="43">
        <f>IFERROR(Y267/H267,"0")+IFERROR(Y268/H268,"0")+IFERROR(Y269/H269,"0")+IFERROR(Y270/H270,"0")+IFERROR(Y271/H271,"0")+IFERROR(Y272/H272,"0")+IFERROR(Y273/H273,"0")+IFERROR(Y274/H274,"0")</f>
        <v>116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0.7743199999999999</v>
      </c>
      <c r="AA275" s="67"/>
      <c r="AB275" s="67"/>
      <c r="AC275" s="67"/>
    </row>
    <row r="276" spans="1:68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370</v>
      </c>
      <c r="Y276" s="43">
        <f>IFERROR(SUM(Y267:Y274),"0")</f>
        <v>381.60000000000008</v>
      </c>
      <c r="Z276" s="42"/>
      <c r="AA276" s="67"/>
      <c r="AB276" s="67"/>
      <c r="AC276" s="67"/>
    </row>
    <row r="277" spans="1:68" ht="14.25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32</v>
      </c>
      <c r="Y281" s="55">
        <f t="shared" si="38"/>
        <v>33.6</v>
      </c>
      <c r="Z281" s="41">
        <f>IFERROR(IF(Y281=0,"",ROUNDUP(Y281/H281,0)*0.00651),"")</f>
        <v>9.1139999999999999E-2</v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35.6</v>
      </c>
      <c r="BN281" s="78">
        <f t="shared" si="40"/>
        <v>37.380000000000003</v>
      </c>
      <c r="BO281" s="78">
        <f t="shared" si="41"/>
        <v>7.3260073260073263E-2</v>
      </c>
      <c r="BP281" s="78">
        <f t="shared" si="42"/>
        <v>7.6923076923076941E-2</v>
      </c>
    </row>
    <row r="282" spans="1:68" ht="27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80</v>
      </c>
      <c r="Y284" s="55">
        <f t="shared" si="38"/>
        <v>81.599999999999994</v>
      </c>
      <c r="Z284" s="41">
        <f>IFERROR(IF(Y284=0,"",ROUNDUP(Y284/H284,0)*0.00651),"")</f>
        <v>0.22134000000000001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88.40000000000002</v>
      </c>
      <c r="BN284" s="78">
        <f t="shared" si="40"/>
        <v>90.168000000000006</v>
      </c>
      <c r="BO284" s="78">
        <f t="shared" si="41"/>
        <v>0.18315018315018317</v>
      </c>
      <c r="BP284" s="78">
        <f t="shared" si="42"/>
        <v>0.18681318681318682</v>
      </c>
    </row>
    <row r="285" spans="1:68" ht="27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32</v>
      </c>
      <c r="Y286" s="55">
        <f t="shared" si="38"/>
        <v>33.6</v>
      </c>
      <c r="Z286" s="41">
        <f>IFERROR(IF(Y286=0,"",ROUNDUP(Y286/H286,0)*0.00651),"")</f>
        <v>9.1139999999999999E-2</v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35.360000000000007</v>
      </c>
      <c r="BN286" s="78">
        <f t="shared" si="40"/>
        <v>37.128000000000007</v>
      </c>
      <c r="BO286" s="78">
        <f t="shared" si="41"/>
        <v>7.3260073260073263E-2</v>
      </c>
      <c r="BP286" s="78">
        <f t="shared" si="42"/>
        <v>7.6923076923076941E-2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32</v>
      </c>
      <c r="Y288" s="55">
        <f t="shared" si="38"/>
        <v>33.6</v>
      </c>
      <c r="Z288" s="41">
        <f>IFERROR(IF(Y288=0,"",ROUNDUP(Y288/H288,0)*0.00651),"")</f>
        <v>9.1139999999999999E-2</v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35.44</v>
      </c>
      <c r="BN288" s="78">
        <f t="shared" si="40"/>
        <v>37.212000000000003</v>
      </c>
      <c r="BO288" s="78">
        <f t="shared" si="41"/>
        <v>7.3260073260073263E-2</v>
      </c>
      <c r="BP288" s="78">
        <f t="shared" si="42"/>
        <v>7.6923076923076941E-2</v>
      </c>
    </row>
    <row r="289" spans="1:68" ht="27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73.333333333333343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76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0.49475999999999998</v>
      </c>
      <c r="AA290" s="67"/>
      <c r="AB290" s="67"/>
      <c r="AC290" s="67"/>
    </row>
    <row r="291" spans="1:68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176</v>
      </c>
      <c r="Y291" s="43">
        <f>IFERROR(SUM(Y278:Y289),"0")</f>
        <v>182.39999999999998</v>
      </c>
      <c r="Z291" s="42"/>
      <c r="AA291" s="67"/>
      <c r="AB291" s="67"/>
      <c r="AC291" s="67"/>
    </row>
    <row r="292" spans="1:68" ht="14.25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28</v>
      </c>
      <c r="Y294" s="55">
        <f>IFERROR(IF(X294="",0,CEILING((X294/$H294),1)*$H294),"")</f>
        <v>28.799999999999997</v>
      </c>
      <c r="Z294" s="41">
        <f>IFERROR(IF(Y294=0,"",ROUNDUP(Y294/H294,0)*0.00651),"")</f>
        <v>7.8119999999999995E-2</v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30.94</v>
      </c>
      <c r="BN294" s="78">
        <f>IFERROR(Y294*I294/H294,"0")</f>
        <v>31.824000000000002</v>
      </c>
      <c r="BO294" s="78">
        <f>IFERROR(1/J294*(X294/H294),"0")</f>
        <v>6.4102564102564111E-2</v>
      </c>
      <c r="BP294" s="78">
        <f>IFERROR(1/J294*(Y294/H294),"0")</f>
        <v>6.5934065934065936E-2</v>
      </c>
    </row>
    <row r="295" spans="1:68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11.666666666666668</v>
      </c>
      <c r="Y295" s="43">
        <f>IFERROR(Y293/H293,"0")+IFERROR(Y294/H294,"0")</f>
        <v>12</v>
      </c>
      <c r="Z295" s="43">
        <f>IFERROR(IF(Z293="",0,Z293),"0")+IFERROR(IF(Z294="",0,Z294),"0")</f>
        <v>7.8119999999999995E-2</v>
      </c>
      <c r="AA295" s="67"/>
      <c r="AB295" s="67"/>
      <c r="AC295" s="67"/>
    </row>
    <row r="296" spans="1:68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28</v>
      </c>
      <c r="Y296" s="43">
        <f>IFERROR(SUM(Y293:Y294),"0")</f>
        <v>28.799999999999997</v>
      </c>
      <c r="Z296" s="42"/>
      <c r="AA296" s="67"/>
      <c r="AB296" s="67"/>
      <c r="AC296" s="67"/>
    </row>
    <row r="297" spans="1:68" ht="16.5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4.8</v>
      </c>
      <c r="Y318" s="55">
        <f>IFERROR(IF(X318="",0,CEILING((X318/$H318),1)*$H318),"")</f>
        <v>5.4</v>
      </c>
      <c r="Z318" s="41">
        <f>IFERROR(IF(Y318=0,"",ROUNDUP(Y318/H318,0)*0.0059),"")</f>
        <v>1.77E-2</v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5.2666666666666666</v>
      </c>
      <c r="BN318" s="78">
        <f>IFERROR(Y318*I318/H318,"0")</f>
        <v>5.9250000000000007</v>
      </c>
      <c r="BO318" s="78">
        <f>IFERROR(1/J318*(X318/H318),"0")</f>
        <v>1.2345679012345678E-2</v>
      </c>
      <c r="BP318" s="78">
        <f>IFERROR(1/J318*(Y318/H318),"0")</f>
        <v>1.3888888888888888E-2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2.6666666666666665</v>
      </c>
      <c r="Y320" s="43">
        <f>IFERROR(Y317/H317,"0")+IFERROR(Y318/H318,"0")+IFERROR(Y319/H319,"0")</f>
        <v>3</v>
      </c>
      <c r="Z320" s="43">
        <f>IFERROR(IF(Z317="",0,Z317),"0")+IFERROR(IF(Z318="",0,Z318),"0")+IFERROR(IF(Z319="",0,Z319),"0")</f>
        <v>1.77E-2</v>
      </c>
      <c r="AA320" s="67"/>
      <c r="AB320" s="67"/>
      <c r="AC320" s="67"/>
    </row>
    <row r="321" spans="1:68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4.8</v>
      </c>
      <c r="Y321" s="43">
        <f>IFERROR(SUM(Y317:Y319),"0")</f>
        <v>5.4</v>
      </c>
      <c r="Z321" s="42"/>
      <c r="AA321" s="67"/>
      <c r="AB321" s="67"/>
      <c r="AC321" s="67"/>
    </row>
    <row r="322" spans="1:68" ht="16.5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15</v>
      </c>
      <c r="Y324" s="55">
        <f>IFERROR(IF(X324="",0,CEILING((X324/$H324),1)*$H324),"")</f>
        <v>21.6</v>
      </c>
      <c r="Z324" s="41">
        <f>IFERROR(IF(Y324=0,"",ROUNDUP(Y324/H324,0)*0.01898),"")</f>
        <v>3.7960000000000001E-2</v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15.569444444444445</v>
      </c>
      <c r="BN324" s="78">
        <f>IFERROR(Y324*I324/H324,"0")</f>
        <v>22.42</v>
      </c>
      <c r="BO324" s="78">
        <f>IFERROR(1/J324*(X324/H324),"0")</f>
        <v>2.1701388888888888E-2</v>
      </c>
      <c r="BP324" s="78">
        <f>IFERROR(1/J324*(Y324/H324),"0")</f>
        <v>3.125E-2</v>
      </c>
    </row>
    <row r="325" spans="1:68" ht="37.5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1.3888888888888888</v>
      </c>
      <c r="Y329" s="43">
        <f>IFERROR(Y324/H324,"0")+IFERROR(Y325/H325,"0")+IFERROR(Y326/H326,"0")+IFERROR(Y327/H327,"0")+IFERROR(Y328/H328,"0")</f>
        <v>2</v>
      </c>
      <c r="Z329" s="43">
        <f>IFERROR(IF(Z324="",0,Z324),"0")+IFERROR(IF(Z325="",0,Z325),"0")+IFERROR(IF(Z326="",0,Z326),"0")+IFERROR(IF(Z327="",0,Z327),"0")+IFERROR(IF(Z328="",0,Z328),"0")</f>
        <v>3.7960000000000001E-2</v>
      </c>
      <c r="AA329" s="67"/>
      <c r="AB329" s="67"/>
      <c r="AC329" s="67"/>
    </row>
    <row r="330" spans="1:68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15</v>
      </c>
      <c r="Y330" s="43">
        <f>IFERROR(SUM(Y324:Y328),"0")</f>
        <v>21.6</v>
      </c>
      <c r="Z330" s="42"/>
      <c r="AA330" s="67"/>
      <c r="AB330" s="67"/>
      <c r="AC330" s="67"/>
    </row>
    <row r="331" spans="1:68" ht="16.5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32</v>
      </c>
      <c r="Y334" s="55">
        <f>IFERROR(IF(X334="",0,CEILING((X334/$H334),1)*$H334),"")</f>
        <v>33.6</v>
      </c>
      <c r="Z334" s="41">
        <f>IFERROR(IF(Y334=0,"",ROUNDUP(Y334/H334,0)*0.00651),"")</f>
        <v>9.1139999999999999E-2</v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35.360000000000007</v>
      </c>
      <c r="BN334" s="78">
        <f>IFERROR(Y334*I334/H334,"0")</f>
        <v>37.128000000000007</v>
      </c>
      <c r="BO334" s="78">
        <f>IFERROR(1/J334*(X334/H334),"0")</f>
        <v>7.3260073260073263E-2</v>
      </c>
      <c r="BP334" s="78">
        <f>IFERROR(1/J334*(Y334/H334),"0")</f>
        <v>7.6923076923076941E-2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32</v>
      </c>
      <c r="Y335" s="55">
        <f>IFERROR(IF(X335="",0,CEILING((X335/$H335),1)*$H335),"")</f>
        <v>33.6</v>
      </c>
      <c r="Z335" s="41">
        <f>IFERROR(IF(Y335=0,"",ROUNDUP(Y335/H335,0)*0.00651),"")</f>
        <v>9.1139999999999999E-2</v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34.400000000000006</v>
      </c>
      <c r="BN335" s="78">
        <f>IFERROR(Y335*I335/H335,"0")</f>
        <v>36.120000000000005</v>
      </c>
      <c r="BO335" s="78">
        <f>IFERROR(1/J335*(X335/H335),"0")</f>
        <v>7.3260073260073263E-2</v>
      </c>
      <c r="BP335" s="78">
        <f>IFERROR(1/J335*(Y335/H335),"0")</f>
        <v>7.6923076923076941E-2</v>
      </c>
    </row>
    <row r="336" spans="1:68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26.666666666666668</v>
      </c>
      <c r="Y336" s="43">
        <f>IFERROR(Y333/H333,"0")+IFERROR(Y334/H334,"0")+IFERROR(Y335/H335,"0")</f>
        <v>28.000000000000004</v>
      </c>
      <c r="Z336" s="43">
        <f>IFERROR(IF(Z333="",0,Z333),"0")+IFERROR(IF(Z334="",0,Z334),"0")+IFERROR(IF(Z335="",0,Z335),"0")</f>
        <v>0.18228</v>
      </c>
      <c r="AA336" s="67"/>
      <c r="AB336" s="67"/>
      <c r="AC336" s="67"/>
    </row>
    <row r="337" spans="1:68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64</v>
      </c>
      <c r="Y337" s="43">
        <f>IFERROR(SUM(Y333:Y335),"0")</f>
        <v>67.2</v>
      </c>
      <c r="Z337" s="42"/>
      <c r="AA337" s="67"/>
      <c r="AB337" s="67"/>
      <c r="AC337" s="67"/>
    </row>
    <row r="338" spans="1:68" ht="16.5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15</v>
      </c>
      <c r="Y354" s="55">
        <f>IFERROR(IF(X354="",0,CEILING((X354/$H354),1)*$H354),"")</f>
        <v>15.6</v>
      </c>
      <c r="Z354" s="41">
        <f>IFERROR(IF(Y354=0,"",ROUNDUP(Y354/H354,0)*0.01898),"")</f>
        <v>3.7960000000000001E-2</v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15.78846153846154</v>
      </c>
      <c r="BN354" s="78">
        <f>IFERROR(Y354*I354/H354,"0")</f>
        <v>16.420000000000002</v>
      </c>
      <c r="BO354" s="78">
        <f>IFERROR(1/J354*(X354/H354),"0")</f>
        <v>3.0048076923076924E-2</v>
      </c>
      <c r="BP354" s="78">
        <f>IFERROR(1/J354*(Y354/H354),"0")</f>
        <v>3.125E-2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1.9230769230769231</v>
      </c>
      <c r="Y357" s="43">
        <f>IFERROR(Y354/H354,"0")+IFERROR(Y355/H355,"0")+IFERROR(Y356/H356,"0")</f>
        <v>2</v>
      </c>
      <c r="Z357" s="43">
        <f>IFERROR(IF(Z354="",0,Z354),"0")+IFERROR(IF(Z355="",0,Z355),"0")+IFERROR(IF(Z356="",0,Z356),"0")</f>
        <v>3.7960000000000001E-2</v>
      </c>
      <c r="AA357" s="67"/>
      <c r="AB357" s="67"/>
      <c r="AC357" s="67"/>
    </row>
    <row r="358" spans="1:68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15</v>
      </c>
      <c r="Y358" s="43">
        <f>IFERROR(SUM(Y354:Y356),"0")</f>
        <v>15.6</v>
      </c>
      <c r="Z358" s="42"/>
      <c r="AA358" s="67"/>
      <c r="AB358" s="67"/>
      <c r="AC358" s="67"/>
    </row>
    <row r="359" spans="1:68" ht="16.5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15</v>
      </c>
      <c r="Y371" s="55">
        <f t="shared" si="53"/>
        <v>16.8</v>
      </c>
      <c r="Z371" s="41">
        <f>IFERROR(IF(Y371=0,"",ROUNDUP(Y371/H371,0)*0.00902),"")</f>
        <v>3.6080000000000001E-2</v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15.892857142857142</v>
      </c>
      <c r="BN371" s="78">
        <f t="shared" si="55"/>
        <v>17.8</v>
      </c>
      <c r="BO371" s="78">
        <f t="shared" si="56"/>
        <v>2.7056277056277056E-2</v>
      </c>
      <c r="BP371" s="78">
        <f t="shared" si="57"/>
        <v>3.0303030303030304E-2</v>
      </c>
    </row>
    <row r="372" spans="1:68" ht="27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21</v>
      </c>
      <c r="Y373" s="55">
        <f t="shared" si="53"/>
        <v>21</v>
      </c>
      <c r="Z373" s="41">
        <f>IFERROR(IF(Y373=0,"",ROUNDUP(Y373/H373,0)*0.00502),"")</f>
        <v>5.0200000000000002E-2</v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22.299999999999997</v>
      </c>
      <c r="BN373" s="78">
        <f t="shared" si="55"/>
        <v>22.299999999999997</v>
      </c>
      <c r="BO373" s="78">
        <f t="shared" si="56"/>
        <v>4.2735042735042736E-2</v>
      </c>
      <c r="BP373" s="78">
        <f t="shared" si="57"/>
        <v>4.2735042735042736E-2</v>
      </c>
    </row>
    <row r="374" spans="1:68" ht="27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9</v>
      </c>
      <c r="Y376" s="55">
        <f t="shared" si="53"/>
        <v>9</v>
      </c>
      <c r="Z376" s="41">
        <f>IFERROR(IF(Y376=0,"",ROUNDUP(Y376/H376,0)*0.00651),"")</f>
        <v>3.2550000000000003E-2</v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10.139999999999999</v>
      </c>
      <c r="BN376" s="78">
        <f t="shared" si="55"/>
        <v>10.139999999999999</v>
      </c>
      <c r="BO376" s="78">
        <f t="shared" si="56"/>
        <v>2.7472527472527476E-2</v>
      </c>
      <c r="BP376" s="78">
        <f t="shared" si="57"/>
        <v>2.7472527472527476E-2</v>
      </c>
    </row>
    <row r="377" spans="1:68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18.571428571428569</v>
      </c>
      <c r="Y377" s="43">
        <f>IFERROR(Y370/H370,"0")+IFERROR(Y371/H371,"0")+IFERROR(Y372/H372,"0")+IFERROR(Y373/H373,"0")+IFERROR(Y374/H374,"0")+IFERROR(Y375/H375,"0")+IFERROR(Y376/H376,"0")</f>
        <v>19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0.11882999999999999</v>
      </c>
      <c r="AA377" s="67"/>
      <c r="AB377" s="67"/>
      <c r="AC377" s="67"/>
    </row>
    <row r="378" spans="1:68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45</v>
      </c>
      <c r="Y378" s="43">
        <f>IFERROR(SUM(Y370:Y376),"0")</f>
        <v>46.8</v>
      </c>
      <c r="Z378" s="42"/>
      <c r="AA378" s="67"/>
      <c r="AB378" s="67"/>
      <c r="AC378" s="67"/>
    </row>
    <row r="379" spans="1:68" ht="14.25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100</v>
      </c>
      <c r="Y388" s="55">
        <f>IFERROR(IF(X388="",0,CEILING((X388/$H388),1)*$H388),"")</f>
        <v>101.39999999999999</v>
      </c>
      <c r="Z388" s="41">
        <f>IFERROR(IF(Y388=0,"",ROUNDUP(Y388/H388,0)*0.01898),"")</f>
        <v>0.24674000000000001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106.33333333333334</v>
      </c>
      <c r="BN388" s="78">
        <f>IFERROR(Y388*I388/H388,"0")</f>
        <v>107.82199999999999</v>
      </c>
      <c r="BO388" s="78">
        <f>IFERROR(1/J388*(X388/H388),"0")</f>
        <v>0.20032051282051283</v>
      </c>
      <c r="BP388" s="78">
        <f>IFERROR(1/J388*(Y388/H388),"0")</f>
        <v>0.203125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12.820512820512821</v>
      </c>
      <c r="Y390" s="43">
        <f>IFERROR(Y387/H387,"0")+IFERROR(Y388/H388,"0")+IFERROR(Y389/H389,"0")</f>
        <v>13</v>
      </c>
      <c r="Z390" s="43">
        <f>IFERROR(IF(Z387="",0,Z387),"0")+IFERROR(IF(Z388="",0,Z388),"0")+IFERROR(IF(Z389="",0,Z389),"0")</f>
        <v>0.24674000000000001</v>
      </c>
      <c r="AA390" s="67"/>
      <c r="AB390" s="67"/>
      <c r="AC390" s="67"/>
    </row>
    <row r="391" spans="1:68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100</v>
      </c>
      <c r="Y391" s="43">
        <f>IFERROR(SUM(Y387:Y389),"0")</f>
        <v>101.39999999999999</v>
      </c>
      <c r="Z391" s="42"/>
      <c r="AA391" s="67"/>
      <c r="AB391" s="67"/>
      <c r="AC391" s="67"/>
    </row>
    <row r="392" spans="1:68" ht="14.25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5.0999999999999996</v>
      </c>
      <c r="Y396" s="55">
        <f>IFERROR(IF(X396="",0,CEILING((X396/$H396),1)*$H396),"")</f>
        <v>5.0999999999999996</v>
      </c>
      <c r="Z396" s="41">
        <f>IFERROR(IF(Y396=0,"",ROUNDUP(Y396/H396,0)*0.00651),"")</f>
        <v>1.302E-2</v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5.76</v>
      </c>
      <c r="BN396" s="78">
        <f>IFERROR(Y396*I396/H396,"0")</f>
        <v>5.76</v>
      </c>
      <c r="BO396" s="78">
        <f>IFERROR(1/J396*(X396/H396),"0")</f>
        <v>1.098901098901099E-2</v>
      </c>
      <c r="BP396" s="78">
        <f>IFERROR(1/J396*(Y396/H396),"0")</f>
        <v>1.098901098901099E-2</v>
      </c>
    </row>
    <row r="397" spans="1:68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2</v>
      </c>
      <c r="Y397" s="43">
        <f>IFERROR(Y393/H393,"0")+IFERROR(Y394/H394,"0")+IFERROR(Y395/H395,"0")+IFERROR(Y396/H396,"0")</f>
        <v>2</v>
      </c>
      <c r="Z397" s="43">
        <f>IFERROR(IF(Z393="",0,Z393),"0")+IFERROR(IF(Z394="",0,Z394),"0")+IFERROR(IF(Z395="",0,Z395),"0")+IFERROR(IF(Z396="",0,Z396),"0")</f>
        <v>1.302E-2</v>
      </c>
      <c r="AA397" s="67"/>
      <c r="AB397" s="67"/>
      <c r="AC397" s="67"/>
    </row>
    <row r="398" spans="1:68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5.0999999999999996</v>
      </c>
      <c r="Y398" s="43">
        <f>IFERROR(SUM(Y393:Y396),"0")</f>
        <v>5.0999999999999996</v>
      </c>
      <c r="Z398" s="42"/>
      <c r="AA398" s="67"/>
      <c r="AB398" s="67"/>
      <c r="AC398" s="67"/>
    </row>
    <row r="399" spans="1:68" ht="14.25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30</v>
      </c>
      <c r="Y419" s="55">
        <f>IFERROR(IF(X419="",0,CEILING((X419/$H419),1)*$H419),"")</f>
        <v>32.4</v>
      </c>
      <c r="Z419" s="41">
        <f>IFERROR(IF(Y419=0,"",ROUNDUP(Y419/H419,0)*0.01898),"")</f>
        <v>7.5920000000000001E-2</v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31.829629629629629</v>
      </c>
      <c r="BN419" s="78">
        <f>IFERROR(Y419*I419/H419,"0")</f>
        <v>34.375999999999998</v>
      </c>
      <c r="BO419" s="78">
        <f>IFERROR(1/J419*(X419/H419),"0")</f>
        <v>5.7870370370370371E-2</v>
      </c>
      <c r="BP419" s="78">
        <f>IFERROR(1/J419*(Y419/H419),"0")</f>
        <v>6.25E-2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105</v>
      </c>
      <c r="Y420" s="55">
        <f>IFERROR(IF(X420="",0,CEILING((X420/$H420),1)*$H420),"")</f>
        <v>105</v>
      </c>
      <c r="Z420" s="41">
        <f>IFERROR(IF(Y420=0,"",ROUNDUP(Y420/H420,0)*0.00651),"")</f>
        <v>0.32550000000000001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117.59999999999998</v>
      </c>
      <c r="BN420" s="78">
        <f>IFERROR(Y420*I420/H420,"0")</f>
        <v>117.59999999999998</v>
      </c>
      <c r="BO420" s="78">
        <f>IFERROR(1/J420*(X420/H420),"0")</f>
        <v>0.27472527472527475</v>
      </c>
      <c r="BP420" s="78">
        <f>IFERROR(1/J420*(Y420/H420),"0")</f>
        <v>0.27472527472527475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52.5</v>
      </c>
      <c r="Y421" s="55">
        <f>IFERROR(IF(X421="",0,CEILING((X421/$H421),1)*$H421),"")</f>
        <v>52.5</v>
      </c>
      <c r="Z421" s="41">
        <f>IFERROR(IF(Y421=0,"",ROUNDUP(Y421/H421,0)*0.00651),"")</f>
        <v>0.16275000000000001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58.499999999999993</v>
      </c>
      <c r="BN421" s="78">
        <f>IFERROR(Y421*I421/H421,"0")</f>
        <v>58.499999999999993</v>
      </c>
      <c r="BO421" s="78">
        <f>IFERROR(1/J421*(X421/H421),"0")</f>
        <v>0.13736263736263737</v>
      </c>
      <c r="BP421" s="78">
        <f>IFERROR(1/J421*(Y421/H421),"0")</f>
        <v>0.13736263736263737</v>
      </c>
    </row>
    <row r="422" spans="1:68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78.703703703703695</v>
      </c>
      <c r="Y422" s="43">
        <f>IFERROR(Y419/H419,"0")+IFERROR(Y420/H420,"0")+IFERROR(Y421/H421,"0")</f>
        <v>79</v>
      </c>
      <c r="Z422" s="43">
        <f>IFERROR(IF(Z419="",0,Z419),"0")+IFERROR(IF(Z420="",0,Z420),"0")+IFERROR(IF(Z421="",0,Z421),"0")</f>
        <v>0.56417000000000006</v>
      </c>
      <c r="AA422" s="67"/>
      <c r="AB422" s="67"/>
      <c r="AC422" s="67"/>
    </row>
    <row r="423" spans="1:68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187.5</v>
      </c>
      <c r="Y423" s="43">
        <f>IFERROR(SUM(Y419:Y421),"0")</f>
        <v>189.9</v>
      </c>
      <c r="Z423" s="42"/>
      <c r="AA423" s="67"/>
      <c r="AB423" s="67"/>
      <c r="AC423" s="67"/>
    </row>
    <row r="424" spans="1:68" ht="27.75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30</v>
      </c>
      <c r="Y427" s="55">
        <f t="shared" ref="Y427:Y434" si="58">IFERROR(IF(X427="",0,CEILING((X427/$H427),1)*$H427),"")</f>
        <v>30</v>
      </c>
      <c r="Z427" s="41">
        <f>IFERROR(IF(Y427=0,"",ROUNDUP(Y427/H427,0)*0.02175),"")</f>
        <v>4.3499999999999997E-2</v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30.94</v>
      </c>
      <c r="BN427" s="78">
        <f t="shared" ref="BN427:BN434" si="60">IFERROR(Y427*I427/H427,"0")</f>
        <v>30.94</v>
      </c>
      <c r="BO427" s="78">
        <f t="shared" ref="BO427:BO434" si="61">IFERROR(1/J427*(X427/H427),"0")</f>
        <v>4.1666666666666664E-2</v>
      </c>
      <c r="BP427" s="78">
        <f t="shared" ref="BP427:BP434" si="62">IFERROR(1/J427*(Y427/H427),"0")</f>
        <v>4.1666666666666664E-2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500</v>
      </c>
      <c r="Y428" s="55">
        <f t="shared" si="58"/>
        <v>510</v>
      </c>
      <c r="Z428" s="41">
        <f>IFERROR(IF(Y428=0,"",ROUNDUP(Y428/H428,0)*0.02175),"")</f>
        <v>0.73949999999999994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515.66666666666663</v>
      </c>
      <c r="BN428" s="78">
        <f t="shared" si="60"/>
        <v>525.98</v>
      </c>
      <c r="BO428" s="78">
        <f t="shared" si="61"/>
        <v>0.69444444444444442</v>
      </c>
      <c r="BP428" s="78">
        <f t="shared" si="62"/>
        <v>0.70833333333333326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500</v>
      </c>
      <c r="Y430" s="55">
        <f t="shared" si="58"/>
        <v>510</v>
      </c>
      <c r="Z430" s="41">
        <f>IFERROR(IF(Y430=0,"",ROUNDUP(Y430/H430,0)*0.02175),"")</f>
        <v>0.73949999999999994</v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515.66666666666663</v>
      </c>
      <c r="BN430" s="78">
        <f t="shared" si="60"/>
        <v>525.98</v>
      </c>
      <c r="BO430" s="78">
        <f t="shared" si="61"/>
        <v>0.69444444444444442</v>
      </c>
      <c r="BP430" s="78">
        <f t="shared" si="62"/>
        <v>0.70833333333333326</v>
      </c>
    </row>
    <row r="431" spans="1:68" ht="27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68.666666666666671</v>
      </c>
      <c r="Y435" s="43">
        <f>IFERROR(Y427/H427,"0")+IFERROR(Y428/H428,"0")+IFERROR(Y429/H429,"0")+IFERROR(Y430/H430,"0")+IFERROR(Y431/H431,"0")+IFERROR(Y432/H432,"0")+IFERROR(Y433/H433,"0")+IFERROR(Y434/H434,"0")</f>
        <v>70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1.5225</v>
      </c>
      <c r="AA435" s="67"/>
      <c r="AB435" s="67"/>
      <c r="AC435" s="67"/>
    </row>
    <row r="436" spans="1:68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1030</v>
      </c>
      <c r="Y436" s="43">
        <f>IFERROR(SUM(Y427:Y434),"0")</f>
        <v>1050</v>
      </c>
      <c r="Z436" s="42"/>
      <c r="AA436" s="67"/>
      <c r="AB436" s="67"/>
      <c r="AC436" s="67"/>
    </row>
    <row r="437" spans="1:68" ht="14.25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600</v>
      </c>
      <c r="Y438" s="55">
        <f>IFERROR(IF(X438="",0,CEILING((X438/$H438),1)*$H438),"")</f>
        <v>600</v>
      </c>
      <c r="Z438" s="41">
        <f>IFERROR(IF(Y438=0,"",ROUNDUP(Y438/H438,0)*0.02175),"")</f>
        <v>0.86999999999999988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618.79999999999995</v>
      </c>
      <c r="BN438" s="78">
        <f>IFERROR(Y438*I438/H438,"0")</f>
        <v>618.79999999999995</v>
      </c>
      <c r="BO438" s="78">
        <f>IFERROR(1/J438*(X438/H438),"0")</f>
        <v>0.83333333333333326</v>
      </c>
      <c r="BP438" s="78">
        <f>IFERROR(1/J438*(Y438/H438),"0")</f>
        <v>0.83333333333333326</v>
      </c>
    </row>
    <row r="439" spans="1:68" ht="27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40</v>
      </c>
      <c r="Y441" s="43">
        <f>IFERROR(Y438/H438,"0")+IFERROR(Y439/H439,"0")+IFERROR(Y440/H440,"0")</f>
        <v>40</v>
      </c>
      <c r="Z441" s="43">
        <f>IFERROR(IF(Z438="",0,Z438),"0")+IFERROR(IF(Z439="",0,Z439),"0")+IFERROR(IF(Z440="",0,Z440),"0")</f>
        <v>0.86999999999999988</v>
      </c>
      <c r="AA441" s="67"/>
      <c r="AB441" s="67"/>
      <c r="AC441" s="67"/>
    </row>
    <row r="442" spans="1:68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600</v>
      </c>
      <c r="Y442" s="43">
        <f>IFERROR(SUM(Y438:Y440),"0")</f>
        <v>600</v>
      </c>
      <c r="Z442" s="42"/>
      <c r="AA442" s="67"/>
      <c r="AB442" s="67"/>
      <c r="AC442" s="67"/>
    </row>
    <row r="443" spans="1:68" ht="14.25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100</v>
      </c>
      <c r="Y445" s="55">
        <f>IFERROR(IF(X445="",0,CEILING((X445/$H445),1)*$H445),"")</f>
        <v>108</v>
      </c>
      <c r="Z445" s="41">
        <f>IFERROR(IF(Y445=0,"",ROUNDUP(Y445/H445,0)*0.01898),"")</f>
        <v>0.22776000000000002</v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105.48888888888888</v>
      </c>
      <c r="BN445" s="78">
        <f>IFERROR(Y445*I445/H445,"0")</f>
        <v>113.92799999999998</v>
      </c>
      <c r="BO445" s="78">
        <f>IFERROR(1/J445*(X445/H445),"0")</f>
        <v>0.1736111111111111</v>
      </c>
      <c r="BP445" s="78">
        <f>IFERROR(1/J445*(Y445/H445),"0")</f>
        <v>0.1875</v>
      </c>
    </row>
    <row r="446" spans="1:68" ht="16.5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11.111111111111111</v>
      </c>
      <c r="Y447" s="43">
        <f>IFERROR(Y444/H444,"0")+IFERROR(Y445/H445,"0")+IFERROR(Y446/H446,"0")</f>
        <v>12</v>
      </c>
      <c r="Z447" s="43">
        <f>IFERROR(IF(Z444="",0,Z444),"0")+IFERROR(IF(Z445="",0,Z445),"0")+IFERROR(IF(Z446="",0,Z446),"0")</f>
        <v>0.22776000000000002</v>
      </c>
      <c r="AA447" s="67"/>
      <c r="AB447" s="67"/>
      <c r="AC447" s="67"/>
    </row>
    <row r="448" spans="1:68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100</v>
      </c>
      <c r="Y448" s="43">
        <f>IFERROR(SUM(Y444:Y446),"0")</f>
        <v>108</v>
      </c>
      <c r="Z448" s="42"/>
      <c r="AA448" s="67"/>
      <c r="AB448" s="67"/>
      <c r="AC448" s="67"/>
    </row>
    <row r="449" spans="1:68" ht="14.25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15</v>
      </c>
      <c r="Y473" s="55">
        <f t="shared" ref="Y473:Y478" si="63">IFERROR(IF(X473="",0,CEILING((X473/$H473),1)*$H473),"")</f>
        <v>16.200000000000003</v>
      </c>
      <c r="Z473" s="41">
        <f>IFERROR(IF(Y473=0,"",ROUNDUP(Y473/H473,0)*0.00902),"")</f>
        <v>2.7060000000000001E-2</v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15.527777777777775</v>
      </c>
      <c r="BN473" s="78">
        <f t="shared" ref="BN473:BN478" si="65">IFERROR(Y473*I473/H473,"0")</f>
        <v>16.77</v>
      </c>
      <c r="BO473" s="78">
        <f t="shared" ref="BO473:BO478" si="66">IFERROR(1/J473*(X473/H473),"0")</f>
        <v>2.1043771043771045E-2</v>
      </c>
      <c r="BP473" s="78">
        <f t="shared" ref="BP473:BP478" si="67">IFERROR(1/J473*(Y473/H473),"0")</f>
        <v>2.2727272727272731E-2</v>
      </c>
    </row>
    <row r="474" spans="1:68" ht="27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2.7777777777777777</v>
      </c>
      <c r="Y479" s="43">
        <f>IFERROR(Y473/H473,"0")+IFERROR(Y474/H474,"0")+IFERROR(Y475/H475,"0")+IFERROR(Y476/H476,"0")+IFERROR(Y477/H477,"0")+IFERROR(Y478/H478,"0")</f>
        <v>3.0000000000000004</v>
      </c>
      <c r="Z479" s="43">
        <f>IFERROR(IF(Z473="",0,Z473),"0")+IFERROR(IF(Z474="",0,Z474),"0")+IFERROR(IF(Z475="",0,Z475),"0")+IFERROR(IF(Z476="",0,Z476),"0")+IFERROR(IF(Z477="",0,Z477),"0")+IFERROR(IF(Z478="",0,Z478),"0")</f>
        <v>2.7060000000000001E-2</v>
      </c>
      <c r="AA479" s="67"/>
      <c r="AB479" s="67"/>
      <c r="AC479" s="67"/>
    </row>
    <row r="480" spans="1:68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15</v>
      </c>
      <c r="Y480" s="43">
        <f>IFERROR(SUM(Y473:Y478),"0")</f>
        <v>16.200000000000003</v>
      </c>
      <c r="Z480" s="42"/>
      <c r="AA480" s="67"/>
      <c r="AB480" s="67"/>
      <c r="AC480" s="67"/>
    </row>
    <row r="481" spans="1:68" ht="14.25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10.5</v>
      </c>
      <c r="Y494" s="55">
        <f>IFERROR(IF(X494="",0,CEILING((X494/$H494),1)*$H494),"")</f>
        <v>10.5</v>
      </c>
      <c r="Z494" s="41">
        <f>IFERROR(IF(Y494=0,"",ROUNDUP(Y494/H494,0)*0.00502),"")</f>
        <v>2.5100000000000001E-2</v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11.149999999999999</v>
      </c>
      <c r="BN494" s="78">
        <f>IFERROR(Y494*I494/H494,"0")</f>
        <v>11.149999999999999</v>
      </c>
      <c r="BO494" s="78">
        <f>IFERROR(1/J494*(X494/H494),"0")</f>
        <v>2.1367521367521368E-2</v>
      </c>
      <c r="BP494" s="78">
        <f>IFERROR(1/J494*(Y494/H494),"0")</f>
        <v>2.1367521367521368E-2</v>
      </c>
    </row>
    <row r="495" spans="1:68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5</v>
      </c>
      <c r="Y495" s="43">
        <f>IFERROR(Y492/H492,"0")+IFERROR(Y493/H493,"0")+IFERROR(Y494/H494,"0")</f>
        <v>5</v>
      </c>
      <c r="Z495" s="43">
        <f>IFERROR(IF(Z492="",0,Z492),"0")+IFERROR(IF(Z493="",0,Z493),"0")+IFERROR(IF(Z494="",0,Z494),"0")</f>
        <v>2.5100000000000001E-2</v>
      </c>
      <c r="AA495" s="67"/>
      <c r="AB495" s="67"/>
      <c r="AC495" s="67"/>
    </row>
    <row r="496" spans="1:68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10.5</v>
      </c>
      <c r="Y496" s="43">
        <f>IFERROR(SUM(Y492:Y494),"0")</f>
        <v>10.5</v>
      </c>
      <c r="Z496" s="42"/>
      <c r="AA496" s="67"/>
      <c r="AB496" s="67"/>
      <c r="AC496" s="67"/>
    </row>
    <row r="497" spans="1:68" ht="27.75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50</v>
      </c>
      <c r="Y500" s="55">
        <f t="shared" ref="Y500:Y508" si="68">IFERROR(IF(X500="",0,CEILING((X500/$H500),1)*$H500),"")</f>
        <v>52.800000000000004</v>
      </c>
      <c r="Z500" s="41">
        <f t="shared" ref="Z500:Z505" si="69">IFERROR(IF(Y500=0,"",ROUNDUP(Y500/H500,0)*0.01196),"")</f>
        <v>0.1196</v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53.314393939393938</v>
      </c>
      <c r="BN500" s="78">
        <f t="shared" ref="BN500:BN508" si="71">IFERROR(Y500*I500/H500,"0")</f>
        <v>56.3</v>
      </c>
      <c r="BO500" s="78">
        <f t="shared" ref="BO500:BO508" si="72">IFERROR(1/J500*(X500/H500),"0")</f>
        <v>9.1054778554778545E-2</v>
      </c>
      <c r="BP500" s="78">
        <f t="shared" ref="BP500:BP508" si="73">IFERROR(1/J500*(Y500/H500),"0")</f>
        <v>9.6153846153846159E-2</v>
      </c>
    </row>
    <row r="501" spans="1:68" ht="16.5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15</v>
      </c>
      <c r="Y502" s="55">
        <f t="shared" si="68"/>
        <v>15.84</v>
      </c>
      <c r="Z502" s="41">
        <f t="shared" si="69"/>
        <v>3.5880000000000002E-2</v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15.994318181818182</v>
      </c>
      <c r="BN502" s="78">
        <f t="shared" si="71"/>
        <v>16.889999999999997</v>
      </c>
      <c r="BO502" s="78">
        <f t="shared" si="72"/>
        <v>2.7316433566433568E-2</v>
      </c>
      <c r="BP502" s="78">
        <f t="shared" si="73"/>
        <v>2.8846153846153848E-2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150</v>
      </c>
      <c r="Y503" s="55">
        <f t="shared" si="68"/>
        <v>153.12</v>
      </c>
      <c r="Z503" s="41">
        <f t="shared" si="69"/>
        <v>0.34683999999999998</v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159.94318181818181</v>
      </c>
      <c r="BN503" s="78">
        <f t="shared" si="71"/>
        <v>163.26999999999998</v>
      </c>
      <c r="BO503" s="78">
        <f t="shared" si="72"/>
        <v>0.27316433566433568</v>
      </c>
      <c r="BP503" s="78">
        <f t="shared" si="73"/>
        <v>0.27884615384615385</v>
      </c>
    </row>
    <row r="504" spans="1:68" ht="16.5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100</v>
      </c>
      <c r="Y505" s="55">
        <f t="shared" si="68"/>
        <v>100.32000000000001</v>
      </c>
      <c r="Z505" s="41">
        <f t="shared" si="69"/>
        <v>0.22724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106.62878787878788</v>
      </c>
      <c r="BN505" s="78">
        <f t="shared" si="71"/>
        <v>106.97</v>
      </c>
      <c r="BO505" s="78">
        <f t="shared" si="72"/>
        <v>0.18210955710955709</v>
      </c>
      <c r="BP505" s="78">
        <f t="shared" si="73"/>
        <v>0.18269230769230771</v>
      </c>
    </row>
    <row r="506" spans="1:68" ht="27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59.659090909090907</v>
      </c>
      <c r="Y509" s="43">
        <f>IFERROR(Y500/H500,"0")+IFERROR(Y501/H501,"0")+IFERROR(Y502/H502,"0")+IFERROR(Y503/H503,"0")+IFERROR(Y504/H504,"0")+IFERROR(Y505/H505,"0")+IFERROR(Y506/H506,"0")+IFERROR(Y507/H507,"0")+IFERROR(Y508/H508,"0")</f>
        <v>61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0.72955999999999999</v>
      </c>
      <c r="AA509" s="67"/>
      <c r="AB509" s="67"/>
      <c r="AC509" s="67"/>
    </row>
    <row r="510" spans="1:68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315</v>
      </c>
      <c r="Y510" s="43">
        <f>IFERROR(SUM(Y500:Y508),"0")</f>
        <v>322.08</v>
      </c>
      <c r="Z510" s="42"/>
      <c r="AA510" s="67"/>
      <c r="AB510" s="67"/>
      <c r="AC510" s="67"/>
    </row>
    <row r="511" spans="1:68" ht="14.25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60</v>
      </c>
      <c r="Y512" s="55">
        <f>IFERROR(IF(X512="",0,CEILING((X512/$H512),1)*$H512),"")</f>
        <v>63.36</v>
      </c>
      <c r="Z512" s="41">
        <f>IFERROR(IF(Y512=0,"",ROUNDUP(Y512/H512,0)*0.01196),"")</f>
        <v>0.14352000000000001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63.977272727272727</v>
      </c>
      <c r="BN512" s="78">
        <f>IFERROR(Y512*I512/H512,"0")</f>
        <v>67.559999999999988</v>
      </c>
      <c r="BO512" s="78">
        <f>IFERROR(1/J512*(X512/H512),"0")</f>
        <v>0.10926573426573427</v>
      </c>
      <c r="BP512" s="78">
        <f>IFERROR(1/J512*(Y512/H512),"0")</f>
        <v>0.11538461538461539</v>
      </c>
    </row>
    <row r="513" spans="1:68" ht="16.5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11.363636363636363</v>
      </c>
      <c r="Y515" s="43">
        <f>IFERROR(Y512/H512,"0")+IFERROR(Y513/H513,"0")+IFERROR(Y514/H514,"0")</f>
        <v>12</v>
      </c>
      <c r="Z515" s="43">
        <f>IFERROR(IF(Z512="",0,Z512),"0")+IFERROR(IF(Z513="",0,Z513),"0")+IFERROR(IF(Z514="",0,Z514),"0")</f>
        <v>0.14352000000000001</v>
      </c>
      <c r="AA515" s="67"/>
      <c r="AB515" s="67"/>
      <c r="AC515" s="67"/>
    </row>
    <row r="516" spans="1:68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60</v>
      </c>
      <c r="Y516" s="43">
        <f>IFERROR(SUM(Y512:Y514),"0")</f>
        <v>63.36</v>
      </c>
      <c r="Z516" s="42"/>
      <c r="AA516" s="67"/>
      <c r="AB516" s="67"/>
      <c r="AC516" s="67"/>
    </row>
    <row r="517" spans="1:68" ht="14.25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50</v>
      </c>
      <c r="Y518" s="55">
        <f t="shared" ref="Y518:Y524" si="74">IFERROR(IF(X518="",0,CEILING((X518/$H518),1)*$H518),"")</f>
        <v>52.800000000000004</v>
      </c>
      <c r="Z518" s="41">
        <f>IFERROR(IF(Y518=0,"",ROUNDUP(Y518/H518,0)*0.01196),"")</f>
        <v>0.1196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53.314393939393938</v>
      </c>
      <c r="BN518" s="78">
        <f t="shared" ref="BN518:BN524" si="76">IFERROR(Y518*I518/H518,"0")</f>
        <v>56.3</v>
      </c>
      <c r="BO518" s="78">
        <f t="shared" ref="BO518:BO524" si="77">IFERROR(1/J518*(X518/H518),"0")</f>
        <v>9.1054778554778545E-2</v>
      </c>
      <c r="BP518" s="78">
        <f t="shared" ref="BP518:BP524" si="78">IFERROR(1/J518*(Y518/H518),"0")</f>
        <v>9.6153846153846159E-2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50</v>
      </c>
      <c r="Y519" s="55">
        <f t="shared" si="74"/>
        <v>52.800000000000004</v>
      </c>
      <c r="Z519" s="41">
        <f>IFERROR(IF(Y519=0,"",ROUNDUP(Y519/H519,0)*0.01196),"")</f>
        <v>0.1196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53.314393939393938</v>
      </c>
      <c r="BN519" s="78">
        <f t="shared" si="76"/>
        <v>56.3</v>
      </c>
      <c r="BO519" s="78">
        <f t="shared" si="77"/>
        <v>9.1054778554778545E-2</v>
      </c>
      <c r="BP519" s="78">
        <f t="shared" si="78"/>
        <v>9.6153846153846159E-2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15</v>
      </c>
      <c r="Y520" s="55">
        <f t="shared" si="74"/>
        <v>15.84</v>
      </c>
      <c r="Z520" s="41">
        <f>IFERROR(IF(Y520=0,"",ROUNDUP(Y520/H520,0)*0.01196),"")</f>
        <v>3.5880000000000002E-2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15.994318181818182</v>
      </c>
      <c r="BN520" s="78">
        <f t="shared" si="76"/>
        <v>16.889999999999997</v>
      </c>
      <c r="BO520" s="78">
        <f t="shared" si="77"/>
        <v>2.7316433566433568E-2</v>
      </c>
      <c r="BP520" s="78">
        <f t="shared" si="78"/>
        <v>2.8846153846153848E-2</v>
      </c>
    </row>
    <row r="521" spans="1:68" ht="27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21.780303030303028</v>
      </c>
      <c r="Y525" s="43">
        <f>IFERROR(Y518/H518,"0")+IFERROR(Y519/H519,"0")+IFERROR(Y520/H520,"0")+IFERROR(Y521/H521,"0")+IFERROR(Y522/H522,"0")+IFERROR(Y523/H523,"0")+IFERROR(Y524/H524,"0")</f>
        <v>23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0.27507999999999999</v>
      </c>
      <c r="AA525" s="67"/>
      <c r="AB525" s="67"/>
      <c r="AC525" s="67"/>
    </row>
    <row r="526" spans="1:68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115</v>
      </c>
      <c r="Y526" s="43">
        <f>IFERROR(SUM(Y518:Y524),"0")</f>
        <v>121.44000000000001</v>
      </c>
      <c r="Z526" s="42"/>
      <c r="AA526" s="67"/>
      <c r="AB526" s="67"/>
      <c r="AC526" s="67"/>
    </row>
    <row r="527" spans="1:68" ht="27.75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400</v>
      </c>
      <c r="Y542" s="55">
        <f>IFERROR(IF(X542="",0,CEILING((X542/$H542),1)*$H542),"")</f>
        <v>405</v>
      </c>
      <c r="Z542" s="41">
        <f>IFERROR(IF(Y542=0,"",ROUNDUP(Y542/H542,0)*0.01898),"")</f>
        <v>0.85409999999999997</v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421.95555555555552</v>
      </c>
      <c r="BN542" s="78">
        <f>IFERROR(Y542*I542/H542,"0")</f>
        <v>427.22999999999996</v>
      </c>
      <c r="BO542" s="78">
        <f>IFERROR(1/J542*(X542/H542),"0")</f>
        <v>0.69444444444444442</v>
      </c>
      <c r="BP542" s="78">
        <f>IFERROR(1/J542*(Y542/H542),"0")</f>
        <v>0.703125</v>
      </c>
    </row>
    <row r="543" spans="1:68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44.444444444444443</v>
      </c>
      <c r="Y543" s="43">
        <f>IFERROR(Y542/H542,"0")</f>
        <v>45</v>
      </c>
      <c r="Z543" s="43">
        <f>IFERROR(IF(Z542="",0,Z542),"0")</f>
        <v>0.85409999999999997</v>
      </c>
      <c r="AA543" s="67"/>
      <c r="AB543" s="67"/>
      <c r="AC543" s="67"/>
    </row>
    <row r="544" spans="1:68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400</v>
      </c>
      <c r="Y544" s="43">
        <f>IFERROR(SUM(Y542:Y542),"0")</f>
        <v>405</v>
      </c>
      <c r="Z544" s="42"/>
      <c r="AA544" s="67"/>
      <c r="AB544" s="67"/>
      <c r="AC544" s="67"/>
    </row>
    <row r="545" spans="1:68" ht="14.25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4536.0999999999995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4649.4599999999991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4773.6543193226526</v>
      </c>
      <c r="Y556" s="43">
        <f>IFERROR(SUM(BN22:BN552),"0")</f>
        <v>4893.1630000000005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8</v>
      </c>
      <c r="Y557" s="44">
        <f>ROUNDUP(SUM(BP22:BP552),0)</f>
        <v>8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4973.6543193226526</v>
      </c>
      <c r="Y558" s="43">
        <f>GrossWeightTotalR+PalletQtyTotalR*25</f>
        <v>5093.1630000000005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765.74018265684936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786</v>
      </c>
      <c r="Z559" s="42"/>
      <c r="AA559" s="67"/>
      <c r="AB559" s="67"/>
      <c r="AC559" s="67"/>
    </row>
    <row r="560" spans="1:68" ht="14.25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9.2601400000000016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186.3</v>
      </c>
      <c r="F565" s="52">
        <f>IFERROR(Y84*1,"0")+IFERROR(Y85*1,"0")+IFERROR(Y86*1,"0")+IFERROR(Y87*1,"0")+IFERROR(Y91*1,"0")+IFERROR(Y92*1,"0")+IFERROR(Y93*1,"0")+IFERROR(Y94*1,"0")</f>
        <v>288.89999999999998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347.40000000000003</v>
      </c>
      <c r="H565" s="52">
        <f>IFERROR(Y129*1,"0")+IFERROR(Y130*1,"0")+IFERROR(Y131*1,"0")+IFERROR(Y135*1,"0")+IFERROR(Y136*1,"0")+IFERROR(Y137*1,"0")+IFERROR(Y138*1,"0")+IFERROR(Y142*1,"0")+IFERROR(Y143*1,"0")+IFERROR(Y144*1,"0")</f>
        <v>12.8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52.5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19.18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592.80000000000007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5.4</v>
      </c>
      <c r="P565" s="52">
        <f>IFERROR(Y324*1,"0")+IFERROR(Y325*1,"0")+IFERROR(Y326*1,"0")+IFERROR(Y327*1,"0")+IFERROR(Y328*1,"0")</f>
        <v>21.6</v>
      </c>
      <c r="Q565" s="52">
        <f>IFERROR(Y333*1,"0")+IFERROR(Y334*1,"0")+IFERROR(Y335*1,"0")</f>
        <v>67.2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15.6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153.29999999999998</v>
      </c>
      <c r="U565" s="52">
        <f>IFERROR(Y413*1,"0")+IFERROR(Y414*1,"0")</f>
        <v>0</v>
      </c>
      <c r="V565" s="52">
        <f>IFERROR(Y419*1,"0")+IFERROR(Y420*1,"0")+IFERROR(Y421*1,"0")</f>
        <v>189.9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1758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16.200000000000003</v>
      </c>
      <c r="Z565" s="52">
        <f>IFERROR(Y488*1,"0")+IFERROR(Y492*1,"0")+IFERROR(Y493*1,"0")+IFERROR(Y494*1,"0")</f>
        <v>10.5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506.88</v>
      </c>
      <c r="AB565" s="52">
        <f>IFERROR(Y530*1,"0")+IFERROR(Y534*1,"0")+IFERROR(Y538*1,"0")+IFERROR(Y542*1,"0")+IFERROR(Y546*1,"0")+IFERROR(Y547*1,"0")</f>
        <v>405</v>
      </c>
      <c r="AC565" s="52">
        <f>IFERROR(Y552*1,"0")</f>
        <v>0</v>
      </c>
      <c r="AF565" s="1"/>
    </row>
  </sheetData>
  <sheetProtection algorithmName="SHA-512" hashValue="W6xKtQtov4L4myRjPs6AGslIaGv3M7DM6ryDyvZMUY8LKHkWJ71E2pABeLsF7NTOJPE3443iXaEXaMPOZo6Gog==" saltValue="mUkFJ3PFyT1ATOvIhq7cWw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2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2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2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GpFm4YsdmBoNDdBmvCk/8x8PC7shbvwLfboWgKcbwIPEf3WEeyTJNpyt3/JSTMkq307BSLAYC9LQJtK874uGtg==" saltValue="pyUt+4FPmuV9o1PK5EZv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2026-08-13T13:05:47Z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