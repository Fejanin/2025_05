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08,09 Обрыньба КИ ЛП ближ\"/>
    </mc:Choice>
  </mc:AlternateContent>
  <xr:revisionPtr revIDLastSave="0" documentId="13_ncr:1_{DBAC3327-E205-43D7-A99C-119AEFEA75E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P539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P527" i="2"/>
  <c r="BO527" i="2"/>
  <c r="BM527" i="2"/>
  <c r="Y527" i="2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P466" i="2"/>
  <c r="BO466" i="2"/>
  <c r="BN466" i="2"/>
  <c r="BM466" i="2"/>
  <c r="Z466" i="2"/>
  <c r="Y466" i="2"/>
  <c r="P466" i="2"/>
  <c r="BO465" i="2"/>
  <c r="BM465" i="2"/>
  <c r="Z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Z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Z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P441" i="2"/>
  <c r="BO441" i="2"/>
  <c r="BN441" i="2"/>
  <c r="BM441" i="2"/>
  <c r="Z441" i="2"/>
  <c r="Y441" i="2"/>
  <c r="P441" i="2"/>
  <c r="BO440" i="2"/>
  <c r="BM440" i="2"/>
  <c r="Y440" i="2"/>
  <c r="BP440" i="2" s="1"/>
  <c r="P440" i="2"/>
  <c r="BO439" i="2"/>
  <c r="BM439" i="2"/>
  <c r="Z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P430" i="2"/>
  <c r="BP429" i="2"/>
  <c r="BO429" i="2"/>
  <c r="BN429" i="2"/>
  <c r="BM429" i="2"/>
  <c r="Z429" i="2"/>
  <c r="Y429" i="2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Z411" i="2"/>
  <c r="Y411" i="2"/>
  <c r="BP411" i="2" s="1"/>
  <c r="P411" i="2"/>
  <c r="BO410" i="2"/>
  <c r="BM410" i="2"/>
  <c r="Y410" i="2"/>
  <c r="P410" i="2"/>
  <c r="BO409" i="2"/>
  <c r="BM409" i="2"/>
  <c r="Y409" i="2"/>
  <c r="P409" i="2"/>
  <c r="X407" i="2"/>
  <c r="X406" i="2"/>
  <c r="BP405" i="2"/>
  <c r="BO405" i="2"/>
  <c r="BN405" i="2"/>
  <c r="BM405" i="2"/>
  <c r="Z405" i="2"/>
  <c r="Y405" i="2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P402" i="2"/>
  <c r="Y400" i="2"/>
  <c r="X400" i="2"/>
  <c r="X399" i="2"/>
  <c r="BO398" i="2"/>
  <c r="BM398" i="2"/>
  <c r="Y398" i="2"/>
  <c r="Z398" i="2" s="1"/>
  <c r="P398" i="2"/>
  <c r="BO397" i="2"/>
  <c r="BN397" i="2"/>
  <c r="BM397" i="2"/>
  <c r="Z397" i="2"/>
  <c r="Y397" i="2"/>
  <c r="P397" i="2"/>
  <c r="BO396" i="2"/>
  <c r="BM396" i="2"/>
  <c r="Z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N383" i="2"/>
  <c r="BM383" i="2"/>
  <c r="Z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Z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Y367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P298" i="2"/>
  <c r="BO298" i="2"/>
  <c r="BM298" i="2"/>
  <c r="Y298" i="2"/>
  <c r="BN298" i="2" s="1"/>
  <c r="P298" i="2"/>
  <c r="BO297" i="2"/>
  <c r="BM297" i="2"/>
  <c r="Y297" i="2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P277" i="2"/>
  <c r="BO277" i="2"/>
  <c r="BN277" i="2"/>
  <c r="BM277" i="2"/>
  <c r="Z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P255" i="2"/>
  <c r="X253" i="2"/>
  <c r="X252" i="2"/>
  <c r="BO251" i="2"/>
  <c r="BM251" i="2"/>
  <c r="Y251" i="2"/>
  <c r="BP251" i="2" s="1"/>
  <c r="P251" i="2"/>
  <c r="BO250" i="2"/>
  <c r="BM250" i="2"/>
  <c r="Y250" i="2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Z201" i="2" s="1"/>
  <c r="P201" i="2"/>
  <c r="BP200" i="2"/>
  <c r="BO200" i="2"/>
  <c r="BM200" i="2"/>
  <c r="Y200" i="2"/>
  <c r="P200" i="2"/>
  <c r="BO199" i="2"/>
  <c r="BM199" i="2"/>
  <c r="Y199" i="2"/>
  <c r="Y202" i="2" s="1"/>
  <c r="P199" i="2"/>
  <c r="X197" i="2"/>
  <c r="X196" i="2"/>
  <c r="BO195" i="2"/>
  <c r="BM195" i="2"/>
  <c r="Y195" i="2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P191" i="2"/>
  <c r="BO190" i="2"/>
  <c r="BM190" i="2"/>
  <c r="Z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P177" i="2"/>
  <c r="BO177" i="2"/>
  <c r="BM177" i="2"/>
  <c r="Y177" i="2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Z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Z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Z106" i="2"/>
  <c r="Y106" i="2"/>
  <c r="BN106" i="2" s="1"/>
  <c r="P106" i="2"/>
  <c r="BO105" i="2"/>
  <c r="BM105" i="2"/>
  <c r="Z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Z97" i="2"/>
  <c r="Y97" i="2"/>
  <c r="P97" i="2"/>
  <c r="BO96" i="2"/>
  <c r="BM96" i="2"/>
  <c r="Y96" i="2"/>
  <c r="Z96" i="2" s="1"/>
  <c r="BO95" i="2"/>
  <c r="BN95" i="2"/>
  <c r="BM95" i="2"/>
  <c r="Z95" i="2"/>
  <c r="Y95" i="2"/>
  <c r="BP95" i="2" s="1"/>
  <c r="P95" i="2"/>
  <c r="BO94" i="2"/>
  <c r="BM94" i="2"/>
  <c r="Y94" i="2"/>
  <c r="Z94" i="2" s="1"/>
  <c r="BP93" i="2"/>
  <c r="BO93" i="2"/>
  <c r="BM93" i="2"/>
  <c r="Y93" i="2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P86" i="2"/>
  <c r="BO85" i="2"/>
  <c r="BM85" i="2"/>
  <c r="Z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P78" i="2"/>
  <c r="BO78" i="2"/>
  <c r="BN78" i="2"/>
  <c r="BM78" i="2"/>
  <c r="Z78" i="2"/>
  <c r="Y78" i="2"/>
  <c r="P78" i="2"/>
  <c r="BO77" i="2"/>
  <c r="BM77" i="2"/>
  <c r="Z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P64" i="2"/>
  <c r="X62" i="2"/>
  <c r="X61" i="2"/>
  <c r="BO60" i="2"/>
  <c r="BM60" i="2"/>
  <c r="Z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P41" i="2"/>
  <c r="BO41" i="2"/>
  <c r="BN41" i="2"/>
  <c r="BM41" i="2"/>
  <c r="Z41" i="2"/>
  <c r="Y41" i="2"/>
  <c r="P41" i="2"/>
  <c r="BO40" i="2"/>
  <c r="BM40" i="2"/>
  <c r="Y40" i="2"/>
  <c r="P40" i="2"/>
  <c r="BO39" i="2"/>
  <c r="BM39" i="2"/>
  <c r="Z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Z28" i="2" s="1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N27" i="2" l="1"/>
  <c r="Z27" i="2"/>
  <c r="BP64" i="2"/>
  <c r="Z64" i="2"/>
  <c r="BN80" i="2"/>
  <c r="BP86" i="2"/>
  <c r="BN86" i="2"/>
  <c r="Z86" i="2"/>
  <c r="BP104" i="2"/>
  <c r="Z104" i="2"/>
  <c r="BN161" i="2"/>
  <c r="BP161" i="2"/>
  <c r="BP185" i="2"/>
  <c r="BN185" i="2"/>
  <c r="Z185" i="2"/>
  <c r="BP195" i="2"/>
  <c r="BN195" i="2"/>
  <c r="Z195" i="2"/>
  <c r="BN199" i="2"/>
  <c r="BN201" i="2"/>
  <c r="BN230" i="2"/>
  <c r="Z230" i="2"/>
  <c r="BP233" i="2"/>
  <c r="BN233" i="2"/>
  <c r="Z233" i="2"/>
  <c r="BN236" i="2"/>
  <c r="BN278" i="2"/>
  <c r="BN289" i="2"/>
  <c r="BN303" i="2"/>
  <c r="BN318" i="2"/>
  <c r="BN351" i="2"/>
  <c r="BN372" i="2"/>
  <c r="BN379" i="2"/>
  <c r="Y413" i="2"/>
  <c r="Z409" i="2"/>
  <c r="Y412" i="2"/>
  <c r="B574" i="2"/>
  <c r="Y24" i="2"/>
  <c r="BN23" i="2"/>
  <c r="BN30" i="2"/>
  <c r="BN40" i="2"/>
  <c r="BP40" i="2"/>
  <c r="BN93" i="2"/>
  <c r="Z93" i="2"/>
  <c r="BN119" i="2"/>
  <c r="BN145" i="2"/>
  <c r="BN184" i="2"/>
  <c r="BP184" i="2"/>
  <c r="BP191" i="2"/>
  <c r="BN191" i="2"/>
  <c r="Z191" i="2"/>
  <c r="BN205" i="2"/>
  <c r="Z205" i="2"/>
  <c r="Z206" i="2" s="1"/>
  <c r="Z226" i="2"/>
  <c r="Z227" i="2" s="1"/>
  <c r="Y227" i="2"/>
  <c r="BN226" i="2"/>
  <c r="BP250" i="2"/>
  <c r="BN250" i="2"/>
  <c r="Z250" i="2"/>
  <c r="Y258" i="2"/>
  <c r="BP255" i="2"/>
  <c r="BP267" i="2"/>
  <c r="BN267" i="2"/>
  <c r="Z267" i="2"/>
  <c r="BN283" i="2"/>
  <c r="BP297" i="2"/>
  <c r="BN297" i="2"/>
  <c r="Z297" i="2"/>
  <c r="BN310" i="2"/>
  <c r="BN336" i="2"/>
  <c r="BN403" i="2"/>
  <c r="Z403" i="2"/>
  <c r="BP409" i="2"/>
  <c r="BN410" i="2"/>
  <c r="BP410" i="2"/>
  <c r="BN422" i="2"/>
  <c r="BP430" i="2"/>
  <c r="BN430" i="2"/>
  <c r="BN442" i="2"/>
  <c r="BN492" i="2"/>
  <c r="BN510" i="2"/>
  <c r="BN515" i="2"/>
  <c r="BN530" i="2"/>
  <c r="BN556" i="2"/>
  <c r="Y61" i="2"/>
  <c r="BP77" i="2"/>
  <c r="BN99" i="2"/>
  <c r="BP105" i="2"/>
  <c r="BP106" i="2"/>
  <c r="BN107" i="2"/>
  <c r="BN115" i="2"/>
  <c r="BN123" i="2"/>
  <c r="BN128" i="2"/>
  <c r="Y137" i="2"/>
  <c r="BN160" i="2"/>
  <c r="BN215" i="2"/>
  <c r="BN231" i="2"/>
  <c r="BN234" i="2"/>
  <c r="BN249" i="2"/>
  <c r="BN256" i="2"/>
  <c r="BN282" i="2"/>
  <c r="BN287" i="2"/>
  <c r="BN293" i="2"/>
  <c r="BN314" i="2"/>
  <c r="BN326" i="2"/>
  <c r="BN343" i="2"/>
  <c r="BN352" i="2"/>
  <c r="BP396" i="2"/>
  <c r="BN415" i="2"/>
  <c r="Z454" i="2"/>
  <c r="BP455" i="2"/>
  <c r="BP465" i="2"/>
  <c r="Y493" i="2"/>
  <c r="Z497" i="2"/>
  <c r="Z498" i="2" s="1"/>
  <c r="BN503" i="2"/>
  <c r="BN511" i="2"/>
  <c r="BN517" i="2"/>
  <c r="BN389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Z456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Z399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Z467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Z81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Z100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Y269" i="2"/>
  <c r="M574" i="2"/>
  <c r="Y268" i="2"/>
  <c r="Z328" i="2"/>
  <c r="Y329" i="2"/>
  <c r="BP328" i="2"/>
  <c r="BN328" i="2"/>
  <c r="BN57" i="2"/>
  <c r="BP60" i="2"/>
  <c r="BN66" i="2"/>
  <c r="Z32" i="2"/>
  <c r="Z37" i="2"/>
  <c r="Z40" i="2"/>
  <c r="BN47" i="2"/>
  <c r="BN72" i="2"/>
  <c r="BP97" i="2"/>
  <c r="BN97" i="2"/>
  <c r="G574" i="2"/>
  <c r="Y100" i="2"/>
  <c r="Z71" i="2"/>
  <c r="Z74" i="2" s="1"/>
  <c r="Z87" i="2"/>
  <c r="Z90" i="2" s="1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Z258" i="2" s="1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Z412" i="2" s="1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Z524" i="2" s="1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Z461" i="2" s="1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66" i="2" s="1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329" i="2" l="1"/>
  <c r="Z112" i="2"/>
  <c r="Z244" i="2"/>
  <c r="Z268" i="2"/>
  <c r="Z406" i="2"/>
  <c r="Z504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<sst xmlns="http://schemas.openxmlformats.org/spreadsheetml/2006/main" count="4373" uniqueCount="914">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</sst>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389" sqref="AA38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/>
      <c r="I5" s="1013"/>
      <c r="J5" s="1013"/>
      <c r="K5" s="1013"/>
      <c r="L5" s="1013"/>
      <c r="M5" s="1013"/>
      <c r="N5" s="72"/>
      <c r="P5" s="27" t="s">
        <v>4</v>
      </c>
      <c r="Q5" s="1015">
        <v>46275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897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Четверг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3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0.41666666666666669</v>
      </c>
      <c r="R8" s="1035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6" t="str">
        <f>IF(AND($A$9="Тип доверенности/получателя при получении в адресе перегруза:",$D$9="Разовая доверенность"),"Введите ФИО","")</f>
        <v/>
      </c>
      <c r="I9" s="1036"/>
      <c r="J9" s="10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6"/>
      <c r="L9" s="1036"/>
      <c r="M9" s="1036"/>
      <c r="N9" s="70"/>
      <c r="P9" s="31" t="s">
        <v>15</v>
      </c>
      <c r="Q9" s="1037"/>
      <c r="R9" s="1037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998.4</v>
      </c>
      <c r="Y389" s="55">
        <f>IFERROR(IF(X389="",0,CEILING((X389/$H389),1)*$H389),"")</f>
        <v>998.4</v>
      </c>
      <c r="Z389" s="41">
        <f>IFERROR(IF(Y389=0,"",ROUNDUP(Y389/H389,0)*0.01898),"")</f>
        <v>2.42944</v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1060.864</v>
      </c>
      <c r="BN389" s="78">
        <f>IFERROR(Y389*I389/H389,"0")</f>
        <v>1060.864</v>
      </c>
      <c r="BO389" s="78">
        <f>IFERROR(1/J389*(X389/H389),"0")</f>
        <v>2</v>
      </c>
      <c r="BP389" s="78">
        <f>IFERROR(1/J389*(Y389/H389),"0")</f>
        <v>2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128</v>
      </c>
      <c r="Y393" s="43">
        <f>IFERROR(Y389/H389,"0")+IFERROR(Y390/H390,"0")+IFERROR(Y391/H391,"0")+IFERROR(Y392/H392,"0")</f>
        <v>128</v>
      </c>
      <c r="Z393" s="43">
        <f>IFERROR(IF(Z389="",0,Z389),"0")+IFERROR(IF(Z390="",0,Z390),"0")+IFERROR(IF(Z391="",0,Z391),"0")+IFERROR(IF(Z392="",0,Z392),"0")</f>
        <v>2.42944</v>
      </c>
      <c r="AA393" s="67"/>
      <c r="AB393" s="67"/>
      <c r="AC393" s="67"/>
    </row>
    <row r="394" spans="1:68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998.4</v>
      </c>
      <c r="Y394" s="43">
        <f>IFERROR(SUM(Y389:Y392),"0")</f>
        <v>998.4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hidden="1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hidden="1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998.4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998.4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1060.864</v>
      </c>
      <c r="Y565" s="43">
        <f>IFERROR(SUM(BN22:BN561),"0")</f>
        <v>1060.864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2</v>
      </c>
      <c r="Y566" s="44">
        <f>ROUNDUP(SUM(BP22:BP561),0)</f>
        <v>2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1110.864</v>
      </c>
      <c r="Y567" s="43">
        <f>GrossWeightTotalR+PalletQtyTotalR*25</f>
        <v>1110.864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128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128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2.42944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998.4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0,86"/>
        <filter val="1 110,86"/>
        <filter val="128,00"/>
        <filter val="2"/>
        <filter val="998,4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2026-09-09T10:40:03Z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