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09,09 НПК КИ ЛП ближ\"/>
    </mc:Choice>
  </mc:AlternateContent>
  <xr:revisionPtr revIDLastSave="0" documentId="13_ncr:1_{269AF089-E03D-4B09-B8BD-7C24363EC2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BP423" i="2" s="1"/>
  <c r="P423" i="2"/>
  <c r="X421" i="2"/>
  <c r="X420" i="2"/>
  <c r="BO419" i="2"/>
  <c r="BM419" i="2"/>
  <c r="Y419" i="2"/>
  <c r="P419" i="2"/>
  <c r="BO418" i="2"/>
  <c r="BM418" i="2"/>
  <c r="Y418" i="2"/>
  <c r="P418" i="2"/>
  <c r="BP417" i="2"/>
  <c r="BO417" i="2"/>
  <c r="BN417" i="2"/>
  <c r="BM417" i="2"/>
  <c r="Z417" i="2"/>
  <c r="Y417" i="2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P324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BP319" i="2" s="1"/>
  <c r="P319" i="2"/>
  <c r="BO318" i="2"/>
  <c r="BM318" i="2"/>
  <c r="Y318" i="2"/>
  <c r="BO317" i="2"/>
  <c r="BM317" i="2"/>
  <c r="Y317" i="2"/>
  <c r="P317" i="2"/>
  <c r="BO316" i="2"/>
  <c r="BM316" i="2"/>
  <c r="Y316" i="2"/>
  <c r="BP316" i="2" s="1"/>
  <c r="BO315" i="2"/>
  <c r="BM315" i="2"/>
  <c r="Y315" i="2"/>
  <c r="BP315" i="2" s="1"/>
  <c r="P315" i="2"/>
  <c r="BO314" i="2"/>
  <c r="BM314" i="2"/>
  <c r="Y314" i="2"/>
  <c r="BO313" i="2"/>
  <c r="BM313" i="2"/>
  <c r="Y313" i="2"/>
  <c r="P313" i="2"/>
  <c r="X310" i="2"/>
  <c r="X309" i="2"/>
  <c r="BP308" i="2"/>
  <c r="BO308" i="2"/>
  <c r="BN308" i="2"/>
  <c r="BM308" i="2"/>
  <c r="Z308" i="2"/>
  <c r="Y308" i="2"/>
  <c r="P308" i="2"/>
  <c r="BO307" i="2"/>
  <c r="BM307" i="2"/>
  <c r="Y307" i="2"/>
  <c r="Y309" i="2" s="1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Q516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Y291" i="2" s="1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BP256" i="2" s="1"/>
  <c r="P256" i="2"/>
  <c r="BP255" i="2"/>
  <c r="BO255" i="2"/>
  <c r="BN255" i="2"/>
  <c r="BM255" i="2"/>
  <c r="Z255" i="2"/>
  <c r="Y255" i="2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BP252" i="2" s="1"/>
  <c r="P252" i="2"/>
  <c r="BO251" i="2"/>
  <c r="BM251" i="2"/>
  <c r="Y251" i="2"/>
  <c r="BP251" i="2" s="1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BP226" i="2"/>
  <c r="BO226" i="2"/>
  <c r="BN226" i="2"/>
  <c r="BM226" i="2"/>
  <c r="Z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O216" i="2"/>
  <c r="BM216" i="2"/>
  <c r="Y216" i="2"/>
  <c r="Y218" i="2" s="1"/>
  <c r="P216" i="2"/>
  <c r="X214" i="2"/>
  <c r="X213" i="2"/>
  <c r="BO212" i="2"/>
  <c r="BM212" i="2"/>
  <c r="Y212" i="2"/>
  <c r="BP212" i="2" s="1"/>
  <c r="P212" i="2"/>
  <c r="BO211" i="2"/>
  <c r="BM211" i="2"/>
  <c r="Y211" i="2"/>
  <c r="Y213" i="2" s="1"/>
  <c r="P211" i="2"/>
  <c r="X208" i="2"/>
  <c r="X207" i="2"/>
  <c r="BO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BO194" i="2"/>
  <c r="BM194" i="2"/>
  <c r="Y194" i="2"/>
  <c r="P194" i="2"/>
  <c r="BP193" i="2"/>
  <c r="BO193" i="2"/>
  <c r="BN193" i="2"/>
  <c r="BM193" i="2"/>
  <c r="Z193" i="2"/>
  <c r="Y193" i="2"/>
  <c r="P193" i="2"/>
  <c r="BO192" i="2"/>
  <c r="BM192" i="2"/>
  <c r="Y192" i="2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Z188" i="2" s="1"/>
  <c r="P188" i="2"/>
  <c r="BO187" i="2"/>
  <c r="BM187" i="2"/>
  <c r="Y187" i="2"/>
  <c r="BP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BP184" i="2" s="1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9" i="2" s="1"/>
  <c r="X155" i="2"/>
  <c r="X154" i="2"/>
  <c r="BO153" i="2"/>
  <c r="BM153" i="2"/>
  <c r="Y153" i="2"/>
  <c r="BP153" i="2" s="1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P136" i="2"/>
  <c r="X133" i="2"/>
  <c r="Y132" i="2"/>
  <c r="X132" i="2"/>
  <c r="BP131" i="2"/>
  <c r="BO131" i="2"/>
  <c r="BN131" i="2"/>
  <c r="BM131" i="2"/>
  <c r="Z131" i="2"/>
  <c r="Z132" i="2" s="1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Y86" i="2" s="1"/>
  <c r="P82" i="2"/>
  <c r="BP81" i="2"/>
  <c r="BO81" i="2"/>
  <c r="BN81" i="2"/>
  <c r="BM81" i="2"/>
  <c r="Z81" i="2"/>
  <c r="Y81" i="2"/>
  <c r="P81" i="2"/>
  <c r="X79" i="2"/>
  <c r="Y78" i="2"/>
  <c r="X78" i="2"/>
  <c r="BP77" i="2"/>
  <c r="BO77" i="2"/>
  <c r="BN77" i="2"/>
  <c r="BM77" i="2"/>
  <c r="Z77" i="2"/>
  <c r="Z78" i="2" s="1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P32" i="2"/>
  <c r="BO32" i="2"/>
  <c r="BN32" i="2"/>
  <c r="BM32" i="2"/>
  <c r="Z32" i="2"/>
  <c r="Y32" i="2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Z23" i="2" l="1"/>
  <c r="BN23" i="2"/>
  <c r="Z28" i="2"/>
  <c r="BN28" i="2"/>
  <c r="Z65" i="2"/>
  <c r="BN65" i="2"/>
  <c r="Z89" i="2"/>
  <c r="BN89" i="2"/>
  <c r="Z119" i="2"/>
  <c r="BN119" i="2"/>
  <c r="Z189" i="2"/>
  <c r="BN189" i="2"/>
  <c r="Z201" i="2"/>
  <c r="BN201" i="2"/>
  <c r="Z244" i="2"/>
  <c r="BN244" i="2"/>
  <c r="Z251" i="2"/>
  <c r="BN251" i="2"/>
  <c r="Z271" i="2"/>
  <c r="BN271" i="2"/>
  <c r="M516" i="2"/>
  <c r="Z279" i="2"/>
  <c r="BN279" i="2"/>
  <c r="Z295" i="2"/>
  <c r="BN295" i="2"/>
  <c r="Z326" i="2"/>
  <c r="BN326" i="2"/>
  <c r="Z336" i="2"/>
  <c r="BN336" i="2"/>
  <c r="Z374" i="2"/>
  <c r="BN374" i="2"/>
  <c r="Z413" i="2"/>
  <c r="BN413" i="2"/>
  <c r="Z423" i="2"/>
  <c r="BN423" i="2"/>
  <c r="Z455" i="2"/>
  <c r="BN455" i="2"/>
  <c r="Z479" i="2"/>
  <c r="BN479" i="2"/>
  <c r="Y482" i="2"/>
  <c r="BP253" i="2"/>
  <c r="BN253" i="2"/>
  <c r="Z253" i="2"/>
  <c r="BP281" i="2"/>
  <c r="BN281" i="2"/>
  <c r="Z281" i="2"/>
  <c r="BP302" i="2"/>
  <c r="BN302" i="2"/>
  <c r="Z302" i="2"/>
  <c r="BP314" i="2"/>
  <c r="BN314" i="2"/>
  <c r="Z314" i="2"/>
  <c r="BP318" i="2"/>
  <c r="BN318" i="2"/>
  <c r="Z318" i="2"/>
  <c r="BP328" i="2"/>
  <c r="BN328" i="2"/>
  <c r="Z328" i="2"/>
  <c r="BP343" i="2"/>
  <c r="BN343" i="2"/>
  <c r="Z343" i="2"/>
  <c r="BP380" i="2"/>
  <c r="BN380" i="2"/>
  <c r="Z380" i="2"/>
  <c r="BP415" i="2"/>
  <c r="BN415" i="2"/>
  <c r="Z415" i="2"/>
  <c r="BP434" i="2"/>
  <c r="BN434" i="2"/>
  <c r="Z434" i="2"/>
  <c r="BP462" i="2"/>
  <c r="BN462" i="2"/>
  <c r="Z462" i="2"/>
  <c r="Y487" i="2"/>
  <c r="Y486" i="2"/>
  <c r="BP485" i="2"/>
  <c r="BN485" i="2"/>
  <c r="Z485" i="2"/>
  <c r="Z486" i="2" s="1"/>
  <c r="Y491" i="2"/>
  <c r="Y490" i="2"/>
  <c r="BP489" i="2"/>
  <c r="BN489" i="2"/>
  <c r="Z489" i="2"/>
  <c r="Z490" i="2" s="1"/>
  <c r="BP497" i="2"/>
  <c r="BN497" i="2"/>
  <c r="Z497" i="2"/>
  <c r="B516" i="2"/>
  <c r="Y35" i="2"/>
  <c r="Z30" i="2"/>
  <c r="BN30" i="2"/>
  <c r="Z56" i="2"/>
  <c r="Z57" i="2" s="1"/>
  <c r="BN56" i="2"/>
  <c r="BP56" i="2"/>
  <c r="Y57" i="2"/>
  <c r="Z63" i="2"/>
  <c r="BN63" i="2"/>
  <c r="Z72" i="2"/>
  <c r="BN72" i="2"/>
  <c r="Y85" i="2"/>
  <c r="Z83" i="2"/>
  <c r="BN83" i="2"/>
  <c r="Z95" i="2"/>
  <c r="BN95" i="2"/>
  <c r="Z113" i="2"/>
  <c r="BN113" i="2"/>
  <c r="Y121" i="2"/>
  <c r="Z125" i="2"/>
  <c r="BN125" i="2"/>
  <c r="Z153" i="2"/>
  <c r="BN153" i="2"/>
  <c r="Z157" i="2"/>
  <c r="Z158" i="2" s="1"/>
  <c r="BN157" i="2"/>
  <c r="BP157" i="2"/>
  <c r="Y158" i="2"/>
  <c r="Z161" i="2"/>
  <c r="BN161" i="2"/>
  <c r="Y171" i="2"/>
  <c r="Z167" i="2"/>
  <c r="BN167" i="2"/>
  <c r="Z170" i="2"/>
  <c r="BN170" i="2"/>
  <c r="J516" i="2"/>
  <c r="Z187" i="2"/>
  <c r="BN187" i="2"/>
  <c r="Z191" i="2"/>
  <c r="BN191" i="2"/>
  <c r="Z195" i="2"/>
  <c r="BN195" i="2"/>
  <c r="Y204" i="2"/>
  <c r="Z216" i="2"/>
  <c r="Z218" i="2" s="1"/>
  <c r="BN216" i="2"/>
  <c r="BP216" i="2"/>
  <c r="Y219" i="2"/>
  <c r="Z228" i="2"/>
  <c r="BN228" i="2"/>
  <c r="Y274" i="2"/>
  <c r="BP269" i="2"/>
  <c r="BN269" i="2"/>
  <c r="Z269" i="2"/>
  <c r="BP288" i="2"/>
  <c r="BN288" i="2"/>
  <c r="Z288" i="2"/>
  <c r="Y321" i="2"/>
  <c r="BP313" i="2"/>
  <c r="BN313" i="2"/>
  <c r="Z313" i="2"/>
  <c r="BP317" i="2"/>
  <c r="BN317" i="2"/>
  <c r="Z317" i="2"/>
  <c r="Y331" i="2"/>
  <c r="BP324" i="2"/>
  <c r="BN324" i="2"/>
  <c r="Z324" i="2"/>
  <c r="Y338" i="2"/>
  <c r="BP334" i="2"/>
  <c r="BN334" i="2"/>
  <c r="Z334" i="2"/>
  <c r="BP361" i="2"/>
  <c r="BN361" i="2"/>
  <c r="Z361" i="2"/>
  <c r="V516" i="2"/>
  <c r="BP411" i="2"/>
  <c r="BN411" i="2"/>
  <c r="Z411" i="2"/>
  <c r="BP419" i="2"/>
  <c r="BN419" i="2"/>
  <c r="Z419" i="2"/>
  <c r="BP453" i="2"/>
  <c r="BN453" i="2"/>
  <c r="Z453" i="2"/>
  <c r="BP472" i="2"/>
  <c r="BN472" i="2"/>
  <c r="Z472" i="2"/>
  <c r="Y246" i="2"/>
  <c r="L516" i="2"/>
  <c r="O516" i="2"/>
  <c r="P516" i="2"/>
  <c r="Y339" i="2"/>
  <c r="S516" i="2"/>
  <c r="Y425" i="2"/>
  <c r="F9" i="2"/>
  <c r="J9" i="2"/>
  <c r="F10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Z90" i="2" s="1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Z186" i="2"/>
  <c r="BN186" i="2"/>
  <c r="BP192" i="2"/>
  <c r="BN192" i="2"/>
  <c r="Z192" i="2"/>
  <c r="BP196" i="2"/>
  <c r="BN196" i="2"/>
  <c r="Z196" i="2"/>
  <c r="H9" i="2"/>
  <c r="Y24" i="2"/>
  <c r="Y45" i="2"/>
  <c r="Y182" i="2"/>
  <c r="Y198" i="2"/>
  <c r="Y197" i="2"/>
  <c r="BP188" i="2"/>
  <c r="BN188" i="2"/>
  <c r="BP190" i="2"/>
  <c r="BN190" i="2"/>
  <c r="Z190" i="2"/>
  <c r="BP194" i="2"/>
  <c r="BN194" i="2"/>
  <c r="Z194" i="2"/>
  <c r="Z200" i="2"/>
  <c r="BN200" i="2"/>
  <c r="BP200" i="2"/>
  <c r="Z202" i="2"/>
  <c r="BN202" i="2"/>
  <c r="Y203" i="2"/>
  <c r="Z206" i="2"/>
  <c r="Z207" i="2" s="1"/>
  <c r="BN206" i="2"/>
  <c r="BP206" i="2"/>
  <c r="Y207" i="2"/>
  <c r="Z212" i="2"/>
  <c r="BN212" i="2"/>
  <c r="Z217" i="2"/>
  <c r="BN217" i="2"/>
  <c r="BP217" i="2"/>
  <c r="Z225" i="2"/>
  <c r="BN225" i="2"/>
  <c r="Z227" i="2"/>
  <c r="BN227" i="2"/>
  <c r="Z236" i="2"/>
  <c r="BN236" i="2"/>
  <c r="Z250" i="2"/>
  <c r="BN250" i="2"/>
  <c r="BP250" i="2"/>
  <c r="Z252" i="2"/>
  <c r="BN252" i="2"/>
  <c r="Z254" i="2"/>
  <c r="BN254" i="2"/>
  <c r="Z256" i="2"/>
  <c r="BN256" i="2"/>
  <c r="Y257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BP268" i="2"/>
  <c r="Z270" i="2"/>
  <c r="BN270" i="2"/>
  <c r="Z272" i="2"/>
  <c r="BN272" i="2"/>
  <c r="Y273" i="2"/>
  <c r="Z277" i="2"/>
  <c r="BN277" i="2"/>
  <c r="BP277" i="2"/>
  <c r="Z278" i="2"/>
  <c r="BN278" i="2"/>
  <c r="Z280" i="2"/>
  <c r="BN280" i="2"/>
  <c r="Y283" i="2"/>
  <c r="Z287" i="2"/>
  <c r="BN287" i="2"/>
  <c r="BP287" i="2"/>
  <c r="Z289" i="2"/>
  <c r="BN289" i="2"/>
  <c r="Y290" i="2"/>
  <c r="Z294" i="2"/>
  <c r="BN294" i="2"/>
  <c r="BP294" i="2"/>
  <c r="Z296" i="2"/>
  <c r="BN296" i="2"/>
  <c r="Y297" i="2"/>
  <c r="Z301" i="2"/>
  <c r="BN301" i="2"/>
  <c r="BP301" i="2"/>
  <c r="Z303" i="2"/>
  <c r="BN303" i="2"/>
  <c r="Y304" i="2"/>
  <c r="Z307" i="2"/>
  <c r="Z309" i="2" s="1"/>
  <c r="BN307" i="2"/>
  <c r="BP307" i="2"/>
  <c r="Y310" i="2"/>
  <c r="Z315" i="2"/>
  <c r="BN315" i="2"/>
  <c r="Z316" i="2"/>
  <c r="BN316" i="2"/>
  <c r="Z319" i="2"/>
  <c r="BN319" i="2"/>
  <c r="Y322" i="2"/>
  <c r="Z325" i="2"/>
  <c r="BN325" i="2"/>
  <c r="Z327" i="2"/>
  <c r="BN327" i="2"/>
  <c r="Z329" i="2"/>
  <c r="BN329" i="2"/>
  <c r="Y332" i="2"/>
  <c r="Z335" i="2"/>
  <c r="BN335" i="2"/>
  <c r="BP335" i="2"/>
  <c r="Z337" i="2"/>
  <c r="BN337" i="2"/>
  <c r="Z341" i="2"/>
  <c r="BN341" i="2"/>
  <c r="Y344" i="2"/>
  <c r="Z347" i="2"/>
  <c r="BN347" i="2"/>
  <c r="Z349" i="2"/>
  <c r="BN349" i="2"/>
  <c r="Y352" i="2"/>
  <c r="Z373" i="2"/>
  <c r="BN373" i="2"/>
  <c r="Z375" i="2"/>
  <c r="BN375" i="2"/>
  <c r="BP412" i="2"/>
  <c r="BN412" i="2"/>
  <c r="Z412" i="2"/>
  <c r="BP416" i="2"/>
  <c r="BN416" i="2"/>
  <c r="Z416" i="2"/>
  <c r="Y420" i="2"/>
  <c r="BP424" i="2"/>
  <c r="BN424" i="2"/>
  <c r="Z424" i="2"/>
  <c r="Y426" i="2"/>
  <c r="Y430" i="2"/>
  <c r="BP429" i="2"/>
  <c r="BN429" i="2"/>
  <c r="Z429" i="2"/>
  <c r="Z430" i="2" s="1"/>
  <c r="Y431" i="2"/>
  <c r="Y436" i="2"/>
  <c r="BP433" i="2"/>
  <c r="BN433" i="2"/>
  <c r="Z433" i="2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Y499" i="2"/>
  <c r="W516" i="2"/>
  <c r="Y258" i="2"/>
  <c r="Y282" i="2"/>
  <c r="Y298" i="2"/>
  <c r="Y305" i="2"/>
  <c r="BP384" i="2"/>
  <c r="BN384" i="2"/>
  <c r="Y400" i="2"/>
  <c r="BP399" i="2"/>
  <c r="BN399" i="2"/>
  <c r="Z399" i="2"/>
  <c r="Z400" i="2" s="1"/>
  <c r="Y401" i="2"/>
  <c r="BP405" i="2"/>
  <c r="BN405" i="2"/>
  <c r="Z405" i="2"/>
  <c r="BP414" i="2"/>
  <c r="BN414" i="2"/>
  <c r="Z414" i="2"/>
  <c r="BP418" i="2"/>
  <c r="BN418" i="2"/>
  <c r="Z418" i="2"/>
  <c r="BP435" i="2"/>
  <c r="BN435" i="2"/>
  <c r="Z435" i="2"/>
  <c r="Y437" i="2"/>
  <c r="X516" i="2"/>
  <c r="Y441" i="2"/>
  <c r="BP440" i="2"/>
  <c r="BN440" i="2"/>
  <c r="Z440" i="2"/>
  <c r="Z441" i="2" s="1"/>
  <c r="Y442" i="2"/>
  <c r="BP446" i="2"/>
  <c r="BN446" i="2"/>
  <c r="Z446" i="2"/>
  <c r="BP454" i="2"/>
  <c r="BN454" i="2"/>
  <c r="Z454" i="2"/>
  <c r="BP463" i="2"/>
  <c r="BN463" i="2"/>
  <c r="Z463" i="2"/>
  <c r="BP473" i="2"/>
  <c r="BN473" i="2"/>
  <c r="Z473" i="2"/>
  <c r="BP498" i="2"/>
  <c r="BN498" i="2"/>
  <c r="Z498" i="2"/>
  <c r="Z499" i="2" s="1"/>
  <c r="Y500" i="2"/>
  <c r="Y504" i="2"/>
  <c r="BP503" i="2"/>
  <c r="BN503" i="2"/>
  <c r="Z503" i="2"/>
  <c r="Z504" i="2" s="1"/>
  <c r="Y505" i="2"/>
  <c r="AA516" i="2"/>
  <c r="Y421" i="2"/>
  <c r="Y464" i="2"/>
  <c r="Z211" i="2"/>
  <c r="Z213" i="2" s="1"/>
  <c r="BN211" i="2"/>
  <c r="BP211" i="2"/>
  <c r="Y214" i="2"/>
  <c r="Y154" i="2"/>
  <c r="Z152" i="2"/>
  <c r="Z154" i="2" s="1"/>
  <c r="BN152" i="2"/>
  <c r="BP152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171" i="2" l="1"/>
  <c r="Z364" i="2"/>
  <c r="Z381" i="2"/>
  <c r="Z464" i="2"/>
  <c r="Z425" i="2"/>
  <c r="Z338" i="2"/>
  <c r="Z304" i="2"/>
  <c r="Z297" i="2"/>
  <c r="Z290" i="2"/>
  <c r="Z282" i="2"/>
  <c r="Z273" i="2"/>
  <c r="Z257" i="2"/>
  <c r="Z321" i="2"/>
  <c r="Z128" i="2"/>
  <c r="Z74" i="2"/>
  <c r="Z344" i="2"/>
  <c r="Z351" i="2"/>
  <c r="Z482" i="2"/>
  <c r="Z420" i="2"/>
  <c r="Z331" i="2"/>
  <c r="Z85" i="2"/>
  <c r="Z197" i="2"/>
  <c r="Z436" i="2"/>
  <c r="Z203" i="2"/>
  <c r="Z34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<sst xmlns="http://schemas.openxmlformats.org/spreadsheetml/2006/main" count="3779" uniqueCount="818">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</sst>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topLeftCell="A397" workbookViewId="0">
      <selection activeCell="AA512" sqref="AA51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/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 xml:space="preserve"> 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/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250</v>
      </c>
      <c r="Y49" s="69">
        <f>IFERROR(IF(X49="",0,CEILING((X49/$H49),1)*$H49),"")</f>
        <v>259.20000000000005</v>
      </c>
      <c r="Z49" s="70">
        <f>IFERROR(IF(Y49=0,"",ROUNDUP(Y49/H49,0)*0.01898),"")</f>
        <v>0.45552000000000004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259.4907407407407</v>
      </c>
      <c r="BN49" s="76">
        <f>IFERROR(Y49*I49/H49,"0")</f>
        <v>269.04000000000002</v>
      </c>
      <c r="BO49" s="76">
        <f>IFERROR(1/J49*(X49/H49),"0")</f>
        <v>0.36168981481481477</v>
      </c>
      <c r="BP49" s="76">
        <f>IFERROR(1/J49*(Y49/H49),"0")</f>
        <v>0.37500000000000006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35.648148148148145</v>
      </c>
      <c r="Y53" s="65">
        <f>IFERROR(Y49/H49,"0")+IFERROR(Y50/H50,"0")+IFERROR(Y51/H51,"0")+IFERROR(Y52/H52,"0")</f>
        <v>37</v>
      </c>
      <c r="Z53" s="65">
        <f>IFERROR(IF(Z49="",0,Z49),"0")+IFERROR(IF(Z50="",0,Z50),"0")+IFERROR(IF(Z51="",0,Z51),"0")+IFERROR(IF(Z52="",0,Z52),"0")</f>
        <v>0.57278000000000007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300</v>
      </c>
      <c r="Y54" s="65">
        <f>IFERROR(SUM(Y49:Y52),"0")</f>
        <v>311.20000000000005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200</v>
      </c>
      <c r="Y62" s="69">
        <f t="shared" si="6"/>
        <v>205.20000000000002</v>
      </c>
      <c r="Z62" s="70">
        <f>IFERROR(IF(Y62=0,"",ROUNDUP(Y62/H62,0)*0.01898),"")</f>
        <v>0.36062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207.59259259259258</v>
      </c>
      <c r="BN62" s="76">
        <f t="shared" si="8"/>
        <v>212.99</v>
      </c>
      <c r="BO62" s="76">
        <f t="shared" si="9"/>
        <v>0.28935185185185186</v>
      </c>
      <c r="BP62" s="76">
        <f t="shared" si="10"/>
        <v>0.296875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40.74074074074074</v>
      </c>
      <c r="Y67" s="65">
        <f>IFERROR(Y61/H61,"0")+IFERROR(Y62/H62,"0")+IFERROR(Y63/H63,"0")+IFERROR(Y64/H64,"0")+IFERROR(Y65/H65,"0")+IFERROR(Y66/H66,"0")</f>
        <v>42</v>
      </c>
      <c r="Z67" s="65">
        <f>IFERROR(IF(Z61="",0,Z61),"0")+IFERROR(IF(Z62="",0,Z62),"0")+IFERROR(IF(Z63="",0,Z63),"0")+IFERROR(IF(Z64="",0,Z64),"0")+IFERROR(IF(Z65="",0,Z65),"0")+IFERROR(IF(Z66="",0,Z66),"0")</f>
        <v>0.56808000000000003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300</v>
      </c>
      <c r="Y68" s="65">
        <f>IFERROR(SUM(Y61:Y66),"0")</f>
        <v>308.70000000000005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300</v>
      </c>
      <c r="Y94" s="69">
        <f>IFERROR(IF(X94="",0,CEILING((X94/$H94),1)*$H94),"")</f>
        <v>302.40000000000003</v>
      </c>
      <c r="Z94" s="70">
        <f>IFERROR(IF(Y94=0,"",ROUNDUP(Y94/H94,0)*0.01898),"")</f>
        <v>0.53144000000000002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311.38888888888891</v>
      </c>
      <c r="BN94" s="76">
        <f>IFERROR(Y94*I94/H94,"0")</f>
        <v>313.88</v>
      </c>
      <c r="BO94" s="76">
        <f>IFERROR(1/J94*(X94/H94),"0")</f>
        <v>0.43402777777777773</v>
      </c>
      <c r="BP94" s="76">
        <f>IFERROR(1/J94*(Y94/H94),"0")</f>
        <v>0.4375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27.777777777777775</v>
      </c>
      <c r="Y98" s="65">
        <f>IFERROR(Y94/H94,"0")+IFERROR(Y95/H95,"0")+IFERROR(Y96/H96,"0")+IFERROR(Y97/H97,"0")</f>
        <v>28</v>
      </c>
      <c r="Z98" s="65">
        <f>IFERROR(IF(Z94="",0,Z94),"0")+IFERROR(IF(Z95="",0,Z95),"0")+IFERROR(IF(Z96="",0,Z96),"0")+IFERROR(IF(Z97="",0,Z97),"0")</f>
        <v>0.53144000000000002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300</v>
      </c>
      <c r="Y99" s="65">
        <f>IFERROR(SUM(Y94:Y97),"0")</f>
        <v>302.40000000000003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hidden="1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67.901234567901227</v>
      </c>
      <c r="Y105" s="65">
        <f>IFERROR(Y101/H101,"0")+IFERROR(Y102/H102,"0")+IFERROR(Y103/H103,"0")+IFERROR(Y104/H104,"0")</f>
        <v>69</v>
      </c>
      <c r="Z105" s="65">
        <f>IFERROR(IF(Z101="",0,Z101),"0")+IFERROR(IF(Z102="",0,Z102),"0")+IFERROR(IF(Z103="",0,Z103),"0")+IFERROR(IF(Z104="",0,Z104),"0")</f>
        <v>0.61129999999999995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250</v>
      </c>
      <c r="Y106" s="65">
        <f>IFERROR(SUM(Y101:Y104),"0")</f>
        <v>256.5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50</v>
      </c>
      <c r="Y111" s="69">
        <f>IFERROR(IF(X111="",0,CEILING((X111/$H111),1)*$H111),"")</f>
        <v>52.5</v>
      </c>
      <c r="Z111" s="70">
        <f>IFERROR(IF(Y111=0,"",ROUNDUP(Y111/H111,0)*0.00902),"")</f>
        <v>0.12628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52.533333333333331</v>
      </c>
      <c r="BN111" s="76">
        <f>IFERROR(Y111*I111/H111,"0")</f>
        <v>55.16</v>
      </c>
      <c r="BO111" s="76">
        <f>IFERROR(1/J111*(X111/H111),"0")</f>
        <v>0.10101010101010102</v>
      </c>
      <c r="BP111" s="76">
        <f>IFERROR(1/J111*(Y111/H111),"0")</f>
        <v>0.10606060606060606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31.851851851851855</v>
      </c>
      <c r="Y114" s="65">
        <f>IFERROR(Y109/H109,"0")+IFERROR(Y110/H110,"0")+IFERROR(Y111/H111,"0")+IFERROR(Y112/H112,"0")+IFERROR(Y113/H113,"0")</f>
        <v>33</v>
      </c>
      <c r="Z114" s="65">
        <f>IFERROR(IF(Z109="",0,Z109),"0")+IFERROR(IF(Z110="",0,Z110),"0")+IFERROR(IF(Z111="",0,Z111),"0")+IFERROR(IF(Z112="",0,Z112),"0")+IFERROR(IF(Z113="",0,Z113),"0")</f>
        <v>0.4869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250</v>
      </c>
      <c r="Y115" s="65">
        <f>IFERROR(SUM(Y109:Y113),"0")</f>
        <v>257.70000000000005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hidden="1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0</v>
      </c>
      <c r="Y126" s="69">
        <f>IFERROR(IF(X126="",0,CEILING((X126/$H126),1)*$H126),"")</f>
        <v>0</v>
      </c>
      <c r="Z126" s="70" t="str">
        <f>IFERROR(IF(Y126=0,"",ROUNDUP(Y126/H126,0)*0.00651),"")</f>
        <v/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0</v>
      </c>
      <c r="BN126" s="76">
        <f>IFERROR(Y126*I126/H126,"0")</f>
        <v>0</v>
      </c>
      <c r="BO126" s="76">
        <f>IFERROR(1/J126*(X126/H126),"0")</f>
        <v>0</v>
      </c>
      <c r="BP126" s="76">
        <f>IFERROR(1/J126*(Y126/H126),"0")</f>
        <v>0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12.345679012345679</v>
      </c>
      <c r="Y128" s="65">
        <f>IFERROR(Y124/H124,"0")+IFERROR(Y125/H125,"0")+IFERROR(Y126/H126,"0")+IFERROR(Y127/H127,"0")</f>
        <v>13</v>
      </c>
      <c r="Z128" s="65">
        <f>IFERROR(IF(Z124="",0,Z124),"0")+IFERROR(IF(Z125="",0,Z125),"0")+IFERROR(IF(Z126="",0,Z126),"0")+IFERROR(IF(Z127="",0,Z127),"0")</f>
        <v>0.24674000000000001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100</v>
      </c>
      <c r="Y129" s="65">
        <f>IFERROR(SUM(Y124:Y127),"0")</f>
        <v>105.3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50</v>
      </c>
      <c r="Y152" s="69">
        <f>IFERROR(IF(X152="",0,CEILING((X152/$H152),1)*$H152),"")</f>
        <v>51.2</v>
      </c>
      <c r="Z152" s="70">
        <f>IFERROR(IF(Y152=0,"",ROUNDUP(Y152/H152,0)*0.01898),"")</f>
        <v>7.5920000000000001E-2</v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51.6015625</v>
      </c>
      <c r="BN152" s="76">
        <f>IFERROR(Y152*I152/H152,"0")</f>
        <v>52.84</v>
      </c>
      <c r="BO152" s="76">
        <f>IFERROR(1/J152*(X152/H152),"0")</f>
        <v>6.103515625E-2</v>
      </c>
      <c r="BP152" s="76">
        <f>IFERROR(1/J152*(Y152/H152),"0")</f>
        <v>6.25E-2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3.90625</v>
      </c>
      <c r="Y154" s="65">
        <f>IFERROR(Y152/H152,"0")+IFERROR(Y153/H153,"0")</f>
        <v>4</v>
      </c>
      <c r="Z154" s="65">
        <f>IFERROR(IF(Z152="",0,Z152),"0")+IFERROR(IF(Z153="",0,Z153),"0")</f>
        <v>7.5920000000000001E-2</v>
      </c>
      <c r="AA154" s="74"/>
      <c r="AB154" s="74"/>
      <c r="AC154" s="74"/>
    </row>
    <row r="155" spans="1:68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50</v>
      </c>
      <c r="Y155" s="65">
        <f>IFERROR(SUM(Y152:Y153),"0")</f>
        <v>51.2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50</v>
      </c>
      <c r="Y211" s="69">
        <f>IFERROR(IF(X211="",0,CEILING((X211/$H211),1)*$H211),"")</f>
        <v>54</v>
      </c>
      <c r="Z211" s="70">
        <f>IFERROR(IF(Y211=0,"",ROUNDUP(Y211/H211,0)*0.01898),"")</f>
        <v>9.4899999999999998E-2</v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51.898148148148145</v>
      </c>
      <c r="BN211" s="76">
        <f>IFERROR(Y211*I211/H211,"0")</f>
        <v>56.05</v>
      </c>
      <c r="BO211" s="76">
        <f>IFERROR(1/J211*(X211/H211),"0")</f>
        <v>7.2337962962962965E-2</v>
      </c>
      <c r="BP211" s="76">
        <f>IFERROR(1/J211*(Y211/H211),"0")</f>
        <v>7.8125E-2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4.6296296296296298</v>
      </c>
      <c r="Y213" s="65">
        <f>IFERROR(Y211/H211,"0")+IFERROR(Y212/H212,"0")</f>
        <v>5</v>
      </c>
      <c r="Z213" s="65">
        <f>IFERROR(IF(Z211="",0,Z211),"0")+IFERROR(IF(Z212="",0,Z212),"0")</f>
        <v>9.4899999999999998E-2</v>
      </c>
      <c r="AA213" s="74"/>
      <c r="AB213" s="74"/>
      <c r="AC213" s="74"/>
    </row>
    <row r="214" spans="1:68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50</v>
      </c>
      <c r="Y214" s="65">
        <f>IFERROR(SUM(Y211:Y212),"0")</f>
        <v>54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hidden="1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0</v>
      </c>
      <c r="Y221" s="69">
        <f t="shared" ref="Y221:Y228" si="21">IFERROR(IF(X221="",0,CEILING((X221/$H221),1)*$H221),"")</f>
        <v>0</v>
      </c>
      <c r="Z221" s="70" t="str">
        <f>IFERROR(IF(Y221=0,"",ROUNDUP(Y221/H221,0)*0.00902),"")</f>
        <v/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0</v>
      </c>
      <c r="BN221" s="76">
        <f t="shared" ref="BN221:BN228" si="23">IFERROR(Y221*I221/H221,"0")</f>
        <v>0</v>
      </c>
      <c r="BO221" s="76">
        <f t="shared" ref="BO221:BO228" si="24">IFERROR(1/J221*(X221/H221),"0")</f>
        <v>0</v>
      </c>
      <c r="BP221" s="76">
        <f t="shared" ref="BP221:BP228" si="25">IFERROR(1/J221*(Y221/H221),"0")</f>
        <v>0</v>
      </c>
    </row>
    <row r="222" spans="1:68" ht="27" hidden="1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si="21"/>
        <v>0</v>
      </c>
      <c r="Z222" s="70" t="str">
        <f>IFERROR(IF(Y222=0,"",ROUNDUP(Y222/H222,0)*0.00902),"")</f>
        <v/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0</v>
      </c>
      <c r="BN222" s="76">
        <f t="shared" si="23"/>
        <v>0</v>
      </c>
      <c r="BO222" s="76">
        <f t="shared" si="24"/>
        <v>0</v>
      </c>
      <c r="BP222" s="76">
        <f t="shared" si="25"/>
        <v>0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55.55555555555555</v>
      </c>
      <c r="Y229" s="65">
        <f>IFERROR(Y221/H221,"0")+IFERROR(Y222/H222,"0")+IFERROR(Y223/H223,"0")+IFERROR(Y224/H224,"0")+IFERROR(Y225/H225,"0")+IFERROR(Y226/H226,"0")+IFERROR(Y227/H227,"0")+IFERROR(Y228/H228,"0")</f>
        <v>56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0.50512000000000001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300</v>
      </c>
      <c r="Y230" s="65">
        <f>IFERROR(SUM(Y221:Y228),"0")</f>
        <v>302.40000000000003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300</v>
      </c>
      <c r="Y232" s="69">
        <f t="shared" ref="Y232:Y240" si="26">IFERROR(IF(X232="",0,CEILING((X232/$H232),1)*$H232),"")</f>
        <v>307.8</v>
      </c>
      <c r="Z232" s="70">
        <f>IFERROR(IF(Y232=0,"",ROUNDUP(Y232/H232,0)*0.01898),"")</f>
        <v>0.72123999999999999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318.2962962962963</v>
      </c>
      <c r="BN232" s="76">
        <f t="shared" ref="BN232:BN240" si="28">IFERROR(Y232*I232/H232,"0")</f>
        <v>326.572</v>
      </c>
      <c r="BO232" s="76">
        <f t="shared" ref="BO232:BO240" si="29">IFERROR(1/J232*(X232/H232),"0")</f>
        <v>0.57870370370370372</v>
      </c>
      <c r="BP232" s="76">
        <f t="shared" ref="BP232:BP240" si="30">IFERROR(1/J232*(Y232/H232),"0")</f>
        <v>0.59375</v>
      </c>
    </row>
    <row r="233" spans="1:68" ht="37.5" hidden="1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hidden="1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0</v>
      </c>
      <c r="Y234" s="69">
        <f t="shared" si="26"/>
        <v>0</v>
      </c>
      <c r="Z234" s="70" t="str">
        <f>IFERROR(IF(Y234=0,"",ROUNDUP(Y234/H234,0)*0.01898),"")</f>
        <v/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0</v>
      </c>
      <c r="BN234" s="76">
        <f t="shared" si="28"/>
        <v>0</v>
      </c>
      <c r="BO234" s="76">
        <f t="shared" si="29"/>
        <v>0</v>
      </c>
      <c r="BP234" s="76">
        <f t="shared" si="30"/>
        <v>0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150</v>
      </c>
      <c r="Y237" s="69">
        <f t="shared" si="26"/>
        <v>151.19999999999999</v>
      </c>
      <c r="Z237" s="70">
        <f t="shared" si="31"/>
        <v>0.41012999999999999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165.75</v>
      </c>
      <c r="BN237" s="76">
        <f t="shared" si="28"/>
        <v>167.07599999999999</v>
      </c>
      <c r="BO237" s="76">
        <f t="shared" si="29"/>
        <v>0.34340659340659341</v>
      </c>
      <c r="BP237" s="76">
        <f t="shared" si="30"/>
        <v>0.3461538461538462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150</v>
      </c>
      <c r="Y238" s="69">
        <f t="shared" si="26"/>
        <v>151.19999999999999</v>
      </c>
      <c r="Z238" s="70">
        <f t="shared" si="31"/>
        <v>0.41012999999999999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165.75</v>
      </c>
      <c r="BN238" s="76">
        <f t="shared" si="28"/>
        <v>167.07599999999999</v>
      </c>
      <c r="BO238" s="76">
        <f t="shared" si="29"/>
        <v>0.34340659340659341</v>
      </c>
      <c r="BP238" s="76">
        <f t="shared" si="30"/>
        <v>0.3461538461538462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hidden="1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287.03703703703707</v>
      </c>
      <c r="Y241" s="65">
        <f>IFERROR(Y232/H232,"0")+IFERROR(Y233/H233,"0")+IFERROR(Y234/H234,"0")+IFERROR(Y235/H235,"0")+IFERROR(Y236/H236,"0")+IFERROR(Y237/H237,"0")+IFERROR(Y238/H238,"0")+IFERROR(Y239/H239,"0")+IFERROR(Y240/H240,"0")</f>
        <v>290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2.3617600000000003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900</v>
      </c>
      <c r="Y242" s="65">
        <f>IFERROR(SUM(Y232:Y240),"0")</f>
        <v>912.60000000000014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250</v>
      </c>
      <c r="Y342" s="69">
        <f>IFERROR(IF(X342="",0,CEILING((X342/$H342),1)*$H342),"")</f>
        <v>257.39999999999998</v>
      </c>
      <c r="Z342" s="70">
        <f>IFERROR(IF(Y342=0,"",ROUNDUP(Y342/H342,0)*0.01898),"")</f>
        <v>0.62634000000000001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265.83333333333331</v>
      </c>
      <c r="BN342" s="76">
        <f>IFERROR(Y342*I342/H342,"0")</f>
        <v>273.702</v>
      </c>
      <c r="BO342" s="76">
        <f>IFERROR(1/J342*(X342/H342),"0")</f>
        <v>0.50080128205128205</v>
      </c>
      <c r="BP342" s="76">
        <f>IFERROR(1/J342*(Y342/H342),"0")</f>
        <v>0.515625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32.051282051282051</v>
      </c>
      <c r="Y344" s="65">
        <f>IFERROR(Y341/H341,"0")+IFERROR(Y342/H342,"0")+IFERROR(Y343/H343,"0")</f>
        <v>33</v>
      </c>
      <c r="Z344" s="65">
        <f>IFERROR(IF(Z341="",0,Z341),"0")+IFERROR(IF(Z342="",0,Z342),"0")+IFERROR(IF(Z343="",0,Z343),"0")</f>
        <v>0.62634000000000001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250</v>
      </c>
      <c r="Y345" s="65">
        <f>IFERROR(SUM(Y341:Y343),"0")</f>
        <v>257.39999999999998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hidden="1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hidden="1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hidden="1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47.61904761904762</v>
      </c>
      <c r="Y364" s="65">
        <f>IFERROR(Y361/H361,"0")+IFERROR(Y362/H362,"0")+IFERROR(Y363/H363,"0")</f>
        <v>48</v>
      </c>
      <c r="Z364" s="65">
        <f>IFERROR(IF(Z361="",0,Z361),"0")+IFERROR(IF(Z362="",0,Z362),"0")+IFERROR(IF(Z363="",0,Z363),"0")</f>
        <v>0.31247999999999998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100</v>
      </c>
      <c r="Y365" s="65">
        <f>IFERROR(SUM(Y361:Y363),"0")</f>
        <v>100.80000000000001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hidden="1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150</v>
      </c>
      <c r="Y370" s="69">
        <f t="shared" si="47"/>
        <v>150</v>
      </c>
      <c r="Z370" s="70">
        <f>IFERROR(IF(Y370=0,"",ROUNDUP(Y370/H370,0)*0.02175),"")</f>
        <v>0.21749999999999997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154.69999999999999</v>
      </c>
      <c r="BN370" s="76">
        <f t="shared" si="49"/>
        <v>154.69999999999999</v>
      </c>
      <c r="BO370" s="76">
        <f t="shared" si="50"/>
        <v>0.20833333333333331</v>
      </c>
      <c r="BP370" s="76">
        <f t="shared" si="51"/>
        <v>0.20833333333333331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700</v>
      </c>
      <c r="Y372" s="69">
        <f t="shared" si="47"/>
        <v>705</v>
      </c>
      <c r="Z372" s="70">
        <f>IFERROR(IF(Y372=0,"",ROUNDUP(Y372/H372,0)*0.02175),"")</f>
        <v>1.0222499999999999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721.93333333333328</v>
      </c>
      <c r="BN372" s="76">
        <f t="shared" si="49"/>
        <v>727.09</v>
      </c>
      <c r="BO372" s="76">
        <f t="shared" si="50"/>
        <v>0.9722222222222221</v>
      </c>
      <c r="BP372" s="76">
        <f t="shared" si="51"/>
        <v>0.97916666666666663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56.666666666666664</v>
      </c>
      <c r="Y376" s="65">
        <f>IFERROR(Y369/H369,"0")+IFERROR(Y370/H370,"0")+IFERROR(Y371/H371,"0")+IFERROR(Y372/H372,"0")+IFERROR(Y373/H373,"0")+IFERROR(Y374/H374,"0")+IFERROR(Y375/H375,"0")</f>
        <v>57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1.2397499999999999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850</v>
      </c>
      <c r="Y377" s="65">
        <f>IFERROR(SUM(Y369:Y375),"0")</f>
        <v>855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700</v>
      </c>
      <c r="Y379" s="69">
        <f>IFERROR(IF(X379="",0,CEILING((X379/$H379),1)*$H379),"")</f>
        <v>705</v>
      </c>
      <c r="Z379" s="70">
        <f>IFERROR(IF(Y379=0,"",ROUNDUP(Y379/H379,0)*0.02175),"")</f>
        <v>1.0222499999999999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721.93333333333328</v>
      </c>
      <c r="BN379" s="76">
        <f>IFERROR(Y379*I379/H379,"0")</f>
        <v>727.09</v>
      </c>
      <c r="BO379" s="76">
        <f>IFERROR(1/J379*(X379/H379),"0")</f>
        <v>0.9722222222222221</v>
      </c>
      <c r="BP379" s="76">
        <f>IFERROR(1/J379*(Y379/H379),"0")</f>
        <v>0.97916666666666663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46.666666666666664</v>
      </c>
      <c r="Y381" s="65">
        <f>IFERROR(Y379/H379,"0")+IFERROR(Y380/H380,"0")</f>
        <v>47</v>
      </c>
      <c r="Z381" s="65">
        <f>IFERROR(IF(Z379="",0,Z379),"0")+IFERROR(IF(Z380="",0,Z380),"0")</f>
        <v>1.0222499999999999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700</v>
      </c>
      <c r="Y382" s="65">
        <f>IFERROR(SUM(Y379:Y380),"0")</f>
        <v>705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100</v>
      </c>
      <c r="Y384" s="69">
        <f>IFERROR(IF(X384="",0,CEILING((X384/$H384),1)*$H384),"")</f>
        <v>108</v>
      </c>
      <c r="Z384" s="70">
        <f>IFERROR(IF(Y384=0,"",ROUNDUP(Y384/H384,0)*0.01898),"")</f>
        <v>0.22776000000000002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105.55555555555556</v>
      </c>
      <c r="BN384" s="76">
        <f>IFERROR(Y384*I384/H384,"0")</f>
        <v>114</v>
      </c>
      <c r="BO384" s="76">
        <f>IFERROR(1/J384*(X384/H384),"0")</f>
        <v>0.1736111111111111</v>
      </c>
      <c r="BP384" s="76">
        <f>IFERROR(1/J384*(Y384/H384),"0")</f>
        <v>0.1875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22.222222222222221</v>
      </c>
      <c r="Y386" s="65">
        <f>IFERROR(Y384/H384,"0")+IFERROR(Y385/H385,"0")</f>
        <v>24</v>
      </c>
      <c r="Z386" s="65">
        <f>IFERROR(IF(Z384="",0,Z384),"0")+IFERROR(IF(Z385="",0,Z385),"0")</f>
        <v>0.45552000000000004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200</v>
      </c>
      <c r="Y387" s="65">
        <f>IFERROR(SUM(Y384:Y385),"0")</f>
        <v>216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100</v>
      </c>
      <c r="Y394" s="69">
        <f>IFERROR(IF(X394="",0,CEILING((X394/$H394),1)*$H394),"")</f>
        <v>108</v>
      </c>
      <c r="Z394" s="70">
        <f>IFERROR(IF(Y394=0,"",ROUNDUP(Y394/H394,0)*0.01898),"")</f>
        <v>0.17082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103.41666666666667</v>
      </c>
      <c r="BN394" s="76">
        <f>IFERROR(Y394*I394/H394,"0")</f>
        <v>111.69</v>
      </c>
      <c r="BO394" s="76">
        <f>IFERROR(1/J394*(X394/H394),"0")</f>
        <v>0.13020833333333334</v>
      </c>
      <c r="BP394" s="76">
        <f>IFERROR(1/J394*(Y394/H394),"0")</f>
        <v>0.140625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8.3333333333333339</v>
      </c>
      <c r="Y396" s="65">
        <f>IFERROR(Y394/H394,"0")+IFERROR(Y395/H395,"0")</f>
        <v>9</v>
      </c>
      <c r="Z396" s="65">
        <f>IFERROR(IF(Z394="",0,Z394),"0")+IFERROR(IF(Z395="",0,Z395),"0")</f>
        <v>0.17082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100</v>
      </c>
      <c r="Y397" s="65">
        <f>IFERROR(SUM(Y394:Y395),"0")</f>
        <v>108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hidden="1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0</v>
      </c>
      <c r="Y403" s="69">
        <f>IFERROR(IF(X403="",0,CEILING((X403/$H403),1)*$H403),"")</f>
        <v>0</v>
      </c>
      <c r="Z403" s="70" t="str">
        <f>IFERROR(IF(Y403=0,"",ROUNDUP(Y403/H403,0)*0.01898),"")</f>
        <v/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0</v>
      </c>
      <c r="BN403" s="76">
        <f>IFERROR(Y403*I403/H403,"0")</f>
        <v>0</v>
      </c>
      <c r="BO403" s="76">
        <f>IFERROR(1/J403*(X403/H403),"0")</f>
        <v>0</v>
      </c>
      <c r="BP403" s="76">
        <f>IFERROR(1/J403*(Y403/H403),"0")</f>
        <v>0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100</v>
      </c>
      <c r="Y404" s="69">
        <f>IFERROR(IF(X404="",0,CEILING((X404/$H404),1)*$H404),"")</f>
        <v>100.8</v>
      </c>
      <c r="Z404" s="70">
        <f>IFERROR(IF(Y404=0,"",ROUNDUP(Y404/H404,0)*0.00651),"")</f>
        <v>0.27342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111.00000000000001</v>
      </c>
      <c r="BN404" s="76">
        <f>IFERROR(Y404*I404/H404,"0")</f>
        <v>111.88800000000001</v>
      </c>
      <c r="BO404" s="76">
        <f>IFERROR(1/J404*(X404/H404),"0")</f>
        <v>0.22893772893772898</v>
      </c>
      <c r="BP404" s="76">
        <f>IFERROR(1/J404*(Y404/H404),"0")</f>
        <v>0.23076923076923078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41.666666666666671</v>
      </c>
      <c r="Y406" s="65">
        <f>IFERROR(Y403/H403,"0")+IFERROR(Y404/H404,"0")+IFERROR(Y405/H405,"0")</f>
        <v>42</v>
      </c>
      <c r="Z406" s="65">
        <f>IFERROR(IF(Z403="",0,Z403),"0")+IFERROR(IF(Z404="",0,Z404),"0")+IFERROR(IF(Z405="",0,Z405),"0")</f>
        <v>0.27342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100</v>
      </c>
      <c r="Y407" s="65">
        <f>IFERROR(SUM(Y403:Y405),"0")</f>
        <v>100.8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1000</v>
      </c>
      <c r="Y452" s="69">
        <f t="shared" si="58"/>
        <v>1003.2</v>
      </c>
      <c r="Z452" s="70">
        <f t="shared" si="59"/>
        <v>2.2724000000000002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1066.2878787878788</v>
      </c>
      <c r="BN452" s="76">
        <f t="shared" si="61"/>
        <v>1069.7</v>
      </c>
      <c r="BO452" s="76">
        <f t="shared" si="62"/>
        <v>1.821095571095571</v>
      </c>
      <c r="BP452" s="76">
        <f t="shared" si="63"/>
        <v>1.8269230769230771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439.39393939393938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441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5.1508800000000008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2300</v>
      </c>
      <c r="Y459" s="65">
        <f>IFERROR(SUM(Y446:Y457),"0")</f>
        <v>2308.3200000000002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500</v>
      </c>
      <c r="Y461" s="69">
        <f>IFERROR(IF(X461="",0,CEILING((X461/$H461),1)*$H461),"")</f>
        <v>501.6</v>
      </c>
      <c r="Z461" s="70">
        <f>IFERROR(IF(Y461=0,"",ROUNDUP(Y461/H461,0)*0.01196),"")</f>
        <v>1.1362000000000001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533.14393939393938</v>
      </c>
      <c r="BN461" s="76">
        <f>IFERROR(Y461*I461/H461,"0")</f>
        <v>534.85</v>
      </c>
      <c r="BO461" s="76">
        <f>IFERROR(1/J461*(X461/H461),"0")</f>
        <v>0.91054778554778548</v>
      </c>
      <c r="BP461" s="76">
        <f>IFERROR(1/J461*(Y461/H461),"0")</f>
        <v>0.91346153846153855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94.696969696969688</v>
      </c>
      <c r="Y464" s="65">
        <f>IFERROR(Y461/H461,"0")+IFERROR(Y462/H462,"0")+IFERROR(Y463/H463,"0")</f>
        <v>95</v>
      </c>
      <c r="Z464" s="65">
        <f>IFERROR(IF(Z461="",0,Z461),"0")+IFERROR(IF(Z462="",0,Z462),"0")+IFERROR(IF(Z463="",0,Z463),"0")</f>
        <v>1.1362000000000001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500</v>
      </c>
      <c r="Y465" s="65">
        <f>IFERROR(SUM(Y461:Y463),"0")</f>
        <v>501.6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500</v>
      </c>
      <c r="Y467" s="69">
        <f t="shared" ref="Y467:Y473" si="64">IFERROR(IF(X467="",0,CEILING((X467/$H467),1)*$H467),"")</f>
        <v>501.6</v>
      </c>
      <c r="Z467" s="70">
        <f>IFERROR(IF(Y467=0,"",ROUNDUP(Y467/H467,0)*0.01196),"")</f>
        <v>1.1362000000000001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533.14393939393938</v>
      </c>
      <c r="BN467" s="76">
        <f t="shared" ref="BN467:BN473" si="66">IFERROR(Y467*I467/H467,"0")</f>
        <v>534.85</v>
      </c>
      <c r="BO467" s="76">
        <f t="shared" ref="BO467:BO473" si="67">IFERROR(1/J467*(X467/H467),"0")</f>
        <v>0.91054778554778548</v>
      </c>
      <c r="BP467" s="76">
        <f t="shared" ref="BP467:BP473" si="68">IFERROR(1/J467*(Y467/H467),"0")</f>
        <v>0.91346153846153855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500</v>
      </c>
      <c r="Y468" s="69">
        <f t="shared" si="64"/>
        <v>501.6</v>
      </c>
      <c r="Z468" s="70">
        <f>IFERROR(IF(Y468=0,"",ROUNDUP(Y468/H468,0)*0.01196),"")</f>
        <v>1.1362000000000001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533.14393939393938</v>
      </c>
      <c r="BN468" s="76">
        <f t="shared" si="66"/>
        <v>534.85</v>
      </c>
      <c r="BO468" s="76">
        <f t="shared" si="67"/>
        <v>0.91054778554778548</v>
      </c>
      <c r="BP468" s="76">
        <f t="shared" si="68"/>
        <v>0.91346153846153855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300</v>
      </c>
      <c r="Y469" s="69">
        <f t="shared" si="64"/>
        <v>300.96000000000004</v>
      </c>
      <c r="Z469" s="70">
        <f>IFERROR(IF(Y469=0,"",ROUNDUP(Y469/H469,0)*0.01196),"")</f>
        <v>0.68171999999999999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319.88636363636363</v>
      </c>
      <c r="BN469" s="76">
        <f t="shared" si="66"/>
        <v>320.91000000000003</v>
      </c>
      <c r="BO469" s="76">
        <f t="shared" si="67"/>
        <v>0.54632867132867136</v>
      </c>
      <c r="BP469" s="76">
        <f t="shared" si="68"/>
        <v>0.54807692307692313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246.21212121212119</v>
      </c>
      <c r="Y474" s="65">
        <f>IFERROR(Y467/H467,"0")+IFERROR(Y468/H468,"0")+IFERROR(Y469/H469,"0")+IFERROR(Y470/H470,"0")+IFERROR(Y471/H471,"0")+IFERROR(Y472/H472,"0")+IFERROR(Y473/H473,"0")</f>
        <v>247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2.9541200000000001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1300</v>
      </c>
      <c r="Y475" s="65">
        <f>IFERROR(SUM(Y467:Y473),"0")</f>
        <v>1304.1600000000001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100</v>
      </c>
      <c r="Y480" s="69">
        <f>IFERROR(IF(X480="",0,CEILING((X480/$H480),1)*$H480),"")</f>
        <v>108</v>
      </c>
      <c r="Z480" s="70">
        <f>IFERROR(IF(Y480=0,"",ROUNDUP(Y480/H480,0)*0.01898),"")</f>
        <v>0.17082</v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103.41666666666667</v>
      </c>
      <c r="BN480" s="76">
        <f>IFERROR(Y480*I480/H480,"0")</f>
        <v>111.69</v>
      </c>
      <c r="BO480" s="76">
        <f>IFERROR(1/J480*(X480/H480),"0")</f>
        <v>0.13020833333333334</v>
      </c>
      <c r="BP480" s="76">
        <f>IFERROR(1/J480*(Y480/H480),"0")</f>
        <v>0.140625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8.3333333333333339</v>
      </c>
      <c r="Y482" s="65">
        <f>IFERROR(Y479/H479,"0")+IFERROR(Y480/H480,"0")+IFERROR(Y481/H481,"0")</f>
        <v>9</v>
      </c>
      <c r="Z482" s="65">
        <f>IFERROR(IF(Z479="",0,Z479),"0")+IFERROR(IF(Z480="",0,Z480),"0")+IFERROR(IF(Z481="",0,Z481),"0")</f>
        <v>0.17082</v>
      </c>
      <c r="AA482" s="74"/>
      <c r="AB482" s="74"/>
      <c r="AC482" s="74"/>
    </row>
    <row r="483" spans="1:68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100</v>
      </c>
      <c r="Y483" s="65">
        <f>IFERROR(SUM(Y479:Y481),"0")</f>
        <v>108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hidden="1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hidden="1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0</v>
      </c>
      <c r="Y494" s="65">
        <f>IFERROR(Y493/H493,"0")</f>
        <v>0</v>
      </c>
      <c r="Z494" s="65">
        <f>IFERROR(IF(Z493="",0,Z493),"0")</f>
        <v>0</v>
      </c>
      <c r="AA494" s="74"/>
      <c r="AB494" s="74"/>
      <c r="AC494" s="74"/>
    </row>
    <row r="495" spans="1:68" hidden="1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0</v>
      </c>
      <c r="Y495" s="65">
        <f>IFERROR(SUM(Y493:Y493),"0")</f>
        <v>0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9300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9427.0800000000017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9919.2268470919535</v>
      </c>
      <c r="Y507" s="65">
        <f>IFERROR(SUM(BN22:BN503),"0")</f>
        <v>10053.454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17</v>
      </c>
      <c r="Y508" s="80">
        <f>ROUNDUP(SUM(BP22:BP503),0)</f>
        <v>17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10344.226847091953</v>
      </c>
      <c r="Y509" s="65">
        <f>GrossWeightTotalR+PalletQtyTotalR*25</f>
        <v>10478.454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1611.2561531832364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1629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19.567539999999997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311.20000000000005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308.70000000000005</v>
      </c>
      <c r="F516" s="84">
        <f>IFERROR(Y94*1,"0")+IFERROR(Y95*1,"0")+IFERROR(Y96*1,"0")+IFERROR(Y97*1,"0")+IFERROR(Y101*1,"0")+IFERROR(Y102*1,"0")+IFERROR(Y103*1,"0")+IFERROR(Y104*1,"0")</f>
        <v>558.90000000000009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363.00000000000006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51.2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1269.0000000000002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257.39999999999998</v>
      </c>
      <c r="S516" s="84">
        <f>IFERROR(Y361*1,"0")+IFERROR(Y362*1,"0")+IFERROR(Y363*1,"0")</f>
        <v>100.80000000000001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1776</v>
      </c>
      <c r="U516" s="84">
        <f>IFERROR(Y394*1,"0")+IFERROR(Y395*1,"0")+IFERROR(Y399*1,"0")+IFERROR(Y403*1,"0")+IFERROR(Y404*1,"0")+IFERROR(Y405*1,"0")</f>
        <v>208.8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4114.08</v>
      </c>
      <c r="Z516" s="84">
        <f>IFERROR(Y479*1,"0")+IFERROR(Y480*1,"0")+IFERROR(Y481*1,"0")+IFERROR(Y485*1,"0")+IFERROR(Y489*1,"0")+IFERROR(Y493*1,"0")+IFERROR(Y497*1,"0")+IFERROR(Y498*1,"0")</f>
        <v>108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300,00"/>
        <filter val="1 611,26"/>
        <filter val="10 344,23"/>
        <filter val="100,00"/>
        <filter val="12,35"/>
        <filter val="150,00"/>
        <filter val="17"/>
        <filter val="2 300,00"/>
        <filter val="200,00"/>
        <filter val="22,22"/>
        <filter val="246,21"/>
        <filter val="250,00"/>
        <filter val="27,78"/>
        <filter val="287,04"/>
        <filter val="3,91"/>
        <filter val="300,00"/>
        <filter val="31,85"/>
        <filter val="32,05"/>
        <filter val="35,65"/>
        <filter val="4,63"/>
        <filter val="40,74"/>
        <filter val="41,67"/>
        <filter val="439,39"/>
        <filter val="46,67"/>
        <filter val="47,62"/>
        <filter val="50,00"/>
        <filter val="500,00"/>
        <filter val="55,56"/>
        <filter val="56,67"/>
        <filter val="67,90"/>
        <filter val="700,00"/>
        <filter val="8,33"/>
        <filter val="850,00"/>
        <filter val="9 300,00"/>
        <filter val="9 919,23"/>
        <filter val="900,00"/>
        <filter val="94,7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2026-09-09T12:37:10Z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