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а ОПТы 19,09,26\17,09 Пушкарный(ВВ) КИ ЛП ближ\"/>
    </mc:Choice>
  </mc:AlternateContent>
  <xr:revisionPtr revIDLastSave="0" documentId="13_ncr:1_{BC3F62B9-E5C1-42E1-B3D1-AB8418A70B2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N555" i="2" s="1"/>
  <c r="BO554" i="2"/>
  <c r="BM554" i="2"/>
  <c r="Y554" i="2"/>
  <c r="P554" i="2"/>
  <c r="X551" i="2"/>
  <c r="X550" i="2"/>
  <c r="BO549" i="2"/>
  <c r="BM549" i="2"/>
  <c r="Y549" i="2"/>
  <c r="BN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5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BN524" i="2" s="1"/>
  <c r="P524" i="2"/>
  <c r="BO523" i="2"/>
  <c r="BM523" i="2"/>
  <c r="Y523" i="2"/>
  <c r="BP523" i="2" s="1"/>
  <c r="P523" i="2"/>
  <c r="BO522" i="2"/>
  <c r="BM522" i="2"/>
  <c r="Y522" i="2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N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P503" i="2"/>
  <c r="BO502" i="2"/>
  <c r="BM502" i="2"/>
  <c r="Y502" i="2"/>
  <c r="Z502" i="2" s="1"/>
  <c r="P502" i="2"/>
  <c r="X498" i="2"/>
  <c r="X497" i="2"/>
  <c r="BO496" i="2"/>
  <c r="BM496" i="2"/>
  <c r="Y496" i="2"/>
  <c r="P496" i="2"/>
  <c r="BO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Y487" i="2" s="1"/>
  <c r="P484" i="2"/>
  <c r="X482" i="2"/>
  <c r="X481" i="2"/>
  <c r="BO480" i="2"/>
  <c r="BM480" i="2"/>
  <c r="Y480" i="2"/>
  <c r="BP480" i="2" s="1"/>
  <c r="P480" i="2"/>
  <c r="BO479" i="2"/>
  <c r="BM479" i="2"/>
  <c r="Y479" i="2"/>
  <c r="BN479" i="2" s="1"/>
  <c r="P479" i="2"/>
  <c r="BO478" i="2"/>
  <c r="BM478" i="2"/>
  <c r="Y478" i="2"/>
  <c r="P478" i="2"/>
  <c r="BO477" i="2"/>
  <c r="BM477" i="2"/>
  <c r="Y477" i="2"/>
  <c r="Z477" i="2" s="1"/>
  <c r="P477" i="2"/>
  <c r="BO476" i="2"/>
  <c r="BM476" i="2"/>
  <c r="Y476" i="2"/>
  <c r="Z476" i="2" s="1"/>
  <c r="P476" i="2"/>
  <c r="BO475" i="2"/>
  <c r="BM475" i="2"/>
  <c r="Y475" i="2"/>
  <c r="BN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Y465" i="2" s="1"/>
  <c r="P463" i="2"/>
  <c r="X461" i="2"/>
  <c r="X460" i="2"/>
  <c r="BO459" i="2"/>
  <c r="BM459" i="2"/>
  <c r="Y459" i="2"/>
  <c r="BP459" i="2" s="1"/>
  <c r="P459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BP448" i="2" s="1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Y411" i="2" s="1"/>
  <c r="P408" i="2"/>
  <c r="X406" i="2"/>
  <c r="X405" i="2"/>
  <c r="BO404" i="2"/>
  <c r="BM404" i="2"/>
  <c r="Y404" i="2"/>
  <c r="BP404" i="2" s="1"/>
  <c r="P404" i="2"/>
  <c r="BO403" i="2"/>
  <c r="BM403" i="2"/>
  <c r="Y403" i="2"/>
  <c r="BN403" i="2" s="1"/>
  <c r="P403" i="2"/>
  <c r="BO402" i="2"/>
  <c r="BM402" i="2"/>
  <c r="Y402" i="2"/>
  <c r="BN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P396" i="2"/>
  <c r="BO395" i="2"/>
  <c r="BM395" i="2"/>
  <c r="Y395" i="2"/>
  <c r="P395" i="2"/>
  <c r="X393" i="2"/>
  <c r="X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P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BP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BN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BN335" i="2" s="1"/>
  <c r="P335" i="2"/>
  <c r="X332" i="2"/>
  <c r="X331" i="2"/>
  <c r="BO330" i="2"/>
  <c r="BM330" i="2"/>
  <c r="Y330" i="2"/>
  <c r="BN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Z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BN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N302" i="2" s="1"/>
  <c r="P302" i="2"/>
  <c r="BO301" i="2"/>
  <c r="BM301" i="2"/>
  <c r="Y301" i="2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Z282" i="2" s="1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Y278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Z250" i="2" s="1"/>
  <c r="P250" i="2"/>
  <c r="BO249" i="2"/>
  <c r="BM249" i="2"/>
  <c r="Y249" i="2"/>
  <c r="Z249" i="2" s="1"/>
  <c r="P249" i="2"/>
  <c r="BO248" i="2"/>
  <c r="BM248" i="2"/>
  <c r="Y248" i="2"/>
  <c r="P248" i="2"/>
  <c r="X246" i="2"/>
  <c r="X245" i="2"/>
  <c r="BO244" i="2"/>
  <c r="BM244" i="2"/>
  <c r="Y244" i="2"/>
  <c r="BP244" i="2" s="1"/>
  <c r="P244" i="2"/>
  <c r="BO243" i="2"/>
  <c r="BM243" i="2"/>
  <c r="Y243" i="2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Z240" i="2" s="1"/>
  <c r="P240" i="2"/>
  <c r="BO239" i="2"/>
  <c r="BM239" i="2"/>
  <c r="Y239" i="2"/>
  <c r="Z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Z209" i="2" s="1"/>
  <c r="P209" i="2"/>
  <c r="BO208" i="2"/>
  <c r="BM208" i="2"/>
  <c r="Y208" i="2"/>
  <c r="Z208" i="2" s="1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Z197" i="2" s="1"/>
  <c r="Z198" i="2" s="1"/>
  <c r="P197" i="2"/>
  <c r="X195" i="2"/>
  <c r="X194" i="2"/>
  <c r="BO193" i="2"/>
  <c r="BM193" i="2"/>
  <c r="Y193" i="2"/>
  <c r="Y194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BN175" i="2" s="1"/>
  <c r="P175" i="2"/>
  <c r="BO174" i="2"/>
  <c r="BM174" i="2"/>
  <c r="Y174" i="2"/>
  <c r="P174" i="2"/>
  <c r="BO173" i="2"/>
  <c r="BM173" i="2"/>
  <c r="Y173" i="2"/>
  <c r="BN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P167" i="2"/>
  <c r="X165" i="2"/>
  <c r="X164" i="2"/>
  <c r="BO163" i="2"/>
  <c r="BM163" i="2"/>
  <c r="Y163" i="2"/>
  <c r="BP163" i="2" s="1"/>
  <c r="P163" i="2"/>
  <c r="BO162" i="2"/>
  <c r="BM162" i="2"/>
  <c r="Y162" i="2"/>
  <c r="BP162" i="2" s="1"/>
  <c r="P162" i="2"/>
  <c r="BO161" i="2"/>
  <c r="BM161" i="2"/>
  <c r="Y161" i="2"/>
  <c r="P161" i="2"/>
  <c r="X158" i="2"/>
  <c r="X157" i="2"/>
  <c r="BO156" i="2"/>
  <c r="BM156" i="2"/>
  <c r="Y156" i="2"/>
  <c r="Y158" i="2" s="1"/>
  <c r="P156" i="2"/>
  <c r="X154" i="2"/>
  <c r="X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P132" i="2"/>
  <c r="BO131" i="2"/>
  <c r="BM131" i="2"/>
  <c r="Y131" i="2"/>
  <c r="BP131" i="2" s="1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BN122" i="2" s="1"/>
  <c r="P122" i="2"/>
  <c r="BO121" i="2"/>
  <c r="BM121" i="2"/>
  <c r="Y121" i="2"/>
  <c r="BN121" i="2" s="1"/>
  <c r="P121" i="2"/>
  <c r="BO120" i="2"/>
  <c r="BM120" i="2"/>
  <c r="Y120" i="2"/>
  <c r="P120" i="2"/>
  <c r="BO119" i="2"/>
  <c r="BM119" i="2"/>
  <c r="Y119" i="2"/>
  <c r="P119" i="2"/>
  <c r="X117" i="2"/>
  <c r="X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BO111" i="2"/>
  <c r="BM111" i="2"/>
  <c r="Y111" i="2"/>
  <c r="P111" i="2"/>
  <c r="X109" i="2"/>
  <c r="X108" i="2"/>
  <c r="BO107" i="2"/>
  <c r="BM107" i="2"/>
  <c r="Y107" i="2"/>
  <c r="Z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Y97" i="2"/>
  <c r="P97" i="2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Y98" i="2" s="1"/>
  <c r="P94" i="2"/>
  <c r="X92" i="2"/>
  <c r="X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BN87" i="2" s="1"/>
  <c r="P87" i="2"/>
  <c r="BO86" i="2"/>
  <c r="BM86" i="2"/>
  <c r="Y86" i="2"/>
  <c r="Z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P79" i="2"/>
  <c r="BO78" i="2"/>
  <c r="BM78" i="2"/>
  <c r="Y78" i="2"/>
  <c r="Y81" i="2" s="1"/>
  <c r="P78" i="2"/>
  <c r="X76" i="2"/>
  <c r="X75" i="2"/>
  <c r="BO74" i="2"/>
  <c r="BM74" i="2"/>
  <c r="Y74" i="2"/>
  <c r="BN74" i="2" s="1"/>
  <c r="P74" i="2"/>
  <c r="BO73" i="2"/>
  <c r="BM73" i="2"/>
  <c r="Y73" i="2"/>
  <c r="Z73" i="2" s="1"/>
  <c r="P73" i="2"/>
  <c r="BO72" i="2"/>
  <c r="BM72" i="2"/>
  <c r="Y72" i="2"/>
  <c r="BP72" i="2" s="1"/>
  <c r="P72" i="2"/>
  <c r="X70" i="2"/>
  <c r="X69" i="2"/>
  <c r="BO68" i="2"/>
  <c r="BM68" i="2"/>
  <c r="Y68" i="2"/>
  <c r="P68" i="2"/>
  <c r="BO67" i="2"/>
  <c r="BM67" i="2"/>
  <c r="Y67" i="2"/>
  <c r="P67" i="2"/>
  <c r="BO66" i="2"/>
  <c r="BM66" i="2"/>
  <c r="Y66" i="2"/>
  <c r="P66" i="2"/>
  <c r="BO65" i="2"/>
  <c r="BM65" i="2"/>
  <c r="Y65" i="2"/>
  <c r="BP65" i="2" s="1"/>
  <c r="P65" i="2"/>
  <c r="X63" i="2"/>
  <c r="X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Z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Z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Z37" i="2" s="1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9" i="2" s="1"/>
  <c r="D7" i="2"/>
  <c r="Q6" i="2"/>
  <c r="P2" i="2"/>
  <c r="BP524" i="2" l="1"/>
  <c r="AC568" i="2"/>
  <c r="BP330" i="2"/>
  <c r="Z72" i="2"/>
  <c r="BN72" i="2"/>
  <c r="Z204" i="2"/>
  <c r="BP90" i="2"/>
  <c r="Z150" i="2"/>
  <c r="BN150" i="2"/>
  <c r="Z182" i="2"/>
  <c r="BN182" i="2"/>
  <c r="Z433" i="2"/>
  <c r="Y52" i="2"/>
  <c r="Y198" i="2"/>
  <c r="Z39" i="2"/>
  <c r="Z85" i="2"/>
  <c r="BN85" i="2"/>
  <c r="Z106" i="2"/>
  <c r="BN106" i="2"/>
  <c r="BP147" i="2"/>
  <c r="Z163" i="2"/>
  <c r="BN163" i="2"/>
  <c r="Z179" i="2"/>
  <c r="Z218" i="2"/>
  <c r="BN218" i="2"/>
  <c r="Z302" i="2"/>
  <c r="Z421" i="2"/>
  <c r="Z459" i="2"/>
  <c r="BN459" i="2"/>
  <c r="Z509" i="2"/>
  <c r="BN79" i="2"/>
  <c r="BP79" i="2"/>
  <c r="BN86" i="2"/>
  <c r="BN94" i="2"/>
  <c r="BP115" i="2"/>
  <c r="BN115" i="2"/>
  <c r="Z115" i="2"/>
  <c r="BN148" i="2"/>
  <c r="BN23" i="2"/>
  <c r="Z27" i="2"/>
  <c r="BN27" i="2"/>
  <c r="BN28" i="2"/>
  <c r="BP39" i="2"/>
  <c r="BN40" i="2"/>
  <c r="Z48" i="2"/>
  <c r="BN50" i="2"/>
  <c r="Z59" i="2"/>
  <c r="BP61" i="2"/>
  <c r="BN61" i="2"/>
  <c r="BN68" i="2"/>
  <c r="Z68" i="2"/>
  <c r="BN97" i="2"/>
  <c r="BP97" i="2"/>
  <c r="BP141" i="2"/>
  <c r="BN141" i="2"/>
  <c r="Z141" i="2"/>
  <c r="BN156" i="2"/>
  <c r="BN183" i="2"/>
  <c r="BP193" i="2"/>
  <c r="BN206" i="2"/>
  <c r="BN214" i="2"/>
  <c r="BN220" i="2"/>
  <c r="BN237" i="2"/>
  <c r="BN242" i="2"/>
  <c r="BP254" i="2"/>
  <c r="BN270" i="2"/>
  <c r="BN282" i="2"/>
  <c r="BN295" i="2"/>
  <c r="BN306" i="2"/>
  <c r="BN327" i="2"/>
  <c r="BN373" i="2"/>
  <c r="BN382" i="2"/>
  <c r="BP403" i="2"/>
  <c r="BP429" i="2"/>
  <c r="BN436" i="2"/>
  <c r="BN453" i="2"/>
  <c r="BN484" i="2"/>
  <c r="BN495" i="2"/>
  <c r="BP507" i="2"/>
  <c r="BN508" i="2"/>
  <c r="BN521" i="2"/>
  <c r="BN525" i="2"/>
  <c r="BN554" i="2"/>
  <c r="Y75" i="2"/>
  <c r="BN80" i="2"/>
  <c r="Y92" i="2"/>
  <c r="BN96" i="2"/>
  <c r="Y143" i="2"/>
  <c r="Z175" i="2"/>
  <c r="Z180" i="2"/>
  <c r="BN189" i="2"/>
  <c r="Z193" i="2"/>
  <c r="Z194" i="2" s="1"/>
  <c r="Y195" i="2"/>
  <c r="BN197" i="2"/>
  <c r="BN208" i="2"/>
  <c r="BN224" i="2"/>
  <c r="Z227" i="2"/>
  <c r="BN227" i="2"/>
  <c r="BN228" i="2"/>
  <c r="BN230" i="2"/>
  <c r="BN239" i="2"/>
  <c r="BN249" i="2"/>
  <c r="Z254" i="2"/>
  <c r="Z255" i="2" s="1"/>
  <c r="BN265" i="2"/>
  <c r="BN271" i="2"/>
  <c r="BN273" i="2"/>
  <c r="BP276" i="2"/>
  <c r="BN280" i="2"/>
  <c r="BP286" i="2"/>
  <c r="BN287" i="2"/>
  <c r="Z289" i="2"/>
  <c r="BN289" i="2"/>
  <c r="BN291" i="2"/>
  <c r="BP302" i="2"/>
  <c r="BN303" i="2"/>
  <c r="BN311" i="2"/>
  <c r="Z344" i="2"/>
  <c r="BN356" i="2"/>
  <c r="Y360" i="2"/>
  <c r="BN363" i="2"/>
  <c r="BP366" i="2"/>
  <c r="BN367" i="2"/>
  <c r="BN375" i="2"/>
  <c r="BN385" i="2"/>
  <c r="Z390" i="2"/>
  <c r="BN390" i="2"/>
  <c r="BN391" i="2"/>
  <c r="Z397" i="2"/>
  <c r="Z403" i="2"/>
  <c r="BP408" i="2"/>
  <c r="BN409" i="2"/>
  <c r="Y412" i="2"/>
  <c r="BN415" i="2"/>
  <c r="Z429" i="2"/>
  <c r="BN448" i="2"/>
  <c r="BN468" i="2"/>
  <c r="BP479" i="2"/>
  <c r="BN480" i="2"/>
  <c r="BP504" i="2"/>
  <c r="BN505" i="2"/>
  <c r="Z507" i="2"/>
  <c r="BN532" i="2"/>
  <c r="BN536" i="2"/>
  <c r="Y542" i="2"/>
  <c r="BN544" i="2"/>
  <c r="Y546" i="2"/>
  <c r="BN548" i="2"/>
  <c r="Z555" i="2"/>
  <c r="J9" i="2"/>
  <c r="BP22" i="2"/>
  <c r="BP47" i="2"/>
  <c r="BP58" i="2"/>
  <c r="BN243" i="2"/>
  <c r="BP243" i="2"/>
  <c r="A10" i="2"/>
  <c r="BP28" i="2"/>
  <c r="Z38" i="2"/>
  <c r="BP38" i="2"/>
  <c r="Y42" i="2"/>
  <c r="Z47" i="2"/>
  <c r="BN48" i="2"/>
  <c r="Z58" i="2"/>
  <c r="BN59" i="2"/>
  <c r="BN73" i="2"/>
  <c r="Z74" i="2"/>
  <c r="BP74" i="2"/>
  <c r="Z95" i="2"/>
  <c r="BP95" i="2"/>
  <c r="Z103" i="2"/>
  <c r="BN105" i="2"/>
  <c r="Z112" i="2"/>
  <c r="BN113" i="2"/>
  <c r="Z114" i="2"/>
  <c r="BN126" i="2"/>
  <c r="Y127" i="2"/>
  <c r="Z136" i="2"/>
  <c r="Z138" i="2" s="1"/>
  <c r="BN152" i="2"/>
  <c r="BN162" i="2"/>
  <c r="Z173" i="2"/>
  <c r="BP173" i="2"/>
  <c r="BP225" i="2"/>
  <c r="BN225" i="2"/>
  <c r="Z225" i="2"/>
  <c r="Z229" i="2"/>
  <c r="BN229" i="2"/>
  <c r="BN259" i="2"/>
  <c r="BP259" i="2"/>
  <c r="Z259" i="2"/>
  <c r="Z272" i="2"/>
  <c r="BN272" i="2"/>
  <c r="BP285" i="2"/>
  <c r="BN285" i="2"/>
  <c r="BP320" i="2"/>
  <c r="BN320" i="2"/>
  <c r="BN336" i="2"/>
  <c r="BP336" i="2"/>
  <c r="Z336" i="2"/>
  <c r="BN346" i="2"/>
  <c r="BP346" i="2"/>
  <c r="Z346" i="2"/>
  <c r="BP446" i="2"/>
  <c r="Y450" i="2"/>
  <c r="BN447" i="2"/>
  <c r="BP447" i="2"/>
  <c r="Z447" i="2"/>
  <c r="Y486" i="2"/>
  <c r="BN485" i="2"/>
  <c r="BP522" i="2"/>
  <c r="Z522" i="2"/>
  <c r="Y99" i="2"/>
  <c r="BP107" i="2"/>
  <c r="BP112" i="2"/>
  <c r="BN301" i="2"/>
  <c r="BP301" i="2"/>
  <c r="Z301" i="2"/>
  <c r="BP478" i="2"/>
  <c r="BN478" i="2"/>
  <c r="BN22" i="2"/>
  <c r="BP40" i="2"/>
  <c r="Z50" i="2"/>
  <c r="Z61" i="2"/>
  <c r="BP86" i="2"/>
  <c r="Z94" i="2"/>
  <c r="BP94" i="2"/>
  <c r="BP102" i="2"/>
  <c r="BN107" i="2"/>
  <c r="BP122" i="2"/>
  <c r="BP137" i="2"/>
  <c r="Y153" i="2"/>
  <c r="BN181" i="2"/>
  <c r="Z181" i="2"/>
  <c r="BN207" i="2"/>
  <c r="BP207" i="2"/>
  <c r="Z207" i="2"/>
  <c r="BN238" i="2"/>
  <c r="BP238" i="2"/>
  <c r="Z238" i="2"/>
  <c r="Y251" i="2"/>
  <c r="BN248" i="2"/>
  <c r="Y252" i="2"/>
  <c r="BP248" i="2"/>
  <c r="Z248" i="2"/>
  <c r="Z251" i="2" s="1"/>
  <c r="BN296" i="2"/>
  <c r="BP296" i="2"/>
  <c r="BN358" i="2"/>
  <c r="BP358" i="2"/>
  <c r="Z358" i="2"/>
  <c r="BP365" i="2"/>
  <c r="BN365" i="2"/>
  <c r="Z416" i="2"/>
  <c r="Z417" i="2" s="1"/>
  <c r="BN416" i="2"/>
  <c r="Y418" i="2"/>
  <c r="BP503" i="2"/>
  <c r="BN503" i="2"/>
  <c r="Y511" i="2"/>
  <c r="Y517" i="2"/>
  <c r="Y518" i="2"/>
  <c r="BP514" i="2"/>
  <c r="BN203" i="2"/>
  <c r="BP203" i="2"/>
  <c r="Z203" i="2"/>
  <c r="BP377" i="2"/>
  <c r="BN377" i="2"/>
  <c r="BP469" i="2"/>
  <c r="Y471" i="2"/>
  <c r="Y24" i="2"/>
  <c r="BP41" i="2"/>
  <c r="BP49" i="2"/>
  <c r="BP60" i="2"/>
  <c r="BP68" i="2"/>
  <c r="BP87" i="2"/>
  <c r="BP96" i="2"/>
  <c r="BN103" i="2"/>
  <c r="Z105" i="2"/>
  <c r="Z113" i="2"/>
  <c r="Z122" i="2"/>
  <c r="Z126" i="2"/>
  <c r="Z127" i="2" s="1"/>
  <c r="BP126" i="2"/>
  <c r="BN136" i="2"/>
  <c r="Y144" i="2"/>
  <c r="Z152" i="2"/>
  <c r="Z162" i="2"/>
  <c r="BP175" i="2"/>
  <c r="BP179" i="2"/>
  <c r="BP275" i="2"/>
  <c r="BN275" i="2"/>
  <c r="BN281" i="2"/>
  <c r="BP281" i="2"/>
  <c r="Z281" i="2"/>
  <c r="Z304" i="2"/>
  <c r="BN304" i="2"/>
  <c r="Z326" i="2"/>
  <c r="BN326" i="2"/>
  <c r="BP496" i="2"/>
  <c r="BN496" i="2"/>
  <c r="Y210" i="2"/>
  <c r="BP209" i="2"/>
  <c r="BP240" i="2"/>
  <c r="BP250" i="2"/>
  <c r="BP283" i="2"/>
  <c r="Q568" i="2"/>
  <c r="BP343" i="2"/>
  <c r="BP372" i="2"/>
  <c r="BP383" i="2"/>
  <c r="BP476" i="2"/>
  <c r="BP490" i="2"/>
  <c r="Y498" i="2"/>
  <c r="Y527" i="2"/>
  <c r="BP520" i="2"/>
  <c r="BP549" i="2"/>
  <c r="BN180" i="2"/>
  <c r="Z183" i="2"/>
  <c r="BN193" i="2"/>
  <c r="BP197" i="2"/>
  <c r="Y199" i="2"/>
  <c r="BN204" i="2"/>
  <c r="Z206" i="2"/>
  <c r="Z214" i="2"/>
  <c r="Z215" i="2" s="1"/>
  <c r="BP214" i="2"/>
  <c r="Z220" i="2"/>
  <c r="Z224" i="2"/>
  <c r="Z228" i="2"/>
  <c r="BP230" i="2"/>
  <c r="Z237" i="2"/>
  <c r="BN254" i="2"/>
  <c r="Z271" i="2"/>
  <c r="BP273" i="2"/>
  <c r="Z280" i="2"/>
  <c r="Y292" i="2"/>
  <c r="Y298" i="2"/>
  <c r="BP303" i="2"/>
  <c r="Y309" i="2"/>
  <c r="BP307" i="2"/>
  <c r="Y313" i="2"/>
  <c r="BP319" i="2"/>
  <c r="BP327" i="2"/>
  <c r="Z335" i="2"/>
  <c r="BP335" i="2"/>
  <c r="Y339" i="2"/>
  <c r="Z343" i="2"/>
  <c r="BP376" i="2"/>
  <c r="Z391" i="2"/>
  <c r="BP397" i="2"/>
  <c r="Y406" i="2"/>
  <c r="Y405" i="2"/>
  <c r="BP415" i="2"/>
  <c r="Y417" i="2"/>
  <c r="Z436" i="2"/>
  <c r="Y470" i="2"/>
  <c r="Z484" i="2"/>
  <c r="BP484" i="2"/>
  <c r="Z495" i="2"/>
  <c r="AB568" i="2"/>
  <c r="BP532" i="2"/>
  <c r="BP544" i="2"/>
  <c r="Z549" i="2"/>
  <c r="Z550" i="2" s="1"/>
  <c r="Z554" i="2"/>
  <c r="BP554" i="2"/>
  <c r="S568" i="2"/>
  <c r="Z189" i="2"/>
  <c r="BP208" i="2"/>
  <c r="BN209" i="2"/>
  <c r="BN232" i="2"/>
  <c r="BP239" i="2"/>
  <c r="BN240" i="2"/>
  <c r="BN244" i="2"/>
  <c r="BP249" i="2"/>
  <c r="BN250" i="2"/>
  <c r="Z270" i="2"/>
  <c r="BP282" i="2"/>
  <c r="BN283" i="2"/>
  <c r="Z291" i="2"/>
  <c r="Z311" i="2"/>
  <c r="Z312" i="2" s="1"/>
  <c r="BP311" i="2"/>
  <c r="Y322" i="2"/>
  <c r="BN329" i="2"/>
  <c r="Y338" i="2"/>
  <c r="BP337" i="2"/>
  <c r="BP373" i="2"/>
  <c r="BN383" i="2"/>
  <c r="BP433" i="2"/>
  <c r="Y464" i="2"/>
  <c r="Y568" i="2"/>
  <c r="BP475" i="2"/>
  <c r="BN476" i="2"/>
  <c r="Y481" i="2"/>
  <c r="BN490" i="2"/>
  <c r="AA568" i="2"/>
  <c r="BP509" i="2"/>
  <c r="BN515" i="2"/>
  <c r="BN520" i="2"/>
  <c r="BN523" i="2"/>
  <c r="BP536" i="2"/>
  <c r="BP548" i="2"/>
  <c r="BP555" i="2"/>
  <c r="U568" i="2"/>
  <c r="BP177" i="2"/>
  <c r="BN177" i="2"/>
  <c r="Y234" i="2"/>
  <c r="Y246" i="2"/>
  <c r="BN236" i="2"/>
  <c r="Y332" i="2"/>
  <c r="BP328" i="2"/>
  <c r="Y331" i="2"/>
  <c r="BN328" i="2"/>
  <c r="BP350" i="2"/>
  <c r="BN350" i="2"/>
  <c r="Z350" i="2"/>
  <c r="Y425" i="2"/>
  <c r="V568" i="2"/>
  <c r="BP423" i="2"/>
  <c r="Z423" i="2"/>
  <c r="BN423" i="2"/>
  <c r="BP431" i="2"/>
  <c r="Z431" i="2"/>
  <c r="BN431" i="2"/>
  <c r="Z111" i="2"/>
  <c r="Y116" i="2"/>
  <c r="BP111" i="2"/>
  <c r="Y133" i="2"/>
  <c r="BP132" i="2"/>
  <c r="BN132" i="2"/>
  <c r="Z168" i="2"/>
  <c r="BP168" i="2"/>
  <c r="BP221" i="2"/>
  <c r="BN221" i="2"/>
  <c r="Z221" i="2"/>
  <c r="BP364" i="2"/>
  <c r="BN364" i="2"/>
  <c r="BP435" i="2"/>
  <c r="Z435" i="2"/>
  <c r="BN435" i="2"/>
  <c r="Z132" i="2"/>
  <c r="BP174" i="2"/>
  <c r="Z174" i="2"/>
  <c r="BP345" i="2"/>
  <c r="BN345" i="2"/>
  <c r="Z364" i="2"/>
  <c r="Y393" i="2"/>
  <c r="BP389" i="2"/>
  <c r="Y392" i="2"/>
  <c r="BN389" i="2"/>
  <c r="Z389" i="2"/>
  <c r="BP441" i="2"/>
  <c r="Z441" i="2"/>
  <c r="BN441" i="2"/>
  <c r="Z67" i="2"/>
  <c r="BP67" i="2"/>
  <c r="F568" i="2"/>
  <c r="BN111" i="2"/>
  <c r="BP120" i="2"/>
  <c r="BN120" i="2"/>
  <c r="BN168" i="2"/>
  <c r="BP274" i="2"/>
  <c r="BN274" i="2"/>
  <c r="Y293" i="2"/>
  <c r="Z345" i="2"/>
  <c r="Y62" i="2"/>
  <c r="E568" i="2"/>
  <c r="BN55" i="2"/>
  <c r="Z55" i="2"/>
  <c r="BP88" i="2"/>
  <c r="Y91" i="2"/>
  <c r="BN88" i="2"/>
  <c r="Z88" i="2"/>
  <c r="BP114" i="2"/>
  <c r="Z120" i="2"/>
  <c r="BN174" i="2"/>
  <c r="BP236" i="2"/>
  <c r="Z274" i="2"/>
  <c r="Z342" i="2"/>
  <c r="Y347" i="2"/>
  <c r="R568" i="2"/>
  <c r="BP342" i="2"/>
  <c r="BP351" i="2"/>
  <c r="Z351" i="2"/>
  <c r="BN351" i="2"/>
  <c r="BP395" i="2"/>
  <c r="Z395" i="2"/>
  <c r="BN395" i="2"/>
  <c r="Y400" i="2"/>
  <c r="Z432" i="2"/>
  <c r="BP432" i="2"/>
  <c r="Y82" i="2"/>
  <c r="BP78" i="2"/>
  <c r="Z78" i="2"/>
  <c r="X559" i="2"/>
  <c r="BP31" i="2"/>
  <c r="Z31" i="2"/>
  <c r="Z49" i="2"/>
  <c r="BN67" i="2"/>
  <c r="BP73" i="2"/>
  <c r="Y76" i="2"/>
  <c r="BN78" i="2"/>
  <c r="Z178" i="2"/>
  <c r="BP178" i="2"/>
  <c r="BP222" i="2"/>
  <c r="BN222" i="2"/>
  <c r="Y261" i="2"/>
  <c r="BP260" i="2"/>
  <c r="Z260" i="2"/>
  <c r="M568" i="2"/>
  <c r="BP374" i="2"/>
  <c r="Y380" i="2"/>
  <c r="BN374" i="2"/>
  <c r="Y399" i="2"/>
  <c r="X560" i="2"/>
  <c r="BP151" i="2"/>
  <c r="Z151" i="2"/>
  <c r="BP231" i="2"/>
  <c r="BN231" i="2"/>
  <c r="BP290" i="2"/>
  <c r="Z290" i="2"/>
  <c r="BP305" i="2"/>
  <c r="BN305" i="2"/>
  <c r="O568" i="2"/>
  <c r="Y308" i="2"/>
  <c r="Z442" i="2"/>
  <c r="BP442" i="2"/>
  <c r="Y233" i="2"/>
  <c r="BP219" i="2"/>
  <c r="Z219" i="2"/>
  <c r="L568" i="2"/>
  <c r="BN269" i="2"/>
  <c r="Y277" i="2"/>
  <c r="Z305" i="2"/>
  <c r="Y437" i="2"/>
  <c r="Z269" i="2"/>
  <c r="BN290" i="2"/>
  <c r="Y352" i="2"/>
  <c r="Y386" i="2"/>
  <c r="BP384" i="2"/>
  <c r="BN384" i="2"/>
  <c r="Z396" i="2"/>
  <c r="BP396" i="2"/>
  <c r="Y424" i="2"/>
  <c r="BN442" i="2"/>
  <c r="Y460" i="2"/>
  <c r="X568" i="2"/>
  <c r="BP458" i="2"/>
  <c r="BN458" i="2"/>
  <c r="Z458" i="2"/>
  <c r="Z460" i="2" s="1"/>
  <c r="Y461" i="2"/>
  <c r="Y109" i="2"/>
  <c r="Y108" i="2"/>
  <c r="BN104" i="2"/>
  <c r="BP172" i="2"/>
  <c r="BN172" i="2"/>
  <c r="Z172" i="2"/>
  <c r="Y185" i="2"/>
  <c r="Y184" i="2"/>
  <c r="BP181" i="2"/>
  <c r="Y191" i="2"/>
  <c r="BP187" i="2"/>
  <c r="Y190" i="2"/>
  <c r="BN187" i="2"/>
  <c r="Y211" i="2"/>
  <c r="BN205" i="2"/>
  <c r="K568" i="2"/>
  <c r="BN219" i="2"/>
  <c r="Y370" i="2"/>
  <c r="Z384" i="2"/>
  <c r="Y134" i="2"/>
  <c r="Y51" i="2"/>
  <c r="Z104" i="2"/>
  <c r="J568" i="2"/>
  <c r="Y165" i="2"/>
  <c r="Y164" i="2"/>
  <c r="BN161" i="2"/>
  <c r="Z187" i="2"/>
  <c r="Z205" i="2"/>
  <c r="Z223" i="2"/>
  <c r="BP223" i="2"/>
  <c r="Y353" i="2"/>
  <c r="BN396" i="2"/>
  <c r="Y70" i="2"/>
  <c r="Y69" i="2"/>
  <c r="BN65" i="2"/>
  <c r="Z65" i="2"/>
  <c r="Z161" i="2"/>
  <c r="Z226" i="2"/>
  <c r="Y262" i="2"/>
  <c r="BP269" i="2"/>
  <c r="BP284" i="2"/>
  <c r="BN284" i="2"/>
  <c r="Y379" i="2"/>
  <c r="BN151" i="2"/>
  <c r="Y32" i="2"/>
  <c r="BN223" i="2"/>
  <c r="Y63" i="2"/>
  <c r="X562" i="2"/>
  <c r="Z57" i="2"/>
  <c r="BP57" i="2"/>
  <c r="Z60" i="2"/>
  <c r="BP104" i="2"/>
  <c r="BP142" i="2"/>
  <c r="BN142" i="2"/>
  <c r="Z142" i="2"/>
  <c r="BP149" i="2"/>
  <c r="BN149" i="2"/>
  <c r="Z149" i="2"/>
  <c r="BP205" i="2"/>
  <c r="Y267" i="2"/>
  <c r="Y266" i="2"/>
  <c r="BP264" i="2"/>
  <c r="BN264" i="2"/>
  <c r="BP288" i="2"/>
  <c r="BN288" i="2"/>
  <c r="Z288" i="2"/>
  <c r="Y369" i="2"/>
  <c r="BP56" i="2"/>
  <c r="BN56" i="2"/>
  <c r="Z121" i="2"/>
  <c r="BP121" i="2"/>
  <c r="H568" i="2"/>
  <c r="BP161" i="2"/>
  <c r="BP167" i="2"/>
  <c r="BN167" i="2"/>
  <c r="Y170" i="2"/>
  <c r="Y169" i="2"/>
  <c r="BP176" i="2"/>
  <c r="BN176" i="2"/>
  <c r="Z176" i="2"/>
  <c r="Z188" i="2"/>
  <c r="BP188" i="2"/>
  <c r="BP226" i="2"/>
  <c r="BP241" i="2"/>
  <c r="BN241" i="2"/>
  <c r="Y387" i="2"/>
  <c r="Y438" i="2"/>
  <c r="Y455" i="2"/>
  <c r="Y454" i="2"/>
  <c r="BP452" i="2"/>
  <c r="BN452" i="2"/>
  <c r="BP89" i="2"/>
  <c r="Z89" i="2"/>
  <c r="C568" i="2"/>
  <c r="BN37" i="2"/>
  <c r="Y43" i="2"/>
  <c r="F10" i="2"/>
  <c r="H9" i="2"/>
  <c r="X558" i="2"/>
  <c r="BP37" i="2"/>
  <c r="BN57" i="2"/>
  <c r="G568" i="2"/>
  <c r="Y117" i="2"/>
  <c r="Y139" i="2"/>
  <c r="Y138" i="2"/>
  <c r="BN137" i="2"/>
  <c r="Z167" i="2"/>
  <c r="Z241" i="2"/>
  <c r="Z452" i="2"/>
  <c r="BP66" i="2"/>
  <c r="BN66" i="2"/>
  <c r="BN188" i="2"/>
  <c r="Y245" i="2"/>
  <c r="Y348" i="2"/>
  <c r="Y444" i="2"/>
  <c r="Y33" i="2"/>
  <c r="BP30" i="2"/>
  <c r="BN30" i="2"/>
  <c r="Z66" i="2"/>
  <c r="Y124" i="2"/>
  <c r="Y123" i="2"/>
  <c r="BP119" i="2"/>
  <c r="BN119" i="2"/>
  <c r="Z119" i="2"/>
  <c r="Y317" i="2"/>
  <c r="BP315" i="2"/>
  <c r="BN315" i="2"/>
  <c r="Z315" i="2"/>
  <c r="Z316" i="2" s="1"/>
  <c r="Y528" i="2"/>
  <c r="Y297" i="2"/>
  <c r="Z404" i="2"/>
  <c r="Z430" i="2"/>
  <c r="Z440" i="2"/>
  <c r="Z463" i="2"/>
  <c r="Z464" i="2" s="1"/>
  <c r="BN477" i="2"/>
  <c r="BN502" i="2"/>
  <c r="Z510" i="2"/>
  <c r="BN522" i="2"/>
  <c r="Z23" i="2"/>
  <c r="Z24" i="2" s="1"/>
  <c r="Z80" i="2"/>
  <c r="Z148" i="2"/>
  <c r="Z244" i="2"/>
  <c r="Z287" i="2"/>
  <c r="Z320" i="2"/>
  <c r="Z356" i="2"/>
  <c r="Z367" i="2"/>
  <c r="Z377" i="2"/>
  <c r="Z409" i="2"/>
  <c r="Z468" i="2"/>
  <c r="Z480" i="2"/>
  <c r="Z505" i="2"/>
  <c r="Z515" i="2"/>
  <c r="Z525" i="2"/>
  <c r="P568" i="2"/>
  <c r="Y154" i="2"/>
  <c r="Z337" i="2"/>
  <c r="Z338" i="2" s="1"/>
  <c r="Z372" i="2"/>
  <c r="Z382" i="2"/>
  <c r="BN404" i="2"/>
  <c r="BN430" i="2"/>
  <c r="BN440" i="2"/>
  <c r="Y443" i="2"/>
  <c r="BN463" i="2"/>
  <c r="Z475" i="2"/>
  <c r="BP477" i="2"/>
  <c r="Z485" i="2"/>
  <c r="Y491" i="2"/>
  <c r="BP502" i="2"/>
  <c r="BN510" i="2"/>
  <c r="Z520" i="2"/>
  <c r="Z532" i="2"/>
  <c r="Z533" i="2" s="1"/>
  <c r="Y537" i="2"/>
  <c r="Z544" i="2"/>
  <c r="Z545" i="2" s="1"/>
  <c r="Y359" i="2"/>
  <c r="Z402" i="2"/>
  <c r="BP440" i="2"/>
  <c r="Z448" i="2"/>
  <c r="BP463" i="2"/>
  <c r="Z496" i="2"/>
  <c r="Z508" i="2"/>
  <c r="BN47" i="2"/>
  <c r="BN102" i="2"/>
  <c r="Z156" i="2"/>
  <c r="Z157" i="2" s="1"/>
  <c r="Z232" i="2"/>
  <c r="Z242" i="2"/>
  <c r="Z265" i="2"/>
  <c r="Z266" i="2" s="1"/>
  <c r="Z275" i="2"/>
  <c r="Z285" i="2"/>
  <c r="Z295" i="2"/>
  <c r="Z306" i="2"/>
  <c r="Z329" i="2"/>
  <c r="Z365" i="2"/>
  <c r="Z375" i="2"/>
  <c r="Z385" i="2"/>
  <c r="BN421" i="2"/>
  <c r="Z453" i="2"/>
  <c r="Z478" i="2"/>
  <c r="Y492" i="2"/>
  <c r="Z503" i="2"/>
  <c r="Z523" i="2"/>
  <c r="Y538" i="2"/>
  <c r="T568" i="2"/>
  <c r="B568" i="2"/>
  <c r="Z321" i="2"/>
  <c r="Z357" i="2"/>
  <c r="Z368" i="2"/>
  <c r="Z378" i="2"/>
  <c r="BP402" i="2"/>
  <c r="Z410" i="2"/>
  <c r="Z446" i="2"/>
  <c r="Z469" i="2"/>
  <c r="Z494" i="2"/>
  <c r="Z506" i="2"/>
  <c r="Z516" i="2"/>
  <c r="Z526" i="2"/>
  <c r="Y533" i="2"/>
  <c r="Z540" i="2"/>
  <c r="Z541" i="2" s="1"/>
  <c r="D568" i="2"/>
  <c r="W568" i="2"/>
  <c r="Z29" i="2"/>
  <c r="Z41" i="2"/>
  <c r="Z87" i="2"/>
  <c r="Z97" i="2"/>
  <c r="Z131" i="2"/>
  <c r="Z133" i="2" s="1"/>
  <c r="BP156" i="2"/>
  <c r="Y215" i="2"/>
  <c r="Y255" i="2"/>
  <c r="Z363" i="2"/>
  <c r="Y512" i="2"/>
  <c r="Z521" i="2"/>
  <c r="Y550" i="2"/>
  <c r="Y556" i="2"/>
  <c r="Y25" i="2"/>
  <c r="BN321" i="2"/>
  <c r="BN357" i="2"/>
  <c r="BN368" i="2"/>
  <c r="BN378" i="2"/>
  <c r="Z398" i="2"/>
  <c r="BN410" i="2"/>
  <c r="Z422" i="2"/>
  <c r="Z434" i="2"/>
  <c r="BN446" i="2"/>
  <c r="Y449" i="2"/>
  <c r="BN469" i="2"/>
  <c r="Y482" i="2"/>
  <c r="BN494" i="2"/>
  <c r="Y497" i="2"/>
  <c r="BN506" i="2"/>
  <c r="BN516" i="2"/>
  <c r="BN526" i="2"/>
  <c r="BN540" i="2"/>
  <c r="BN29" i="2"/>
  <c r="BN131" i="2"/>
  <c r="Y157" i="2"/>
  <c r="Z568" i="2"/>
  <c r="Z79" i="2"/>
  <c r="Z90" i="2"/>
  <c r="Z147" i="2"/>
  <c r="Z243" i="2"/>
  <c r="Z276" i="2"/>
  <c r="Z286" i="2"/>
  <c r="Z296" i="2"/>
  <c r="Z307" i="2"/>
  <c r="Z319" i="2"/>
  <c r="Z322" i="2" s="1"/>
  <c r="Z330" i="2"/>
  <c r="BN344" i="2"/>
  <c r="Z366" i="2"/>
  <c r="Z376" i="2"/>
  <c r="BN398" i="2"/>
  <c r="Z408" i="2"/>
  <c r="BN422" i="2"/>
  <c r="BN434" i="2"/>
  <c r="Z467" i="2"/>
  <c r="Z479" i="2"/>
  <c r="BP494" i="2"/>
  <c r="Z504" i="2"/>
  <c r="Z514" i="2"/>
  <c r="Z524" i="2"/>
  <c r="BP540" i="2"/>
  <c r="Y551" i="2"/>
  <c r="Y557" i="2"/>
  <c r="I568" i="2"/>
  <c r="BN319" i="2"/>
  <c r="BN408" i="2"/>
  <c r="BN467" i="2"/>
  <c r="BN514" i="2"/>
  <c r="Z153" i="2" l="1"/>
  <c r="Z91" i="2"/>
  <c r="Z32" i="2"/>
  <c r="Z449" i="2"/>
  <c r="Z292" i="2"/>
  <c r="Z75" i="2"/>
  <c r="Z424" i="2"/>
  <c r="Z108" i="2"/>
  <c r="Z98" i="2"/>
  <c r="Z42" i="2"/>
  <c r="Z169" i="2"/>
  <c r="Z51" i="2"/>
  <c r="Z486" i="2"/>
  <c r="Y559" i="2"/>
  <c r="Z352" i="2"/>
  <c r="Z443" i="2"/>
  <c r="Z143" i="2"/>
  <c r="Z164" i="2"/>
  <c r="Z261" i="2"/>
  <c r="Z392" i="2"/>
  <c r="Z556" i="2"/>
  <c r="Y560" i="2"/>
  <c r="Y561" i="2" s="1"/>
  <c r="Z511" i="2"/>
  <c r="Z331" i="2"/>
  <c r="Z308" i="2"/>
  <c r="Z233" i="2"/>
  <c r="Z245" i="2"/>
  <c r="Y562" i="2"/>
  <c r="Z210" i="2"/>
  <c r="Z116" i="2"/>
  <c r="Z277" i="2"/>
  <c r="Z69" i="2"/>
  <c r="Z347" i="2"/>
  <c r="X561" i="2"/>
  <c r="Z81" i="2"/>
  <c r="Z369" i="2"/>
  <c r="Z527" i="2"/>
  <c r="Z190" i="2"/>
  <c r="Z411" i="2"/>
  <c r="Z517" i="2"/>
  <c r="Z297" i="2"/>
  <c r="Y558" i="2"/>
  <c r="Z399" i="2"/>
  <c r="Z481" i="2"/>
  <c r="Z184" i="2"/>
  <c r="Z470" i="2"/>
  <c r="Z359" i="2"/>
  <c r="Z386" i="2"/>
  <c r="Z123" i="2"/>
  <c r="Z62" i="2"/>
  <c r="Z437" i="2"/>
  <c r="Z497" i="2"/>
  <c r="Z454" i="2"/>
  <c r="Z405" i="2"/>
  <c r="Z379" i="2"/>
  <c r="Z563" i="2" l="1"/>
</calcChain>
</file>

<file path=xl/sharedStrings.xml><?xml version="1.0" encoding="utf-8"?>
<sst xmlns="http://schemas.openxmlformats.org/spreadsheetml/2006/main" count="4282" uniqueCount="899">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</sst>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4" t="s">
        <v>8</v>
      </c>
      <c r="B5" s="994"/>
      <c r="C5" s="994"/>
      <c r="D5" s="995"/>
      <c r="E5" s="995"/>
      <c r="F5" s="996" t="s">
        <v>14</v>
      </c>
      <c r="G5" s="996"/>
      <c r="H5" s="995"/>
      <c r="I5" s="995"/>
      <c r="J5" s="995"/>
      <c r="K5" s="995"/>
      <c r="L5" s="995"/>
      <c r="M5" s="995"/>
      <c r="N5" s="72"/>
      <c r="P5" s="27" t="s">
        <v>4</v>
      </c>
      <c r="Q5" s="997">
        <v>46282</v>
      </c>
      <c r="R5" s="997"/>
      <c r="T5" s="998" t="s">
        <v>3</v>
      </c>
      <c r="U5" s="999"/>
      <c r="V5" s="1000" t="s">
        <v>875</v>
      </c>
      <c r="W5" s="1001"/>
      <c r="AB5" s="59"/>
      <c r="AC5" s="59"/>
      <c r="AD5" s="59"/>
      <c r="AE5" s="59"/>
    </row>
    <row r="6" spans="1:32" s="17" customFormat="1" ht="24" customHeight="1" x14ac:dyDescent="0.2">
      <c r="A6" s="994" t="s">
        <v>1</v>
      </c>
      <c r="B6" s="994"/>
      <c r="C6" s="994"/>
      <c r="D6" s="1002" t="s">
        <v>882</v>
      </c>
      <c r="E6" s="1002"/>
      <c r="F6" s="1002"/>
      <c r="G6" s="1002"/>
      <c r="H6" s="1002"/>
      <c r="I6" s="1002"/>
      <c r="J6" s="1002"/>
      <c r="K6" s="1002"/>
      <c r="L6" s="1002"/>
      <c r="M6" s="1002"/>
      <c r="N6" s="73"/>
      <c r="P6" s="27" t="s">
        <v>27</v>
      </c>
      <c r="Q6" s="1003" t="str">
        <f>IF(Q5=0," ",CHOOSE(WEEKDAY(Q5,2),"Понедельник","Вторник","Среда","Четверг","Пятница","Суббота","Воскресенье"))</f>
        <v>Четверг</v>
      </c>
      <c r="R6" s="1003"/>
      <c r="T6" s="1004" t="s">
        <v>5</v>
      </c>
      <c r="U6" s="1005"/>
      <c r="V6" s="1006" t="s">
        <v>70</v>
      </c>
      <c r="W6" s="100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2" t="str">
        <f>IFERROR(VLOOKUP(DeliveryAddress,Table,3,0),1)</f>
        <v>3</v>
      </c>
      <c r="E7" s="1013"/>
      <c r="F7" s="1013"/>
      <c r="G7" s="1013"/>
      <c r="H7" s="1013"/>
      <c r="I7" s="1013"/>
      <c r="J7" s="1013"/>
      <c r="K7" s="1013"/>
      <c r="L7" s="1013"/>
      <c r="M7" s="1014"/>
      <c r="N7" s="74"/>
      <c r="P7" s="29"/>
      <c r="Q7" s="48"/>
      <c r="R7" s="48"/>
      <c r="T7" s="1004"/>
      <c r="U7" s="1005"/>
      <c r="V7" s="1008"/>
      <c r="W7" s="1009"/>
      <c r="AB7" s="59"/>
      <c r="AC7" s="59"/>
      <c r="AD7" s="59"/>
      <c r="AE7" s="59"/>
    </row>
    <row r="8" spans="1:32" s="17" customFormat="1" ht="25.5" customHeight="1" x14ac:dyDescent="0.2">
      <c r="A8" s="1015" t="s">
        <v>58</v>
      </c>
      <c r="B8" s="1015"/>
      <c r="C8" s="1015"/>
      <c r="D8" s="1016"/>
      <c r="E8" s="1016"/>
      <c r="F8" s="1016"/>
      <c r="G8" s="1016"/>
      <c r="H8" s="1016"/>
      <c r="I8" s="1016"/>
      <c r="J8" s="1016"/>
      <c r="K8" s="1016"/>
      <c r="L8" s="1016"/>
      <c r="M8" s="1016"/>
      <c r="N8" s="75"/>
      <c r="P8" s="27" t="s">
        <v>11</v>
      </c>
      <c r="Q8" s="975">
        <v>0.41666666666666669</v>
      </c>
      <c r="R8" s="975"/>
      <c r="T8" s="1004"/>
      <c r="U8" s="1005"/>
      <c r="V8" s="1008"/>
      <c r="W8" s="1009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1017" t="str">
        <f>IF(AND($A$9="Тип доверенности/получателя при получении в адресе перегруза:",$D$9="Разовая доверенность"),"Введите ФИО","")</f>
        <v/>
      </c>
      <c r="I9" s="1017"/>
      <c r="J9" s="10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7"/>
      <c r="L9" s="1017"/>
      <c r="M9" s="1017"/>
      <c r="N9" s="70"/>
      <c r="P9" s="31" t="s">
        <v>15</v>
      </c>
      <c r="Q9" s="1018"/>
      <c r="R9" s="1018"/>
      <c r="T9" s="1004"/>
      <c r="U9" s="1005"/>
      <c r="V9" s="1010"/>
      <c r="W9" s="101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71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73" t="s">
        <v>55</v>
      </c>
      <c r="W11" s="97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4" t="s">
        <v>72</v>
      </c>
      <c r="B12" s="974"/>
      <c r="C12" s="974"/>
      <c r="D12" s="974"/>
      <c r="E12" s="974"/>
      <c r="F12" s="974"/>
      <c r="G12" s="974"/>
      <c r="H12" s="974"/>
      <c r="I12" s="974"/>
      <c r="J12" s="974"/>
      <c r="K12" s="974"/>
      <c r="L12" s="974"/>
      <c r="M12" s="974"/>
      <c r="N12" s="76"/>
      <c r="P12" s="27" t="s">
        <v>30</v>
      </c>
      <c r="Q12" s="975"/>
      <c r="R12" s="975"/>
      <c r="S12" s="28"/>
      <c r="T12"/>
      <c r="U12" s="29" t="s">
        <v>46</v>
      </c>
      <c r="V12" s="976"/>
      <c r="W12" s="976"/>
      <c r="X12"/>
      <c r="AB12" s="59"/>
      <c r="AC12" s="59"/>
      <c r="AD12" s="59"/>
      <c r="AE12" s="59"/>
    </row>
    <row r="13" spans="1:32" s="17" customFormat="1" ht="23.25" customHeight="1" x14ac:dyDescent="0.2">
      <c r="A13" s="974" t="s">
        <v>73</v>
      </c>
      <c r="B13" s="974"/>
      <c r="C13" s="974"/>
      <c r="D13" s="974"/>
      <c r="E13" s="974"/>
      <c r="F13" s="974"/>
      <c r="G13" s="974"/>
      <c r="H13" s="974"/>
      <c r="I13" s="974"/>
      <c r="J13" s="974"/>
      <c r="K13" s="974"/>
      <c r="L13" s="974"/>
      <c r="M13" s="974"/>
      <c r="N13" s="76"/>
      <c r="O13" s="31"/>
      <c r="P13" s="31" t="s">
        <v>31</v>
      </c>
      <c r="Q13" s="973"/>
      <c r="R13" s="97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4" t="s">
        <v>74</v>
      </c>
      <c r="B14" s="974"/>
      <c r="C14" s="974"/>
      <c r="D14" s="974"/>
      <c r="E14" s="974"/>
      <c r="F14" s="974"/>
      <c r="G14" s="974"/>
      <c r="H14" s="974"/>
      <c r="I14" s="974"/>
      <c r="J14" s="974"/>
      <c r="K14" s="974"/>
      <c r="L14" s="974"/>
      <c r="M14" s="97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7" t="s">
        <v>75</v>
      </c>
      <c r="B15" s="977"/>
      <c r="C15" s="977"/>
      <c r="D15" s="977"/>
      <c r="E15" s="977"/>
      <c r="F15" s="977"/>
      <c r="G15" s="977"/>
      <c r="H15" s="977"/>
      <c r="I15" s="977"/>
      <c r="J15" s="977"/>
      <c r="K15" s="977"/>
      <c r="L15" s="977"/>
      <c r="M15" s="977"/>
      <c r="N15" s="77"/>
      <c r="O15"/>
      <c r="P15" s="978" t="s">
        <v>61</v>
      </c>
      <c r="Q15" s="978"/>
      <c r="R15" s="978"/>
      <c r="S15" s="978"/>
      <c r="T15" s="9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9"/>
      <c r="Q16" s="979"/>
      <c r="R16" s="979"/>
      <c r="S16" s="979"/>
      <c r="T16" s="9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82" t="s">
        <v>48</v>
      </c>
      <c r="D17" s="984" t="s">
        <v>50</v>
      </c>
      <c r="E17" s="985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84" t="s">
        <v>17</v>
      </c>
      <c r="Q17" s="988"/>
      <c r="R17" s="988"/>
      <c r="S17" s="988"/>
      <c r="T17" s="985"/>
      <c r="U17" s="980" t="s">
        <v>56</v>
      </c>
      <c r="V17" s="981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82"/>
      <c r="BD17" s="81" t="s">
        <v>62</v>
      </c>
    </row>
    <row r="18" spans="1:68" ht="14.25" customHeight="1" x14ac:dyDescent="0.2">
      <c r="A18" s="950"/>
      <c r="B18" s="950"/>
      <c r="C18" s="983"/>
      <c r="D18" s="986"/>
      <c r="E18" s="987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86"/>
      <c r="Q18" s="989"/>
      <c r="R18" s="989"/>
      <c r="S18" s="989"/>
      <c r="T18" s="987"/>
      <c r="U18" s="83" t="s">
        <v>44</v>
      </c>
      <c r="V18" s="83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82"/>
      <c r="BD18" s="81"/>
    </row>
    <row r="19" spans="1:68" ht="27.75" hidden="1" customHeight="1" x14ac:dyDescent="0.2">
      <c r="A19" s="682" t="s">
        <v>76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2" t="s">
        <v>45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67" t="s">
        <v>86</v>
      </c>
      <c r="B36" s="667"/>
      <c r="C36" s="667"/>
      <c r="D36" s="667"/>
      <c r="E36" s="667"/>
      <c r="F36" s="667"/>
      <c r="G36" s="667"/>
      <c r="H36" s="667"/>
      <c r="I36" s="667"/>
      <c r="J36" s="667"/>
      <c r="K36" s="667"/>
      <c r="L36" s="667"/>
      <c r="M36" s="667"/>
      <c r="N36" s="667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  <c r="Z36" s="667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3">
        <v>4680115888272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3">
        <v>4680115888364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2" t="s">
        <v>120</v>
      </c>
      <c r="B44" s="682"/>
      <c r="C44" s="682"/>
      <c r="D44" s="682"/>
      <c r="E44" s="682"/>
      <c r="F44" s="682"/>
      <c r="G44" s="682"/>
      <c r="H44" s="682"/>
      <c r="I44" s="682"/>
      <c r="J44" s="682"/>
      <c r="K44" s="682"/>
      <c r="L44" s="682"/>
      <c r="M44" s="682"/>
      <c r="N44" s="682"/>
      <c r="O44" s="682"/>
      <c r="P44" s="682"/>
      <c r="Q44" s="682"/>
      <c r="R44" s="682"/>
      <c r="S44" s="682"/>
      <c r="T44" s="682"/>
      <c r="U44" s="682"/>
      <c r="V44" s="682"/>
      <c r="W44" s="682"/>
      <c r="X44" s="682"/>
      <c r="Y44" s="682"/>
      <c r="Z44" s="682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67" t="s">
        <v>122</v>
      </c>
      <c r="B46" s="667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3">
        <v>4607091385670</v>
      </c>
      <c r="E47" s="65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5"/>
      <c r="R47" s="655"/>
      <c r="S47" s="655"/>
      <c r="T47" s="656"/>
      <c r="U47" s="39" t="s">
        <v>46</v>
      </c>
      <c r="V47" s="39" t="s">
        <v>46</v>
      </c>
      <c r="W47" s="40" t="s">
        <v>0</v>
      </c>
      <c r="X47" s="58">
        <v>108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112.1</v>
      </c>
      <c r="BN47" s="78">
        <f>IFERROR(Y47*I47/H47,"0")</f>
        <v>112.1</v>
      </c>
      <c r="BO47" s="78">
        <f>IFERROR(1/J47*(X47/H47),"0")</f>
        <v>0.15625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3">
        <v>4680115887725</v>
      </c>
      <c r="E48" s="65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3">
        <v>4607091385687</v>
      </c>
      <c r="E49" s="65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40</v>
      </c>
      <c r="Y49" s="55">
        <f>IFERROR(IF(X49="",0,CEILING((X49/$H49),1)*$H49),"")</f>
        <v>40</v>
      </c>
      <c r="Z49" s="41">
        <f>IFERROR(IF(Y49=0,"",ROUNDUP(Y49/H49,0)*0.00902),"")</f>
        <v>9.0200000000000002E-2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41.900000000000006</v>
      </c>
      <c r="BN49" s="78">
        <f>IFERROR(Y49*I49/H49,"0")</f>
        <v>41.900000000000006</v>
      </c>
      <c r="BO49" s="78">
        <f>IFERROR(1/J49*(X49/H49),"0")</f>
        <v>7.575757575757576E-2</v>
      </c>
      <c r="BP49" s="78">
        <f>IFERROR(1/J49*(Y49/H49),"0")</f>
        <v>7.575757575757576E-2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3">
        <v>4680115882539</v>
      </c>
      <c r="E50" s="65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20</v>
      </c>
      <c r="Y51" s="43">
        <f>IFERROR(Y47/H47,"0")+IFERROR(Y48/H48,"0")+IFERROR(Y49/H49,"0")+IFERROR(Y50/H50,"0")</f>
        <v>20</v>
      </c>
      <c r="Z51" s="43">
        <f>IFERROR(IF(Z47="",0,Z47),"0")+IFERROR(IF(Z48="",0,Z48),"0")+IFERROR(IF(Z49="",0,Z49),"0")+IFERROR(IF(Z50="",0,Z50),"0")</f>
        <v>0.28000000000000003</v>
      </c>
      <c r="AA51" s="67"/>
      <c r="AB51" s="67"/>
      <c r="AC51" s="67"/>
    </row>
    <row r="52" spans="1:68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148</v>
      </c>
      <c r="Y52" s="43">
        <f>IFERROR(SUM(Y47:Y50),"0")</f>
        <v>148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67" t="s">
        <v>122</v>
      </c>
      <c r="B54" s="667"/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3">
        <v>4680115885882</v>
      </c>
      <c r="E55" s="65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5"/>
      <c r="R55" s="655"/>
      <c r="S55" s="655"/>
      <c r="T55" s="65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53">
        <v>4680115881426</v>
      </c>
      <c r="E56" s="65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64</v>
      </c>
      <c r="Y56" s="55">
        <f t="shared" si="0"/>
        <v>64.800000000000011</v>
      </c>
      <c r="Z56" s="41">
        <f>IFERROR(IF(Y56=0,"",ROUNDUP(Y56/H56,0)*0.01898),"")</f>
        <v>0.11388000000000001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66.42962962962963</v>
      </c>
      <c r="BN56" s="78">
        <f t="shared" si="2"/>
        <v>67.260000000000005</v>
      </c>
      <c r="BO56" s="78">
        <f t="shared" si="3"/>
        <v>9.2592592592592587E-2</v>
      </c>
      <c r="BP56" s="78">
        <f t="shared" si="4"/>
        <v>9.3750000000000014E-2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3">
        <v>4680115880283</v>
      </c>
      <c r="E57" s="65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3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3">
        <v>4680115881525</v>
      </c>
      <c r="E58" s="65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660"/>
      <c r="B62" s="660"/>
      <c r="C62" s="660"/>
      <c r="D62" s="660"/>
      <c r="E62" s="660"/>
      <c r="F62" s="660"/>
      <c r="G62" s="660"/>
      <c r="H62" s="660"/>
      <c r="I62" s="660"/>
      <c r="J62" s="660"/>
      <c r="K62" s="660"/>
      <c r="L62" s="660"/>
      <c r="M62" s="660"/>
      <c r="N62" s="660"/>
      <c r="O62" s="661"/>
      <c r="P62" s="657" t="s">
        <v>40</v>
      </c>
      <c r="Q62" s="658"/>
      <c r="R62" s="658"/>
      <c r="S62" s="658"/>
      <c r="T62" s="658"/>
      <c r="U62" s="658"/>
      <c r="V62" s="659"/>
      <c r="W62" s="42" t="s">
        <v>39</v>
      </c>
      <c r="X62" s="43">
        <f>IFERROR(X55/H55,"0")+IFERROR(X56/H56,"0")+IFERROR(X57/H57,"0")+IFERROR(X58/H58,"0")+IFERROR(X59/H59,"0")+IFERROR(X60/H60,"0")+IFERROR(X61/H61,"0")</f>
        <v>5.9259259259259256</v>
      </c>
      <c r="Y62" s="43">
        <f>IFERROR(Y55/H55,"0")+IFERROR(Y56/H56,"0")+IFERROR(Y57/H57,"0")+IFERROR(Y58/H58,"0")+IFERROR(Y59/H59,"0")+IFERROR(Y60/H60,"0")+IFERROR(Y61/H61,"0")</f>
        <v>6.0000000000000009</v>
      </c>
      <c r="Z62" s="43">
        <f>IFERROR(IF(Z55="",0,Z55),"0")+IFERROR(IF(Z56="",0,Z56),"0")+IFERROR(IF(Z57="",0,Z57),"0")+IFERROR(IF(Z58="",0,Z58),"0")+IFERROR(IF(Z59="",0,Z59),"0")+IFERROR(IF(Z60="",0,Z60),"0")+IFERROR(IF(Z61="",0,Z61),"0")</f>
        <v>0.11388000000000001</v>
      </c>
      <c r="AA62" s="67"/>
      <c r="AB62" s="67"/>
      <c r="AC62" s="67"/>
    </row>
    <row r="63" spans="1:68" x14ac:dyDescent="0.2">
      <c r="A63" s="660"/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1"/>
      <c r="P63" s="657" t="s">
        <v>40</v>
      </c>
      <c r="Q63" s="658"/>
      <c r="R63" s="658"/>
      <c r="S63" s="658"/>
      <c r="T63" s="658"/>
      <c r="U63" s="658"/>
      <c r="V63" s="659"/>
      <c r="W63" s="42" t="s">
        <v>0</v>
      </c>
      <c r="X63" s="43">
        <f>IFERROR(SUM(X55:X61),"0")</f>
        <v>64</v>
      </c>
      <c r="Y63" s="43">
        <f>IFERROR(SUM(Y55:Y61),"0")</f>
        <v>64.800000000000011</v>
      </c>
      <c r="Z63" s="42"/>
      <c r="AA63" s="67"/>
      <c r="AB63" s="67"/>
      <c r="AC63" s="67"/>
    </row>
    <row r="64" spans="1:68" ht="14.25" hidden="1" customHeight="1" x14ac:dyDescent="0.25">
      <c r="A64" s="667" t="s">
        <v>157</v>
      </c>
      <c r="B64" s="667"/>
      <c r="C64" s="667"/>
      <c r="D64" s="667"/>
      <c r="E64" s="667"/>
      <c r="F64" s="667"/>
      <c r="G64" s="667"/>
      <c r="H64" s="667"/>
      <c r="I64" s="667"/>
      <c r="J64" s="667"/>
      <c r="K64" s="667"/>
      <c r="L64" s="667"/>
      <c r="M64" s="667"/>
      <c r="N64" s="667"/>
      <c r="O64" s="667"/>
      <c r="P64" s="667"/>
      <c r="Q64" s="667"/>
      <c r="R64" s="667"/>
      <c r="S64" s="667"/>
      <c r="T64" s="667"/>
      <c r="U64" s="667"/>
      <c r="V64" s="667"/>
      <c r="W64" s="667"/>
      <c r="X64" s="667"/>
      <c r="Y64" s="667"/>
      <c r="Z64" s="667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108</v>
      </c>
      <c r="Y65" s="55">
        <f>IFERROR(IF(X65="",0,CEILING((X65/$H65),1)*$H65),"")</f>
        <v>108</v>
      </c>
      <c r="Z65" s="41">
        <f>IFERROR(IF(Y65=0,"",ROUNDUP(Y65/H65,0)*0.01898),"")</f>
        <v>0.1898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112.1</v>
      </c>
      <c r="BN65" s="78">
        <f>IFERROR(Y65*I65/H65,"0")</f>
        <v>112.1</v>
      </c>
      <c r="BO65" s="78">
        <f>IFERROR(1/J65*(X65/H65),"0")</f>
        <v>0.15625</v>
      </c>
      <c r="BP65" s="78">
        <f>IFERROR(1/J65*(Y65/H65),"0")</f>
        <v>0.15625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60"/>
      <c r="B69" s="660"/>
      <c r="C69" s="660"/>
      <c r="D69" s="660"/>
      <c r="E69" s="660"/>
      <c r="F69" s="660"/>
      <c r="G69" s="660"/>
      <c r="H69" s="660"/>
      <c r="I69" s="660"/>
      <c r="J69" s="660"/>
      <c r="K69" s="660"/>
      <c r="L69" s="660"/>
      <c r="M69" s="660"/>
      <c r="N69" s="660"/>
      <c r="O69" s="661"/>
      <c r="P69" s="657" t="s">
        <v>40</v>
      </c>
      <c r="Q69" s="658"/>
      <c r="R69" s="658"/>
      <c r="S69" s="658"/>
      <c r="T69" s="658"/>
      <c r="U69" s="658"/>
      <c r="V69" s="659"/>
      <c r="W69" s="42" t="s">
        <v>39</v>
      </c>
      <c r="X69" s="43">
        <f>IFERROR(X65/H65,"0")+IFERROR(X66/H66,"0")+IFERROR(X67/H67,"0")+IFERROR(X68/H68,"0")</f>
        <v>10</v>
      </c>
      <c r="Y69" s="43">
        <f>IFERROR(Y65/H65,"0")+IFERROR(Y66/H66,"0")+IFERROR(Y67/H67,"0")+IFERROR(Y68/H68,"0")</f>
        <v>10</v>
      </c>
      <c r="Z69" s="43">
        <f>IFERROR(IF(Z65="",0,Z65),"0")+IFERROR(IF(Z66="",0,Z66),"0")+IFERROR(IF(Z67="",0,Z67),"0")+IFERROR(IF(Z68="",0,Z68),"0")</f>
        <v>0.1898</v>
      </c>
      <c r="AA69" s="67"/>
      <c r="AB69" s="67"/>
      <c r="AC69" s="67"/>
    </row>
    <row r="70" spans="1:68" x14ac:dyDescent="0.2">
      <c r="A70" s="660"/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1"/>
      <c r="P70" s="657" t="s">
        <v>40</v>
      </c>
      <c r="Q70" s="658"/>
      <c r="R70" s="658"/>
      <c r="S70" s="658"/>
      <c r="T70" s="658"/>
      <c r="U70" s="658"/>
      <c r="V70" s="659"/>
      <c r="W70" s="42" t="s">
        <v>0</v>
      </c>
      <c r="X70" s="43">
        <f>IFERROR(SUM(X65:X68),"0")</f>
        <v>108</v>
      </c>
      <c r="Y70" s="43">
        <f>IFERROR(SUM(Y65:Y68),"0")</f>
        <v>108</v>
      </c>
      <c r="Z70" s="42"/>
      <c r="AA70" s="67"/>
      <c r="AB70" s="67"/>
      <c r="AC70" s="67"/>
    </row>
    <row r="71" spans="1:68" ht="14.25" hidden="1" customHeight="1" x14ac:dyDescent="0.25">
      <c r="A71" s="667" t="s">
        <v>86</v>
      </c>
      <c r="B71" s="667"/>
      <c r="C71" s="667"/>
      <c r="D71" s="667"/>
      <c r="E71" s="667"/>
      <c r="F71" s="667"/>
      <c r="G71" s="667"/>
      <c r="H71" s="667"/>
      <c r="I71" s="667"/>
      <c r="J71" s="667"/>
      <c r="K71" s="667"/>
      <c r="L71" s="667"/>
      <c r="M71" s="667"/>
      <c r="N71" s="667"/>
      <c r="O71" s="667"/>
      <c r="P71" s="667"/>
      <c r="Q71" s="667"/>
      <c r="R71" s="667"/>
      <c r="S71" s="667"/>
      <c r="T71" s="667"/>
      <c r="U71" s="667"/>
      <c r="V71" s="667"/>
      <c r="W71" s="667"/>
      <c r="X71" s="667"/>
      <c r="Y71" s="667"/>
      <c r="Z71" s="667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3">
        <v>4680115884403</v>
      </c>
      <c r="E74" s="65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5"/>
      <c r="R74" s="655"/>
      <c r="S74" s="655"/>
      <c r="T74" s="65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0"/>
      <c r="B75" s="660"/>
      <c r="C75" s="660"/>
      <c r="D75" s="660"/>
      <c r="E75" s="660"/>
      <c r="F75" s="660"/>
      <c r="G75" s="660"/>
      <c r="H75" s="660"/>
      <c r="I75" s="660"/>
      <c r="J75" s="660"/>
      <c r="K75" s="660"/>
      <c r="L75" s="660"/>
      <c r="M75" s="660"/>
      <c r="N75" s="660"/>
      <c r="O75" s="661"/>
      <c r="P75" s="657" t="s">
        <v>40</v>
      </c>
      <c r="Q75" s="658"/>
      <c r="R75" s="658"/>
      <c r="S75" s="658"/>
      <c r="T75" s="658"/>
      <c r="U75" s="658"/>
      <c r="V75" s="659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0"/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1"/>
      <c r="P76" s="657" t="s">
        <v>40</v>
      </c>
      <c r="Q76" s="658"/>
      <c r="R76" s="658"/>
      <c r="S76" s="658"/>
      <c r="T76" s="658"/>
      <c r="U76" s="658"/>
      <c r="V76" s="659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67" t="s">
        <v>175</v>
      </c>
      <c r="B77" s="667"/>
      <c r="C77" s="667"/>
      <c r="D77" s="667"/>
      <c r="E77" s="667"/>
      <c r="F77" s="667"/>
      <c r="G77" s="667"/>
      <c r="H77" s="667"/>
      <c r="I77" s="667"/>
      <c r="J77" s="667"/>
      <c r="K77" s="667"/>
      <c r="L77" s="667"/>
      <c r="M77" s="667"/>
      <c r="N77" s="667"/>
      <c r="O77" s="667"/>
      <c r="P77" s="667"/>
      <c r="Q77" s="667"/>
      <c r="R77" s="667"/>
      <c r="S77" s="667"/>
      <c r="T77" s="667"/>
      <c r="U77" s="667"/>
      <c r="V77" s="667"/>
      <c r="W77" s="667"/>
      <c r="X77" s="667"/>
      <c r="Y77" s="667"/>
      <c r="Z77" s="667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3">
        <v>4680115881532</v>
      </c>
      <c r="E78" s="65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3">
        <v>4680115881532</v>
      </c>
      <c r="E79" s="65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5"/>
      <c r="R79" s="655"/>
      <c r="S79" s="655"/>
      <c r="T79" s="65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3">
        <v>4680115881464</v>
      </c>
      <c r="E80" s="65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5"/>
      <c r="R80" s="655"/>
      <c r="S80" s="655"/>
      <c r="T80" s="65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0"/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  <c r="M81" s="660"/>
      <c r="N81" s="660"/>
      <c r="O81" s="661"/>
      <c r="P81" s="657" t="s">
        <v>40</v>
      </c>
      <c r="Q81" s="658"/>
      <c r="R81" s="658"/>
      <c r="S81" s="658"/>
      <c r="T81" s="658"/>
      <c r="U81" s="658"/>
      <c r="V81" s="659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  <c r="M82" s="660"/>
      <c r="N82" s="660"/>
      <c r="O82" s="661"/>
      <c r="P82" s="657" t="s">
        <v>40</v>
      </c>
      <c r="Q82" s="658"/>
      <c r="R82" s="658"/>
      <c r="S82" s="658"/>
      <c r="T82" s="658"/>
      <c r="U82" s="658"/>
      <c r="V82" s="659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183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67" t="s">
        <v>122</v>
      </c>
      <c r="B84" s="667"/>
      <c r="C84" s="667"/>
      <c r="D84" s="667"/>
      <c r="E84" s="667"/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  <c r="Z84" s="667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53">
        <v>4680115881327</v>
      </c>
      <c r="E85" s="65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54</v>
      </c>
      <c r="Y85" s="55">
        <f t="shared" ref="Y85:Y90" si="5">IFERROR(IF(X85="",0,CEILING((X85/$H85),1)*$H85),"")</f>
        <v>54</v>
      </c>
      <c r="Z85" s="41">
        <f>IFERROR(IF(Y85=0,"",ROUNDUP(Y85/H85,0)*0.01898),"")</f>
        <v>9.4899999999999998E-2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56.05</v>
      </c>
      <c r="BN85" s="78">
        <f t="shared" ref="BN85:BN90" si="7">IFERROR(Y85*I85/H85,"0")</f>
        <v>56.05</v>
      </c>
      <c r="BO85" s="78">
        <f t="shared" ref="BO85:BO90" si="8">IFERROR(1/J85*(X85/H85),"0")</f>
        <v>7.8125E-2</v>
      </c>
      <c r="BP85" s="78">
        <f t="shared" ref="BP85:BP90" si="9">IFERROR(1/J85*(Y85/H85),"0")</f>
        <v>7.8125E-2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3">
        <v>4680115887732</v>
      </c>
      <c r="E86" s="65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3">
        <v>4680115887732</v>
      </c>
      <c r="E87" s="65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5"/>
      <c r="R87" s="655"/>
      <c r="S87" s="655"/>
      <c r="T87" s="656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3">
        <v>4680115881518</v>
      </c>
      <c r="E88" s="65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5"/>
      <c r="R88" s="655"/>
      <c r="S88" s="655"/>
      <c r="T88" s="656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53">
        <v>4680115881303</v>
      </c>
      <c r="E89" s="65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653">
        <v>4680115881303</v>
      </c>
      <c r="E90" s="65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660"/>
      <c r="B91" s="660"/>
      <c r="C91" s="660"/>
      <c r="D91" s="660"/>
      <c r="E91" s="660"/>
      <c r="F91" s="660"/>
      <c r="G91" s="660"/>
      <c r="H91" s="660"/>
      <c r="I91" s="660"/>
      <c r="J91" s="660"/>
      <c r="K91" s="660"/>
      <c r="L91" s="660"/>
      <c r="M91" s="660"/>
      <c r="N91" s="660"/>
      <c r="O91" s="661"/>
      <c r="P91" s="657" t="s">
        <v>40</v>
      </c>
      <c r="Q91" s="658"/>
      <c r="R91" s="658"/>
      <c r="S91" s="658"/>
      <c r="T91" s="658"/>
      <c r="U91" s="658"/>
      <c r="V91" s="659"/>
      <c r="W91" s="42" t="s">
        <v>39</v>
      </c>
      <c r="X91" s="43">
        <f>IFERROR(X85/H85,"0")+IFERROR(X86/H86,"0")+IFERROR(X87/H87,"0")+IFERROR(X88/H88,"0")+IFERROR(X89/H89,"0")+IFERROR(X90/H90,"0")</f>
        <v>5</v>
      </c>
      <c r="Y91" s="43">
        <f>IFERROR(Y85/H85,"0")+IFERROR(Y86/H86,"0")+IFERROR(Y87/H87,"0")+IFERROR(Y88/H88,"0")+IFERROR(Y89/H89,"0")+IFERROR(Y90/H90,"0")</f>
        <v>5</v>
      </c>
      <c r="Z91" s="43">
        <f>IFERROR(IF(Z85="",0,Z85),"0")+IFERROR(IF(Z86="",0,Z86),"0")+IFERROR(IF(Z87="",0,Z87),"0")+IFERROR(IF(Z88="",0,Z88),"0")+IFERROR(IF(Z89="",0,Z89),"0")+IFERROR(IF(Z90="",0,Z90),"0")</f>
        <v>9.4899999999999998E-2</v>
      </c>
      <c r="AA91" s="67"/>
      <c r="AB91" s="67"/>
      <c r="AC91" s="67"/>
    </row>
    <row r="92" spans="1:68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0</v>
      </c>
      <c r="X92" s="43">
        <f>IFERROR(SUM(X85:X90),"0")</f>
        <v>54</v>
      </c>
      <c r="Y92" s="43">
        <f>IFERROR(SUM(Y85:Y90),"0")</f>
        <v>54</v>
      </c>
      <c r="Z92" s="42"/>
      <c r="AA92" s="67"/>
      <c r="AB92" s="67"/>
      <c r="AC92" s="67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6"/>
      <c r="AB93" s="66"/>
      <c r="AC93" s="80"/>
    </row>
    <row r="94" spans="1:68" ht="27" customHeight="1" x14ac:dyDescent="0.25">
      <c r="A94" s="63" t="s">
        <v>196</v>
      </c>
      <c r="B94" s="63" t="s">
        <v>197</v>
      </c>
      <c r="C94" s="36">
        <v>4301052101</v>
      </c>
      <c r="D94" s="653">
        <v>4607091386967</v>
      </c>
      <c r="E94" s="65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121.5</v>
      </c>
      <c r="Y94" s="55">
        <f>IFERROR(IF(X94="",0,CEILING((X94/$H94),1)*$H94),"")</f>
        <v>121.5</v>
      </c>
      <c r="Z94" s="41">
        <f>IFERROR(IF(Y94=0,"",ROUNDUP(Y94/H94,0)*0.01898),"")</f>
        <v>0.28470000000000001</v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128.91</v>
      </c>
      <c r="BN94" s="78">
        <f>IFERROR(Y94*I94/H94,"0")</f>
        <v>128.91</v>
      </c>
      <c r="BO94" s="78">
        <f>IFERROR(1/J94*(X94/H94),"0")</f>
        <v>0.234375</v>
      </c>
      <c r="BP94" s="78">
        <f>IFERROR(1/J94*(Y94/H94),"0")</f>
        <v>0.234375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653">
        <v>4680115884953</v>
      </c>
      <c r="E95" s="65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5"/>
      <c r="R95" s="655"/>
      <c r="S95" s="655"/>
      <c r="T95" s="65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4301052094</v>
      </c>
      <c r="D96" s="653">
        <v>4607091385731</v>
      </c>
      <c r="E96" s="65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5"/>
      <c r="R96" s="655"/>
      <c r="S96" s="655"/>
      <c r="T96" s="65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653">
        <v>4680115880894</v>
      </c>
      <c r="E97" s="65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5"/>
      <c r="R97" s="655"/>
      <c r="S97" s="655"/>
      <c r="T97" s="65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60"/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1"/>
      <c r="P98" s="657" t="s">
        <v>40</v>
      </c>
      <c r="Q98" s="658"/>
      <c r="R98" s="658"/>
      <c r="S98" s="658"/>
      <c r="T98" s="658"/>
      <c r="U98" s="658"/>
      <c r="V98" s="659"/>
      <c r="W98" s="42" t="s">
        <v>39</v>
      </c>
      <c r="X98" s="43">
        <f>IFERROR(X94/H94,"0")+IFERROR(X95/H95,"0")+IFERROR(X96/H96,"0")+IFERROR(X97/H97,"0")</f>
        <v>15</v>
      </c>
      <c r="Y98" s="43">
        <f>IFERROR(Y94/H94,"0")+IFERROR(Y95/H95,"0")+IFERROR(Y96/H96,"0")+IFERROR(Y97/H97,"0")</f>
        <v>15</v>
      </c>
      <c r="Z98" s="43">
        <f>IFERROR(IF(Z94="",0,Z94),"0")+IFERROR(IF(Z95="",0,Z95),"0")+IFERROR(IF(Z96="",0,Z96),"0")+IFERROR(IF(Z97="",0,Z97),"0")</f>
        <v>0.28470000000000001</v>
      </c>
      <c r="AA98" s="67"/>
      <c r="AB98" s="67"/>
      <c r="AC98" s="67"/>
    </row>
    <row r="99" spans="1:68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0</v>
      </c>
      <c r="X99" s="43">
        <f>IFERROR(SUM(X94:X97),"0")</f>
        <v>121.5</v>
      </c>
      <c r="Y99" s="43">
        <f>IFERROR(SUM(Y94:Y97),"0")</f>
        <v>121.5</v>
      </c>
      <c r="Z99" s="42"/>
      <c r="AA99" s="67"/>
      <c r="AB99" s="67"/>
      <c r="AC99" s="67"/>
    </row>
    <row r="100" spans="1:68" ht="16.5" hidden="1" customHeight="1" x14ac:dyDescent="0.25">
      <c r="A100" s="671" t="s">
        <v>207</v>
      </c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  <c r="AA100" s="65"/>
      <c r="AB100" s="65"/>
      <c r="AC100" s="79"/>
    </row>
    <row r="101" spans="1:68" ht="14.25" hidden="1" customHeight="1" x14ac:dyDescent="0.25">
      <c r="A101" s="667" t="s">
        <v>122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6"/>
      <c r="AB101" s="66"/>
      <c r="AC101" s="80"/>
    </row>
    <row r="102" spans="1:68" ht="37.5" hidden="1" customHeight="1" x14ac:dyDescent="0.25">
      <c r="A102" s="63" t="s">
        <v>208</v>
      </c>
      <c r="B102" s="63" t="s">
        <v>209</v>
      </c>
      <c r="C102" s="36">
        <v>4301011514</v>
      </c>
      <c r="D102" s="653">
        <v>4680115882133</v>
      </c>
      <c r="E102" s="65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653">
        <v>4680115887718</v>
      </c>
      <c r="E103" s="653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653">
        <v>4680115880269</v>
      </c>
      <c r="E104" s="653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4301012254</v>
      </c>
      <c r="D105" s="653">
        <v>4680115880429</v>
      </c>
      <c r="E105" s="653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5"/>
      <c r="R105" s="655"/>
      <c r="S105" s="655"/>
      <c r="T105" s="65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3">
        <v>4680115881457</v>
      </c>
      <c r="E106" s="653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3">
        <v>4680115881457</v>
      </c>
      <c r="E107" s="65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1"/>
      <c r="P108" s="657" t="s">
        <v>40</v>
      </c>
      <c r="Q108" s="658"/>
      <c r="R108" s="658"/>
      <c r="S108" s="658"/>
      <c r="T108" s="658"/>
      <c r="U108" s="658"/>
      <c r="V108" s="659"/>
      <c r="W108" s="42" t="s">
        <v>39</v>
      </c>
      <c r="X108" s="43">
        <f>IFERROR(X102/H102,"0")+IFERROR(X103/H103,"0")+IFERROR(X104/H104,"0")+IFERROR(X105/H105,"0")+IFERROR(X106/H106,"0")+IFERROR(X107/H107,"0")</f>
        <v>0</v>
      </c>
      <c r="Y108" s="43">
        <f>IFERROR(Y102/H102,"0")+IFERROR(Y103/H103,"0")+IFERROR(Y104/H104,"0")+IFERROR(Y105/H105,"0")+IFERROR(Y106/H106,"0")+IFERROR(Y107/H107,"0")</f>
        <v>0</v>
      </c>
      <c r="Z108" s="43">
        <f>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660"/>
      <c r="B109" s="660"/>
      <c r="C109" s="660"/>
      <c r="D109" s="660"/>
      <c r="E109" s="660"/>
      <c r="F109" s="660"/>
      <c r="G109" s="660"/>
      <c r="H109" s="660"/>
      <c r="I109" s="660"/>
      <c r="J109" s="660"/>
      <c r="K109" s="660"/>
      <c r="L109" s="660"/>
      <c r="M109" s="660"/>
      <c r="N109" s="660"/>
      <c r="O109" s="661"/>
      <c r="P109" s="657" t="s">
        <v>40</v>
      </c>
      <c r="Q109" s="658"/>
      <c r="R109" s="658"/>
      <c r="S109" s="658"/>
      <c r="T109" s="658"/>
      <c r="U109" s="658"/>
      <c r="V109" s="659"/>
      <c r="W109" s="42" t="s">
        <v>0</v>
      </c>
      <c r="X109" s="43">
        <f>IFERROR(SUM(X102:X107),"0")</f>
        <v>0</v>
      </c>
      <c r="Y109" s="43">
        <f>IFERROR(SUM(Y102:Y107),"0")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667" t="s">
        <v>157</v>
      </c>
      <c r="B110" s="667"/>
      <c r="C110" s="667"/>
      <c r="D110" s="667"/>
      <c r="E110" s="667"/>
      <c r="F110" s="667"/>
      <c r="G110" s="667"/>
      <c r="H110" s="667"/>
      <c r="I110" s="667"/>
      <c r="J110" s="667"/>
      <c r="K110" s="667"/>
      <c r="L110" s="667"/>
      <c r="M110" s="667"/>
      <c r="N110" s="667"/>
      <c r="O110" s="667"/>
      <c r="P110" s="667"/>
      <c r="Q110" s="667"/>
      <c r="R110" s="667"/>
      <c r="S110" s="667"/>
      <c r="T110" s="667"/>
      <c r="U110" s="667"/>
      <c r="V110" s="667"/>
      <c r="W110" s="667"/>
      <c r="X110" s="667"/>
      <c r="Y110" s="667"/>
      <c r="Z110" s="667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53">
        <v>4680115881488</v>
      </c>
      <c r="E111" s="65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89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653">
        <v>4680115887664</v>
      </c>
      <c r="E112" s="65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653">
        <v>4680115887664</v>
      </c>
      <c r="E113" s="653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89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5"/>
      <c r="R113" s="655"/>
      <c r="S113" s="655"/>
      <c r="T113" s="65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653">
        <v>4680115882775</v>
      </c>
      <c r="E114" s="653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5"/>
      <c r="R114" s="655"/>
      <c r="S114" s="655"/>
      <c r="T114" s="65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4301020392</v>
      </c>
      <c r="D115" s="653">
        <v>4680115880658</v>
      </c>
      <c r="E115" s="653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5"/>
      <c r="R115" s="655"/>
      <c r="S115" s="655"/>
      <c r="T115" s="65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660"/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1"/>
      <c r="P116" s="657" t="s">
        <v>40</v>
      </c>
      <c r="Q116" s="658"/>
      <c r="R116" s="658"/>
      <c r="S116" s="658"/>
      <c r="T116" s="658"/>
      <c r="U116" s="658"/>
      <c r="V116" s="659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660"/>
      <c r="B117" s="660"/>
      <c r="C117" s="660"/>
      <c r="D117" s="660"/>
      <c r="E117" s="660"/>
      <c r="F117" s="660"/>
      <c r="G117" s="660"/>
      <c r="H117" s="660"/>
      <c r="I117" s="660"/>
      <c r="J117" s="660"/>
      <c r="K117" s="660"/>
      <c r="L117" s="660"/>
      <c r="M117" s="660"/>
      <c r="N117" s="660"/>
      <c r="O117" s="661"/>
      <c r="P117" s="657" t="s">
        <v>40</v>
      </c>
      <c r="Q117" s="658"/>
      <c r="R117" s="658"/>
      <c r="S117" s="658"/>
      <c r="T117" s="658"/>
      <c r="U117" s="658"/>
      <c r="V117" s="659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67" t="s">
        <v>86</v>
      </c>
      <c r="B118" s="667"/>
      <c r="C118" s="667"/>
      <c r="D118" s="667"/>
      <c r="E118" s="667"/>
      <c r="F118" s="667"/>
      <c r="G118" s="667"/>
      <c r="H118" s="667"/>
      <c r="I118" s="667"/>
      <c r="J118" s="667"/>
      <c r="K118" s="667"/>
      <c r="L118" s="667"/>
      <c r="M118" s="667"/>
      <c r="N118" s="667"/>
      <c r="O118" s="667"/>
      <c r="P118" s="667"/>
      <c r="Q118" s="667"/>
      <c r="R118" s="667"/>
      <c r="S118" s="667"/>
      <c r="T118" s="667"/>
      <c r="U118" s="667"/>
      <c r="V118" s="667"/>
      <c r="W118" s="667"/>
      <c r="X118" s="667"/>
      <c r="Y118" s="667"/>
      <c r="Z118" s="667"/>
      <c r="AA118" s="66"/>
      <c r="AB118" s="66"/>
      <c r="AC118" s="80"/>
    </row>
    <row r="119" spans="1:68" ht="27" customHeight="1" x14ac:dyDescent="0.25">
      <c r="A119" s="63" t="s">
        <v>234</v>
      </c>
      <c r="B119" s="63" t="s">
        <v>235</v>
      </c>
      <c r="C119" s="36">
        <v>4301052088</v>
      </c>
      <c r="D119" s="653">
        <v>4607091385168</v>
      </c>
      <c r="E119" s="653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162</v>
      </c>
      <c r="Y119" s="55">
        <f>IFERROR(IF(X119="",0,CEILING((X119/$H119),1)*$H119),"")</f>
        <v>162</v>
      </c>
      <c r="Z119" s="41">
        <f>IFERROR(IF(Y119=0,"",ROUNDUP(Y119/H119,0)*0.01898),"")</f>
        <v>0.37959999999999999</v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171.76</v>
      </c>
      <c r="BN119" s="78">
        <f>IFERROR(Y119*I119/H119,"0")</f>
        <v>171.76</v>
      </c>
      <c r="BO119" s="78">
        <f>IFERROR(1/J119*(X119/H119),"0")</f>
        <v>0.3125</v>
      </c>
      <c r="BP119" s="78">
        <f>IFERROR(1/J119*(Y119/H119),"0")</f>
        <v>0.3125</v>
      </c>
    </row>
    <row r="120" spans="1:68" ht="27" hidden="1" customHeight="1" x14ac:dyDescent="0.25">
      <c r="A120" s="63" t="s">
        <v>237</v>
      </c>
      <c r="B120" s="63" t="s">
        <v>238</v>
      </c>
      <c r="C120" s="36">
        <v>4301052087</v>
      </c>
      <c r="D120" s="653">
        <v>4607091383256</v>
      </c>
      <c r="E120" s="653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9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5"/>
      <c r="R120" s="655"/>
      <c r="S120" s="655"/>
      <c r="T120" s="656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653">
        <v>4607091385748</v>
      </c>
      <c r="E121" s="653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5"/>
      <c r="R121" s="655"/>
      <c r="S121" s="655"/>
      <c r="T121" s="65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653">
        <v>4680115884533</v>
      </c>
      <c r="E122" s="653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5"/>
      <c r="R122" s="655"/>
      <c r="S122" s="655"/>
      <c r="T122" s="65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60"/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1"/>
      <c r="P123" s="657" t="s">
        <v>40</v>
      </c>
      <c r="Q123" s="658"/>
      <c r="R123" s="658"/>
      <c r="S123" s="658"/>
      <c r="T123" s="658"/>
      <c r="U123" s="658"/>
      <c r="V123" s="659"/>
      <c r="W123" s="42" t="s">
        <v>39</v>
      </c>
      <c r="X123" s="43">
        <f>IFERROR(X119/H119,"0")+IFERROR(X120/H120,"0")+IFERROR(X121/H121,"0")+IFERROR(X122/H122,"0")</f>
        <v>20</v>
      </c>
      <c r="Y123" s="43">
        <f>IFERROR(Y119/H119,"0")+IFERROR(Y120/H120,"0")+IFERROR(Y121/H121,"0")+IFERROR(Y122/H122,"0")</f>
        <v>20</v>
      </c>
      <c r="Z123" s="43">
        <f>IFERROR(IF(Z119="",0,Z119),"0")+IFERROR(IF(Z120="",0,Z120),"0")+IFERROR(IF(Z121="",0,Z121),"0")+IFERROR(IF(Z122="",0,Z122),"0")</f>
        <v>0.37959999999999999</v>
      </c>
      <c r="AA123" s="67"/>
      <c r="AB123" s="67"/>
      <c r="AC123" s="67"/>
    </row>
    <row r="124" spans="1:68" x14ac:dyDescent="0.2">
      <c r="A124" s="660"/>
      <c r="B124" s="660"/>
      <c r="C124" s="660"/>
      <c r="D124" s="660"/>
      <c r="E124" s="660"/>
      <c r="F124" s="660"/>
      <c r="G124" s="660"/>
      <c r="H124" s="660"/>
      <c r="I124" s="660"/>
      <c r="J124" s="660"/>
      <c r="K124" s="660"/>
      <c r="L124" s="660"/>
      <c r="M124" s="660"/>
      <c r="N124" s="660"/>
      <c r="O124" s="661"/>
      <c r="P124" s="657" t="s">
        <v>40</v>
      </c>
      <c r="Q124" s="658"/>
      <c r="R124" s="658"/>
      <c r="S124" s="658"/>
      <c r="T124" s="658"/>
      <c r="U124" s="658"/>
      <c r="V124" s="659"/>
      <c r="W124" s="42" t="s">
        <v>0</v>
      </c>
      <c r="X124" s="43">
        <f>IFERROR(SUM(X119:X122),"0")</f>
        <v>162</v>
      </c>
      <c r="Y124" s="43">
        <f>IFERROR(SUM(Y119:Y122),"0")</f>
        <v>162</v>
      </c>
      <c r="Z124" s="42"/>
      <c r="AA124" s="67"/>
      <c r="AB124" s="67"/>
      <c r="AC124" s="67"/>
    </row>
    <row r="125" spans="1:68" ht="14.25" hidden="1" customHeight="1" x14ac:dyDescent="0.25">
      <c r="A125" s="667" t="s">
        <v>175</v>
      </c>
      <c r="B125" s="667"/>
      <c r="C125" s="667"/>
      <c r="D125" s="667"/>
      <c r="E125" s="667"/>
      <c r="F125" s="667"/>
      <c r="G125" s="667"/>
      <c r="H125" s="667"/>
      <c r="I125" s="667"/>
      <c r="J125" s="667"/>
      <c r="K125" s="667"/>
      <c r="L125" s="667"/>
      <c r="M125" s="667"/>
      <c r="N125" s="667"/>
      <c r="O125" s="667"/>
      <c r="P125" s="667"/>
      <c r="Q125" s="667"/>
      <c r="R125" s="667"/>
      <c r="S125" s="667"/>
      <c r="T125" s="667"/>
      <c r="U125" s="667"/>
      <c r="V125" s="667"/>
      <c r="W125" s="667"/>
      <c r="X125" s="667"/>
      <c r="Y125" s="667"/>
      <c r="Z125" s="667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653">
        <v>4680115880238</v>
      </c>
      <c r="E126" s="653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89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671" t="s">
        <v>247</v>
      </c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1"/>
      <c r="P129" s="671"/>
      <c r="Q129" s="671"/>
      <c r="R129" s="671"/>
      <c r="S129" s="671"/>
      <c r="T129" s="671"/>
      <c r="U129" s="671"/>
      <c r="V129" s="671"/>
      <c r="W129" s="671"/>
      <c r="X129" s="671"/>
      <c r="Y129" s="671"/>
      <c r="Z129" s="671"/>
      <c r="AA129" s="65"/>
      <c r="AB129" s="65"/>
      <c r="AC129" s="79"/>
    </row>
    <row r="130" spans="1:68" ht="14.25" hidden="1" customHeight="1" x14ac:dyDescent="0.25">
      <c r="A130" s="667" t="s">
        <v>122</v>
      </c>
      <c r="B130" s="667"/>
      <c r="C130" s="667"/>
      <c r="D130" s="667"/>
      <c r="E130" s="667"/>
      <c r="F130" s="667"/>
      <c r="G130" s="667"/>
      <c r="H130" s="667"/>
      <c r="I130" s="667"/>
      <c r="J130" s="667"/>
      <c r="K130" s="667"/>
      <c r="L130" s="667"/>
      <c r="M130" s="667"/>
      <c r="N130" s="667"/>
      <c r="O130" s="667"/>
      <c r="P130" s="667"/>
      <c r="Q130" s="667"/>
      <c r="R130" s="667"/>
      <c r="S130" s="667"/>
      <c r="T130" s="667"/>
      <c r="U130" s="667"/>
      <c r="V130" s="667"/>
      <c r="W130" s="667"/>
      <c r="X130" s="667"/>
      <c r="Y130" s="667"/>
      <c r="Z130" s="667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653">
        <v>4680115882577</v>
      </c>
      <c r="E131" s="65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5"/>
      <c r="R131" s="655"/>
      <c r="S131" s="655"/>
      <c r="T131" s="65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653">
        <v>4680115882577</v>
      </c>
      <c r="E132" s="653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5"/>
      <c r="R132" s="655"/>
      <c r="S132" s="655"/>
      <c r="T132" s="65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660"/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1"/>
      <c r="P133" s="657" t="s">
        <v>40</v>
      </c>
      <c r="Q133" s="658"/>
      <c r="R133" s="658"/>
      <c r="S133" s="658"/>
      <c r="T133" s="658"/>
      <c r="U133" s="658"/>
      <c r="V133" s="65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1"/>
      <c r="P134" s="657" t="s">
        <v>40</v>
      </c>
      <c r="Q134" s="658"/>
      <c r="R134" s="658"/>
      <c r="S134" s="658"/>
      <c r="T134" s="658"/>
      <c r="U134" s="658"/>
      <c r="V134" s="65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667" t="s">
        <v>77</v>
      </c>
      <c r="B135" s="667"/>
      <c r="C135" s="667"/>
      <c r="D135" s="667"/>
      <c r="E135" s="667"/>
      <c r="F135" s="667"/>
      <c r="G135" s="667"/>
      <c r="H135" s="667"/>
      <c r="I135" s="667"/>
      <c r="J135" s="667"/>
      <c r="K135" s="667"/>
      <c r="L135" s="667"/>
      <c r="M135" s="667"/>
      <c r="N135" s="667"/>
      <c r="O135" s="667"/>
      <c r="P135" s="667"/>
      <c r="Q135" s="667"/>
      <c r="R135" s="667"/>
      <c r="S135" s="667"/>
      <c r="T135" s="667"/>
      <c r="U135" s="667"/>
      <c r="V135" s="667"/>
      <c r="W135" s="667"/>
      <c r="X135" s="667"/>
      <c r="Y135" s="667"/>
      <c r="Z135" s="667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653">
        <v>4680115883444</v>
      </c>
      <c r="E137" s="653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60"/>
      <c r="B139" s="660"/>
      <c r="C139" s="660"/>
      <c r="D139" s="660"/>
      <c r="E139" s="660"/>
      <c r="F139" s="660"/>
      <c r="G139" s="660"/>
      <c r="H139" s="660"/>
      <c r="I139" s="660"/>
      <c r="J139" s="660"/>
      <c r="K139" s="660"/>
      <c r="L139" s="660"/>
      <c r="M139" s="660"/>
      <c r="N139" s="660"/>
      <c r="O139" s="661"/>
      <c r="P139" s="657" t="s">
        <v>40</v>
      </c>
      <c r="Q139" s="658"/>
      <c r="R139" s="658"/>
      <c r="S139" s="658"/>
      <c r="T139" s="658"/>
      <c r="U139" s="658"/>
      <c r="V139" s="65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67" t="s">
        <v>86</v>
      </c>
      <c r="B140" s="667"/>
      <c r="C140" s="667"/>
      <c r="D140" s="667"/>
      <c r="E140" s="667"/>
      <c r="F140" s="667"/>
      <c r="G140" s="667"/>
      <c r="H140" s="667"/>
      <c r="I140" s="667"/>
      <c r="J140" s="667"/>
      <c r="K140" s="667"/>
      <c r="L140" s="667"/>
      <c r="M140" s="667"/>
      <c r="N140" s="667"/>
      <c r="O140" s="667"/>
      <c r="P140" s="667"/>
      <c r="Q140" s="667"/>
      <c r="R140" s="667"/>
      <c r="S140" s="667"/>
      <c r="T140" s="667"/>
      <c r="U140" s="667"/>
      <c r="V140" s="667"/>
      <c r="W140" s="667"/>
      <c r="X140" s="667"/>
      <c r="Y140" s="667"/>
      <c r="Z140" s="667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653">
        <v>4680115882584</v>
      </c>
      <c r="E141" s="65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8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60"/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660"/>
      <c r="N144" s="660"/>
      <c r="O144" s="661"/>
      <c r="P144" s="657" t="s">
        <v>40</v>
      </c>
      <c r="Q144" s="658"/>
      <c r="R144" s="658"/>
      <c r="S144" s="658"/>
      <c r="T144" s="658"/>
      <c r="U144" s="658"/>
      <c r="V144" s="659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671" t="s">
        <v>260</v>
      </c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1"/>
      <c r="P145" s="671"/>
      <c r="Q145" s="671"/>
      <c r="R145" s="671"/>
      <c r="S145" s="671"/>
      <c r="T145" s="671"/>
      <c r="U145" s="671"/>
      <c r="V145" s="671"/>
      <c r="W145" s="671"/>
      <c r="X145" s="671"/>
      <c r="Y145" s="671"/>
      <c r="Z145" s="671"/>
      <c r="AA145" s="65"/>
      <c r="AB145" s="65"/>
      <c r="AC145" s="79"/>
    </row>
    <row r="146" spans="1:68" ht="14.25" hidden="1" customHeight="1" x14ac:dyDescent="0.25">
      <c r="A146" s="667" t="s">
        <v>86</v>
      </c>
      <c r="B146" s="667"/>
      <c r="C146" s="667"/>
      <c r="D146" s="667"/>
      <c r="E146" s="667"/>
      <c r="F146" s="667"/>
      <c r="G146" s="667"/>
      <c r="H146" s="667"/>
      <c r="I146" s="667"/>
      <c r="J146" s="667"/>
      <c r="K146" s="667"/>
      <c r="L146" s="667"/>
      <c r="M146" s="667"/>
      <c r="N146" s="667"/>
      <c r="O146" s="667"/>
      <c r="P146" s="667"/>
      <c r="Q146" s="667"/>
      <c r="R146" s="667"/>
      <c r="S146" s="667"/>
      <c r="T146" s="667"/>
      <c r="U146" s="667"/>
      <c r="V146" s="667"/>
      <c r="W146" s="667"/>
      <c r="X146" s="667"/>
      <c r="Y146" s="667"/>
      <c r="Z146" s="667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653">
        <v>4680115888203</v>
      </c>
      <c r="E147" s="653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5"/>
      <c r="R147" s="655"/>
      <c r="S147" s="655"/>
      <c r="T147" s="656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653">
        <v>4680115888180</v>
      </c>
      <c r="E148" s="653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653">
        <v>4680115888180</v>
      </c>
      <c r="E149" s="65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653">
        <v>4680115888197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653">
        <v>4680115888210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653">
        <v>4680115888210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660"/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1"/>
      <c r="P153" s="657" t="s">
        <v>40</v>
      </c>
      <c r="Q153" s="658"/>
      <c r="R153" s="658"/>
      <c r="S153" s="658"/>
      <c r="T153" s="658"/>
      <c r="U153" s="658"/>
      <c r="V153" s="65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660"/>
      <c r="B154" s="660"/>
      <c r="C154" s="660"/>
      <c r="D154" s="660"/>
      <c r="E154" s="660"/>
      <c r="F154" s="660"/>
      <c r="G154" s="660"/>
      <c r="H154" s="660"/>
      <c r="I154" s="660"/>
      <c r="J154" s="660"/>
      <c r="K154" s="660"/>
      <c r="L154" s="660"/>
      <c r="M154" s="660"/>
      <c r="N154" s="660"/>
      <c r="O154" s="661"/>
      <c r="P154" s="657" t="s">
        <v>40</v>
      </c>
      <c r="Q154" s="658"/>
      <c r="R154" s="658"/>
      <c r="S154" s="658"/>
      <c r="T154" s="658"/>
      <c r="U154" s="658"/>
      <c r="V154" s="65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667" t="s">
        <v>275</v>
      </c>
      <c r="B155" s="667"/>
      <c r="C155" s="667"/>
      <c r="D155" s="667"/>
      <c r="E155" s="667"/>
      <c r="F155" s="667"/>
      <c r="G155" s="667"/>
      <c r="H155" s="667"/>
      <c r="I155" s="667"/>
      <c r="J155" s="667"/>
      <c r="K155" s="667"/>
      <c r="L155" s="667"/>
      <c r="M155" s="667"/>
      <c r="N155" s="667"/>
      <c r="O155" s="667"/>
      <c r="P155" s="667"/>
      <c r="Q155" s="667"/>
      <c r="R155" s="667"/>
      <c r="S155" s="667"/>
      <c r="T155" s="667"/>
      <c r="U155" s="667"/>
      <c r="V155" s="667"/>
      <c r="W155" s="667"/>
      <c r="X155" s="667"/>
      <c r="Y155" s="667"/>
      <c r="Z155" s="667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653">
        <v>4680115889132</v>
      </c>
      <c r="E156" s="653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7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5"/>
      <c r="R156" s="655"/>
      <c r="S156" s="655"/>
      <c r="T156" s="656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671" t="s">
        <v>120</v>
      </c>
      <c r="B159" s="671"/>
      <c r="C159" s="671"/>
      <c r="D159" s="671"/>
      <c r="E159" s="671"/>
      <c r="F159" s="671"/>
      <c r="G159" s="671"/>
      <c r="H159" s="671"/>
      <c r="I159" s="671"/>
      <c r="J159" s="671"/>
      <c r="K159" s="671"/>
      <c r="L159" s="671"/>
      <c r="M159" s="671"/>
      <c r="N159" s="671"/>
      <c r="O159" s="671"/>
      <c r="P159" s="671"/>
      <c r="Q159" s="671"/>
      <c r="R159" s="671"/>
      <c r="S159" s="671"/>
      <c r="T159" s="671"/>
      <c r="U159" s="671"/>
      <c r="V159" s="671"/>
      <c r="W159" s="671"/>
      <c r="X159" s="671"/>
      <c r="Y159" s="671"/>
      <c r="Z159" s="671"/>
      <c r="AA159" s="65"/>
      <c r="AB159" s="65"/>
      <c r="AC159" s="79"/>
    </row>
    <row r="160" spans="1:68" ht="14.25" hidden="1" customHeight="1" x14ac:dyDescent="0.25">
      <c r="A160" s="667" t="s">
        <v>122</v>
      </c>
      <c r="B160" s="667"/>
      <c r="C160" s="667"/>
      <c r="D160" s="667"/>
      <c r="E160" s="667"/>
      <c r="F160" s="667"/>
      <c r="G160" s="667"/>
      <c r="H160" s="667"/>
      <c r="I160" s="667"/>
      <c r="J160" s="667"/>
      <c r="K160" s="667"/>
      <c r="L160" s="667"/>
      <c r="M160" s="667"/>
      <c r="N160" s="667"/>
      <c r="O160" s="667"/>
      <c r="P160" s="667"/>
      <c r="Q160" s="667"/>
      <c r="R160" s="667"/>
      <c r="S160" s="667"/>
      <c r="T160" s="667"/>
      <c r="U160" s="667"/>
      <c r="V160" s="667"/>
      <c r="W160" s="667"/>
      <c r="X160" s="667"/>
      <c r="Y160" s="667"/>
      <c r="Z160" s="667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653">
        <v>4680115887374</v>
      </c>
      <c r="E161" s="653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7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5"/>
      <c r="R161" s="655"/>
      <c r="S161" s="655"/>
      <c r="T161" s="656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653">
        <v>4607091384604</v>
      </c>
      <c r="E162" s="653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5"/>
      <c r="R162" s="655"/>
      <c r="S162" s="655"/>
      <c r="T162" s="656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653">
        <v>4680115888876</v>
      </c>
      <c r="E163" s="653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60"/>
      <c r="B164" s="660"/>
      <c r="C164" s="660"/>
      <c r="D164" s="660"/>
      <c r="E164" s="660"/>
      <c r="F164" s="660"/>
      <c r="G164" s="660"/>
      <c r="H164" s="660"/>
      <c r="I164" s="660"/>
      <c r="J164" s="660"/>
      <c r="K164" s="660"/>
      <c r="L164" s="660"/>
      <c r="M164" s="660"/>
      <c r="N164" s="660"/>
      <c r="O164" s="661"/>
      <c r="P164" s="657" t="s">
        <v>40</v>
      </c>
      <c r="Q164" s="658"/>
      <c r="R164" s="658"/>
      <c r="S164" s="658"/>
      <c r="T164" s="658"/>
      <c r="U164" s="658"/>
      <c r="V164" s="659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660"/>
      <c r="B165" s="660"/>
      <c r="C165" s="660"/>
      <c r="D165" s="660"/>
      <c r="E165" s="660"/>
      <c r="F165" s="660"/>
      <c r="G165" s="660"/>
      <c r="H165" s="660"/>
      <c r="I165" s="660"/>
      <c r="J165" s="660"/>
      <c r="K165" s="660"/>
      <c r="L165" s="660"/>
      <c r="M165" s="660"/>
      <c r="N165" s="660"/>
      <c r="O165" s="661"/>
      <c r="P165" s="657" t="s">
        <v>40</v>
      </c>
      <c r="Q165" s="658"/>
      <c r="R165" s="658"/>
      <c r="S165" s="658"/>
      <c r="T165" s="658"/>
      <c r="U165" s="658"/>
      <c r="V165" s="659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67" t="s">
        <v>157</v>
      </c>
      <c r="B166" s="667"/>
      <c r="C166" s="667"/>
      <c r="D166" s="667"/>
      <c r="E166" s="667"/>
      <c r="F166" s="667"/>
      <c r="G166" s="667"/>
      <c r="H166" s="667"/>
      <c r="I166" s="667"/>
      <c r="J166" s="667"/>
      <c r="K166" s="667"/>
      <c r="L166" s="667"/>
      <c r="M166" s="667"/>
      <c r="N166" s="667"/>
      <c r="O166" s="667"/>
      <c r="P166" s="667"/>
      <c r="Q166" s="667"/>
      <c r="R166" s="667"/>
      <c r="S166" s="667"/>
      <c r="T166" s="667"/>
      <c r="U166" s="667"/>
      <c r="V166" s="667"/>
      <c r="W166" s="667"/>
      <c r="X166" s="667"/>
      <c r="Y166" s="667"/>
      <c r="Z166" s="667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653">
        <v>4680115887695</v>
      </c>
      <c r="E167" s="653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5"/>
      <c r="R167" s="655"/>
      <c r="S167" s="655"/>
      <c r="T167" s="656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653">
        <v>4680115889491</v>
      </c>
      <c r="E168" s="653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7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5"/>
      <c r="R168" s="655"/>
      <c r="S168" s="655"/>
      <c r="T168" s="65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67" t="s">
        <v>77</v>
      </c>
      <c r="B171" s="667"/>
      <c r="C171" s="667"/>
      <c r="D171" s="667"/>
      <c r="E171" s="667"/>
      <c r="F171" s="667"/>
      <c r="G171" s="667"/>
      <c r="H171" s="667"/>
      <c r="I171" s="667"/>
      <c r="J171" s="667"/>
      <c r="K171" s="667"/>
      <c r="L171" s="667"/>
      <c r="M171" s="667"/>
      <c r="N171" s="667"/>
      <c r="O171" s="667"/>
      <c r="P171" s="667"/>
      <c r="Q171" s="667"/>
      <c r="R171" s="667"/>
      <c r="S171" s="667"/>
      <c r="T171" s="667"/>
      <c r="U171" s="667"/>
      <c r="V171" s="667"/>
      <c r="W171" s="667"/>
      <c r="X171" s="667"/>
      <c r="Y171" s="667"/>
      <c r="Z171" s="667"/>
      <c r="AA171" s="66"/>
      <c r="AB171" s="66"/>
      <c r="AC171" s="80"/>
    </row>
    <row r="172" spans="1:68" ht="27" hidden="1" customHeight="1" x14ac:dyDescent="0.25">
      <c r="A172" s="63" t="s">
        <v>297</v>
      </c>
      <c r="B172" s="63" t="s">
        <v>298</v>
      </c>
      <c r="C172" s="36">
        <v>4301031496</v>
      </c>
      <c r="D172" s="653">
        <v>4680115887428</v>
      </c>
      <c r="E172" s="653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7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5"/>
      <c r="R172" s="655"/>
      <c r="S172" s="655"/>
      <c r="T172" s="656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customHeight="1" x14ac:dyDescent="0.25">
      <c r="A173" s="63" t="s">
        <v>300</v>
      </c>
      <c r="B173" s="63" t="s">
        <v>301</v>
      </c>
      <c r="C173" s="36">
        <v>4301031509</v>
      </c>
      <c r="D173" s="653">
        <v>4680115889170</v>
      </c>
      <c r="E173" s="653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5"/>
      <c r="R173" s="655"/>
      <c r="S173" s="655"/>
      <c r="T173" s="656"/>
      <c r="U173" s="39" t="s">
        <v>46</v>
      </c>
      <c r="V173" s="39" t="s">
        <v>46</v>
      </c>
      <c r="W173" s="40" t="s">
        <v>0</v>
      </c>
      <c r="X173" s="58">
        <v>35</v>
      </c>
      <c r="Y173" s="55">
        <f t="shared" si="21"/>
        <v>35</v>
      </c>
      <c r="Z173" s="41">
        <f>IFERROR(IF(Y173=0,"",ROUNDUP(Y173/H173,0)*0.00902),"")</f>
        <v>9.0200000000000002E-2</v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37.65</v>
      </c>
      <c r="BN173" s="78">
        <f t="shared" si="23"/>
        <v>37.65</v>
      </c>
      <c r="BO173" s="78">
        <f t="shared" si="24"/>
        <v>7.575757575757576E-2</v>
      </c>
      <c r="BP173" s="78">
        <f t="shared" si="25"/>
        <v>7.575757575757576E-2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4301031498</v>
      </c>
      <c r="D174" s="653">
        <v>4680115887398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653">
        <v>4680115887398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6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4301031520</v>
      </c>
      <c r="D176" s="653">
        <v>4680115887336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653">
        <v>4680115887787</v>
      </c>
      <c r="E177" s="653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6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653">
        <v>4680115887480</v>
      </c>
      <c r="E181" s="65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7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653">
        <v>4680115888067</v>
      </c>
      <c r="E182" s="653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653">
        <v>4680115887435</v>
      </c>
      <c r="E183" s="65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x14ac:dyDescent="0.2">
      <c r="A184" s="660"/>
      <c r="B184" s="660"/>
      <c r="C184" s="660"/>
      <c r="D184" s="660"/>
      <c r="E184" s="660"/>
      <c r="F184" s="660"/>
      <c r="G184" s="660"/>
      <c r="H184" s="660"/>
      <c r="I184" s="660"/>
      <c r="J184" s="660"/>
      <c r="K184" s="660"/>
      <c r="L184" s="660"/>
      <c r="M184" s="660"/>
      <c r="N184" s="660"/>
      <c r="O184" s="661"/>
      <c r="P184" s="657" t="s">
        <v>40</v>
      </c>
      <c r="Q184" s="658"/>
      <c r="R184" s="658"/>
      <c r="S184" s="658"/>
      <c r="T184" s="658"/>
      <c r="U184" s="658"/>
      <c r="V184" s="659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10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10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9.0200000000000002E-2</v>
      </c>
      <c r="AA184" s="67"/>
      <c r="AB184" s="67"/>
      <c r="AC184" s="67"/>
    </row>
    <row r="185" spans="1:68" x14ac:dyDescent="0.2">
      <c r="A185" s="660"/>
      <c r="B185" s="660"/>
      <c r="C185" s="660"/>
      <c r="D185" s="660"/>
      <c r="E185" s="660"/>
      <c r="F185" s="660"/>
      <c r="G185" s="660"/>
      <c r="H185" s="660"/>
      <c r="I185" s="660"/>
      <c r="J185" s="660"/>
      <c r="K185" s="660"/>
      <c r="L185" s="660"/>
      <c r="M185" s="660"/>
      <c r="N185" s="660"/>
      <c r="O185" s="661"/>
      <c r="P185" s="657" t="s">
        <v>40</v>
      </c>
      <c r="Q185" s="658"/>
      <c r="R185" s="658"/>
      <c r="S185" s="658"/>
      <c r="T185" s="658"/>
      <c r="U185" s="658"/>
      <c r="V185" s="659"/>
      <c r="W185" s="42" t="s">
        <v>0</v>
      </c>
      <c r="X185" s="43">
        <f>IFERROR(SUM(X172:X183),"0")</f>
        <v>35</v>
      </c>
      <c r="Y185" s="43">
        <f>IFERROR(SUM(Y172:Y183),"0")</f>
        <v>35</v>
      </c>
      <c r="Z185" s="42"/>
      <c r="AA185" s="67"/>
      <c r="AB185" s="67"/>
      <c r="AC185" s="67"/>
    </row>
    <row r="186" spans="1:68" ht="14.25" hidden="1" customHeight="1" x14ac:dyDescent="0.25">
      <c r="A186" s="667" t="s">
        <v>86</v>
      </c>
      <c r="B186" s="667"/>
      <c r="C186" s="667"/>
      <c r="D186" s="667"/>
      <c r="E186" s="667"/>
      <c r="F186" s="667"/>
      <c r="G186" s="667"/>
      <c r="H186" s="667"/>
      <c r="I186" s="667"/>
      <c r="J186" s="667"/>
      <c r="K186" s="667"/>
      <c r="L186" s="667"/>
      <c r="M186" s="667"/>
      <c r="N186" s="667"/>
      <c r="O186" s="667"/>
      <c r="P186" s="667"/>
      <c r="Q186" s="667"/>
      <c r="R186" s="667"/>
      <c r="S186" s="667"/>
      <c r="T186" s="667"/>
      <c r="U186" s="667"/>
      <c r="V186" s="667"/>
      <c r="W186" s="667"/>
      <c r="X186" s="667"/>
      <c r="Y186" s="667"/>
      <c r="Z186" s="667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653">
        <v>4680115888395</v>
      </c>
      <c r="E187" s="653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5"/>
      <c r="R187" s="655"/>
      <c r="S187" s="655"/>
      <c r="T187" s="656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653">
        <v>4680115888371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653">
        <v>4680115887459</v>
      </c>
      <c r="E189" s="653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60"/>
      <c r="B190" s="660"/>
      <c r="C190" s="660"/>
      <c r="D190" s="660"/>
      <c r="E190" s="660"/>
      <c r="F190" s="660"/>
      <c r="G190" s="660"/>
      <c r="H190" s="660"/>
      <c r="I190" s="660"/>
      <c r="J190" s="660"/>
      <c r="K190" s="660"/>
      <c r="L190" s="660"/>
      <c r="M190" s="660"/>
      <c r="N190" s="660"/>
      <c r="O190" s="661"/>
      <c r="P190" s="657" t="s">
        <v>40</v>
      </c>
      <c r="Q190" s="658"/>
      <c r="R190" s="658"/>
      <c r="S190" s="658"/>
      <c r="T190" s="658"/>
      <c r="U190" s="658"/>
      <c r="V190" s="659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660"/>
      <c r="B191" s="660"/>
      <c r="C191" s="660"/>
      <c r="D191" s="660"/>
      <c r="E191" s="660"/>
      <c r="F191" s="660"/>
      <c r="G191" s="660"/>
      <c r="H191" s="660"/>
      <c r="I191" s="660"/>
      <c r="J191" s="660"/>
      <c r="K191" s="660"/>
      <c r="L191" s="660"/>
      <c r="M191" s="660"/>
      <c r="N191" s="660"/>
      <c r="O191" s="661"/>
      <c r="P191" s="657" t="s">
        <v>40</v>
      </c>
      <c r="Q191" s="658"/>
      <c r="R191" s="658"/>
      <c r="S191" s="658"/>
      <c r="T191" s="658"/>
      <c r="U191" s="658"/>
      <c r="V191" s="659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67" t="s">
        <v>275</v>
      </c>
      <c r="B192" s="667"/>
      <c r="C192" s="667"/>
      <c r="D192" s="667"/>
      <c r="E192" s="667"/>
      <c r="F192" s="667"/>
      <c r="G192" s="667"/>
      <c r="H192" s="667"/>
      <c r="I192" s="667"/>
      <c r="J192" s="667"/>
      <c r="K192" s="667"/>
      <c r="L192" s="667"/>
      <c r="M192" s="667"/>
      <c r="N192" s="667"/>
      <c r="O192" s="667"/>
      <c r="P192" s="667"/>
      <c r="Q192" s="667"/>
      <c r="R192" s="667"/>
      <c r="S192" s="667"/>
      <c r="T192" s="667"/>
      <c r="U192" s="667"/>
      <c r="V192" s="667"/>
      <c r="W192" s="667"/>
      <c r="X192" s="667"/>
      <c r="Y192" s="667"/>
      <c r="Z192" s="667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67" t="s">
        <v>340</v>
      </c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7"/>
      <c r="P196" s="667"/>
      <c r="Q196" s="667"/>
      <c r="R196" s="667"/>
      <c r="S196" s="667"/>
      <c r="T196" s="667"/>
      <c r="U196" s="667"/>
      <c r="V196" s="667"/>
      <c r="W196" s="667"/>
      <c r="X196" s="667"/>
      <c r="Y196" s="667"/>
      <c r="Z196" s="667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5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82" t="s">
        <v>344</v>
      </c>
      <c r="B200" s="682"/>
      <c r="C200" s="682"/>
      <c r="D200" s="682"/>
      <c r="E200" s="682"/>
      <c r="F200" s="682"/>
      <c r="G200" s="682"/>
      <c r="H200" s="682"/>
      <c r="I200" s="682"/>
      <c r="J200" s="682"/>
      <c r="K200" s="682"/>
      <c r="L200" s="682"/>
      <c r="M200" s="682"/>
      <c r="N200" s="682"/>
      <c r="O200" s="682"/>
      <c r="P200" s="682"/>
      <c r="Q200" s="682"/>
      <c r="R200" s="682"/>
      <c r="S200" s="682"/>
      <c r="T200" s="682"/>
      <c r="U200" s="682"/>
      <c r="V200" s="682"/>
      <c r="W200" s="682"/>
      <c r="X200" s="682"/>
      <c r="Y200" s="682"/>
      <c r="Z200" s="682"/>
      <c r="AA200" s="54"/>
      <c r="AB200" s="54"/>
      <c r="AC200" s="54"/>
    </row>
    <row r="201" spans="1:68" ht="16.5" hidden="1" customHeight="1" x14ac:dyDescent="0.25">
      <c r="A201" s="671" t="s">
        <v>345</v>
      </c>
      <c r="B201" s="671"/>
      <c r="C201" s="671"/>
      <c r="D201" s="671"/>
      <c r="E201" s="671"/>
      <c r="F201" s="671"/>
      <c r="G201" s="671"/>
      <c r="H201" s="671"/>
      <c r="I201" s="671"/>
      <c r="J201" s="671"/>
      <c r="K201" s="671"/>
      <c r="L201" s="671"/>
      <c r="M201" s="671"/>
      <c r="N201" s="671"/>
      <c r="O201" s="671"/>
      <c r="P201" s="671"/>
      <c r="Q201" s="671"/>
      <c r="R201" s="671"/>
      <c r="S201" s="671"/>
      <c r="T201" s="671"/>
      <c r="U201" s="671"/>
      <c r="V201" s="671"/>
      <c r="W201" s="671"/>
      <c r="X201" s="671"/>
      <c r="Y201" s="671"/>
      <c r="Z201" s="671"/>
      <c r="AA201" s="65"/>
      <c r="AB201" s="65"/>
      <c r="AC201" s="79"/>
    </row>
    <row r="202" spans="1:68" ht="14.25" hidden="1" customHeight="1" x14ac:dyDescent="0.25">
      <c r="A202" s="667" t="s">
        <v>122</v>
      </c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7"/>
      <c r="P202" s="667"/>
      <c r="Q202" s="667"/>
      <c r="R202" s="667"/>
      <c r="S202" s="667"/>
      <c r="T202" s="667"/>
      <c r="U202" s="667"/>
      <c r="V202" s="667"/>
      <c r="W202" s="667"/>
      <c r="X202" s="667"/>
      <c r="Y202" s="667"/>
      <c r="Z202" s="667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idden="1" x14ac:dyDescent="0.2">
      <c r="A210" s="660"/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1"/>
      <c r="P210" s="657" t="s">
        <v>40</v>
      </c>
      <c r="Q210" s="658"/>
      <c r="R210" s="658"/>
      <c r="S210" s="658"/>
      <c r="T210" s="658"/>
      <c r="U210" s="658"/>
      <c r="V210" s="659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60"/>
      <c r="B211" s="660"/>
      <c r="C211" s="660"/>
      <c r="D211" s="660"/>
      <c r="E211" s="660"/>
      <c r="F211" s="660"/>
      <c r="G211" s="660"/>
      <c r="H211" s="660"/>
      <c r="I211" s="660"/>
      <c r="J211" s="660"/>
      <c r="K211" s="660"/>
      <c r="L211" s="660"/>
      <c r="M211" s="660"/>
      <c r="N211" s="660"/>
      <c r="O211" s="661"/>
      <c r="P211" s="657" t="s">
        <v>40</v>
      </c>
      <c r="Q211" s="658"/>
      <c r="R211" s="658"/>
      <c r="S211" s="658"/>
      <c r="T211" s="658"/>
      <c r="U211" s="658"/>
      <c r="V211" s="659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71" t="s">
        <v>366</v>
      </c>
      <c r="B212" s="671"/>
      <c r="C212" s="671"/>
      <c r="D212" s="671"/>
      <c r="E212" s="671"/>
      <c r="F212" s="671"/>
      <c r="G212" s="671"/>
      <c r="H212" s="671"/>
      <c r="I212" s="671"/>
      <c r="J212" s="671"/>
      <c r="K212" s="671"/>
      <c r="L212" s="671"/>
      <c r="M212" s="671"/>
      <c r="N212" s="671"/>
      <c r="O212" s="671"/>
      <c r="P212" s="671"/>
      <c r="Q212" s="671"/>
      <c r="R212" s="671"/>
      <c r="S212" s="671"/>
      <c r="T212" s="671"/>
      <c r="U212" s="671"/>
      <c r="V212" s="671"/>
      <c r="W212" s="671"/>
      <c r="X212" s="671"/>
      <c r="Y212" s="671"/>
      <c r="Z212" s="671"/>
      <c r="AA212" s="65"/>
      <c r="AB212" s="65"/>
      <c r="AC212" s="79"/>
    </row>
    <row r="213" spans="1:68" ht="14.25" hidden="1" customHeight="1" x14ac:dyDescent="0.25">
      <c r="A213" s="667" t="s">
        <v>157</v>
      </c>
      <c r="B213" s="667"/>
      <c r="C213" s="667"/>
      <c r="D213" s="667"/>
      <c r="E213" s="667"/>
      <c r="F213" s="667"/>
      <c r="G213" s="667"/>
      <c r="H213" s="667"/>
      <c r="I213" s="667"/>
      <c r="J213" s="667"/>
      <c r="K213" s="667"/>
      <c r="L213" s="667"/>
      <c r="M213" s="667"/>
      <c r="N213" s="667"/>
      <c r="O213" s="667"/>
      <c r="P213" s="667"/>
      <c r="Q213" s="667"/>
      <c r="R213" s="667"/>
      <c r="S213" s="667"/>
      <c r="T213" s="667"/>
      <c r="U213" s="667"/>
      <c r="V213" s="667"/>
      <c r="W213" s="667"/>
      <c r="X213" s="667"/>
      <c r="Y213" s="667"/>
      <c r="Z213" s="667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60"/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1"/>
      <c r="P216" s="657" t="s">
        <v>40</v>
      </c>
      <c r="Q216" s="658"/>
      <c r="R216" s="658"/>
      <c r="S216" s="658"/>
      <c r="T216" s="658"/>
      <c r="U216" s="658"/>
      <c r="V216" s="659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67" t="s">
        <v>77</v>
      </c>
      <c r="B217" s="667"/>
      <c r="C217" s="667"/>
      <c r="D217" s="667"/>
      <c r="E217" s="667"/>
      <c r="F217" s="667"/>
      <c r="G217" s="667"/>
      <c r="H217" s="667"/>
      <c r="I217" s="667"/>
      <c r="J217" s="667"/>
      <c r="K217" s="667"/>
      <c r="L217" s="667"/>
      <c r="M217" s="667"/>
      <c r="N217" s="667"/>
      <c r="O217" s="667"/>
      <c r="P217" s="667"/>
      <c r="Q217" s="667"/>
      <c r="R217" s="667"/>
      <c r="S217" s="667"/>
      <c r="T217" s="667"/>
      <c r="U217" s="667"/>
      <c r="V217" s="667"/>
      <c r="W217" s="667"/>
      <c r="X217" s="667"/>
      <c r="Y217" s="667"/>
      <c r="Z217" s="667"/>
      <c r="AA217" s="66"/>
      <c r="AB217" s="66"/>
      <c r="AC217" s="80"/>
    </row>
    <row r="218" spans="1:68" ht="27" hidden="1" customHeight="1" x14ac:dyDescent="0.25">
      <c r="A218" s="63" t="s">
        <v>370</v>
      </c>
      <c r="B218" s="63" t="s">
        <v>371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2" si="32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0</v>
      </c>
      <c r="BN218" s="78">
        <f t="shared" ref="BN218:BN232" si="34">IFERROR(Y218*I218/H218,"0")</f>
        <v>0</v>
      </c>
      <c r="BO218" s="78">
        <f t="shared" ref="BO218:BO232" si="35">IFERROR(1/J218*(X218/H218),"0")</f>
        <v>0</v>
      </c>
      <c r="BP218" s="78">
        <f t="shared" ref="BP218:BP232" si="36">IFERROR(1/J218*(Y218/H218),"0")</f>
        <v>0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376</v>
      </c>
      <c r="B220" s="63" t="s">
        <v>377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hidden="1" customHeight="1" x14ac:dyDescent="0.25">
      <c r="A221" s="63" t="s">
        <v>379</v>
      </c>
      <c r="B221" s="63" t="s">
        <v>380</v>
      </c>
      <c r="C221" s="36">
        <v>4301031447</v>
      </c>
      <c r="D221" s="653">
        <v>4680115887565</v>
      </c>
      <c r="E221" s="653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653">
        <v>4680115880986</v>
      </c>
      <c r="E222" s="653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653">
        <v>4680115887213</v>
      </c>
      <c r="E223" s="65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653">
        <v>4680115881785</v>
      </c>
      <c r="E224" s="65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653">
        <v>4680115888432</v>
      </c>
      <c r="E225" s="653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653">
        <v>4680115888104</v>
      </c>
      <c r="E226" s="653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hidden="1" customHeight="1" x14ac:dyDescent="0.25">
      <c r="A229" s="63" t="s">
        <v>401</v>
      </c>
      <c r="B229" s="63" t="s">
        <v>402</v>
      </c>
      <c r="C229" s="36">
        <v>4301031202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idden="1" x14ac:dyDescent="0.2">
      <c r="A233" s="660"/>
      <c r="B233" s="660"/>
      <c r="C233" s="660"/>
      <c r="D233" s="660"/>
      <c r="E233" s="660"/>
      <c r="F233" s="660"/>
      <c r="G233" s="660"/>
      <c r="H233" s="660"/>
      <c r="I233" s="660"/>
      <c r="J233" s="660"/>
      <c r="K233" s="660"/>
      <c r="L233" s="660"/>
      <c r="M233" s="660"/>
      <c r="N233" s="660"/>
      <c r="O233" s="661"/>
      <c r="P233" s="657" t="s">
        <v>40</v>
      </c>
      <c r="Q233" s="658"/>
      <c r="R233" s="658"/>
      <c r="S233" s="658"/>
      <c r="T233" s="658"/>
      <c r="U233" s="658"/>
      <c r="V233" s="659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60"/>
      <c r="B234" s="660"/>
      <c r="C234" s="660"/>
      <c r="D234" s="660"/>
      <c r="E234" s="660"/>
      <c r="F234" s="660"/>
      <c r="G234" s="660"/>
      <c r="H234" s="660"/>
      <c r="I234" s="660"/>
      <c r="J234" s="660"/>
      <c r="K234" s="660"/>
      <c r="L234" s="660"/>
      <c r="M234" s="660"/>
      <c r="N234" s="660"/>
      <c r="O234" s="661"/>
      <c r="P234" s="657" t="s">
        <v>40</v>
      </c>
      <c r="Q234" s="658"/>
      <c r="R234" s="658"/>
      <c r="S234" s="658"/>
      <c r="T234" s="658"/>
      <c r="U234" s="658"/>
      <c r="V234" s="659"/>
      <c r="W234" s="42" t="s">
        <v>0</v>
      </c>
      <c r="X234" s="43">
        <f>IFERROR(SUM(X218:X232),"0")</f>
        <v>0</v>
      </c>
      <c r="Y234" s="43">
        <f>IFERROR(SUM(Y218:Y232),"0")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67" t="s">
        <v>86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653">
        <v>4680115888692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2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653">
        <v>4680115888722</v>
      </c>
      <c r="E238" s="65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653">
        <v>4680115888722</v>
      </c>
      <c r="E239" s="65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653">
        <v>4680115888951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3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653">
        <v>4680115888951</v>
      </c>
      <c r="E241" s="653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3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5"/>
      <c r="R241" s="655"/>
      <c r="S241" s="655"/>
      <c r="T241" s="65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653">
        <v>4680115888975</v>
      </c>
      <c r="E242" s="653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5"/>
      <c r="R242" s="655"/>
      <c r="S242" s="655"/>
      <c r="T242" s="65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653">
        <v>4680115888982</v>
      </c>
      <c r="E243" s="65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653">
        <v>4680115888982</v>
      </c>
      <c r="E244" s="653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660"/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1"/>
      <c r="P245" s="657" t="s">
        <v>40</v>
      </c>
      <c r="Q245" s="658"/>
      <c r="R245" s="658"/>
      <c r="S245" s="658"/>
      <c r="T245" s="658"/>
      <c r="U245" s="658"/>
      <c r="V245" s="659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60"/>
      <c r="B246" s="660"/>
      <c r="C246" s="660"/>
      <c r="D246" s="660"/>
      <c r="E246" s="660"/>
      <c r="F246" s="660"/>
      <c r="G246" s="660"/>
      <c r="H246" s="660"/>
      <c r="I246" s="660"/>
      <c r="J246" s="660"/>
      <c r="K246" s="660"/>
      <c r="L246" s="660"/>
      <c r="M246" s="660"/>
      <c r="N246" s="660"/>
      <c r="O246" s="661"/>
      <c r="P246" s="657" t="s">
        <v>40</v>
      </c>
      <c r="Q246" s="658"/>
      <c r="R246" s="658"/>
      <c r="S246" s="658"/>
      <c r="T246" s="658"/>
      <c r="U246" s="658"/>
      <c r="V246" s="659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67" t="s">
        <v>275</v>
      </c>
      <c r="B247" s="667"/>
      <c r="C247" s="667"/>
      <c r="D247" s="667"/>
      <c r="E247" s="667"/>
      <c r="F247" s="667"/>
      <c r="G247" s="667"/>
      <c r="H247" s="667"/>
      <c r="I247" s="667"/>
      <c r="J247" s="667"/>
      <c r="K247" s="667"/>
      <c r="L247" s="667"/>
      <c r="M247" s="667"/>
      <c r="N247" s="667"/>
      <c r="O247" s="667"/>
      <c r="P247" s="667"/>
      <c r="Q247" s="667"/>
      <c r="R247" s="667"/>
      <c r="S247" s="667"/>
      <c r="T247" s="667"/>
      <c r="U247" s="667"/>
      <c r="V247" s="667"/>
      <c r="W247" s="667"/>
      <c r="X247" s="667"/>
      <c r="Y247" s="667"/>
      <c r="Z247" s="667"/>
      <c r="AA247" s="66"/>
      <c r="AB247" s="66"/>
      <c r="AC247" s="80"/>
    </row>
    <row r="248" spans="1:68" ht="27" hidden="1" customHeight="1" x14ac:dyDescent="0.25">
      <c r="A248" s="63" t="s">
        <v>429</v>
      </c>
      <c r="B248" s="63" t="s">
        <v>430</v>
      </c>
      <c r="C248" s="36">
        <v>4301032053</v>
      </c>
      <c r="D248" s="653">
        <v>4680115886780</v>
      </c>
      <c r="E248" s="653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5"/>
      <c r="R248" s="655"/>
      <c r="S248" s="655"/>
      <c r="T248" s="65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432</v>
      </c>
      <c r="B249" s="63" t="s">
        <v>433</v>
      </c>
      <c r="C249" s="36">
        <v>4301032051</v>
      </c>
      <c r="D249" s="653">
        <v>4680115886742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653">
        <v>4680115886766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60"/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1"/>
      <c r="P251" s="657" t="s">
        <v>40</v>
      </c>
      <c r="Q251" s="658"/>
      <c r="R251" s="658"/>
      <c r="S251" s="658"/>
      <c r="T251" s="658"/>
      <c r="U251" s="658"/>
      <c r="V251" s="659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60"/>
      <c r="B252" s="660"/>
      <c r="C252" s="660"/>
      <c r="D252" s="660"/>
      <c r="E252" s="660"/>
      <c r="F252" s="660"/>
      <c r="G252" s="660"/>
      <c r="H252" s="660"/>
      <c r="I252" s="660"/>
      <c r="J252" s="660"/>
      <c r="K252" s="660"/>
      <c r="L252" s="660"/>
      <c r="M252" s="660"/>
      <c r="N252" s="660"/>
      <c r="O252" s="661"/>
      <c r="P252" s="657" t="s">
        <v>40</v>
      </c>
      <c r="Q252" s="658"/>
      <c r="R252" s="658"/>
      <c r="S252" s="658"/>
      <c r="T252" s="658"/>
      <c r="U252" s="658"/>
      <c r="V252" s="659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67" t="s">
        <v>437</v>
      </c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  <c r="Z253" s="667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653">
        <v>4680115886797</v>
      </c>
      <c r="E254" s="653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71" t="s">
        <v>440</v>
      </c>
      <c r="B257" s="671"/>
      <c r="C257" s="671"/>
      <c r="D257" s="671"/>
      <c r="E257" s="671"/>
      <c r="F257" s="671"/>
      <c r="G257" s="671"/>
      <c r="H257" s="671"/>
      <c r="I257" s="671"/>
      <c r="J257" s="671"/>
      <c r="K257" s="671"/>
      <c r="L257" s="671"/>
      <c r="M257" s="671"/>
      <c r="N257" s="671"/>
      <c r="O257" s="671"/>
      <c r="P257" s="671"/>
      <c r="Q257" s="671"/>
      <c r="R257" s="671"/>
      <c r="S257" s="671"/>
      <c r="T257" s="671"/>
      <c r="U257" s="671"/>
      <c r="V257" s="671"/>
      <c r="W257" s="671"/>
      <c r="X257" s="671"/>
      <c r="Y257" s="671"/>
      <c r="Z257" s="671"/>
      <c r="AA257" s="65"/>
      <c r="AB257" s="65"/>
      <c r="AC257" s="79"/>
    </row>
    <row r="258" spans="1:68" ht="14.25" hidden="1" customHeight="1" x14ac:dyDescent="0.25">
      <c r="A258" s="667" t="s">
        <v>122</v>
      </c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7"/>
      <c r="P258" s="667"/>
      <c r="Q258" s="667"/>
      <c r="R258" s="667"/>
      <c r="S258" s="667"/>
      <c r="T258" s="667"/>
      <c r="U258" s="667"/>
      <c r="V258" s="667"/>
      <c r="W258" s="667"/>
      <c r="X258" s="667"/>
      <c r="Y258" s="667"/>
      <c r="Z258" s="667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653">
        <v>4680115881402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444</v>
      </c>
      <c r="B260" s="63" t="s">
        <v>445</v>
      </c>
      <c r="C260" s="36">
        <v>4301011768</v>
      </c>
      <c r="D260" s="653">
        <v>4680115881396</v>
      </c>
      <c r="E260" s="653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60"/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1"/>
      <c r="P261" s="657" t="s">
        <v>40</v>
      </c>
      <c r="Q261" s="658"/>
      <c r="R261" s="658"/>
      <c r="S261" s="658"/>
      <c r="T261" s="658"/>
      <c r="U261" s="658"/>
      <c r="V261" s="659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60"/>
      <c r="B262" s="660"/>
      <c r="C262" s="660"/>
      <c r="D262" s="660"/>
      <c r="E262" s="660"/>
      <c r="F262" s="660"/>
      <c r="G262" s="660"/>
      <c r="H262" s="660"/>
      <c r="I262" s="660"/>
      <c r="J262" s="660"/>
      <c r="K262" s="660"/>
      <c r="L262" s="660"/>
      <c r="M262" s="660"/>
      <c r="N262" s="660"/>
      <c r="O262" s="661"/>
      <c r="P262" s="657" t="s">
        <v>40</v>
      </c>
      <c r="Q262" s="658"/>
      <c r="R262" s="658"/>
      <c r="S262" s="658"/>
      <c r="T262" s="658"/>
      <c r="U262" s="658"/>
      <c r="V262" s="659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67" t="s">
        <v>157</v>
      </c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7"/>
      <c r="P263" s="667"/>
      <c r="Q263" s="667"/>
      <c r="R263" s="667"/>
      <c r="S263" s="667"/>
      <c r="T263" s="667"/>
      <c r="U263" s="667"/>
      <c r="V263" s="667"/>
      <c r="W263" s="667"/>
      <c r="X263" s="667"/>
      <c r="Y263" s="667"/>
      <c r="Z263" s="667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653">
        <v>4680115882935</v>
      </c>
      <c r="E264" s="65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653">
        <v>4680115880764</v>
      </c>
      <c r="E265" s="653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60"/>
      <c r="B267" s="660"/>
      <c r="C267" s="660"/>
      <c r="D267" s="660"/>
      <c r="E267" s="660"/>
      <c r="F267" s="660"/>
      <c r="G267" s="660"/>
      <c r="H267" s="660"/>
      <c r="I267" s="660"/>
      <c r="J267" s="660"/>
      <c r="K267" s="660"/>
      <c r="L267" s="660"/>
      <c r="M267" s="660"/>
      <c r="N267" s="660"/>
      <c r="O267" s="661"/>
      <c r="P267" s="657" t="s">
        <v>40</v>
      </c>
      <c r="Q267" s="658"/>
      <c r="R267" s="658"/>
      <c r="S267" s="658"/>
      <c r="T267" s="658"/>
      <c r="U267" s="658"/>
      <c r="V267" s="659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67" t="s">
        <v>77</v>
      </c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7"/>
      <c r="P268" s="667"/>
      <c r="Q268" s="667"/>
      <c r="R268" s="667"/>
      <c r="S268" s="667"/>
      <c r="T268" s="667"/>
      <c r="U268" s="667"/>
      <c r="V268" s="667"/>
      <c r="W268" s="667"/>
      <c r="X268" s="667"/>
      <c r="Y268" s="667"/>
      <c r="Z268" s="667"/>
      <c r="AA268" s="66"/>
      <c r="AB268" s="66"/>
      <c r="AC268" s="80"/>
    </row>
    <row r="269" spans="1:68" ht="27" hidden="1" customHeight="1" x14ac:dyDescent="0.25">
      <c r="A269" s="63" t="s">
        <v>451</v>
      </c>
      <c r="B269" s="63" t="s">
        <v>452</v>
      </c>
      <c r="C269" s="36">
        <v>4301031224</v>
      </c>
      <c r="D269" s="653">
        <v>4680115882683</v>
      </c>
      <c r="E269" s="653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43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0</v>
      </c>
      <c r="BN269" s="78">
        <f t="shared" ref="BN269:BN276" si="45">IFERROR(Y269*I269/H269,"0")</f>
        <v>0</v>
      </c>
      <c r="BO269" s="78">
        <f t="shared" ref="BO269:BO276" si="46">IFERROR(1/J269*(X269/H269),"0")</f>
        <v>0</v>
      </c>
      <c r="BP269" s="78">
        <f t="shared" ref="BP269:BP276" si="47">IFERROR(1/J269*(Y269/H269),"0")</f>
        <v>0</v>
      </c>
    </row>
    <row r="270" spans="1:68" ht="27" hidden="1" customHeight="1" x14ac:dyDescent="0.25">
      <c r="A270" s="63" t="s">
        <v>454</v>
      </c>
      <c r="B270" s="63" t="s">
        <v>455</v>
      </c>
      <c r="C270" s="36">
        <v>4301031230</v>
      </c>
      <c r="D270" s="653">
        <v>4680115882690</v>
      </c>
      <c r="E270" s="653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4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0</v>
      </c>
      <c r="BN270" s="78">
        <f t="shared" si="45"/>
        <v>0</v>
      </c>
      <c r="BO270" s="78">
        <f t="shared" si="46"/>
        <v>0</v>
      </c>
      <c r="BP270" s="78">
        <f t="shared" si="47"/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4301031220</v>
      </c>
      <c r="D271" s="653">
        <v>4680115882669</v>
      </c>
      <c r="E271" s="65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4301031221</v>
      </c>
      <c r="D272" s="653">
        <v>4680115882676</v>
      </c>
      <c r="E272" s="65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653">
        <v>4680115884014</v>
      </c>
      <c r="E273" s="653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5"/>
      <c r="R273" s="655"/>
      <c r="S273" s="655"/>
      <c r="T273" s="65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653">
        <v>4680115884007</v>
      </c>
      <c r="E274" s="653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5"/>
      <c r="R274" s="655"/>
      <c r="S274" s="655"/>
      <c r="T274" s="65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653">
        <v>4680115884038</v>
      </c>
      <c r="E275" s="653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653">
        <v>4680115884021</v>
      </c>
      <c r="E276" s="65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idden="1" x14ac:dyDescent="0.2">
      <c r="A277" s="660"/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1"/>
      <c r="P277" s="657" t="s">
        <v>40</v>
      </c>
      <c r="Q277" s="658"/>
      <c r="R277" s="658"/>
      <c r="S277" s="658"/>
      <c r="T277" s="658"/>
      <c r="U277" s="658"/>
      <c r="V277" s="659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60"/>
      <c r="B278" s="660"/>
      <c r="C278" s="660"/>
      <c r="D278" s="660"/>
      <c r="E278" s="660"/>
      <c r="F278" s="660"/>
      <c r="G278" s="660"/>
      <c r="H278" s="660"/>
      <c r="I278" s="660"/>
      <c r="J278" s="660"/>
      <c r="K278" s="660"/>
      <c r="L278" s="660"/>
      <c r="M278" s="660"/>
      <c r="N278" s="660"/>
      <c r="O278" s="661"/>
      <c r="P278" s="657" t="s">
        <v>40</v>
      </c>
      <c r="Q278" s="658"/>
      <c r="R278" s="658"/>
      <c r="S278" s="658"/>
      <c r="T278" s="658"/>
      <c r="U278" s="658"/>
      <c r="V278" s="659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67" t="s">
        <v>86</v>
      </c>
      <c r="B279" s="667"/>
      <c r="C279" s="667"/>
      <c r="D279" s="667"/>
      <c r="E279" s="667"/>
      <c r="F279" s="667"/>
      <c r="G279" s="667"/>
      <c r="H279" s="667"/>
      <c r="I279" s="667"/>
      <c r="J279" s="667"/>
      <c r="K279" s="667"/>
      <c r="L279" s="667"/>
      <c r="M279" s="667"/>
      <c r="N279" s="667"/>
      <c r="O279" s="667"/>
      <c r="P279" s="667"/>
      <c r="Q279" s="667"/>
      <c r="R279" s="667"/>
      <c r="S279" s="667"/>
      <c r="T279" s="667"/>
      <c r="U279" s="667"/>
      <c r="V279" s="667"/>
      <c r="W279" s="667"/>
      <c r="X279" s="667"/>
      <c r="Y279" s="667"/>
      <c r="Z279" s="667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653">
        <v>4680115881594</v>
      </c>
      <c r="E280" s="653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653">
        <v>4680115881617</v>
      </c>
      <c r="E281" s="653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hidden="1" customHeight="1" x14ac:dyDescent="0.25">
      <c r="A282" s="63" t="s">
        <v>477</v>
      </c>
      <c r="B282" s="63" t="s">
        <v>478</v>
      </c>
      <c r="C282" s="36">
        <v>4301051656</v>
      </c>
      <c r="D282" s="653">
        <v>4680115880573</v>
      </c>
      <c r="E282" s="653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8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0</v>
      </c>
      <c r="BN282" s="78">
        <f t="shared" si="50"/>
        <v>0</v>
      </c>
      <c r="BO282" s="78">
        <f t="shared" si="51"/>
        <v>0</v>
      </c>
      <c r="BP282" s="78">
        <f t="shared" si="52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4301051407</v>
      </c>
      <c r="D283" s="653">
        <v>4680115882195</v>
      </c>
      <c r="E283" s="653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653">
        <v>4680115882607</v>
      </c>
      <c r="E284" s="653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653">
        <v>4680115882607</v>
      </c>
      <c r="E285" s="653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0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487</v>
      </c>
      <c r="B286" s="63" t="s">
        <v>488</v>
      </c>
      <c r="C286" s="36">
        <v>4301051666</v>
      </c>
      <c r="D286" s="653">
        <v>4680115880092</v>
      </c>
      <c r="E286" s="653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653">
        <v>4680115889064</v>
      </c>
      <c r="E287" s="653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653">
        <v>4680115880221</v>
      </c>
      <c r="E288" s="65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5"/>
      <c r="R288" s="655"/>
      <c r="S288" s="655"/>
      <c r="T288" s="65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653">
        <v>4680115880504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653">
        <v>4680115882164</v>
      </c>
      <c r="E290" s="653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653">
        <v>4680115888340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idden="1" x14ac:dyDescent="0.2">
      <c r="A292" s="660"/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1"/>
      <c r="P292" s="657" t="s">
        <v>40</v>
      </c>
      <c r="Q292" s="658"/>
      <c r="R292" s="658"/>
      <c r="S292" s="658"/>
      <c r="T292" s="658"/>
      <c r="U292" s="658"/>
      <c r="V292" s="659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60"/>
      <c r="B293" s="660"/>
      <c r="C293" s="660"/>
      <c r="D293" s="660"/>
      <c r="E293" s="660"/>
      <c r="F293" s="660"/>
      <c r="G293" s="660"/>
      <c r="H293" s="660"/>
      <c r="I293" s="660"/>
      <c r="J293" s="660"/>
      <c r="K293" s="660"/>
      <c r="L293" s="660"/>
      <c r="M293" s="660"/>
      <c r="N293" s="660"/>
      <c r="O293" s="661"/>
      <c r="P293" s="657" t="s">
        <v>40</v>
      </c>
      <c r="Q293" s="658"/>
      <c r="R293" s="658"/>
      <c r="S293" s="658"/>
      <c r="T293" s="658"/>
      <c r="U293" s="658"/>
      <c r="V293" s="659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67" t="s">
        <v>175</v>
      </c>
      <c r="B294" s="667"/>
      <c r="C294" s="667"/>
      <c r="D294" s="667"/>
      <c r="E294" s="667"/>
      <c r="F294" s="667"/>
      <c r="G294" s="667"/>
      <c r="H294" s="667"/>
      <c r="I294" s="667"/>
      <c r="J294" s="667"/>
      <c r="K294" s="667"/>
      <c r="L294" s="667"/>
      <c r="M294" s="667"/>
      <c r="N294" s="667"/>
      <c r="O294" s="667"/>
      <c r="P294" s="667"/>
      <c r="Q294" s="667"/>
      <c r="R294" s="667"/>
      <c r="S294" s="667"/>
      <c r="T294" s="667"/>
      <c r="U294" s="667"/>
      <c r="V294" s="667"/>
      <c r="W294" s="667"/>
      <c r="X294" s="667"/>
      <c r="Y294" s="667"/>
      <c r="Z294" s="667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653">
        <v>4680115880818</v>
      </c>
      <c r="E295" s="65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653">
        <v>4680115880801</v>
      </c>
      <c r="E296" s="65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60"/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1"/>
      <c r="P298" s="657" t="s">
        <v>40</v>
      </c>
      <c r="Q298" s="658"/>
      <c r="R298" s="658"/>
      <c r="S298" s="658"/>
      <c r="T298" s="658"/>
      <c r="U298" s="658"/>
      <c r="V298" s="659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71" t="s">
        <v>508</v>
      </c>
      <c r="B299" s="671"/>
      <c r="C299" s="671"/>
      <c r="D299" s="671"/>
      <c r="E299" s="671"/>
      <c r="F299" s="671"/>
      <c r="G299" s="671"/>
      <c r="H299" s="671"/>
      <c r="I299" s="671"/>
      <c r="J299" s="671"/>
      <c r="K299" s="671"/>
      <c r="L299" s="671"/>
      <c r="M299" s="671"/>
      <c r="N299" s="671"/>
      <c r="O299" s="671"/>
      <c r="P299" s="671"/>
      <c r="Q299" s="671"/>
      <c r="R299" s="671"/>
      <c r="S299" s="671"/>
      <c r="T299" s="671"/>
      <c r="U299" s="671"/>
      <c r="V299" s="671"/>
      <c r="W299" s="671"/>
      <c r="X299" s="671"/>
      <c r="Y299" s="671"/>
      <c r="Z299" s="671"/>
      <c r="AA299" s="65"/>
      <c r="AB299" s="65"/>
      <c r="AC299" s="79"/>
    </row>
    <row r="300" spans="1:68" ht="14.25" hidden="1" customHeight="1" x14ac:dyDescent="0.25">
      <c r="A300" s="667" t="s">
        <v>122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653">
        <v>4680115884137</v>
      </c>
      <c r="E301" s="653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653">
        <v>4680115884236</v>
      </c>
      <c r="E302" s="653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653">
        <v>4680115884175</v>
      </c>
      <c r="E303" s="65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653">
        <v>4680115884144</v>
      </c>
      <c r="E304" s="653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5"/>
      <c r="R304" s="655"/>
      <c r="S304" s="655"/>
      <c r="T304" s="65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653">
        <v>4680115886551</v>
      </c>
      <c r="E305" s="653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9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653">
        <v>4680115887282</v>
      </c>
      <c r="E306" s="653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5"/>
      <c r="R306" s="655"/>
      <c r="S306" s="655"/>
      <c r="T306" s="65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653">
        <v>4680115884205</v>
      </c>
      <c r="E307" s="65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idden="1" x14ac:dyDescent="0.2">
      <c r="A308" s="660"/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1"/>
      <c r="P308" s="657" t="s">
        <v>40</v>
      </c>
      <c r="Q308" s="658"/>
      <c r="R308" s="658"/>
      <c r="S308" s="658"/>
      <c r="T308" s="658"/>
      <c r="U308" s="658"/>
      <c r="V308" s="659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60"/>
      <c r="B309" s="660"/>
      <c r="C309" s="660"/>
      <c r="D309" s="660"/>
      <c r="E309" s="660"/>
      <c r="F309" s="660"/>
      <c r="G309" s="660"/>
      <c r="H309" s="660"/>
      <c r="I309" s="660"/>
      <c r="J309" s="660"/>
      <c r="K309" s="660"/>
      <c r="L309" s="660"/>
      <c r="M309" s="660"/>
      <c r="N309" s="660"/>
      <c r="O309" s="661"/>
      <c r="P309" s="657" t="s">
        <v>40</v>
      </c>
      <c r="Q309" s="658"/>
      <c r="R309" s="658"/>
      <c r="S309" s="658"/>
      <c r="T309" s="658"/>
      <c r="U309" s="658"/>
      <c r="V309" s="659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67" t="s">
        <v>157</v>
      </c>
      <c r="B310" s="667"/>
      <c r="C310" s="667"/>
      <c r="D310" s="667"/>
      <c r="E310" s="667"/>
      <c r="F310" s="667"/>
      <c r="G310" s="667"/>
      <c r="H310" s="667"/>
      <c r="I310" s="667"/>
      <c r="J310" s="667"/>
      <c r="K310" s="667"/>
      <c r="L310" s="667"/>
      <c r="M310" s="667"/>
      <c r="N310" s="667"/>
      <c r="O310" s="667"/>
      <c r="P310" s="667"/>
      <c r="Q310" s="667"/>
      <c r="R310" s="667"/>
      <c r="S310" s="667"/>
      <c r="T310" s="667"/>
      <c r="U310" s="667"/>
      <c r="V310" s="667"/>
      <c r="W310" s="667"/>
      <c r="X310" s="667"/>
      <c r="Y310" s="667"/>
      <c r="Z310" s="667"/>
      <c r="AA310" s="66"/>
      <c r="AB310" s="66"/>
      <c r="AC310" s="80"/>
    </row>
    <row r="311" spans="1:68" ht="27" hidden="1" customHeight="1" x14ac:dyDescent="0.25">
      <c r="A311" s="63" t="s">
        <v>527</v>
      </c>
      <c r="B311" s="63" t="s">
        <v>528</v>
      </c>
      <c r="C311" s="36">
        <v>4301020377</v>
      </c>
      <c r="D311" s="653">
        <v>4680115885981</v>
      </c>
      <c r="E311" s="653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67" t="s">
        <v>530</v>
      </c>
      <c r="B314" s="667"/>
      <c r="C314" s="667"/>
      <c r="D314" s="667"/>
      <c r="E314" s="667"/>
      <c r="F314" s="667"/>
      <c r="G314" s="667"/>
      <c r="H314" s="667"/>
      <c r="I314" s="667"/>
      <c r="J314" s="667"/>
      <c r="K314" s="667"/>
      <c r="L314" s="667"/>
      <c r="M314" s="667"/>
      <c r="N314" s="667"/>
      <c r="O314" s="667"/>
      <c r="P314" s="667"/>
      <c r="Q314" s="667"/>
      <c r="R314" s="667"/>
      <c r="S314" s="667"/>
      <c r="T314" s="667"/>
      <c r="U314" s="667"/>
      <c r="V314" s="667"/>
      <c r="W314" s="667"/>
      <c r="X314" s="667"/>
      <c r="Y314" s="667"/>
      <c r="Z314" s="667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4301040362</v>
      </c>
      <c r="D315" s="653">
        <v>4680115886803</v>
      </c>
      <c r="E315" s="653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7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67" t="s">
        <v>340</v>
      </c>
      <c r="B318" s="667"/>
      <c r="C318" s="667"/>
      <c r="D318" s="667"/>
      <c r="E318" s="667"/>
      <c r="F318" s="667"/>
      <c r="G318" s="667"/>
      <c r="H318" s="667"/>
      <c r="I318" s="667"/>
      <c r="J318" s="667"/>
      <c r="K318" s="667"/>
      <c r="L318" s="667"/>
      <c r="M318" s="667"/>
      <c r="N318" s="667"/>
      <c r="O318" s="667"/>
      <c r="P318" s="667"/>
      <c r="Q318" s="667"/>
      <c r="R318" s="667"/>
      <c r="S318" s="667"/>
      <c r="T318" s="667"/>
      <c r="U318" s="667"/>
      <c r="V318" s="667"/>
      <c r="W318" s="667"/>
      <c r="X318" s="667"/>
      <c r="Y318" s="667"/>
      <c r="Z318" s="667"/>
      <c r="AA318" s="66"/>
      <c r="AB318" s="66"/>
      <c r="AC318" s="80"/>
    </row>
    <row r="319" spans="1:68" ht="27" hidden="1" customHeight="1" x14ac:dyDescent="0.25">
      <c r="A319" s="63" t="s">
        <v>534</v>
      </c>
      <c r="B319" s="63" t="s">
        <v>535</v>
      </c>
      <c r="C319" s="36">
        <v>4301041004</v>
      </c>
      <c r="D319" s="653">
        <v>4680115886704</v>
      </c>
      <c r="E319" s="653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5"/>
      <c r="R319" s="655"/>
      <c r="S319" s="655"/>
      <c r="T319" s="65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537</v>
      </c>
      <c r="B320" s="63" t="s">
        <v>538</v>
      </c>
      <c r="C320" s="36">
        <v>4301041008</v>
      </c>
      <c r="D320" s="653">
        <v>4680115886681</v>
      </c>
      <c r="E320" s="653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5"/>
      <c r="R320" s="655"/>
      <c r="S320" s="655"/>
      <c r="T320" s="656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539</v>
      </c>
      <c r="B321" s="63" t="s">
        <v>540</v>
      </c>
      <c r="C321" s="36">
        <v>4301041007</v>
      </c>
      <c r="D321" s="653">
        <v>4680115886735</v>
      </c>
      <c r="E321" s="653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60"/>
      <c r="B322" s="660"/>
      <c r="C322" s="660"/>
      <c r="D322" s="660"/>
      <c r="E322" s="660"/>
      <c r="F322" s="660"/>
      <c r="G322" s="660"/>
      <c r="H322" s="660"/>
      <c r="I322" s="660"/>
      <c r="J322" s="660"/>
      <c r="K322" s="660"/>
      <c r="L322" s="660"/>
      <c r="M322" s="660"/>
      <c r="N322" s="660"/>
      <c r="O322" s="661"/>
      <c r="P322" s="657" t="s">
        <v>40</v>
      </c>
      <c r="Q322" s="658"/>
      <c r="R322" s="658"/>
      <c r="S322" s="658"/>
      <c r="T322" s="658"/>
      <c r="U322" s="658"/>
      <c r="V322" s="659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60"/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1"/>
      <c r="P323" s="657" t="s">
        <v>40</v>
      </c>
      <c r="Q323" s="658"/>
      <c r="R323" s="658"/>
      <c r="S323" s="658"/>
      <c r="T323" s="658"/>
      <c r="U323" s="658"/>
      <c r="V323" s="659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71" t="s">
        <v>541</v>
      </c>
      <c r="B324" s="671"/>
      <c r="C324" s="671"/>
      <c r="D324" s="671"/>
      <c r="E324" s="671"/>
      <c r="F324" s="671"/>
      <c r="G324" s="671"/>
      <c r="H324" s="671"/>
      <c r="I324" s="671"/>
      <c r="J324" s="671"/>
      <c r="K324" s="671"/>
      <c r="L324" s="671"/>
      <c r="M324" s="671"/>
      <c r="N324" s="671"/>
      <c r="O324" s="671"/>
      <c r="P324" s="671"/>
      <c r="Q324" s="671"/>
      <c r="R324" s="671"/>
      <c r="S324" s="671"/>
      <c r="T324" s="671"/>
      <c r="U324" s="671"/>
      <c r="V324" s="671"/>
      <c r="W324" s="671"/>
      <c r="X324" s="671"/>
      <c r="Y324" s="671"/>
      <c r="Z324" s="671"/>
      <c r="AA324" s="65"/>
      <c r="AB324" s="65"/>
      <c r="AC324" s="79"/>
    </row>
    <row r="325" spans="1:68" ht="14.25" hidden="1" customHeight="1" x14ac:dyDescent="0.25">
      <c r="A325" s="667" t="s">
        <v>122</v>
      </c>
      <c r="B325" s="667"/>
      <c r="C325" s="667"/>
      <c r="D325" s="667"/>
      <c r="E325" s="667"/>
      <c r="F325" s="667"/>
      <c r="G325" s="667"/>
      <c r="H325" s="667"/>
      <c r="I325" s="667"/>
      <c r="J325" s="667"/>
      <c r="K325" s="667"/>
      <c r="L325" s="667"/>
      <c r="M325" s="667"/>
      <c r="N325" s="667"/>
      <c r="O325" s="667"/>
      <c r="P325" s="667"/>
      <c r="Q325" s="667"/>
      <c r="R325" s="667"/>
      <c r="S325" s="667"/>
      <c r="T325" s="667"/>
      <c r="U325" s="667"/>
      <c r="V325" s="667"/>
      <c r="W325" s="667"/>
      <c r="X325" s="667"/>
      <c r="Y325" s="667"/>
      <c r="Z325" s="667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653">
        <v>4680115885837</v>
      </c>
      <c r="E326" s="65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653">
        <v>4680115887237</v>
      </c>
      <c r="E327" s="65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548</v>
      </c>
      <c r="B328" s="63" t="s">
        <v>549</v>
      </c>
      <c r="C328" s="36">
        <v>4301011850</v>
      </c>
      <c r="D328" s="653">
        <v>4680115885806</v>
      </c>
      <c r="E328" s="65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5"/>
      <c r="R328" s="655"/>
      <c r="S328" s="655"/>
      <c r="T328" s="656"/>
      <c r="U328" s="39" t="s">
        <v>46</v>
      </c>
      <c r="V328" s="39" t="s">
        <v>46</v>
      </c>
      <c r="W328" s="40" t="s">
        <v>0</v>
      </c>
      <c r="X328" s="58">
        <v>108</v>
      </c>
      <c r="Y328" s="55">
        <f>IFERROR(IF(X328="",0,CEILING((X328/$H328),1)*$H328),"")</f>
        <v>108</v>
      </c>
      <c r="Z328" s="41">
        <f>IFERROR(IF(Y328=0,"",ROUNDUP(Y328/H328,0)*0.01898),"")</f>
        <v>0.1898</v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112.1</v>
      </c>
      <c r="BN328" s="78">
        <f>IFERROR(Y328*I328/H328,"0")</f>
        <v>112.1</v>
      </c>
      <c r="BO328" s="78">
        <f>IFERROR(1/J328*(X328/H328),"0")</f>
        <v>0.15625</v>
      </c>
      <c r="BP328" s="78">
        <f>IFERROR(1/J328*(Y328/H328),"0")</f>
        <v>0.15625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653">
        <v>4680115885844</v>
      </c>
      <c r="E329" s="653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7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5"/>
      <c r="R329" s="655"/>
      <c r="S329" s="655"/>
      <c r="T329" s="65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653">
        <v>4680115885820</v>
      </c>
      <c r="E330" s="65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5"/>
      <c r="R330" s="655"/>
      <c r="S330" s="655"/>
      <c r="T330" s="65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60"/>
      <c r="B331" s="660"/>
      <c r="C331" s="660"/>
      <c r="D331" s="660"/>
      <c r="E331" s="660"/>
      <c r="F331" s="660"/>
      <c r="G331" s="660"/>
      <c r="H331" s="660"/>
      <c r="I331" s="660"/>
      <c r="J331" s="660"/>
      <c r="K331" s="660"/>
      <c r="L331" s="660"/>
      <c r="M331" s="660"/>
      <c r="N331" s="660"/>
      <c r="O331" s="661"/>
      <c r="P331" s="657" t="s">
        <v>40</v>
      </c>
      <c r="Q331" s="658"/>
      <c r="R331" s="658"/>
      <c r="S331" s="658"/>
      <c r="T331" s="658"/>
      <c r="U331" s="658"/>
      <c r="V331" s="659"/>
      <c r="W331" s="42" t="s">
        <v>39</v>
      </c>
      <c r="X331" s="43">
        <f>IFERROR(X326/H326,"0")+IFERROR(X327/H327,"0")+IFERROR(X328/H328,"0")+IFERROR(X329/H329,"0")+IFERROR(X330/H330,"0")</f>
        <v>10</v>
      </c>
      <c r="Y331" s="43">
        <f>IFERROR(Y326/H326,"0")+IFERROR(Y327/H327,"0")+IFERROR(Y328/H328,"0")+IFERROR(Y329/H329,"0")+IFERROR(Y330/H330,"0")</f>
        <v>10</v>
      </c>
      <c r="Z331" s="43">
        <f>IFERROR(IF(Z326="",0,Z326),"0")+IFERROR(IF(Z327="",0,Z327),"0")+IFERROR(IF(Z328="",0,Z328),"0")+IFERROR(IF(Z329="",0,Z329),"0")+IFERROR(IF(Z330="",0,Z330),"0")</f>
        <v>0.1898</v>
      </c>
      <c r="AA331" s="67"/>
      <c r="AB331" s="67"/>
      <c r="AC331" s="67"/>
    </row>
    <row r="332" spans="1:68" x14ac:dyDescent="0.2">
      <c r="A332" s="660"/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1"/>
      <c r="P332" s="657" t="s">
        <v>40</v>
      </c>
      <c r="Q332" s="658"/>
      <c r="R332" s="658"/>
      <c r="S332" s="658"/>
      <c r="T332" s="658"/>
      <c r="U332" s="658"/>
      <c r="V332" s="659"/>
      <c r="W332" s="42" t="s">
        <v>0</v>
      </c>
      <c r="X332" s="43">
        <f>IFERROR(SUM(X326:X330),"0")</f>
        <v>108</v>
      </c>
      <c r="Y332" s="43">
        <f>IFERROR(SUM(Y326:Y330),"0")</f>
        <v>108</v>
      </c>
      <c r="Z332" s="42"/>
      <c r="AA332" s="67"/>
      <c r="AB332" s="67"/>
      <c r="AC332" s="67"/>
    </row>
    <row r="333" spans="1:68" ht="16.5" hidden="1" customHeight="1" x14ac:dyDescent="0.25">
      <c r="A333" s="671" t="s">
        <v>557</v>
      </c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1"/>
      <c r="P333" s="671"/>
      <c r="Q333" s="671"/>
      <c r="R333" s="671"/>
      <c r="S333" s="671"/>
      <c r="T333" s="671"/>
      <c r="U333" s="671"/>
      <c r="V333" s="671"/>
      <c r="W333" s="671"/>
      <c r="X333" s="671"/>
      <c r="Y333" s="671"/>
      <c r="Z333" s="671"/>
      <c r="AA333" s="65"/>
      <c r="AB333" s="65"/>
      <c r="AC333" s="79"/>
    </row>
    <row r="334" spans="1:68" ht="14.25" hidden="1" customHeight="1" x14ac:dyDescent="0.25">
      <c r="A334" s="667" t="s">
        <v>86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653">
        <v>4680115886186</v>
      </c>
      <c r="E335" s="653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5"/>
      <c r="R335" s="655"/>
      <c r="S335" s="655"/>
      <c r="T335" s="65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653">
        <v>4680115881228</v>
      </c>
      <c r="E336" s="653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5"/>
      <c r="R336" s="655"/>
      <c r="S336" s="655"/>
      <c r="T336" s="65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653">
        <v>4680115881211</v>
      </c>
      <c r="E337" s="653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5"/>
      <c r="R337" s="655"/>
      <c r="S337" s="655"/>
      <c r="T337" s="65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0"/>
      <c r="B338" s="660"/>
      <c r="C338" s="660"/>
      <c r="D338" s="660"/>
      <c r="E338" s="660"/>
      <c r="F338" s="660"/>
      <c r="G338" s="660"/>
      <c r="H338" s="660"/>
      <c r="I338" s="660"/>
      <c r="J338" s="660"/>
      <c r="K338" s="660"/>
      <c r="L338" s="660"/>
      <c r="M338" s="660"/>
      <c r="N338" s="660"/>
      <c r="O338" s="661"/>
      <c r="P338" s="657" t="s">
        <v>40</v>
      </c>
      <c r="Q338" s="658"/>
      <c r="R338" s="658"/>
      <c r="S338" s="658"/>
      <c r="T338" s="658"/>
      <c r="U338" s="658"/>
      <c r="V338" s="659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0"/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1"/>
      <c r="P339" s="657" t="s">
        <v>40</v>
      </c>
      <c r="Q339" s="658"/>
      <c r="R339" s="658"/>
      <c r="S339" s="658"/>
      <c r="T339" s="658"/>
      <c r="U339" s="658"/>
      <c r="V339" s="659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566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67" t="s">
        <v>77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653">
        <v>4680115888319</v>
      </c>
      <c r="E342" s="653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653">
        <v>4680115884700</v>
      </c>
      <c r="E343" s="653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5"/>
      <c r="R343" s="655"/>
      <c r="S343" s="655"/>
      <c r="T343" s="65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653">
        <v>4680115880344</v>
      </c>
      <c r="E344" s="653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5"/>
      <c r="R344" s="655"/>
      <c r="S344" s="655"/>
      <c r="T344" s="65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653">
        <v>4680115886919</v>
      </c>
      <c r="E345" s="653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5"/>
      <c r="R345" s="655"/>
      <c r="S345" s="655"/>
      <c r="T345" s="65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653">
        <v>4680115883970</v>
      </c>
      <c r="E346" s="653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60"/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1"/>
      <c r="P347" s="657" t="s">
        <v>40</v>
      </c>
      <c r="Q347" s="658"/>
      <c r="R347" s="658"/>
      <c r="S347" s="658"/>
      <c r="T347" s="658"/>
      <c r="U347" s="658"/>
      <c r="V347" s="659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60"/>
      <c r="B348" s="660"/>
      <c r="C348" s="660"/>
      <c r="D348" s="660"/>
      <c r="E348" s="660"/>
      <c r="F348" s="660"/>
      <c r="G348" s="660"/>
      <c r="H348" s="660"/>
      <c r="I348" s="660"/>
      <c r="J348" s="660"/>
      <c r="K348" s="660"/>
      <c r="L348" s="660"/>
      <c r="M348" s="660"/>
      <c r="N348" s="660"/>
      <c r="O348" s="661"/>
      <c r="P348" s="657" t="s">
        <v>40</v>
      </c>
      <c r="Q348" s="658"/>
      <c r="R348" s="658"/>
      <c r="S348" s="658"/>
      <c r="T348" s="658"/>
      <c r="U348" s="658"/>
      <c r="V348" s="659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67" t="s">
        <v>86</v>
      </c>
      <c r="B349" s="667"/>
      <c r="C349" s="667"/>
      <c r="D349" s="667"/>
      <c r="E349" s="667"/>
      <c r="F349" s="667"/>
      <c r="G349" s="667"/>
      <c r="H349" s="667"/>
      <c r="I349" s="667"/>
      <c r="J349" s="667"/>
      <c r="K349" s="667"/>
      <c r="L349" s="667"/>
      <c r="M349" s="667"/>
      <c r="N349" s="667"/>
      <c r="O349" s="667"/>
      <c r="P349" s="667"/>
      <c r="Q349" s="667"/>
      <c r="R349" s="667"/>
      <c r="S349" s="667"/>
      <c r="T349" s="667"/>
      <c r="U349" s="667"/>
      <c r="V349" s="667"/>
      <c r="W349" s="667"/>
      <c r="X349" s="667"/>
      <c r="Y349" s="667"/>
      <c r="Z349" s="667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653">
        <v>4680115884618</v>
      </c>
      <c r="E350" s="653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77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5"/>
      <c r="R350" s="655"/>
      <c r="S350" s="655"/>
      <c r="T350" s="65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653">
        <v>4680115887114</v>
      </c>
      <c r="E351" s="653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5"/>
      <c r="R351" s="655"/>
      <c r="S351" s="655"/>
      <c r="T351" s="65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60"/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1"/>
      <c r="P352" s="657" t="s">
        <v>40</v>
      </c>
      <c r="Q352" s="658"/>
      <c r="R352" s="658"/>
      <c r="S352" s="658"/>
      <c r="T352" s="658"/>
      <c r="U352" s="658"/>
      <c r="V352" s="659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60"/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1"/>
      <c r="P353" s="657" t="s">
        <v>40</v>
      </c>
      <c r="Q353" s="658"/>
      <c r="R353" s="658"/>
      <c r="S353" s="658"/>
      <c r="T353" s="658"/>
      <c r="U353" s="658"/>
      <c r="V353" s="659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71" t="s">
        <v>587</v>
      </c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1"/>
      <c r="P354" s="671"/>
      <c r="Q354" s="671"/>
      <c r="R354" s="671"/>
      <c r="S354" s="671"/>
      <c r="T354" s="671"/>
      <c r="U354" s="671"/>
      <c r="V354" s="671"/>
      <c r="W354" s="671"/>
      <c r="X354" s="671"/>
      <c r="Y354" s="671"/>
      <c r="Z354" s="671"/>
      <c r="AA354" s="65"/>
      <c r="AB354" s="65"/>
      <c r="AC354" s="79"/>
    </row>
    <row r="355" spans="1:68" ht="14.25" hidden="1" customHeight="1" x14ac:dyDescent="0.25">
      <c r="A355" s="667" t="s">
        <v>122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653">
        <v>4680115887947</v>
      </c>
      <c r="E356" s="653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5"/>
      <c r="R356" s="655"/>
      <c r="S356" s="655"/>
      <c r="T356" s="656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653">
        <v>4680115887978</v>
      </c>
      <c r="E357" s="65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653">
        <v>4680115887992</v>
      </c>
      <c r="E358" s="65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5"/>
      <c r="R358" s="655"/>
      <c r="S358" s="655"/>
      <c r="T358" s="65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0"/>
      <c r="B359" s="660"/>
      <c r="C359" s="660"/>
      <c r="D359" s="660"/>
      <c r="E359" s="660"/>
      <c r="F359" s="660"/>
      <c r="G359" s="660"/>
      <c r="H359" s="660"/>
      <c r="I359" s="660"/>
      <c r="J359" s="660"/>
      <c r="K359" s="660"/>
      <c r="L359" s="660"/>
      <c r="M359" s="660"/>
      <c r="N359" s="660"/>
      <c r="O359" s="661"/>
      <c r="P359" s="657" t="s">
        <v>40</v>
      </c>
      <c r="Q359" s="658"/>
      <c r="R359" s="658"/>
      <c r="S359" s="658"/>
      <c r="T359" s="658"/>
      <c r="U359" s="658"/>
      <c r="V359" s="659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60"/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1"/>
      <c r="P360" s="657" t="s">
        <v>40</v>
      </c>
      <c r="Q360" s="658"/>
      <c r="R360" s="658"/>
      <c r="S360" s="658"/>
      <c r="T360" s="658"/>
      <c r="U360" s="658"/>
      <c r="V360" s="659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596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67" t="s">
        <v>122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6"/>
      <c r="AB362" s="66"/>
      <c r="AC362" s="80"/>
    </row>
    <row r="363" spans="1:68" ht="27" customHeight="1" x14ac:dyDescent="0.25">
      <c r="A363" s="63" t="s">
        <v>597</v>
      </c>
      <c r="B363" s="63" t="s">
        <v>598</v>
      </c>
      <c r="C363" s="36">
        <v>4301012360</v>
      </c>
      <c r="D363" s="653">
        <v>4680115889293</v>
      </c>
      <c r="E363" s="653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691.2</v>
      </c>
      <c r="Y363" s="55">
        <f t="shared" ref="Y363:Y368" si="58">IFERROR(IF(X363="",0,CEILING((X363/$H363),1)*$H363),"")</f>
        <v>691.2</v>
      </c>
      <c r="Z363" s="41">
        <f>IFERROR(IF(Y363=0,"",ROUNDUP(Y363/H363,0)*0.01898),"")</f>
        <v>1.21472</v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717.44</v>
      </c>
      <c r="BN363" s="78">
        <f t="shared" ref="BN363:BN368" si="60">IFERROR(Y363*I363/H363,"0")</f>
        <v>717.44</v>
      </c>
      <c r="BO363" s="78">
        <f t="shared" ref="BO363:BO368" si="61">IFERROR(1/J363*(X363/H363),"0")</f>
        <v>1</v>
      </c>
      <c r="BP363" s="78">
        <f t="shared" ref="BP363:BP368" si="62">IFERROR(1/J363*(Y363/H363),"0")</f>
        <v>1</v>
      </c>
    </row>
    <row r="364" spans="1:68" ht="27" customHeight="1" x14ac:dyDescent="0.25">
      <c r="A364" s="63" t="s">
        <v>600</v>
      </c>
      <c r="B364" s="63" t="s">
        <v>601</v>
      </c>
      <c r="C364" s="36">
        <v>4301012235</v>
      </c>
      <c r="D364" s="653">
        <v>4680115887190</v>
      </c>
      <c r="E364" s="65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54</v>
      </c>
      <c r="Y364" s="55">
        <f t="shared" si="58"/>
        <v>54</v>
      </c>
      <c r="Z364" s="41">
        <f>IFERROR(IF(Y364=0,"",ROUNDUP(Y364/H364,0)*0.01898),"")</f>
        <v>9.4899999999999998E-2</v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56.05</v>
      </c>
      <c r="BN364" s="78">
        <f t="shared" si="60"/>
        <v>56.05</v>
      </c>
      <c r="BO364" s="78">
        <f t="shared" si="61"/>
        <v>7.8125E-2</v>
      </c>
      <c r="BP364" s="78">
        <f t="shared" si="62"/>
        <v>7.8125E-2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653">
        <v>4680115887138</v>
      </c>
      <c r="E365" s="65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5"/>
      <c r="R365" s="655"/>
      <c r="S365" s="655"/>
      <c r="T365" s="65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653">
        <v>4680115885554</v>
      </c>
      <c r="E366" s="65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5"/>
      <c r="R366" s="655"/>
      <c r="S366" s="655"/>
      <c r="T366" s="656"/>
      <c r="U366" s="39" t="s">
        <v>46</v>
      </c>
      <c r="V366" s="39" t="s">
        <v>46</v>
      </c>
      <c r="W366" s="40" t="s">
        <v>0</v>
      </c>
      <c r="X366" s="58"/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653">
        <v>4680115887220</v>
      </c>
      <c r="E367" s="653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5"/>
      <c r="R367" s="655"/>
      <c r="S367" s="655"/>
      <c r="T367" s="65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653">
        <v>4680115885608</v>
      </c>
      <c r="E368" s="65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660"/>
      <c r="B369" s="660"/>
      <c r="C369" s="660"/>
      <c r="D369" s="660"/>
      <c r="E369" s="660"/>
      <c r="F369" s="660"/>
      <c r="G369" s="660"/>
      <c r="H369" s="660"/>
      <c r="I369" s="660"/>
      <c r="J369" s="660"/>
      <c r="K369" s="660"/>
      <c r="L369" s="660"/>
      <c r="M369" s="660"/>
      <c r="N369" s="660"/>
      <c r="O369" s="661"/>
      <c r="P369" s="657" t="s">
        <v>40</v>
      </c>
      <c r="Q369" s="658"/>
      <c r="R369" s="658"/>
      <c r="S369" s="658"/>
      <c r="T369" s="658"/>
      <c r="U369" s="658"/>
      <c r="V369" s="659"/>
      <c r="W369" s="42" t="s">
        <v>39</v>
      </c>
      <c r="X369" s="43">
        <f>IFERROR(X363/H363,"0")+IFERROR(X364/H364,"0")+IFERROR(X365/H365,"0")+IFERROR(X366/H366,"0")+IFERROR(X367/H367,"0")+IFERROR(X368/H368,"0")</f>
        <v>69</v>
      </c>
      <c r="Y369" s="43">
        <f>IFERROR(Y363/H363,"0")+IFERROR(Y364/H364,"0")+IFERROR(Y365/H365,"0")+IFERROR(Y366/H366,"0")+IFERROR(Y367/H367,"0")+IFERROR(Y368/H368,"0")</f>
        <v>69</v>
      </c>
      <c r="Z369" s="43">
        <f>IFERROR(IF(Z363="",0,Z363),"0")+IFERROR(IF(Z364="",0,Z364),"0")+IFERROR(IF(Z365="",0,Z365),"0")+IFERROR(IF(Z366="",0,Z366),"0")+IFERROR(IF(Z367="",0,Z367),"0")+IFERROR(IF(Z368="",0,Z368),"0")</f>
        <v>1.30962</v>
      </c>
      <c r="AA369" s="67"/>
      <c r="AB369" s="67"/>
      <c r="AC369" s="67"/>
    </row>
    <row r="370" spans="1:68" x14ac:dyDescent="0.2">
      <c r="A370" s="660"/>
      <c r="B370" s="660"/>
      <c r="C370" s="660"/>
      <c r="D370" s="660"/>
      <c r="E370" s="660"/>
      <c r="F370" s="660"/>
      <c r="G370" s="660"/>
      <c r="H370" s="660"/>
      <c r="I370" s="660"/>
      <c r="J370" s="660"/>
      <c r="K370" s="660"/>
      <c r="L370" s="660"/>
      <c r="M370" s="660"/>
      <c r="N370" s="660"/>
      <c r="O370" s="661"/>
      <c r="P370" s="657" t="s">
        <v>40</v>
      </c>
      <c r="Q370" s="658"/>
      <c r="R370" s="658"/>
      <c r="S370" s="658"/>
      <c r="T370" s="658"/>
      <c r="U370" s="658"/>
      <c r="V370" s="659"/>
      <c r="W370" s="42" t="s">
        <v>0</v>
      </c>
      <c r="X370" s="43">
        <f>IFERROR(SUM(X363:X368),"0")</f>
        <v>745.2</v>
      </c>
      <c r="Y370" s="43">
        <f>IFERROR(SUM(Y363:Y368),"0")</f>
        <v>745.2</v>
      </c>
      <c r="Z370" s="42"/>
      <c r="AA370" s="67"/>
      <c r="AB370" s="67"/>
      <c r="AC370" s="67"/>
    </row>
    <row r="371" spans="1:68" ht="14.25" hidden="1" customHeight="1" x14ac:dyDescent="0.25">
      <c r="A371" s="667" t="s">
        <v>77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6"/>
      <c r="AB371" s="66"/>
      <c r="AC371" s="80"/>
    </row>
    <row r="372" spans="1:68" ht="27" customHeight="1" x14ac:dyDescent="0.25">
      <c r="A372" s="63" t="s">
        <v>614</v>
      </c>
      <c r="B372" s="63" t="s">
        <v>615</v>
      </c>
      <c r="C372" s="36">
        <v>4301030878</v>
      </c>
      <c r="D372" s="653">
        <v>4607091387193</v>
      </c>
      <c r="E372" s="653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84</v>
      </c>
      <c r="Y372" s="55">
        <f t="shared" ref="Y372:Y378" si="63">IFERROR(IF(X372="",0,CEILING((X372/$H372),1)*$H372),"")</f>
        <v>84</v>
      </c>
      <c r="Z372" s="41">
        <f>IFERROR(IF(Y372=0,"",ROUNDUP(Y372/H372,0)*0.00902),"")</f>
        <v>0.1804</v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89</v>
      </c>
      <c r="BN372" s="78">
        <f t="shared" ref="BN372:BN378" si="65">IFERROR(Y372*I372/H372,"0")</f>
        <v>89</v>
      </c>
      <c r="BO372" s="78">
        <f t="shared" ref="BO372:BO378" si="66">IFERROR(1/J372*(X372/H372),"0")</f>
        <v>0.15151515151515152</v>
      </c>
      <c r="BP372" s="78">
        <f t="shared" ref="BP372:BP378" si="67">IFERROR(1/J372*(Y372/H372),"0")</f>
        <v>0.15151515151515152</v>
      </c>
    </row>
    <row r="373" spans="1:68" ht="27" customHeight="1" x14ac:dyDescent="0.25">
      <c r="A373" s="63" t="s">
        <v>617</v>
      </c>
      <c r="B373" s="63" t="s">
        <v>618</v>
      </c>
      <c r="C373" s="36">
        <v>4301031153</v>
      </c>
      <c r="D373" s="653">
        <v>4607091387230</v>
      </c>
      <c r="E373" s="65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84</v>
      </c>
      <c r="Y373" s="55">
        <f t="shared" si="63"/>
        <v>84</v>
      </c>
      <c r="Z373" s="41">
        <f>IFERROR(IF(Y373=0,"",ROUNDUP(Y373/H373,0)*0.00902),"")</f>
        <v>0.1804</v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89</v>
      </c>
      <c r="BN373" s="78">
        <f t="shared" si="65"/>
        <v>89</v>
      </c>
      <c r="BO373" s="78">
        <f t="shared" si="66"/>
        <v>0.15151515151515152</v>
      </c>
      <c r="BP373" s="78">
        <f t="shared" si="67"/>
        <v>0.15151515151515152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653">
        <v>4607091387292</v>
      </c>
      <c r="E374" s="65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653">
        <v>4607091387285</v>
      </c>
      <c r="E375" s="653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653">
        <v>4607091389845</v>
      </c>
      <c r="E376" s="653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5"/>
      <c r="R376" s="655"/>
      <c r="S376" s="655"/>
      <c r="T376" s="65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653">
        <v>4680115887442</v>
      </c>
      <c r="E377" s="653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5"/>
      <c r="R377" s="655"/>
      <c r="S377" s="655"/>
      <c r="T377" s="65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653">
        <v>4607091383836</v>
      </c>
      <c r="E378" s="653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x14ac:dyDescent="0.2">
      <c r="A379" s="660"/>
      <c r="B379" s="660"/>
      <c r="C379" s="660"/>
      <c r="D379" s="660"/>
      <c r="E379" s="660"/>
      <c r="F379" s="660"/>
      <c r="G379" s="660"/>
      <c r="H379" s="660"/>
      <c r="I379" s="660"/>
      <c r="J379" s="660"/>
      <c r="K379" s="660"/>
      <c r="L379" s="660"/>
      <c r="M379" s="660"/>
      <c r="N379" s="660"/>
      <c r="O379" s="661"/>
      <c r="P379" s="657" t="s">
        <v>40</v>
      </c>
      <c r="Q379" s="658"/>
      <c r="R379" s="658"/>
      <c r="S379" s="658"/>
      <c r="T379" s="658"/>
      <c r="U379" s="658"/>
      <c r="V379" s="659"/>
      <c r="W379" s="42" t="s">
        <v>39</v>
      </c>
      <c r="X379" s="43">
        <f>IFERROR(X372/H372,"0")+IFERROR(X373/H373,"0")+IFERROR(X374/H374,"0")+IFERROR(X375/H375,"0")+IFERROR(X376/H376,"0")+IFERROR(X377/H377,"0")+IFERROR(X378/H378,"0")</f>
        <v>40</v>
      </c>
      <c r="Y379" s="43">
        <f>IFERROR(Y372/H372,"0")+IFERROR(Y373/H373,"0")+IFERROR(Y374/H374,"0")+IFERROR(Y375/H375,"0")+IFERROR(Y376/H376,"0")+IFERROR(Y377/H377,"0")+IFERROR(Y378/H378,"0")</f>
        <v>40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0.36080000000000001</v>
      </c>
      <c r="AA379" s="67"/>
      <c r="AB379" s="67"/>
      <c r="AC379" s="67"/>
    </row>
    <row r="380" spans="1:68" x14ac:dyDescent="0.2">
      <c r="A380" s="660"/>
      <c r="B380" s="660"/>
      <c r="C380" s="660"/>
      <c r="D380" s="660"/>
      <c r="E380" s="660"/>
      <c r="F380" s="660"/>
      <c r="G380" s="660"/>
      <c r="H380" s="660"/>
      <c r="I380" s="660"/>
      <c r="J380" s="660"/>
      <c r="K380" s="660"/>
      <c r="L380" s="660"/>
      <c r="M380" s="660"/>
      <c r="N380" s="660"/>
      <c r="O380" s="661"/>
      <c r="P380" s="657" t="s">
        <v>40</v>
      </c>
      <c r="Q380" s="658"/>
      <c r="R380" s="658"/>
      <c r="S380" s="658"/>
      <c r="T380" s="658"/>
      <c r="U380" s="658"/>
      <c r="V380" s="659"/>
      <c r="W380" s="42" t="s">
        <v>0</v>
      </c>
      <c r="X380" s="43">
        <f>IFERROR(SUM(X372:X378),"0")</f>
        <v>168</v>
      </c>
      <c r="Y380" s="43">
        <f>IFERROR(SUM(Y372:Y378),"0")</f>
        <v>168</v>
      </c>
      <c r="Z380" s="42"/>
      <c r="AA380" s="67"/>
      <c r="AB380" s="67"/>
      <c r="AC380" s="67"/>
    </row>
    <row r="381" spans="1:68" ht="14.25" hidden="1" customHeight="1" x14ac:dyDescent="0.25">
      <c r="A381" s="667" t="s">
        <v>86</v>
      </c>
      <c r="B381" s="667"/>
      <c r="C381" s="667"/>
      <c r="D381" s="667"/>
      <c r="E381" s="667"/>
      <c r="F381" s="667"/>
      <c r="G381" s="667"/>
      <c r="H381" s="667"/>
      <c r="I381" s="667"/>
      <c r="J381" s="667"/>
      <c r="K381" s="667"/>
      <c r="L381" s="667"/>
      <c r="M381" s="667"/>
      <c r="N381" s="667"/>
      <c r="O381" s="667"/>
      <c r="P381" s="667"/>
      <c r="Q381" s="667"/>
      <c r="R381" s="667"/>
      <c r="S381" s="667"/>
      <c r="T381" s="667"/>
      <c r="U381" s="667"/>
      <c r="V381" s="667"/>
      <c r="W381" s="667"/>
      <c r="X381" s="667"/>
      <c r="Y381" s="667"/>
      <c r="Z381" s="667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653">
        <v>4607091387766</v>
      </c>
      <c r="E382" s="653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653">
        <v>4607091387957</v>
      </c>
      <c r="E383" s="653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653">
        <v>4607091387964</v>
      </c>
      <c r="E384" s="653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642</v>
      </c>
      <c r="B385" s="63" t="s">
        <v>643</v>
      </c>
      <c r="C385" s="36">
        <v>4301051734</v>
      </c>
      <c r="D385" s="653">
        <v>4680115884588</v>
      </c>
      <c r="E385" s="653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18</v>
      </c>
      <c r="Y385" s="55">
        <f>IFERROR(IF(X385="",0,CEILING((X385/$H385),1)*$H385),"")</f>
        <v>18</v>
      </c>
      <c r="Z385" s="41">
        <f>IFERROR(IF(Y385=0,"",ROUNDUP(Y385/H385,0)*0.00651),"")</f>
        <v>3.9059999999999997E-2</v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19.475999999999999</v>
      </c>
      <c r="BN385" s="78">
        <f>IFERROR(Y385*I385/H385,"0")</f>
        <v>19.475999999999999</v>
      </c>
      <c r="BO385" s="78">
        <f>IFERROR(1/J385*(X385/H385),"0")</f>
        <v>3.2967032967032968E-2</v>
      </c>
      <c r="BP385" s="78">
        <f>IFERROR(1/J385*(Y385/H385),"0")</f>
        <v>3.2967032967032968E-2</v>
      </c>
    </row>
    <row r="386" spans="1:68" x14ac:dyDescent="0.2">
      <c r="A386" s="660"/>
      <c r="B386" s="660"/>
      <c r="C386" s="660"/>
      <c r="D386" s="660"/>
      <c r="E386" s="660"/>
      <c r="F386" s="660"/>
      <c r="G386" s="660"/>
      <c r="H386" s="660"/>
      <c r="I386" s="660"/>
      <c r="J386" s="660"/>
      <c r="K386" s="660"/>
      <c r="L386" s="660"/>
      <c r="M386" s="660"/>
      <c r="N386" s="660"/>
      <c r="O386" s="661"/>
      <c r="P386" s="657" t="s">
        <v>40</v>
      </c>
      <c r="Q386" s="658"/>
      <c r="R386" s="658"/>
      <c r="S386" s="658"/>
      <c r="T386" s="658"/>
      <c r="U386" s="658"/>
      <c r="V386" s="659"/>
      <c r="W386" s="42" t="s">
        <v>39</v>
      </c>
      <c r="X386" s="43">
        <f>IFERROR(X382/H382,"0")+IFERROR(X383/H383,"0")+IFERROR(X384/H384,"0")+IFERROR(X385/H385,"0")</f>
        <v>6</v>
      </c>
      <c r="Y386" s="43">
        <f>IFERROR(Y382/H382,"0")+IFERROR(Y383/H383,"0")+IFERROR(Y384/H384,"0")+IFERROR(Y385/H385,"0")</f>
        <v>6</v>
      </c>
      <c r="Z386" s="43">
        <f>IFERROR(IF(Z382="",0,Z382),"0")+IFERROR(IF(Z383="",0,Z383),"0")+IFERROR(IF(Z384="",0,Z384),"0")+IFERROR(IF(Z385="",0,Z385),"0")</f>
        <v>3.9059999999999997E-2</v>
      </c>
      <c r="AA386" s="67"/>
      <c r="AB386" s="67"/>
      <c r="AC386" s="67"/>
    </row>
    <row r="387" spans="1:68" x14ac:dyDescent="0.2">
      <c r="A387" s="660"/>
      <c r="B387" s="660"/>
      <c r="C387" s="660"/>
      <c r="D387" s="660"/>
      <c r="E387" s="660"/>
      <c r="F387" s="660"/>
      <c r="G387" s="660"/>
      <c r="H387" s="660"/>
      <c r="I387" s="660"/>
      <c r="J387" s="660"/>
      <c r="K387" s="660"/>
      <c r="L387" s="660"/>
      <c r="M387" s="660"/>
      <c r="N387" s="660"/>
      <c r="O387" s="661"/>
      <c r="P387" s="657" t="s">
        <v>40</v>
      </c>
      <c r="Q387" s="658"/>
      <c r="R387" s="658"/>
      <c r="S387" s="658"/>
      <c r="T387" s="658"/>
      <c r="U387" s="658"/>
      <c r="V387" s="659"/>
      <c r="W387" s="42" t="s">
        <v>0</v>
      </c>
      <c r="X387" s="43">
        <f>IFERROR(SUM(X382:X385),"0")</f>
        <v>18</v>
      </c>
      <c r="Y387" s="43">
        <f>IFERROR(SUM(Y382:Y385),"0")</f>
        <v>18</v>
      </c>
      <c r="Z387" s="42"/>
      <c r="AA387" s="67"/>
      <c r="AB387" s="67"/>
      <c r="AC387" s="67"/>
    </row>
    <row r="388" spans="1:68" ht="14.25" hidden="1" customHeight="1" x14ac:dyDescent="0.25">
      <c r="A388" s="667" t="s">
        <v>175</v>
      </c>
      <c r="B388" s="667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653">
        <v>4607091380880</v>
      </c>
      <c r="E389" s="653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75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647</v>
      </c>
      <c r="B390" s="63" t="s">
        <v>648</v>
      </c>
      <c r="C390" s="36">
        <v>4301060406</v>
      </c>
      <c r="D390" s="653">
        <v>4607091384482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7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156</v>
      </c>
      <c r="Y390" s="55">
        <f>IFERROR(IF(X390="",0,CEILING((X390/$H390),1)*$H390),"")</f>
        <v>156</v>
      </c>
      <c r="Z390" s="41">
        <f>IFERROR(IF(Y390=0,"",ROUNDUP(Y390/H390,0)*0.01898),"")</f>
        <v>0.37959999999999999</v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165.88</v>
      </c>
      <c r="BN390" s="78">
        <f>IFERROR(Y390*I390/H390,"0")</f>
        <v>165.88</v>
      </c>
      <c r="BO390" s="78">
        <f>IFERROR(1/J390*(X390/H390),"0")</f>
        <v>0.3125</v>
      </c>
      <c r="BP390" s="78">
        <f>IFERROR(1/J390*(Y390/H390),"0")</f>
        <v>0.3125</v>
      </c>
    </row>
    <row r="391" spans="1:68" ht="27" customHeight="1" x14ac:dyDescent="0.25">
      <c r="A391" s="63" t="s">
        <v>650</v>
      </c>
      <c r="B391" s="63" t="s">
        <v>651</v>
      </c>
      <c r="C391" s="36">
        <v>4301060484</v>
      </c>
      <c r="D391" s="653">
        <v>4607091380897</v>
      </c>
      <c r="E391" s="65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7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42</v>
      </c>
      <c r="Y391" s="55">
        <f>IFERROR(IF(X391="",0,CEILING((X391/$H391),1)*$H391),"")</f>
        <v>42</v>
      </c>
      <c r="Z391" s="41">
        <f>IFERROR(IF(Y391=0,"",ROUNDUP(Y391/H391,0)*0.01898),"")</f>
        <v>9.4899999999999998E-2</v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44.47</v>
      </c>
      <c r="BN391" s="78">
        <f>IFERROR(Y391*I391/H391,"0")</f>
        <v>44.47</v>
      </c>
      <c r="BO391" s="78">
        <f>IFERROR(1/J391*(X391/H391),"0")</f>
        <v>7.8125E-2</v>
      </c>
      <c r="BP391" s="78">
        <f>IFERROR(1/J391*(Y391/H391),"0")</f>
        <v>7.8125E-2</v>
      </c>
    </row>
    <row r="392" spans="1:68" x14ac:dyDescent="0.2">
      <c r="A392" s="660"/>
      <c r="B392" s="660"/>
      <c r="C392" s="660"/>
      <c r="D392" s="660"/>
      <c r="E392" s="660"/>
      <c r="F392" s="660"/>
      <c r="G392" s="660"/>
      <c r="H392" s="660"/>
      <c r="I392" s="660"/>
      <c r="J392" s="660"/>
      <c r="K392" s="660"/>
      <c r="L392" s="660"/>
      <c r="M392" s="660"/>
      <c r="N392" s="660"/>
      <c r="O392" s="661"/>
      <c r="P392" s="657" t="s">
        <v>40</v>
      </c>
      <c r="Q392" s="658"/>
      <c r="R392" s="658"/>
      <c r="S392" s="658"/>
      <c r="T392" s="658"/>
      <c r="U392" s="658"/>
      <c r="V392" s="659"/>
      <c r="W392" s="42" t="s">
        <v>39</v>
      </c>
      <c r="X392" s="43">
        <f>IFERROR(X389/H389,"0")+IFERROR(X390/H390,"0")+IFERROR(X391/H391,"0")</f>
        <v>25</v>
      </c>
      <c r="Y392" s="43">
        <f>IFERROR(Y389/H389,"0")+IFERROR(Y390/H390,"0")+IFERROR(Y391/H391,"0")</f>
        <v>25</v>
      </c>
      <c r="Z392" s="43">
        <f>IFERROR(IF(Z389="",0,Z389),"0")+IFERROR(IF(Z390="",0,Z390),"0")+IFERROR(IF(Z391="",0,Z391),"0")</f>
        <v>0.47449999999999998</v>
      </c>
      <c r="AA392" s="67"/>
      <c r="AB392" s="67"/>
      <c r="AC392" s="67"/>
    </row>
    <row r="393" spans="1:68" x14ac:dyDescent="0.2">
      <c r="A393" s="660"/>
      <c r="B393" s="660"/>
      <c r="C393" s="660"/>
      <c r="D393" s="660"/>
      <c r="E393" s="660"/>
      <c r="F393" s="660"/>
      <c r="G393" s="660"/>
      <c r="H393" s="660"/>
      <c r="I393" s="660"/>
      <c r="J393" s="660"/>
      <c r="K393" s="660"/>
      <c r="L393" s="660"/>
      <c r="M393" s="660"/>
      <c r="N393" s="660"/>
      <c r="O393" s="661"/>
      <c r="P393" s="657" t="s">
        <v>40</v>
      </c>
      <c r="Q393" s="658"/>
      <c r="R393" s="658"/>
      <c r="S393" s="658"/>
      <c r="T393" s="658"/>
      <c r="U393" s="658"/>
      <c r="V393" s="659"/>
      <c r="W393" s="42" t="s">
        <v>0</v>
      </c>
      <c r="X393" s="43">
        <f>IFERROR(SUM(X389:X391),"0")</f>
        <v>198</v>
      </c>
      <c r="Y393" s="43">
        <f>IFERROR(SUM(Y389:Y391),"0")</f>
        <v>198</v>
      </c>
      <c r="Z393" s="42"/>
      <c r="AA393" s="67"/>
      <c r="AB393" s="67"/>
      <c r="AC393" s="67"/>
    </row>
    <row r="394" spans="1:68" ht="14.25" hidden="1" customHeight="1" x14ac:dyDescent="0.25">
      <c r="A394" s="667" t="s">
        <v>275</v>
      </c>
      <c r="B394" s="667"/>
      <c r="C394" s="667"/>
      <c r="D394" s="667"/>
      <c r="E394" s="667"/>
      <c r="F394" s="667"/>
      <c r="G394" s="667"/>
      <c r="H394" s="667"/>
      <c r="I394" s="667"/>
      <c r="J394" s="667"/>
      <c r="K394" s="667"/>
      <c r="L394" s="667"/>
      <c r="M394" s="667"/>
      <c r="N394" s="667"/>
      <c r="O394" s="667"/>
      <c r="P394" s="667"/>
      <c r="Q394" s="667"/>
      <c r="R394" s="667"/>
      <c r="S394" s="667"/>
      <c r="T394" s="667"/>
      <c r="U394" s="667"/>
      <c r="V394" s="667"/>
      <c r="W394" s="667"/>
      <c r="X394" s="667"/>
      <c r="Y394" s="667"/>
      <c r="Z394" s="667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653">
        <v>4607091388381</v>
      </c>
      <c r="E395" s="653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5"/>
      <c r="R395" s="655"/>
      <c r="S395" s="655"/>
      <c r="T395" s="65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653">
        <v>4607091388374</v>
      </c>
      <c r="E396" s="653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7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653">
        <v>4607091383102</v>
      </c>
      <c r="E397" s="653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660</v>
      </c>
      <c r="B398" s="63" t="s">
        <v>661</v>
      </c>
      <c r="C398" s="36">
        <v>4301030233</v>
      </c>
      <c r="D398" s="653">
        <v>4607091388404</v>
      </c>
      <c r="E398" s="653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7.65</v>
      </c>
      <c r="Y398" s="55">
        <f>IFERROR(IF(X398="",0,CEILING((X398/$H398),1)*$H398),"")</f>
        <v>7.6499999999999995</v>
      </c>
      <c r="Z398" s="41">
        <f>IFERROR(IF(Y398=0,"",ROUNDUP(Y398/H398,0)*0.00651),"")</f>
        <v>1.9529999999999999E-2</v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8.64</v>
      </c>
      <c r="BN398" s="78">
        <f>IFERROR(Y398*I398/H398,"0")</f>
        <v>8.6399999999999988</v>
      </c>
      <c r="BO398" s="78">
        <f>IFERROR(1/J398*(X398/H398),"0")</f>
        <v>1.6483516483516487E-2</v>
      </c>
      <c r="BP398" s="78">
        <f>IFERROR(1/J398*(Y398/H398),"0")</f>
        <v>1.6483516483516484E-2</v>
      </c>
    </row>
    <row r="399" spans="1:68" x14ac:dyDescent="0.2">
      <c r="A399" s="660"/>
      <c r="B399" s="660"/>
      <c r="C399" s="660"/>
      <c r="D399" s="660"/>
      <c r="E399" s="660"/>
      <c r="F399" s="660"/>
      <c r="G399" s="660"/>
      <c r="H399" s="660"/>
      <c r="I399" s="660"/>
      <c r="J399" s="660"/>
      <c r="K399" s="660"/>
      <c r="L399" s="660"/>
      <c r="M399" s="660"/>
      <c r="N399" s="660"/>
      <c r="O399" s="661"/>
      <c r="P399" s="657" t="s">
        <v>40</v>
      </c>
      <c r="Q399" s="658"/>
      <c r="R399" s="658"/>
      <c r="S399" s="658"/>
      <c r="T399" s="658"/>
      <c r="U399" s="658"/>
      <c r="V399" s="659"/>
      <c r="W399" s="42" t="s">
        <v>39</v>
      </c>
      <c r="X399" s="43">
        <f>IFERROR(X395/H395,"0")+IFERROR(X396/H396,"0")+IFERROR(X397/H397,"0")+IFERROR(X398/H398,"0")</f>
        <v>3.0000000000000004</v>
      </c>
      <c r="Y399" s="43">
        <f>IFERROR(Y395/H395,"0")+IFERROR(Y396/H396,"0")+IFERROR(Y397/H397,"0")+IFERROR(Y398/H398,"0")</f>
        <v>3</v>
      </c>
      <c r="Z399" s="43">
        <f>IFERROR(IF(Z395="",0,Z395),"0")+IFERROR(IF(Z396="",0,Z396),"0")+IFERROR(IF(Z397="",0,Z397),"0")+IFERROR(IF(Z398="",0,Z398),"0")</f>
        <v>1.9529999999999999E-2</v>
      </c>
      <c r="AA399" s="67"/>
      <c r="AB399" s="67"/>
      <c r="AC399" s="67"/>
    </row>
    <row r="400" spans="1:68" x14ac:dyDescent="0.2">
      <c r="A400" s="660"/>
      <c r="B400" s="660"/>
      <c r="C400" s="660"/>
      <c r="D400" s="660"/>
      <c r="E400" s="660"/>
      <c r="F400" s="660"/>
      <c r="G400" s="660"/>
      <c r="H400" s="660"/>
      <c r="I400" s="660"/>
      <c r="J400" s="660"/>
      <c r="K400" s="660"/>
      <c r="L400" s="660"/>
      <c r="M400" s="660"/>
      <c r="N400" s="660"/>
      <c r="O400" s="661"/>
      <c r="P400" s="657" t="s">
        <v>40</v>
      </c>
      <c r="Q400" s="658"/>
      <c r="R400" s="658"/>
      <c r="S400" s="658"/>
      <c r="T400" s="658"/>
      <c r="U400" s="658"/>
      <c r="V400" s="659"/>
      <c r="W400" s="42" t="s">
        <v>0</v>
      </c>
      <c r="X400" s="43">
        <f>IFERROR(SUM(X395:X398),"0")</f>
        <v>7.65</v>
      </c>
      <c r="Y400" s="43">
        <f>IFERROR(SUM(Y395:Y398),"0")</f>
        <v>7.6499999999999995</v>
      </c>
      <c r="Z400" s="42"/>
      <c r="AA400" s="67"/>
      <c r="AB400" s="67"/>
      <c r="AC400" s="67"/>
    </row>
    <row r="401" spans="1:68" ht="14.25" hidden="1" customHeight="1" x14ac:dyDescent="0.25">
      <c r="A401" s="667" t="s">
        <v>662</v>
      </c>
      <c r="B401" s="667"/>
      <c r="C401" s="667"/>
      <c r="D401" s="667"/>
      <c r="E401" s="667"/>
      <c r="F401" s="667"/>
      <c r="G401" s="667"/>
      <c r="H401" s="667"/>
      <c r="I401" s="667"/>
      <c r="J401" s="667"/>
      <c r="K401" s="667"/>
      <c r="L401" s="667"/>
      <c r="M401" s="667"/>
      <c r="N401" s="667"/>
      <c r="O401" s="667"/>
      <c r="P401" s="667"/>
      <c r="Q401" s="667"/>
      <c r="R401" s="667"/>
      <c r="S401" s="667"/>
      <c r="T401" s="667"/>
      <c r="U401" s="667"/>
      <c r="V401" s="667"/>
      <c r="W401" s="667"/>
      <c r="X401" s="667"/>
      <c r="Y401" s="667"/>
      <c r="Z401" s="667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653">
        <v>4680115881808</v>
      </c>
      <c r="E402" s="653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73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653">
        <v>4680115881822</v>
      </c>
      <c r="E403" s="653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7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653">
        <v>4680115880016</v>
      </c>
      <c r="E404" s="65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73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60"/>
      <c r="B405" s="660"/>
      <c r="C405" s="660"/>
      <c r="D405" s="660"/>
      <c r="E405" s="660"/>
      <c r="F405" s="660"/>
      <c r="G405" s="660"/>
      <c r="H405" s="660"/>
      <c r="I405" s="660"/>
      <c r="J405" s="660"/>
      <c r="K405" s="660"/>
      <c r="L405" s="660"/>
      <c r="M405" s="660"/>
      <c r="N405" s="660"/>
      <c r="O405" s="661"/>
      <c r="P405" s="657" t="s">
        <v>40</v>
      </c>
      <c r="Q405" s="658"/>
      <c r="R405" s="658"/>
      <c r="S405" s="658"/>
      <c r="T405" s="658"/>
      <c r="U405" s="658"/>
      <c r="V405" s="659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60"/>
      <c r="B406" s="660"/>
      <c r="C406" s="660"/>
      <c r="D406" s="660"/>
      <c r="E406" s="660"/>
      <c r="F406" s="660"/>
      <c r="G406" s="660"/>
      <c r="H406" s="660"/>
      <c r="I406" s="660"/>
      <c r="J406" s="660"/>
      <c r="K406" s="660"/>
      <c r="L406" s="660"/>
      <c r="M406" s="660"/>
      <c r="N406" s="660"/>
      <c r="O406" s="661"/>
      <c r="P406" s="657" t="s">
        <v>40</v>
      </c>
      <c r="Q406" s="658"/>
      <c r="R406" s="658"/>
      <c r="S406" s="658"/>
      <c r="T406" s="658"/>
      <c r="U406" s="658"/>
      <c r="V406" s="659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67" t="s">
        <v>671</v>
      </c>
      <c r="B407" s="667"/>
      <c r="C407" s="667"/>
      <c r="D407" s="667"/>
      <c r="E407" s="667"/>
      <c r="F407" s="667"/>
      <c r="G407" s="667"/>
      <c r="H407" s="667"/>
      <c r="I407" s="667"/>
      <c r="J407" s="667"/>
      <c r="K407" s="667"/>
      <c r="L407" s="667"/>
      <c r="M407" s="667"/>
      <c r="N407" s="667"/>
      <c r="O407" s="667"/>
      <c r="P407" s="667"/>
      <c r="Q407" s="667"/>
      <c r="R407" s="667"/>
      <c r="S407" s="667"/>
      <c r="T407" s="667"/>
      <c r="U407" s="667"/>
      <c r="V407" s="667"/>
      <c r="W407" s="667"/>
      <c r="X407" s="667"/>
      <c r="Y407" s="667"/>
      <c r="Z407" s="667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653">
        <v>4680115888678</v>
      </c>
      <c r="E408" s="653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7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5"/>
      <c r="R408" s="655"/>
      <c r="S408" s="655"/>
      <c r="T408" s="656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653">
        <v>4680115888654</v>
      </c>
      <c r="E409" s="653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73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653">
        <v>4680115888753</v>
      </c>
      <c r="E410" s="65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74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60"/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1"/>
      <c r="P411" s="657" t="s">
        <v>40</v>
      </c>
      <c r="Q411" s="658"/>
      <c r="R411" s="658"/>
      <c r="S411" s="658"/>
      <c r="T411" s="658"/>
      <c r="U411" s="658"/>
      <c r="V411" s="659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60"/>
      <c r="B412" s="660"/>
      <c r="C412" s="660"/>
      <c r="D412" s="660"/>
      <c r="E412" s="660"/>
      <c r="F412" s="660"/>
      <c r="G412" s="660"/>
      <c r="H412" s="660"/>
      <c r="I412" s="660"/>
      <c r="J412" s="660"/>
      <c r="K412" s="660"/>
      <c r="L412" s="660"/>
      <c r="M412" s="660"/>
      <c r="N412" s="660"/>
      <c r="O412" s="661"/>
      <c r="P412" s="657" t="s">
        <v>40</v>
      </c>
      <c r="Q412" s="658"/>
      <c r="R412" s="658"/>
      <c r="S412" s="658"/>
      <c r="T412" s="658"/>
      <c r="U412" s="658"/>
      <c r="V412" s="659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71" t="s">
        <v>680</v>
      </c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1"/>
      <c r="P413" s="671"/>
      <c r="Q413" s="671"/>
      <c r="R413" s="671"/>
      <c r="S413" s="671"/>
      <c r="T413" s="671"/>
      <c r="U413" s="671"/>
      <c r="V413" s="671"/>
      <c r="W413" s="671"/>
      <c r="X413" s="671"/>
      <c r="Y413" s="671"/>
      <c r="Z413" s="671"/>
      <c r="AA413" s="65"/>
      <c r="AB413" s="65"/>
      <c r="AC413" s="79"/>
    </row>
    <row r="414" spans="1:68" ht="14.25" hidden="1" customHeight="1" x14ac:dyDescent="0.25">
      <c r="A414" s="667" t="s">
        <v>86</v>
      </c>
      <c r="B414" s="667"/>
      <c r="C414" s="667"/>
      <c r="D414" s="667"/>
      <c r="E414" s="667"/>
      <c r="F414" s="667"/>
      <c r="G414" s="667"/>
      <c r="H414" s="667"/>
      <c r="I414" s="667"/>
      <c r="J414" s="667"/>
      <c r="K414" s="667"/>
      <c r="L414" s="667"/>
      <c r="M414" s="667"/>
      <c r="N414" s="667"/>
      <c r="O414" s="667"/>
      <c r="P414" s="667"/>
      <c r="Q414" s="667"/>
      <c r="R414" s="667"/>
      <c r="S414" s="667"/>
      <c r="T414" s="667"/>
      <c r="U414" s="667"/>
      <c r="V414" s="667"/>
      <c r="W414" s="667"/>
      <c r="X414" s="667"/>
      <c r="Y414" s="667"/>
      <c r="Z414" s="667"/>
      <c r="AA414" s="66"/>
      <c r="AB414" s="66"/>
      <c r="AC414" s="80"/>
    </row>
    <row r="415" spans="1:68" ht="16.5" customHeight="1" x14ac:dyDescent="0.25">
      <c r="A415" s="63" t="s">
        <v>681</v>
      </c>
      <c r="B415" s="63" t="s">
        <v>682</v>
      </c>
      <c r="C415" s="36">
        <v>4301052235</v>
      </c>
      <c r="D415" s="653">
        <v>4680115889415</v>
      </c>
      <c r="E415" s="653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7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50</v>
      </c>
      <c r="Y415" s="55">
        <f>IFERROR(IF(X415="",0,CEILING((X415/$H415),1)*$H415),"")</f>
        <v>54.6</v>
      </c>
      <c r="Z415" s="41">
        <f>IFERROR(IF(Y415=0,"",ROUNDUP(Y415/H415,0)*0.01898),"")</f>
        <v>0.13286000000000001</v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52.628205128205138</v>
      </c>
      <c r="BN415" s="78">
        <f>IFERROR(Y415*I415/H415,"0")</f>
        <v>57.470000000000013</v>
      </c>
      <c r="BO415" s="78">
        <f>IFERROR(1/J415*(X415/H415),"0")</f>
        <v>0.10016025641025642</v>
      </c>
      <c r="BP415" s="78">
        <f>IFERROR(1/J415*(Y415/H415),"0")</f>
        <v>0.109375</v>
      </c>
    </row>
    <row r="416" spans="1:68" ht="16.5" customHeight="1" x14ac:dyDescent="0.25">
      <c r="A416" s="63" t="s">
        <v>684</v>
      </c>
      <c r="B416" s="63" t="s">
        <v>685</v>
      </c>
      <c r="C416" s="36">
        <v>4301052236</v>
      </c>
      <c r="D416" s="653">
        <v>4680115889422</v>
      </c>
      <c r="E416" s="653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7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50</v>
      </c>
      <c r="Y416" s="55">
        <f>IFERROR(IF(X416="",0,CEILING((X416/$H416),1)*$H416),"")</f>
        <v>54.6</v>
      </c>
      <c r="Z416" s="41">
        <f>IFERROR(IF(Y416=0,"",ROUNDUP(Y416/H416,0)*0.01898),"")</f>
        <v>0.13286000000000001</v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52.628205128205138</v>
      </c>
      <c r="BN416" s="78">
        <f>IFERROR(Y416*I416/H416,"0")</f>
        <v>57.470000000000013</v>
      </c>
      <c r="BO416" s="78">
        <f>IFERROR(1/J416*(X416/H416),"0")</f>
        <v>0.10016025641025642</v>
      </c>
      <c r="BP416" s="78">
        <f>IFERROR(1/J416*(Y416/H416),"0")</f>
        <v>0.109375</v>
      </c>
    </row>
    <row r="417" spans="1:68" x14ac:dyDescent="0.2">
      <c r="A417" s="660"/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1"/>
      <c r="P417" s="657" t="s">
        <v>40</v>
      </c>
      <c r="Q417" s="658"/>
      <c r="R417" s="658"/>
      <c r="S417" s="658"/>
      <c r="T417" s="658"/>
      <c r="U417" s="658"/>
      <c r="V417" s="659"/>
      <c r="W417" s="42" t="s">
        <v>39</v>
      </c>
      <c r="X417" s="43">
        <f>IFERROR(X415/H415,"0")+IFERROR(X416/H416,"0")</f>
        <v>12.820512820512821</v>
      </c>
      <c r="Y417" s="43">
        <f>IFERROR(Y415/H415,"0")+IFERROR(Y416/H416,"0")</f>
        <v>14</v>
      </c>
      <c r="Z417" s="43">
        <f>IFERROR(IF(Z415="",0,Z415),"0")+IFERROR(IF(Z416="",0,Z416),"0")</f>
        <v>0.26572000000000001</v>
      </c>
      <c r="AA417" s="67"/>
      <c r="AB417" s="67"/>
      <c r="AC417" s="67"/>
    </row>
    <row r="418" spans="1:68" x14ac:dyDescent="0.2">
      <c r="A418" s="660"/>
      <c r="B418" s="660"/>
      <c r="C418" s="660"/>
      <c r="D418" s="660"/>
      <c r="E418" s="660"/>
      <c r="F418" s="660"/>
      <c r="G418" s="660"/>
      <c r="H418" s="660"/>
      <c r="I418" s="660"/>
      <c r="J418" s="660"/>
      <c r="K418" s="660"/>
      <c r="L418" s="660"/>
      <c r="M418" s="660"/>
      <c r="N418" s="660"/>
      <c r="O418" s="661"/>
      <c r="P418" s="657" t="s">
        <v>40</v>
      </c>
      <c r="Q418" s="658"/>
      <c r="R418" s="658"/>
      <c r="S418" s="658"/>
      <c r="T418" s="658"/>
      <c r="U418" s="658"/>
      <c r="V418" s="659"/>
      <c r="W418" s="42" t="s">
        <v>0</v>
      </c>
      <c r="X418" s="43">
        <f>IFERROR(SUM(X415:X416),"0")</f>
        <v>100</v>
      </c>
      <c r="Y418" s="43">
        <f>IFERROR(SUM(Y415:Y416),"0")</f>
        <v>109.2</v>
      </c>
      <c r="Z418" s="42"/>
      <c r="AA418" s="67"/>
      <c r="AB418" s="67"/>
      <c r="AC418" s="67"/>
    </row>
    <row r="419" spans="1:68" ht="16.5" hidden="1" customHeight="1" x14ac:dyDescent="0.25">
      <c r="A419" s="671" t="s">
        <v>687</v>
      </c>
      <c r="B419" s="671"/>
      <c r="C419" s="671"/>
      <c r="D419" s="671"/>
      <c r="E419" s="671"/>
      <c r="F419" s="671"/>
      <c r="G419" s="671"/>
      <c r="H419" s="671"/>
      <c r="I419" s="671"/>
      <c r="J419" s="671"/>
      <c r="K419" s="671"/>
      <c r="L419" s="671"/>
      <c r="M419" s="671"/>
      <c r="N419" s="671"/>
      <c r="O419" s="671"/>
      <c r="P419" s="671"/>
      <c r="Q419" s="671"/>
      <c r="R419" s="671"/>
      <c r="S419" s="671"/>
      <c r="T419" s="671"/>
      <c r="U419" s="671"/>
      <c r="V419" s="671"/>
      <c r="W419" s="671"/>
      <c r="X419" s="671"/>
      <c r="Y419" s="671"/>
      <c r="Z419" s="671"/>
      <c r="AA419" s="65"/>
      <c r="AB419" s="65"/>
      <c r="AC419" s="79"/>
    </row>
    <row r="420" spans="1:68" ht="14.25" hidden="1" customHeight="1" x14ac:dyDescent="0.25">
      <c r="A420" s="667" t="s">
        <v>86</v>
      </c>
      <c r="B420" s="667"/>
      <c r="C420" s="667"/>
      <c r="D420" s="667"/>
      <c r="E420" s="667"/>
      <c r="F420" s="667"/>
      <c r="G420" s="667"/>
      <c r="H420" s="667"/>
      <c r="I420" s="667"/>
      <c r="J420" s="667"/>
      <c r="K420" s="667"/>
      <c r="L420" s="667"/>
      <c r="M420" s="667"/>
      <c r="N420" s="667"/>
      <c r="O420" s="667"/>
      <c r="P420" s="667"/>
      <c r="Q420" s="667"/>
      <c r="R420" s="667"/>
      <c r="S420" s="667"/>
      <c r="T420" s="667"/>
      <c r="U420" s="667"/>
      <c r="V420" s="667"/>
      <c r="W420" s="667"/>
      <c r="X420" s="667"/>
      <c r="Y420" s="667"/>
      <c r="Z420" s="667"/>
      <c r="AA420" s="66"/>
      <c r="AB420" s="66"/>
      <c r="AC420" s="80"/>
    </row>
    <row r="421" spans="1:68" ht="27" customHeight="1" x14ac:dyDescent="0.25">
      <c r="A421" s="63" t="s">
        <v>688</v>
      </c>
      <c r="B421" s="63" t="s">
        <v>689</v>
      </c>
      <c r="C421" s="36">
        <v>4301051489</v>
      </c>
      <c r="D421" s="653">
        <v>4607091387919</v>
      </c>
      <c r="E421" s="653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5"/>
      <c r="R421" s="655"/>
      <c r="S421" s="655"/>
      <c r="T421" s="656"/>
      <c r="U421" s="39" t="s">
        <v>46</v>
      </c>
      <c r="V421" s="39" t="s">
        <v>46</v>
      </c>
      <c r="W421" s="40" t="s">
        <v>0</v>
      </c>
      <c r="X421" s="58">
        <v>121.5</v>
      </c>
      <c r="Y421" s="55">
        <f>IFERROR(IF(X421="",0,CEILING((X421/$H421),1)*$H421),"")</f>
        <v>121.5</v>
      </c>
      <c r="Z421" s="41">
        <f>IFERROR(IF(Y421=0,"",ROUNDUP(Y421/H421,0)*0.01898),"")</f>
        <v>0.28470000000000001</v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128.91</v>
      </c>
      <c r="BN421" s="78">
        <f>IFERROR(Y421*I421/H421,"0")</f>
        <v>128.91</v>
      </c>
      <c r="BO421" s="78">
        <f>IFERROR(1/J421*(X421/H421),"0")</f>
        <v>0.234375</v>
      </c>
      <c r="BP421" s="78">
        <f>IFERROR(1/J421*(Y421/H421),"0")</f>
        <v>0.234375</v>
      </c>
    </row>
    <row r="422" spans="1:68" ht="27" customHeight="1" x14ac:dyDescent="0.25">
      <c r="A422" s="63" t="s">
        <v>691</v>
      </c>
      <c r="B422" s="63" t="s">
        <v>692</v>
      </c>
      <c r="C422" s="36">
        <v>4301051461</v>
      </c>
      <c r="D422" s="653">
        <v>4680115883604</v>
      </c>
      <c r="E422" s="653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12.6</v>
      </c>
      <c r="Y422" s="55">
        <f>IFERROR(IF(X422="",0,CEILING((X422/$H422),1)*$H422),"")</f>
        <v>12.600000000000001</v>
      </c>
      <c r="Z422" s="41">
        <f>IFERROR(IF(Y422=0,"",ROUNDUP(Y422/H422,0)*0.00651),"")</f>
        <v>3.9059999999999997E-2</v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14.111999999999998</v>
      </c>
      <c r="BN422" s="78">
        <f>IFERROR(Y422*I422/H422,"0")</f>
        <v>14.112</v>
      </c>
      <c r="BO422" s="78">
        <f>IFERROR(1/J422*(X422/H422),"0")</f>
        <v>3.2967032967032968E-2</v>
      </c>
      <c r="BP422" s="78">
        <f>IFERROR(1/J422*(Y422/H422),"0")</f>
        <v>3.2967032967032968E-2</v>
      </c>
    </row>
    <row r="423" spans="1:68" ht="27" customHeight="1" x14ac:dyDescent="0.25">
      <c r="A423" s="63" t="s">
        <v>694</v>
      </c>
      <c r="B423" s="63" t="s">
        <v>695</v>
      </c>
      <c r="C423" s="36">
        <v>4301051864</v>
      </c>
      <c r="D423" s="653">
        <v>4680115883567</v>
      </c>
      <c r="E423" s="653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7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12.6</v>
      </c>
      <c r="Y423" s="55">
        <f>IFERROR(IF(X423="",0,CEILING((X423/$H423),1)*$H423),"")</f>
        <v>12.600000000000001</v>
      </c>
      <c r="Z423" s="41">
        <f>IFERROR(IF(Y423=0,"",ROUNDUP(Y423/H423,0)*0.00651),"")</f>
        <v>3.9059999999999997E-2</v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14.04</v>
      </c>
      <c r="BN423" s="78">
        <f>IFERROR(Y423*I423/H423,"0")</f>
        <v>14.040000000000001</v>
      </c>
      <c r="BO423" s="78">
        <f>IFERROR(1/J423*(X423/H423),"0")</f>
        <v>3.2967032967032968E-2</v>
      </c>
      <c r="BP423" s="78">
        <f>IFERROR(1/J423*(Y423/H423),"0")</f>
        <v>3.2967032967032968E-2</v>
      </c>
    </row>
    <row r="424" spans="1:68" x14ac:dyDescent="0.2">
      <c r="A424" s="660"/>
      <c r="B424" s="660"/>
      <c r="C424" s="660"/>
      <c r="D424" s="660"/>
      <c r="E424" s="660"/>
      <c r="F424" s="660"/>
      <c r="G424" s="660"/>
      <c r="H424" s="660"/>
      <c r="I424" s="660"/>
      <c r="J424" s="660"/>
      <c r="K424" s="660"/>
      <c r="L424" s="660"/>
      <c r="M424" s="660"/>
      <c r="N424" s="660"/>
      <c r="O424" s="661"/>
      <c r="P424" s="657" t="s">
        <v>40</v>
      </c>
      <c r="Q424" s="658"/>
      <c r="R424" s="658"/>
      <c r="S424" s="658"/>
      <c r="T424" s="658"/>
      <c r="U424" s="658"/>
      <c r="V424" s="659"/>
      <c r="W424" s="42" t="s">
        <v>39</v>
      </c>
      <c r="X424" s="43">
        <f>IFERROR(X421/H421,"0")+IFERROR(X422/H422,"0")+IFERROR(X423/H423,"0")</f>
        <v>27</v>
      </c>
      <c r="Y424" s="43">
        <f>IFERROR(Y421/H421,"0")+IFERROR(Y422/H422,"0")+IFERROR(Y423/H423,"0")</f>
        <v>27</v>
      </c>
      <c r="Z424" s="43">
        <f>IFERROR(IF(Z421="",0,Z421),"0")+IFERROR(IF(Z422="",0,Z422),"0")+IFERROR(IF(Z423="",0,Z423),"0")</f>
        <v>0.36281999999999998</v>
      </c>
      <c r="AA424" s="67"/>
      <c r="AB424" s="67"/>
      <c r="AC424" s="67"/>
    </row>
    <row r="425" spans="1:68" x14ac:dyDescent="0.2">
      <c r="A425" s="660"/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1"/>
      <c r="P425" s="657" t="s">
        <v>40</v>
      </c>
      <c r="Q425" s="658"/>
      <c r="R425" s="658"/>
      <c r="S425" s="658"/>
      <c r="T425" s="658"/>
      <c r="U425" s="658"/>
      <c r="V425" s="659"/>
      <c r="W425" s="42" t="s">
        <v>0</v>
      </c>
      <c r="X425" s="43">
        <f>IFERROR(SUM(X421:X423),"0")</f>
        <v>146.69999999999999</v>
      </c>
      <c r="Y425" s="43">
        <f>IFERROR(SUM(Y421:Y423),"0")</f>
        <v>146.69999999999999</v>
      </c>
      <c r="Z425" s="42"/>
      <c r="AA425" s="67"/>
      <c r="AB425" s="67"/>
      <c r="AC425" s="67"/>
    </row>
    <row r="426" spans="1:68" ht="27.75" hidden="1" customHeight="1" x14ac:dyDescent="0.2">
      <c r="A426" s="682" t="s">
        <v>697</v>
      </c>
      <c r="B426" s="682"/>
      <c r="C426" s="682"/>
      <c r="D426" s="682"/>
      <c r="E426" s="682"/>
      <c r="F426" s="682"/>
      <c r="G426" s="682"/>
      <c r="H426" s="682"/>
      <c r="I426" s="682"/>
      <c r="J426" s="682"/>
      <c r="K426" s="682"/>
      <c r="L426" s="682"/>
      <c r="M426" s="682"/>
      <c r="N426" s="682"/>
      <c r="O426" s="682"/>
      <c r="P426" s="682"/>
      <c r="Q426" s="682"/>
      <c r="R426" s="682"/>
      <c r="S426" s="682"/>
      <c r="T426" s="682"/>
      <c r="U426" s="682"/>
      <c r="V426" s="682"/>
      <c r="W426" s="682"/>
      <c r="X426" s="682"/>
      <c r="Y426" s="682"/>
      <c r="Z426" s="682"/>
      <c r="AA426" s="54"/>
      <c r="AB426" s="54"/>
      <c r="AC426" s="54"/>
    </row>
    <row r="427" spans="1:68" ht="16.5" hidden="1" customHeight="1" x14ac:dyDescent="0.25">
      <c r="A427" s="671" t="s">
        <v>698</v>
      </c>
      <c r="B427" s="671"/>
      <c r="C427" s="671"/>
      <c r="D427" s="671"/>
      <c r="E427" s="671"/>
      <c r="F427" s="671"/>
      <c r="G427" s="671"/>
      <c r="H427" s="671"/>
      <c r="I427" s="671"/>
      <c r="J427" s="671"/>
      <c r="K427" s="671"/>
      <c r="L427" s="671"/>
      <c r="M427" s="671"/>
      <c r="N427" s="671"/>
      <c r="O427" s="671"/>
      <c r="P427" s="671"/>
      <c r="Q427" s="671"/>
      <c r="R427" s="671"/>
      <c r="S427" s="671"/>
      <c r="T427" s="671"/>
      <c r="U427" s="671"/>
      <c r="V427" s="671"/>
      <c r="W427" s="671"/>
      <c r="X427" s="671"/>
      <c r="Y427" s="671"/>
      <c r="Z427" s="671"/>
      <c r="AA427" s="65"/>
      <c r="AB427" s="65"/>
      <c r="AC427" s="79"/>
    </row>
    <row r="428" spans="1:68" ht="14.25" hidden="1" customHeight="1" x14ac:dyDescent="0.25">
      <c r="A428" s="667" t="s">
        <v>122</v>
      </c>
      <c r="B428" s="667"/>
      <c r="C428" s="667"/>
      <c r="D428" s="667"/>
      <c r="E428" s="667"/>
      <c r="F428" s="667"/>
      <c r="G428" s="667"/>
      <c r="H428" s="667"/>
      <c r="I428" s="667"/>
      <c r="J428" s="667"/>
      <c r="K428" s="667"/>
      <c r="L428" s="667"/>
      <c r="M428" s="667"/>
      <c r="N428" s="667"/>
      <c r="O428" s="667"/>
      <c r="P428" s="667"/>
      <c r="Q428" s="667"/>
      <c r="R428" s="667"/>
      <c r="S428" s="667"/>
      <c r="T428" s="667"/>
      <c r="U428" s="667"/>
      <c r="V428" s="667"/>
      <c r="W428" s="667"/>
      <c r="X428" s="667"/>
      <c r="Y428" s="667"/>
      <c r="Z428" s="667"/>
      <c r="AA428" s="66"/>
      <c r="AB428" s="66"/>
      <c r="AC428" s="80"/>
    </row>
    <row r="429" spans="1:68" ht="27" hidden="1" customHeight="1" x14ac:dyDescent="0.25">
      <c r="A429" s="63" t="s">
        <v>699</v>
      </c>
      <c r="B429" s="63" t="s">
        <v>700</v>
      </c>
      <c r="C429" s="36">
        <v>4301012332</v>
      </c>
      <c r="D429" s="653">
        <v>4680115888401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7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hidden="1" customHeight="1" x14ac:dyDescent="0.25">
      <c r="A430" s="63" t="s">
        <v>702</v>
      </c>
      <c r="B430" s="63" t="s">
        <v>703</v>
      </c>
      <c r="C430" s="36">
        <v>4301011869</v>
      </c>
      <c r="D430" s="653">
        <v>4680115884847</v>
      </c>
      <c r="E430" s="653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705</v>
      </c>
      <c r="B431" s="63" t="s">
        <v>706</v>
      </c>
      <c r="C431" s="36">
        <v>4301012083</v>
      </c>
      <c r="D431" s="653">
        <v>4680115884854</v>
      </c>
      <c r="E431" s="65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72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customHeight="1" x14ac:dyDescent="0.25">
      <c r="A432" s="63" t="s">
        <v>708</v>
      </c>
      <c r="B432" s="63" t="s">
        <v>709</v>
      </c>
      <c r="C432" s="36">
        <v>4301011867</v>
      </c>
      <c r="D432" s="653">
        <v>4680115884830</v>
      </c>
      <c r="E432" s="65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720</v>
      </c>
      <c r="Y432" s="55">
        <f t="shared" si="68"/>
        <v>720</v>
      </c>
      <c r="Z432" s="41">
        <f>IFERROR(IF(Y432=0,"",ROUNDUP(Y432/H432,0)*0.02175),"")</f>
        <v>1.044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742.56</v>
      </c>
      <c r="BN432" s="78">
        <f t="shared" si="70"/>
        <v>742.56</v>
      </c>
      <c r="BO432" s="78">
        <f t="shared" si="71"/>
        <v>1</v>
      </c>
      <c r="BP432" s="78">
        <f t="shared" si="72"/>
        <v>1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4301012356</v>
      </c>
      <c r="D433" s="653">
        <v>4680115889231</v>
      </c>
      <c r="E433" s="65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5"/>
      <c r="R433" s="655"/>
      <c r="S433" s="655"/>
      <c r="T433" s="65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653">
        <v>4680115882638</v>
      </c>
      <c r="E434" s="653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7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5"/>
      <c r="R434" s="655"/>
      <c r="S434" s="655"/>
      <c r="T434" s="65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4301011952</v>
      </c>
      <c r="D435" s="653">
        <v>4680115884922</v>
      </c>
      <c r="E435" s="653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5"/>
      <c r="R435" s="655"/>
      <c r="S435" s="655"/>
      <c r="T435" s="65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hidden="1" customHeight="1" x14ac:dyDescent="0.25">
      <c r="A436" s="63" t="s">
        <v>720</v>
      </c>
      <c r="B436" s="63" t="s">
        <v>721</v>
      </c>
      <c r="C436" s="36">
        <v>4301011868</v>
      </c>
      <c r="D436" s="653">
        <v>4680115884861</v>
      </c>
      <c r="E436" s="653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7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660"/>
      <c r="B437" s="660"/>
      <c r="C437" s="660"/>
      <c r="D437" s="660"/>
      <c r="E437" s="660"/>
      <c r="F437" s="660"/>
      <c r="G437" s="660"/>
      <c r="H437" s="660"/>
      <c r="I437" s="660"/>
      <c r="J437" s="660"/>
      <c r="K437" s="660"/>
      <c r="L437" s="660"/>
      <c r="M437" s="660"/>
      <c r="N437" s="660"/>
      <c r="O437" s="661"/>
      <c r="P437" s="657" t="s">
        <v>40</v>
      </c>
      <c r="Q437" s="658"/>
      <c r="R437" s="658"/>
      <c r="S437" s="658"/>
      <c r="T437" s="658"/>
      <c r="U437" s="658"/>
      <c r="V437" s="659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48</v>
      </c>
      <c r="Y437" s="43">
        <f>IFERROR(Y429/H429,"0")+IFERROR(Y430/H430,"0")+IFERROR(Y431/H431,"0")+IFERROR(Y432/H432,"0")+IFERROR(Y433/H433,"0")+IFERROR(Y434/H434,"0")+IFERROR(Y435/H435,"0")+IFERROR(Y436/H436,"0")</f>
        <v>48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1.044</v>
      </c>
      <c r="AA437" s="67"/>
      <c r="AB437" s="67"/>
      <c r="AC437" s="67"/>
    </row>
    <row r="438" spans="1:68" x14ac:dyDescent="0.2">
      <c r="A438" s="660"/>
      <c r="B438" s="660"/>
      <c r="C438" s="660"/>
      <c r="D438" s="660"/>
      <c r="E438" s="660"/>
      <c r="F438" s="660"/>
      <c r="G438" s="660"/>
      <c r="H438" s="660"/>
      <c r="I438" s="660"/>
      <c r="J438" s="660"/>
      <c r="K438" s="660"/>
      <c r="L438" s="660"/>
      <c r="M438" s="660"/>
      <c r="N438" s="660"/>
      <c r="O438" s="661"/>
      <c r="P438" s="657" t="s">
        <v>40</v>
      </c>
      <c r="Q438" s="658"/>
      <c r="R438" s="658"/>
      <c r="S438" s="658"/>
      <c r="T438" s="658"/>
      <c r="U438" s="658"/>
      <c r="V438" s="659"/>
      <c r="W438" s="42" t="s">
        <v>0</v>
      </c>
      <c r="X438" s="43">
        <f>IFERROR(SUM(X429:X436),"0")</f>
        <v>720</v>
      </c>
      <c r="Y438" s="43">
        <f>IFERROR(SUM(Y429:Y436),"0")</f>
        <v>720</v>
      </c>
      <c r="Z438" s="42"/>
      <c r="AA438" s="67"/>
      <c r="AB438" s="67"/>
      <c r="AC438" s="67"/>
    </row>
    <row r="439" spans="1:68" ht="14.25" hidden="1" customHeight="1" x14ac:dyDescent="0.25">
      <c r="A439" s="667" t="s">
        <v>157</v>
      </c>
      <c r="B439" s="667"/>
      <c r="C439" s="667"/>
      <c r="D439" s="667"/>
      <c r="E439" s="667"/>
      <c r="F439" s="667"/>
      <c r="G439" s="667"/>
      <c r="H439" s="667"/>
      <c r="I439" s="667"/>
      <c r="J439" s="667"/>
      <c r="K439" s="667"/>
      <c r="L439" s="667"/>
      <c r="M439" s="667"/>
      <c r="N439" s="667"/>
      <c r="O439" s="667"/>
      <c r="P439" s="667"/>
      <c r="Q439" s="667"/>
      <c r="R439" s="667"/>
      <c r="S439" s="667"/>
      <c r="T439" s="667"/>
      <c r="U439" s="667"/>
      <c r="V439" s="667"/>
      <c r="W439" s="667"/>
      <c r="X439" s="667"/>
      <c r="Y439" s="667"/>
      <c r="Z439" s="667"/>
      <c r="AA439" s="66"/>
      <c r="AB439" s="66"/>
      <c r="AC439" s="80"/>
    </row>
    <row r="440" spans="1:68" ht="27" hidden="1" customHeight="1" x14ac:dyDescent="0.25">
      <c r="A440" s="63" t="s">
        <v>723</v>
      </c>
      <c r="B440" s="63" t="s">
        <v>724</v>
      </c>
      <c r="C440" s="36">
        <v>4301020178</v>
      </c>
      <c r="D440" s="653">
        <v>4607091383980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7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726</v>
      </c>
      <c r="B441" s="63" t="s">
        <v>727</v>
      </c>
      <c r="C441" s="36">
        <v>4301020355</v>
      </c>
      <c r="D441" s="653">
        <v>4680115888425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7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653">
        <v>4607091384178</v>
      </c>
      <c r="E442" s="653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7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60"/>
      <c r="B443" s="660"/>
      <c r="C443" s="660"/>
      <c r="D443" s="660"/>
      <c r="E443" s="660"/>
      <c r="F443" s="660"/>
      <c r="G443" s="660"/>
      <c r="H443" s="660"/>
      <c r="I443" s="660"/>
      <c r="J443" s="660"/>
      <c r="K443" s="660"/>
      <c r="L443" s="660"/>
      <c r="M443" s="660"/>
      <c r="N443" s="660"/>
      <c r="O443" s="661"/>
      <c r="P443" s="657" t="s">
        <v>40</v>
      </c>
      <c r="Q443" s="658"/>
      <c r="R443" s="658"/>
      <c r="S443" s="658"/>
      <c r="T443" s="658"/>
      <c r="U443" s="658"/>
      <c r="V443" s="659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60"/>
      <c r="B444" s="660"/>
      <c r="C444" s="660"/>
      <c r="D444" s="660"/>
      <c r="E444" s="660"/>
      <c r="F444" s="660"/>
      <c r="G444" s="660"/>
      <c r="H444" s="660"/>
      <c r="I444" s="660"/>
      <c r="J444" s="660"/>
      <c r="K444" s="660"/>
      <c r="L444" s="660"/>
      <c r="M444" s="660"/>
      <c r="N444" s="660"/>
      <c r="O444" s="661"/>
      <c r="P444" s="657" t="s">
        <v>40</v>
      </c>
      <c r="Q444" s="658"/>
      <c r="R444" s="658"/>
      <c r="S444" s="658"/>
      <c r="T444" s="658"/>
      <c r="U444" s="658"/>
      <c r="V444" s="659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67" t="s">
        <v>86</v>
      </c>
      <c r="B445" s="667"/>
      <c r="C445" s="667"/>
      <c r="D445" s="667"/>
      <c r="E445" s="667"/>
      <c r="F445" s="667"/>
      <c r="G445" s="667"/>
      <c r="H445" s="667"/>
      <c r="I445" s="667"/>
      <c r="J445" s="667"/>
      <c r="K445" s="667"/>
      <c r="L445" s="667"/>
      <c r="M445" s="667"/>
      <c r="N445" s="667"/>
      <c r="O445" s="667"/>
      <c r="P445" s="667"/>
      <c r="Q445" s="667"/>
      <c r="R445" s="667"/>
      <c r="S445" s="667"/>
      <c r="T445" s="667"/>
      <c r="U445" s="667"/>
      <c r="V445" s="667"/>
      <c r="W445" s="667"/>
      <c r="X445" s="667"/>
      <c r="Y445" s="667"/>
      <c r="Z445" s="667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653">
        <v>4607091383928</v>
      </c>
      <c r="E446" s="653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7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5"/>
      <c r="R446" s="655"/>
      <c r="S446" s="655"/>
      <c r="T446" s="656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customHeight="1" x14ac:dyDescent="0.25">
      <c r="A447" s="63" t="s">
        <v>735</v>
      </c>
      <c r="B447" s="63" t="s">
        <v>736</v>
      </c>
      <c r="C447" s="36">
        <v>4301051897</v>
      </c>
      <c r="D447" s="653">
        <v>4607091384260</v>
      </c>
      <c r="E447" s="653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7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5"/>
      <c r="R447" s="655"/>
      <c r="S447" s="655"/>
      <c r="T447" s="656"/>
      <c r="U447" s="39" t="s">
        <v>46</v>
      </c>
      <c r="V447" s="39" t="s">
        <v>46</v>
      </c>
      <c r="W447" s="40" t="s">
        <v>0</v>
      </c>
      <c r="X447" s="58">
        <v>18</v>
      </c>
      <c r="Y447" s="55">
        <f>IFERROR(IF(X447="",0,CEILING((X447/$H447),1)*$H447),"")</f>
        <v>18</v>
      </c>
      <c r="Z447" s="41">
        <f>IFERROR(IF(Y447=0,"",ROUNDUP(Y447/H447,0)*0.01898),"")</f>
        <v>3.7960000000000001E-2</v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18.988</v>
      </c>
      <c r="BN447" s="78">
        <f>IFERROR(Y447*I447/H447,"0")</f>
        <v>18.988</v>
      </c>
      <c r="BO447" s="78">
        <f>IFERROR(1/J447*(X447/H447),"0")</f>
        <v>3.125E-2</v>
      </c>
      <c r="BP447" s="78">
        <f>IFERROR(1/J447*(Y447/H447),"0")</f>
        <v>3.125E-2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653">
        <v>4680115889538</v>
      </c>
      <c r="E448" s="653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71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660"/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1"/>
      <c r="P449" s="657" t="s">
        <v>40</v>
      </c>
      <c r="Q449" s="658"/>
      <c r="R449" s="658"/>
      <c r="S449" s="658"/>
      <c r="T449" s="658"/>
      <c r="U449" s="658"/>
      <c r="V449" s="659"/>
      <c r="W449" s="42" t="s">
        <v>39</v>
      </c>
      <c r="X449" s="43">
        <f>IFERROR(X446/H446,"0")+IFERROR(X447/H447,"0")+IFERROR(X448/H448,"0")</f>
        <v>2</v>
      </c>
      <c r="Y449" s="43">
        <f>IFERROR(Y446/H446,"0")+IFERROR(Y447/H447,"0")+IFERROR(Y448/H448,"0")</f>
        <v>2</v>
      </c>
      <c r="Z449" s="43">
        <f>IFERROR(IF(Z446="",0,Z446),"0")+IFERROR(IF(Z447="",0,Z447),"0")+IFERROR(IF(Z448="",0,Z448),"0")</f>
        <v>3.7960000000000001E-2</v>
      </c>
      <c r="AA449" s="67"/>
      <c r="AB449" s="67"/>
      <c r="AC449" s="67"/>
    </row>
    <row r="450" spans="1:68" x14ac:dyDescent="0.2">
      <c r="A450" s="660"/>
      <c r="B450" s="660"/>
      <c r="C450" s="660"/>
      <c r="D450" s="660"/>
      <c r="E450" s="660"/>
      <c r="F450" s="660"/>
      <c r="G450" s="660"/>
      <c r="H450" s="660"/>
      <c r="I450" s="660"/>
      <c r="J450" s="660"/>
      <c r="K450" s="660"/>
      <c r="L450" s="660"/>
      <c r="M450" s="660"/>
      <c r="N450" s="660"/>
      <c r="O450" s="661"/>
      <c r="P450" s="657" t="s">
        <v>40</v>
      </c>
      <c r="Q450" s="658"/>
      <c r="R450" s="658"/>
      <c r="S450" s="658"/>
      <c r="T450" s="658"/>
      <c r="U450" s="658"/>
      <c r="V450" s="659"/>
      <c r="W450" s="42" t="s">
        <v>0</v>
      </c>
      <c r="X450" s="43">
        <f>IFERROR(SUM(X446:X448),"0")</f>
        <v>18</v>
      </c>
      <c r="Y450" s="43">
        <f>IFERROR(SUM(Y446:Y448),"0")</f>
        <v>18</v>
      </c>
      <c r="Z450" s="42"/>
      <c r="AA450" s="67"/>
      <c r="AB450" s="67"/>
      <c r="AC450" s="67"/>
    </row>
    <row r="451" spans="1:68" ht="14.25" hidden="1" customHeight="1" x14ac:dyDescent="0.25">
      <c r="A451" s="667" t="s">
        <v>175</v>
      </c>
      <c r="B451" s="667"/>
      <c r="C451" s="667"/>
      <c r="D451" s="667"/>
      <c r="E451" s="667"/>
      <c r="F451" s="667"/>
      <c r="G451" s="667"/>
      <c r="H451" s="667"/>
      <c r="I451" s="667"/>
      <c r="J451" s="667"/>
      <c r="K451" s="667"/>
      <c r="L451" s="667"/>
      <c r="M451" s="667"/>
      <c r="N451" s="667"/>
      <c r="O451" s="667"/>
      <c r="P451" s="667"/>
      <c r="Q451" s="667"/>
      <c r="R451" s="667"/>
      <c r="S451" s="667"/>
      <c r="T451" s="667"/>
      <c r="U451" s="667"/>
      <c r="V451" s="667"/>
      <c r="W451" s="667"/>
      <c r="X451" s="667"/>
      <c r="Y451" s="667"/>
      <c r="Z451" s="667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653">
        <v>4680115889545</v>
      </c>
      <c r="E452" s="653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5"/>
      <c r="R452" s="655"/>
      <c r="S452" s="655"/>
      <c r="T452" s="656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653">
        <v>4607091384673</v>
      </c>
      <c r="E453" s="653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5"/>
      <c r="R453" s="655"/>
      <c r="S453" s="655"/>
      <c r="T453" s="65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60"/>
      <c r="B455" s="660"/>
      <c r="C455" s="660"/>
      <c r="D455" s="660"/>
      <c r="E455" s="660"/>
      <c r="F455" s="660"/>
      <c r="G455" s="660"/>
      <c r="H455" s="660"/>
      <c r="I455" s="660"/>
      <c r="J455" s="660"/>
      <c r="K455" s="660"/>
      <c r="L455" s="660"/>
      <c r="M455" s="660"/>
      <c r="N455" s="660"/>
      <c r="O455" s="661"/>
      <c r="P455" s="657" t="s">
        <v>40</v>
      </c>
      <c r="Q455" s="658"/>
      <c r="R455" s="658"/>
      <c r="S455" s="658"/>
      <c r="T455" s="658"/>
      <c r="U455" s="658"/>
      <c r="V455" s="659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671" t="s">
        <v>747</v>
      </c>
      <c r="B456" s="671"/>
      <c r="C456" s="671"/>
      <c r="D456" s="671"/>
      <c r="E456" s="671"/>
      <c r="F456" s="671"/>
      <c r="G456" s="671"/>
      <c r="H456" s="671"/>
      <c r="I456" s="671"/>
      <c r="J456" s="671"/>
      <c r="K456" s="671"/>
      <c r="L456" s="671"/>
      <c r="M456" s="671"/>
      <c r="N456" s="671"/>
      <c r="O456" s="671"/>
      <c r="P456" s="671"/>
      <c r="Q456" s="671"/>
      <c r="R456" s="671"/>
      <c r="S456" s="671"/>
      <c r="T456" s="671"/>
      <c r="U456" s="671"/>
      <c r="V456" s="671"/>
      <c r="W456" s="671"/>
      <c r="X456" s="671"/>
      <c r="Y456" s="671"/>
      <c r="Z456" s="671"/>
      <c r="AA456" s="65"/>
      <c r="AB456" s="65"/>
      <c r="AC456" s="79"/>
    </row>
    <row r="457" spans="1:68" ht="14.25" hidden="1" customHeight="1" x14ac:dyDescent="0.25">
      <c r="A457" s="667" t="s">
        <v>122</v>
      </c>
      <c r="B457" s="667"/>
      <c r="C457" s="667"/>
      <c r="D457" s="667"/>
      <c r="E457" s="667"/>
      <c r="F457" s="667"/>
      <c r="G457" s="667"/>
      <c r="H457" s="667"/>
      <c r="I457" s="667"/>
      <c r="J457" s="667"/>
      <c r="K457" s="667"/>
      <c r="L457" s="667"/>
      <c r="M457" s="667"/>
      <c r="N457" s="667"/>
      <c r="O457" s="667"/>
      <c r="P457" s="667"/>
      <c r="Q457" s="667"/>
      <c r="R457" s="667"/>
      <c r="S457" s="667"/>
      <c r="T457" s="667"/>
      <c r="U457" s="667"/>
      <c r="V457" s="667"/>
      <c r="W457" s="667"/>
      <c r="X457" s="667"/>
      <c r="Y457" s="667"/>
      <c r="Z457" s="667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653">
        <v>4680115884885</v>
      </c>
      <c r="E458" s="653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7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5"/>
      <c r="R458" s="655"/>
      <c r="S458" s="655"/>
      <c r="T458" s="65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653">
        <v>4680115884908</v>
      </c>
      <c r="E459" s="653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71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60"/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1"/>
      <c r="P460" s="657" t="s">
        <v>40</v>
      </c>
      <c r="Q460" s="658"/>
      <c r="R460" s="658"/>
      <c r="S460" s="658"/>
      <c r="T460" s="658"/>
      <c r="U460" s="658"/>
      <c r="V460" s="659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660"/>
      <c r="B461" s="660"/>
      <c r="C461" s="660"/>
      <c r="D461" s="660"/>
      <c r="E461" s="660"/>
      <c r="F461" s="660"/>
      <c r="G461" s="660"/>
      <c r="H461" s="660"/>
      <c r="I461" s="660"/>
      <c r="J461" s="660"/>
      <c r="K461" s="660"/>
      <c r="L461" s="660"/>
      <c r="M461" s="660"/>
      <c r="N461" s="660"/>
      <c r="O461" s="661"/>
      <c r="P461" s="657" t="s">
        <v>40</v>
      </c>
      <c r="Q461" s="658"/>
      <c r="R461" s="658"/>
      <c r="S461" s="658"/>
      <c r="T461" s="658"/>
      <c r="U461" s="658"/>
      <c r="V461" s="659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653">
        <v>4607091384802</v>
      </c>
      <c r="E463" s="653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7" t="s">
        <v>86</v>
      </c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7"/>
      <c r="P466" s="667"/>
      <c r="Q466" s="667"/>
      <c r="R466" s="667"/>
      <c r="S466" s="667"/>
      <c r="T466" s="667"/>
      <c r="U466" s="667"/>
      <c r="V466" s="667"/>
      <c r="W466" s="667"/>
      <c r="X466" s="667"/>
      <c r="Y466" s="667"/>
      <c r="Z466" s="667"/>
      <c r="AA466" s="66"/>
      <c r="AB466" s="66"/>
      <c r="AC466" s="80"/>
    </row>
    <row r="467" spans="1:68" ht="27" hidden="1" customHeight="1" x14ac:dyDescent="0.25">
      <c r="A467" s="63" t="s">
        <v>756</v>
      </c>
      <c r="B467" s="63" t="s">
        <v>757</v>
      </c>
      <c r="C467" s="36">
        <v>4301051899</v>
      </c>
      <c r="D467" s="653">
        <v>4607091384246</v>
      </c>
      <c r="E467" s="653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7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759</v>
      </c>
      <c r="B468" s="63" t="s">
        <v>760</v>
      </c>
      <c r="C468" s="36">
        <v>4301051660</v>
      </c>
      <c r="D468" s="653">
        <v>4607091384253</v>
      </c>
      <c r="E468" s="653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653">
        <v>4607091384253</v>
      </c>
      <c r="E469" s="653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70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5"/>
      <c r="R469" s="655"/>
      <c r="S469" s="655"/>
      <c r="T469" s="65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60"/>
      <c r="B470" s="660"/>
      <c r="C470" s="660"/>
      <c r="D470" s="660"/>
      <c r="E470" s="660"/>
      <c r="F470" s="660"/>
      <c r="G470" s="660"/>
      <c r="H470" s="660"/>
      <c r="I470" s="660"/>
      <c r="J470" s="660"/>
      <c r="K470" s="660"/>
      <c r="L470" s="660"/>
      <c r="M470" s="660"/>
      <c r="N470" s="660"/>
      <c r="O470" s="661"/>
      <c r="P470" s="657" t="s">
        <v>40</v>
      </c>
      <c r="Q470" s="658"/>
      <c r="R470" s="658"/>
      <c r="S470" s="658"/>
      <c r="T470" s="658"/>
      <c r="U470" s="658"/>
      <c r="V470" s="659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hidden="1" x14ac:dyDescent="0.2">
      <c r="A471" s="660"/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1"/>
      <c r="P471" s="657" t="s">
        <v>40</v>
      </c>
      <c r="Q471" s="658"/>
      <c r="R471" s="658"/>
      <c r="S471" s="658"/>
      <c r="T471" s="658"/>
      <c r="U471" s="658"/>
      <c r="V471" s="659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hidden="1" customHeight="1" x14ac:dyDescent="0.2">
      <c r="A472" s="682" t="s">
        <v>763</v>
      </c>
      <c r="B472" s="682"/>
      <c r="C472" s="682"/>
      <c r="D472" s="682"/>
      <c r="E472" s="682"/>
      <c r="F472" s="682"/>
      <c r="G472" s="682"/>
      <c r="H472" s="682"/>
      <c r="I472" s="682"/>
      <c r="J472" s="682"/>
      <c r="K472" s="682"/>
      <c r="L472" s="682"/>
      <c r="M472" s="682"/>
      <c r="N472" s="682"/>
      <c r="O472" s="682"/>
      <c r="P472" s="682"/>
      <c r="Q472" s="682"/>
      <c r="R472" s="682"/>
      <c r="S472" s="682"/>
      <c r="T472" s="682"/>
      <c r="U472" s="682"/>
      <c r="V472" s="682"/>
      <c r="W472" s="682"/>
      <c r="X472" s="682"/>
      <c r="Y472" s="682"/>
      <c r="Z472" s="682"/>
      <c r="AA472" s="54"/>
      <c r="AB472" s="54"/>
      <c r="AC472" s="54"/>
    </row>
    <row r="473" spans="1:68" ht="16.5" hidden="1" customHeight="1" x14ac:dyDescent="0.25">
      <c r="A473" s="671" t="s">
        <v>764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"/>
      <c r="AB473" s="65"/>
      <c r="AC473" s="79"/>
    </row>
    <row r="474" spans="1:68" ht="14.25" hidden="1" customHeight="1" x14ac:dyDescent="0.25">
      <c r="A474" s="667" t="s">
        <v>77</v>
      </c>
      <c r="B474" s="667"/>
      <c r="C474" s="667"/>
      <c r="D474" s="667"/>
      <c r="E474" s="667"/>
      <c r="F474" s="667"/>
      <c r="G474" s="667"/>
      <c r="H474" s="667"/>
      <c r="I474" s="667"/>
      <c r="J474" s="667"/>
      <c r="K474" s="667"/>
      <c r="L474" s="667"/>
      <c r="M474" s="667"/>
      <c r="N474" s="667"/>
      <c r="O474" s="667"/>
      <c r="P474" s="667"/>
      <c r="Q474" s="667"/>
      <c r="R474" s="667"/>
      <c r="S474" s="667"/>
      <c r="T474" s="667"/>
      <c r="U474" s="667"/>
      <c r="V474" s="667"/>
      <c r="W474" s="667"/>
      <c r="X474" s="667"/>
      <c r="Y474" s="667"/>
      <c r="Z474" s="667"/>
      <c r="AA474" s="66"/>
      <c r="AB474" s="66"/>
      <c r="AC474" s="80"/>
    </row>
    <row r="475" spans="1:68" ht="27" hidden="1" customHeight="1" x14ac:dyDescent="0.25">
      <c r="A475" s="63" t="s">
        <v>765</v>
      </c>
      <c r="B475" s="63" t="s">
        <v>766</v>
      </c>
      <c r="C475" s="36">
        <v>4301031405</v>
      </c>
      <c r="D475" s="653">
        <v>4680115886100</v>
      </c>
      <c r="E475" s="653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7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hidden="1" customHeight="1" x14ac:dyDescent="0.25">
      <c r="A476" s="63" t="s">
        <v>768</v>
      </c>
      <c r="B476" s="63" t="s">
        <v>769</v>
      </c>
      <c r="C476" s="36">
        <v>4301031402</v>
      </c>
      <c r="D476" s="653">
        <v>4680115886124</v>
      </c>
      <c r="E476" s="653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7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653">
        <v>4607091384338</v>
      </c>
      <c r="E477" s="653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7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653">
        <v>4680115883161</v>
      </c>
      <c r="E478" s="653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7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653">
        <v>4607091389531</v>
      </c>
      <c r="E479" s="65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5"/>
      <c r="R479" s="655"/>
      <c r="S479" s="655"/>
      <c r="T479" s="65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653">
        <v>4607091384345</v>
      </c>
      <c r="E480" s="653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idden="1" x14ac:dyDescent="0.2">
      <c r="A481" s="660"/>
      <c r="B481" s="660"/>
      <c r="C481" s="660"/>
      <c r="D481" s="660"/>
      <c r="E481" s="660"/>
      <c r="F481" s="660"/>
      <c r="G481" s="660"/>
      <c r="H481" s="660"/>
      <c r="I481" s="660"/>
      <c r="J481" s="660"/>
      <c r="K481" s="660"/>
      <c r="L481" s="660"/>
      <c r="M481" s="660"/>
      <c r="N481" s="660"/>
      <c r="O481" s="661"/>
      <c r="P481" s="657" t="s">
        <v>40</v>
      </c>
      <c r="Q481" s="658"/>
      <c r="R481" s="658"/>
      <c r="S481" s="658"/>
      <c r="T481" s="658"/>
      <c r="U481" s="658"/>
      <c r="V481" s="659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660"/>
      <c r="B482" s="660"/>
      <c r="C482" s="660"/>
      <c r="D482" s="660"/>
      <c r="E482" s="660"/>
      <c r="F482" s="660"/>
      <c r="G482" s="660"/>
      <c r="H482" s="660"/>
      <c r="I482" s="660"/>
      <c r="J482" s="660"/>
      <c r="K482" s="660"/>
      <c r="L482" s="660"/>
      <c r="M482" s="660"/>
      <c r="N482" s="660"/>
      <c r="O482" s="661"/>
      <c r="P482" s="657" t="s">
        <v>40</v>
      </c>
      <c r="Q482" s="658"/>
      <c r="R482" s="658"/>
      <c r="S482" s="658"/>
      <c r="T482" s="658"/>
      <c r="U482" s="658"/>
      <c r="V482" s="659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67" t="s">
        <v>86</v>
      </c>
      <c r="B483" s="667"/>
      <c r="C483" s="667"/>
      <c r="D483" s="667"/>
      <c r="E483" s="667"/>
      <c r="F483" s="667"/>
      <c r="G483" s="667"/>
      <c r="H483" s="667"/>
      <c r="I483" s="667"/>
      <c r="J483" s="667"/>
      <c r="K483" s="667"/>
      <c r="L483" s="667"/>
      <c r="M483" s="667"/>
      <c r="N483" s="667"/>
      <c r="O483" s="667"/>
      <c r="P483" s="667"/>
      <c r="Q483" s="667"/>
      <c r="R483" s="667"/>
      <c r="S483" s="667"/>
      <c r="T483" s="667"/>
      <c r="U483" s="667"/>
      <c r="V483" s="667"/>
      <c r="W483" s="667"/>
      <c r="X483" s="667"/>
      <c r="Y483" s="667"/>
      <c r="Z483" s="667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653">
        <v>4607091384352</v>
      </c>
      <c r="E484" s="653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70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653">
        <v>4607091389654</v>
      </c>
      <c r="E485" s="653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7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660"/>
      <c r="B487" s="660"/>
      <c r="C487" s="660"/>
      <c r="D487" s="660"/>
      <c r="E487" s="660"/>
      <c r="F487" s="660"/>
      <c r="G487" s="660"/>
      <c r="H487" s="660"/>
      <c r="I487" s="660"/>
      <c r="J487" s="660"/>
      <c r="K487" s="660"/>
      <c r="L487" s="660"/>
      <c r="M487" s="660"/>
      <c r="N487" s="660"/>
      <c r="O487" s="661"/>
      <c r="P487" s="657" t="s">
        <v>40</v>
      </c>
      <c r="Q487" s="658"/>
      <c r="R487" s="658"/>
      <c r="S487" s="658"/>
      <c r="T487" s="658"/>
      <c r="U487" s="658"/>
      <c r="V487" s="65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671" t="s">
        <v>787</v>
      </c>
      <c r="B488" s="671"/>
      <c r="C488" s="671"/>
      <c r="D488" s="671"/>
      <c r="E488" s="671"/>
      <c r="F488" s="671"/>
      <c r="G488" s="671"/>
      <c r="H488" s="671"/>
      <c r="I488" s="671"/>
      <c r="J488" s="671"/>
      <c r="K488" s="671"/>
      <c r="L488" s="671"/>
      <c r="M488" s="671"/>
      <c r="N488" s="671"/>
      <c r="O488" s="671"/>
      <c r="P488" s="671"/>
      <c r="Q488" s="671"/>
      <c r="R488" s="671"/>
      <c r="S488" s="671"/>
      <c r="T488" s="671"/>
      <c r="U488" s="671"/>
      <c r="V488" s="671"/>
      <c r="W488" s="671"/>
      <c r="X488" s="671"/>
      <c r="Y488" s="671"/>
      <c r="Z488" s="671"/>
      <c r="AA488" s="65"/>
      <c r="AB488" s="65"/>
      <c r="AC488" s="79"/>
    </row>
    <row r="489" spans="1:68" ht="14.25" hidden="1" customHeight="1" x14ac:dyDescent="0.25">
      <c r="A489" s="667" t="s">
        <v>157</v>
      </c>
      <c r="B489" s="667"/>
      <c r="C489" s="667"/>
      <c r="D489" s="667"/>
      <c r="E489" s="667"/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  <c r="Z489" s="667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653">
        <v>4680115885240</v>
      </c>
      <c r="E490" s="653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6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660"/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1"/>
      <c r="P492" s="657" t="s">
        <v>40</v>
      </c>
      <c r="Q492" s="658"/>
      <c r="R492" s="658"/>
      <c r="S492" s="658"/>
      <c r="T492" s="658"/>
      <c r="U492" s="658"/>
      <c r="V492" s="65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667" t="s">
        <v>77</v>
      </c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7"/>
      <c r="P493" s="667"/>
      <c r="Q493" s="667"/>
      <c r="R493" s="667"/>
      <c r="S493" s="667"/>
      <c r="T493" s="667"/>
      <c r="U493" s="667"/>
      <c r="V493" s="667"/>
      <c r="W493" s="667"/>
      <c r="X493" s="667"/>
      <c r="Y493" s="667"/>
      <c r="Z493" s="667"/>
      <c r="AA493" s="66"/>
      <c r="AB493" s="66"/>
      <c r="AC493" s="80"/>
    </row>
    <row r="494" spans="1:68" ht="27" hidden="1" customHeight="1" x14ac:dyDescent="0.25">
      <c r="A494" s="63" t="s">
        <v>791</v>
      </c>
      <c r="B494" s="63" t="s">
        <v>792</v>
      </c>
      <c r="C494" s="36">
        <v>4301031407</v>
      </c>
      <c r="D494" s="653">
        <v>4680115886094</v>
      </c>
      <c r="E494" s="653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6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5"/>
      <c r="R494" s="655"/>
      <c r="S494" s="655"/>
      <c r="T494" s="65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653">
        <v>4680115880771</v>
      </c>
      <c r="E495" s="653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6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5"/>
      <c r="R495" s="655"/>
      <c r="S495" s="655"/>
      <c r="T495" s="656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653">
        <v>4607091389500</v>
      </c>
      <c r="E496" s="653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69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5"/>
      <c r="R496" s="655"/>
      <c r="S496" s="655"/>
      <c r="T496" s="65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60"/>
      <c r="B497" s="660"/>
      <c r="C497" s="660"/>
      <c r="D497" s="660"/>
      <c r="E497" s="660"/>
      <c r="F497" s="660"/>
      <c r="G497" s="660"/>
      <c r="H497" s="660"/>
      <c r="I497" s="660"/>
      <c r="J497" s="660"/>
      <c r="K497" s="660"/>
      <c r="L497" s="660"/>
      <c r="M497" s="660"/>
      <c r="N497" s="660"/>
      <c r="O497" s="661"/>
      <c r="P497" s="657" t="s">
        <v>40</v>
      </c>
      <c r="Q497" s="658"/>
      <c r="R497" s="658"/>
      <c r="S497" s="658"/>
      <c r="T497" s="658"/>
      <c r="U497" s="658"/>
      <c r="V497" s="659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hidden="1" x14ac:dyDescent="0.2">
      <c r="A498" s="660"/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1"/>
      <c r="P498" s="657" t="s">
        <v>40</v>
      </c>
      <c r="Q498" s="658"/>
      <c r="R498" s="658"/>
      <c r="S498" s="658"/>
      <c r="T498" s="658"/>
      <c r="U498" s="658"/>
      <c r="V498" s="659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hidden="1" customHeight="1" x14ac:dyDescent="0.2">
      <c r="A499" s="682" t="s">
        <v>799</v>
      </c>
      <c r="B499" s="682"/>
      <c r="C499" s="682"/>
      <c r="D499" s="682"/>
      <c r="E499" s="682"/>
      <c r="F499" s="682"/>
      <c r="G499" s="682"/>
      <c r="H499" s="682"/>
      <c r="I499" s="682"/>
      <c r="J499" s="682"/>
      <c r="K499" s="682"/>
      <c r="L499" s="682"/>
      <c r="M499" s="682"/>
      <c r="N499" s="682"/>
      <c r="O499" s="682"/>
      <c r="P499" s="682"/>
      <c r="Q499" s="682"/>
      <c r="R499" s="682"/>
      <c r="S499" s="682"/>
      <c r="T499" s="682"/>
      <c r="U499" s="682"/>
      <c r="V499" s="682"/>
      <c r="W499" s="682"/>
      <c r="X499" s="682"/>
      <c r="Y499" s="682"/>
      <c r="Z499" s="682"/>
      <c r="AA499" s="54"/>
      <c r="AB499" s="54"/>
      <c r="AC499" s="54"/>
    </row>
    <row r="500" spans="1:68" ht="16.5" hidden="1" customHeight="1" x14ac:dyDescent="0.25">
      <c r="A500" s="671" t="s">
        <v>799</v>
      </c>
      <c r="B500" s="671"/>
      <c r="C500" s="671"/>
      <c r="D500" s="671"/>
      <c r="E500" s="671"/>
      <c r="F500" s="671"/>
      <c r="G500" s="671"/>
      <c r="H500" s="671"/>
      <c r="I500" s="671"/>
      <c r="J500" s="671"/>
      <c r="K500" s="671"/>
      <c r="L500" s="671"/>
      <c r="M500" s="671"/>
      <c r="N500" s="671"/>
      <c r="O500" s="671"/>
      <c r="P500" s="671"/>
      <c r="Q500" s="671"/>
      <c r="R500" s="671"/>
      <c r="S500" s="671"/>
      <c r="T500" s="671"/>
      <c r="U500" s="671"/>
      <c r="V500" s="671"/>
      <c r="W500" s="671"/>
      <c r="X500" s="671"/>
      <c r="Y500" s="671"/>
      <c r="Z500" s="671"/>
      <c r="AA500" s="65"/>
      <c r="AB500" s="65"/>
      <c r="AC500" s="79"/>
    </row>
    <row r="501" spans="1:68" ht="14.25" hidden="1" customHeight="1" x14ac:dyDescent="0.25">
      <c r="A501" s="667" t="s">
        <v>122</v>
      </c>
      <c r="B501" s="667"/>
      <c r="C501" s="667"/>
      <c r="D501" s="667"/>
      <c r="E501" s="667"/>
      <c r="F501" s="667"/>
      <c r="G501" s="667"/>
      <c r="H501" s="667"/>
      <c r="I501" s="667"/>
      <c r="J501" s="667"/>
      <c r="K501" s="667"/>
      <c r="L501" s="667"/>
      <c r="M501" s="667"/>
      <c r="N501" s="667"/>
      <c r="O501" s="667"/>
      <c r="P501" s="667"/>
      <c r="Q501" s="667"/>
      <c r="R501" s="667"/>
      <c r="S501" s="667"/>
      <c r="T501" s="667"/>
      <c r="U501" s="667"/>
      <c r="V501" s="667"/>
      <c r="W501" s="667"/>
      <c r="X501" s="667"/>
      <c r="Y501" s="667"/>
      <c r="Z501" s="667"/>
      <c r="AA501" s="66"/>
      <c r="AB501" s="66"/>
      <c r="AC501" s="80"/>
    </row>
    <row r="502" spans="1:68" ht="27" hidden="1" customHeight="1" x14ac:dyDescent="0.25">
      <c r="A502" s="63" t="s">
        <v>800</v>
      </c>
      <c r="B502" s="63" t="s">
        <v>801</v>
      </c>
      <c r="C502" s="36">
        <v>4301011769</v>
      </c>
      <c r="D502" s="653">
        <v>4607091389067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6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653">
        <v>4680115889576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4301011961</v>
      </c>
      <c r="D504" s="653">
        <v>4680115885271</v>
      </c>
      <c r="E504" s="65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customHeight="1" x14ac:dyDescent="0.25">
      <c r="A505" s="63" t="s">
        <v>808</v>
      </c>
      <c r="B505" s="63" t="s">
        <v>809</v>
      </c>
      <c r="C505" s="36">
        <v>4301011369</v>
      </c>
      <c r="D505" s="653">
        <v>4680115885226</v>
      </c>
      <c r="E505" s="65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105.6</v>
      </c>
      <c r="Y505" s="55">
        <f t="shared" si="78"/>
        <v>105.60000000000001</v>
      </c>
      <c r="Z505" s="41">
        <f t="shared" si="79"/>
        <v>0.2392</v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112.59999999999998</v>
      </c>
      <c r="BN505" s="78">
        <f t="shared" si="81"/>
        <v>112.6</v>
      </c>
      <c r="BO505" s="78">
        <f t="shared" si="82"/>
        <v>0.19230769230769229</v>
      </c>
      <c r="BP505" s="78">
        <f t="shared" si="83"/>
        <v>0.19230769230769232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653">
        <v>4680115884502</v>
      </c>
      <c r="E506" s="65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653">
        <v>4607091389104</v>
      </c>
      <c r="E507" s="65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5"/>
      <c r="R507" s="655"/>
      <c r="S507" s="655"/>
      <c r="T507" s="656"/>
      <c r="U507" s="39" t="s">
        <v>46</v>
      </c>
      <c r="V507" s="39" t="s">
        <v>46</v>
      </c>
      <c r="W507" s="40" t="s">
        <v>0</v>
      </c>
      <c r="X507" s="58">
        <v>79.2</v>
      </c>
      <c r="Y507" s="55">
        <f t="shared" si="78"/>
        <v>79.2</v>
      </c>
      <c r="Z507" s="41">
        <f t="shared" si="79"/>
        <v>0.1794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84.45</v>
      </c>
      <c r="BN507" s="78">
        <f t="shared" si="81"/>
        <v>84.45</v>
      </c>
      <c r="BO507" s="78">
        <f t="shared" si="82"/>
        <v>0.14423076923076925</v>
      </c>
      <c r="BP507" s="78">
        <f t="shared" si="83"/>
        <v>0.14423076923076925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653">
        <v>4680115886391</v>
      </c>
      <c r="E508" s="653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6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5"/>
      <c r="R508" s="655"/>
      <c r="S508" s="655"/>
      <c r="T508" s="65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4301012048</v>
      </c>
      <c r="D509" s="653">
        <v>4680115880603</v>
      </c>
      <c r="E509" s="653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6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5"/>
      <c r="R509" s="655"/>
      <c r="S509" s="655"/>
      <c r="T509" s="65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4301012034</v>
      </c>
      <c r="D510" s="653">
        <v>4607091389982</v>
      </c>
      <c r="E510" s="653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6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660"/>
      <c r="B511" s="660"/>
      <c r="C511" s="660"/>
      <c r="D511" s="660"/>
      <c r="E511" s="660"/>
      <c r="F511" s="660"/>
      <c r="G511" s="660"/>
      <c r="H511" s="660"/>
      <c r="I511" s="660"/>
      <c r="J511" s="660"/>
      <c r="K511" s="660"/>
      <c r="L511" s="660"/>
      <c r="M511" s="660"/>
      <c r="N511" s="660"/>
      <c r="O511" s="661"/>
      <c r="P511" s="657" t="s">
        <v>40</v>
      </c>
      <c r="Q511" s="658"/>
      <c r="R511" s="658"/>
      <c r="S511" s="658"/>
      <c r="T511" s="658"/>
      <c r="U511" s="658"/>
      <c r="V511" s="659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35</v>
      </c>
      <c r="Y511" s="43">
        <f>IFERROR(Y502/H502,"0")+IFERROR(Y503/H503,"0")+IFERROR(Y504/H504,"0")+IFERROR(Y505/H505,"0")+IFERROR(Y506/H506,"0")+IFERROR(Y507/H507,"0")+IFERROR(Y508/H508,"0")+IFERROR(Y509/H509,"0")+IFERROR(Y510/H510,"0")</f>
        <v>35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0.41859999999999997</v>
      </c>
      <c r="AA511" s="67"/>
      <c r="AB511" s="67"/>
      <c r="AC511" s="67"/>
    </row>
    <row r="512" spans="1:68" x14ac:dyDescent="0.2">
      <c r="A512" s="660"/>
      <c r="B512" s="660"/>
      <c r="C512" s="660"/>
      <c r="D512" s="660"/>
      <c r="E512" s="660"/>
      <c r="F512" s="660"/>
      <c r="G512" s="660"/>
      <c r="H512" s="660"/>
      <c r="I512" s="660"/>
      <c r="J512" s="660"/>
      <c r="K512" s="660"/>
      <c r="L512" s="660"/>
      <c r="M512" s="660"/>
      <c r="N512" s="660"/>
      <c r="O512" s="661"/>
      <c r="P512" s="657" t="s">
        <v>40</v>
      </c>
      <c r="Q512" s="658"/>
      <c r="R512" s="658"/>
      <c r="S512" s="658"/>
      <c r="T512" s="658"/>
      <c r="U512" s="658"/>
      <c r="V512" s="659"/>
      <c r="W512" s="42" t="s">
        <v>0</v>
      </c>
      <c r="X512" s="43">
        <f>IFERROR(SUM(X502:X510),"0")</f>
        <v>184.8</v>
      </c>
      <c r="Y512" s="43">
        <f>IFERROR(SUM(Y502:Y510),"0")</f>
        <v>184.8</v>
      </c>
      <c r="Z512" s="42"/>
      <c r="AA512" s="67"/>
      <c r="AB512" s="67"/>
      <c r="AC512" s="67"/>
    </row>
    <row r="513" spans="1:68" ht="14.25" hidden="1" customHeight="1" x14ac:dyDescent="0.25">
      <c r="A513" s="667" t="s">
        <v>157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653">
        <v>4607091388930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105.6</v>
      </c>
      <c r="Y514" s="55">
        <f>IFERROR(IF(X514="",0,CEILING((X514/$H514),1)*$H514),"")</f>
        <v>105.60000000000001</v>
      </c>
      <c r="Z514" s="41">
        <f>IFERROR(IF(Y514=0,"",ROUNDUP(Y514/H514,0)*0.01196),"")</f>
        <v>0.2392</v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112.59999999999998</v>
      </c>
      <c r="BN514" s="78">
        <f>IFERROR(Y514*I514/H514,"0")</f>
        <v>112.6</v>
      </c>
      <c r="BO514" s="78">
        <f>IFERROR(1/J514*(X514/H514),"0")</f>
        <v>0.19230769230769229</v>
      </c>
      <c r="BP514" s="78">
        <f>IFERROR(1/J514*(Y514/H514),"0")</f>
        <v>0.19230769230769232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653">
        <v>4680115886407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68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653">
        <v>4680115880054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68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660"/>
      <c r="B517" s="660"/>
      <c r="C517" s="660"/>
      <c r="D517" s="660"/>
      <c r="E517" s="660"/>
      <c r="F517" s="660"/>
      <c r="G517" s="660"/>
      <c r="H517" s="660"/>
      <c r="I517" s="660"/>
      <c r="J517" s="660"/>
      <c r="K517" s="660"/>
      <c r="L517" s="660"/>
      <c r="M517" s="660"/>
      <c r="N517" s="660"/>
      <c r="O517" s="661"/>
      <c r="P517" s="657" t="s">
        <v>40</v>
      </c>
      <c r="Q517" s="658"/>
      <c r="R517" s="658"/>
      <c r="S517" s="658"/>
      <c r="T517" s="658"/>
      <c r="U517" s="658"/>
      <c r="V517" s="659"/>
      <c r="W517" s="42" t="s">
        <v>39</v>
      </c>
      <c r="X517" s="43">
        <f>IFERROR(X514/H514,"0")+IFERROR(X515/H515,"0")+IFERROR(X516/H516,"0")</f>
        <v>19.999999999999996</v>
      </c>
      <c r="Y517" s="43">
        <f>IFERROR(Y514/H514,"0")+IFERROR(Y515/H515,"0")+IFERROR(Y516/H516,"0")</f>
        <v>20</v>
      </c>
      <c r="Z517" s="43">
        <f>IFERROR(IF(Z514="",0,Z514),"0")+IFERROR(IF(Z515="",0,Z515),"0")+IFERROR(IF(Z516="",0,Z516),"0")</f>
        <v>0.2392</v>
      </c>
      <c r="AA517" s="67"/>
      <c r="AB517" s="67"/>
      <c r="AC517" s="67"/>
    </row>
    <row r="518" spans="1:68" x14ac:dyDescent="0.2">
      <c r="A518" s="660"/>
      <c r="B518" s="660"/>
      <c r="C518" s="660"/>
      <c r="D518" s="660"/>
      <c r="E518" s="660"/>
      <c r="F518" s="660"/>
      <c r="G518" s="660"/>
      <c r="H518" s="660"/>
      <c r="I518" s="660"/>
      <c r="J518" s="660"/>
      <c r="K518" s="660"/>
      <c r="L518" s="660"/>
      <c r="M518" s="660"/>
      <c r="N518" s="660"/>
      <c r="O518" s="661"/>
      <c r="P518" s="657" t="s">
        <v>40</v>
      </c>
      <c r="Q518" s="658"/>
      <c r="R518" s="658"/>
      <c r="S518" s="658"/>
      <c r="T518" s="658"/>
      <c r="U518" s="658"/>
      <c r="V518" s="659"/>
      <c r="W518" s="42" t="s">
        <v>0</v>
      </c>
      <c r="X518" s="43">
        <f>IFERROR(SUM(X514:X516),"0")</f>
        <v>105.6</v>
      </c>
      <c r="Y518" s="43">
        <f>IFERROR(SUM(Y514:Y516),"0")</f>
        <v>105.60000000000001</v>
      </c>
      <c r="Z518" s="42"/>
      <c r="AA518" s="67"/>
      <c r="AB518" s="67"/>
      <c r="AC518" s="67"/>
    </row>
    <row r="519" spans="1:68" ht="14.25" hidden="1" customHeight="1" x14ac:dyDescent="0.25">
      <c r="A519" s="667" t="s">
        <v>77</v>
      </c>
      <c r="B519" s="667"/>
      <c r="C519" s="667"/>
      <c r="D519" s="667"/>
      <c r="E519" s="667"/>
      <c r="F519" s="667"/>
      <c r="G519" s="667"/>
      <c r="H519" s="667"/>
      <c r="I519" s="667"/>
      <c r="J519" s="667"/>
      <c r="K519" s="667"/>
      <c r="L519" s="667"/>
      <c r="M519" s="667"/>
      <c r="N519" s="667"/>
      <c r="O519" s="667"/>
      <c r="P519" s="667"/>
      <c r="Q519" s="667"/>
      <c r="R519" s="667"/>
      <c r="S519" s="667"/>
      <c r="T519" s="667"/>
      <c r="U519" s="667"/>
      <c r="V519" s="667"/>
      <c r="W519" s="667"/>
      <c r="X519" s="667"/>
      <c r="Y519" s="667"/>
      <c r="Z519" s="667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4301031349</v>
      </c>
      <c r="D520" s="653">
        <v>4680115883116</v>
      </c>
      <c r="E520" s="653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6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ref="Y520:Y526" si="84"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0</v>
      </c>
      <c r="BN520" s="78">
        <f t="shared" ref="BN520:BN526" si="86">IFERROR(Y520*I520/H520,"0")</f>
        <v>0</v>
      </c>
      <c r="BO520" s="78">
        <f t="shared" ref="BO520:BO526" si="87">IFERROR(1/J520*(X520/H520),"0")</f>
        <v>0</v>
      </c>
      <c r="BP520" s="78">
        <f t="shared" ref="BP520:BP526" si="88">IFERROR(1/J520*(Y520/H520),"0")</f>
        <v>0</v>
      </c>
    </row>
    <row r="521" spans="1:68" ht="27" customHeight="1" x14ac:dyDescent="0.25">
      <c r="A521" s="63" t="s">
        <v>833</v>
      </c>
      <c r="B521" s="63" t="s">
        <v>834</v>
      </c>
      <c r="C521" s="36">
        <v>4301031350</v>
      </c>
      <c r="D521" s="653">
        <v>4680115883093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52.8</v>
      </c>
      <c r="Y521" s="55">
        <f t="shared" si="84"/>
        <v>52.800000000000004</v>
      </c>
      <c r="Z521" s="41">
        <f>IFERROR(IF(Y521=0,"",ROUNDUP(Y521/H521,0)*0.01196),"")</f>
        <v>0.1196</v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56.29999999999999</v>
      </c>
      <c r="BN521" s="78">
        <f t="shared" si="86"/>
        <v>56.3</v>
      </c>
      <c r="BO521" s="78">
        <f t="shared" si="87"/>
        <v>9.6153846153846145E-2</v>
      </c>
      <c r="BP521" s="78">
        <f t="shared" si="88"/>
        <v>9.6153846153846159E-2</v>
      </c>
    </row>
    <row r="522" spans="1:68" ht="27" customHeight="1" x14ac:dyDescent="0.25">
      <c r="A522" s="63" t="s">
        <v>836</v>
      </c>
      <c r="B522" s="63" t="s">
        <v>837</v>
      </c>
      <c r="C522" s="36">
        <v>4301031353</v>
      </c>
      <c r="D522" s="653">
        <v>4680115883109</v>
      </c>
      <c r="E522" s="65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67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79.2</v>
      </c>
      <c r="Y522" s="55">
        <f t="shared" si="84"/>
        <v>79.2</v>
      </c>
      <c r="Z522" s="41">
        <f>IFERROR(IF(Y522=0,"",ROUNDUP(Y522/H522,0)*0.01196),"")</f>
        <v>0.1794</v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84.45</v>
      </c>
      <c r="BN522" s="78">
        <f t="shared" si="86"/>
        <v>84.45</v>
      </c>
      <c r="BO522" s="78">
        <f t="shared" si="87"/>
        <v>0.14423076923076925</v>
      </c>
      <c r="BP522" s="78">
        <f t="shared" si="88"/>
        <v>0.14423076923076925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653">
        <v>4680115882072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7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653">
        <v>4680115882102</v>
      </c>
      <c r="E524" s="653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5"/>
      <c r="R524" s="655"/>
      <c r="S524" s="655"/>
      <c r="T524" s="65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653">
        <v>4680115882102</v>
      </c>
      <c r="E525" s="653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6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5"/>
      <c r="R525" s="655"/>
      <c r="S525" s="655"/>
      <c r="T525" s="65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653">
        <v>4680115882096</v>
      </c>
      <c r="E526" s="653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5"/>
      <c r="R526" s="655"/>
      <c r="S526" s="655"/>
      <c r="T526" s="65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x14ac:dyDescent="0.2">
      <c r="A527" s="660"/>
      <c r="B527" s="660"/>
      <c r="C527" s="660"/>
      <c r="D527" s="660"/>
      <c r="E527" s="660"/>
      <c r="F527" s="660"/>
      <c r="G527" s="660"/>
      <c r="H527" s="660"/>
      <c r="I527" s="660"/>
      <c r="J527" s="660"/>
      <c r="K527" s="660"/>
      <c r="L527" s="660"/>
      <c r="M527" s="660"/>
      <c r="N527" s="660"/>
      <c r="O527" s="661"/>
      <c r="P527" s="657" t="s">
        <v>40</v>
      </c>
      <c r="Q527" s="658"/>
      <c r="R527" s="658"/>
      <c r="S527" s="658"/>
      <c r="T527" s="658"/>
      <c r="U527" s="658"/>
      <c r="V527" s="659"/>
      <c r="W527" s="42" t="s">
        <v>39</v>
      </c>
      <c r="X527" s="43">
        <f>IFERROR(X520/H520,"0")+IFERROR(X521/H521,"0")+IFERROR(X522/H522,"0")+IFERROR(X523/H523,"0")+IFERROR(X524/H524,"0")+IFERROR(X525/H525,"0")+IFERROR(X526/H526,"0")</f>
        <v>25</v>
      </c>
      <c r="Y527" s="43">
        <f>IFERROR(Y520/H520,"0")+IFERROR(Y521/H521,"0")+IFERROR(Y522/H522,"0")+IFERROR(Y523/H523,"0")+IFERROR(Y524/H524,"0")+IFERROR(Y525/H525,"0")+IFERROR(Y526/H526,"0")</f>
        <v>25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0.29899999999999999</v>
      </c>
      <c r="AA527" s="67"/>
      <c r="AB527" s="67"/>
      <c r="AC527" s="67"/>
    </row>
    <row r="528" spans="1:68" x14ac:dyDescent="0.2">
      <c r="A528" s="660"/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1"/>
      <c r="P528" s="657" t="s">
        <v>40</v>
      </c>
      <c r="Q528" s="658"/>
      <c r="R528" s="658"/>
      <c r="S528" s="658"/>
      <c r="T528" s="658"/>
      <c r="U528" s="658"/>
      <c r="V528" s="659"/>
      <c r="W528" s="42" t="s">
        <v>0</v>
      </c>
      <c r="X528" s="43">
        <f>IFERROR(SUM(X520:X526),"0")</f>
        <v>132</v>
      </c>
      <c r="Y528" s="43">
        <f>IFERROR(SUM(Y520:Y526),"0")</f>
        <v>132</v>
      </c>
      <c r="Z528" s="42"/>
      <c r="AA528" s="67"/>
      <c r="AB528" s="67"/>
      <c r="AC528" s="67"/>
    </row>
    <row r="529" spans="1:68" ht="27.75" hidden="1" customHeight="1" x14ac:dyDescent="0.2">
      <c r="A529" s="682" t="s">
        <v>846</v>
      </c>
      <c r="B529" s="682"/>
      <c r="C529" s="682"/>
      <c r="D529" s="682"/>
      <c r="E529" s="682"/>
      <c r="F529" s="682"/>
      <c r="G529" s="682"/>
      <c r="H529" s="682"/>
      <c r="I529" s="682"/>
      <c r="J529" s="682"/>
      <c r="K529" s="682"/>
      <c r="L529" s="682"/>
      <c r="M529" s="682"/>
      <c r="N529" s="682"/>
      <c r="O529" s="682"/>
      <c r="P529" s="682"/>
      <c r="Q529" s="682"/>
      <c r="R529" s="682"/>
      <c r="S529" s="682"/>
      <c r="T529" s="682"/>
      <c r="U529" s="682"/>
      <c r="V529" s="682"/>
      <c r="W529" s="682"/>
      <c r="X529" s="682"/>
      <c r="Y529" s="682"/>
      <c r="Z529" s="682"/>
      <c r="AA529" s="54"/>
      <c r="AB529" s="54"/>
      <c r="AC529" s="54"/>
    </row>
    <row r="530" spans="1:68" ht="16.5" hidden="1" customHeight="1" x14ac:dyDescent="0.25">
      <c r="A530" s="671" t="s">
        <v>846</v>
      </c>
      <c r="B530" s="671"/>
      <c r="C530" s="671"/>
      <c r="D530" s="671"/>
      <c r="E530" s="671"/>
      <c r="F530" s="671"/>
      <c r="G530" s="671"/>
      <c r="H530" s="671"/>
      <c r="I530" s="671"/>
      <c r="J530" s="671"/>
      <c r="K530" s="671"/>
      <c r="L530" s="671"/>
      <c r="M530" s="671"/>
      <c r="N530" s="671"/>
      <c r="O530" s="671"/>
      <c r="P530" s="671"/>
      <c r="Q530" s="671"/>
      <c r="R530" s="671"/>
      <c r="S530" s="671"/>
      <c r="T530" s="671"/>
      <c r="U530" s="671"/>
      <c r="V530" s="671"/>
      <c r="W530" s="671"/>
      <c r="X530" s="671"/>
      <c r="Y530" s="671"/>
      <c r="Z530" s="671"/>
      <c r="AA530" s="65"/>
      <c r="AB530" s="65"/>
      <c r="AC530" s="79"/>
    </row>
    <row r="531" spans="1:68" ht="14.25" hidden="1" customHeight="1" x14ac:dyDescent="0.25">
      <c r="A531" s="667" t="s">
        <v>122</v>
      </c>
      <c r="B531" s="667"/>
      <c r="C531" s="667"/>
      <c r="D531" s="667"/>
      <c r="E531" s="667"/>
      <c r="F531" s="667"/>
      <c r="G531" s="667"/>
      <c r="H531" s="667"/>
      <c r="I531" s="667"/>
      <c r="J531" s="667"/>
      <c r="K531" s="667"/>
      <c r="L531" s="667"/>
      <c r="M531" s="667"/>
      <c r="N531" s="667"/>
      <c r="O531" s="667"/>
      <c r="P531" s="667"/>
      <c r="Q531" s="667"/>
      <c r="R531" s="667"/>
      <c r="S531" s="667"/>
      <c r="T531" s="667"/>
      <c r="U531" s="667"/>
      <c r="V531" s="667"/>
      <c r="W531" s="667"/>
      <c r="X531" s="667"/>
      <c r="Y531" s="667"/>
      <c r="Z531" s="667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653">
        <v>4640242180564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67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60"/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1"/>
      <c r="P533" s="657" t="s">
        <v>40</v>
      </c>
      <c r="Q533" s="658"/>
      <c r="R533" s="658"/>
      <c r="S533" s="658"/>
      <c r="T533" s="658"/>
      <c r="U533" s="658"/>
      <c r="V533" s="659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60"/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1"/>
      <c r="P534" s="657" t="s">
        <v>40</v>
      </c>
      <c r="Q534" s="658"/>
      <c r="R534" s="658"/>
      <c r="S534" s="658"/>
      <c r="T534" s="658"/>
      <c r="U534" s="658"/>
      <c r="V534" s="659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67" t="s">
        <v>157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653">
        <v>4640242180519</v>
      </c>
      <c r="E536" s="653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7" t="s">
        <v>77</v>
      </c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7"/>
      <c r="P539" s="667"/>
      <c r="Q539" s="667"/>
      <c r="R539" s="667"/>
      <c r="S539" s="667"/>
      <c r="T539" s="667"/>
      <c r="U539" s="667"/>
      <c r="V539" s="667"/>
      <c r="W539" s="667"/>
      <c r="X539" s="667"/>
      <c r="Y539" s="667"/>
      <c r="Z539" s="667"/>
      <c r="AA539" s="66"/>
      <c r="AB539" s="66"/>
      <c r="AC539" s="80"/>
    </row>
    <row r="540" spans="1:68" ht="27" customHeight="1" x14ac:dyDescent="0.25">
      <c r="A540" s="63" t="s">
        <v>853</v>
      </c>
      <c r="B540" s="63" t="s">
        <v>854</v>
      </c>
      <c r="C540" s="36">
        <v>4301031500</v>
      </c>
      <c r="D540" s="653">
        <v>4640242180595</v>
      </c>
      <c r="E540" s="653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42</v>
      </c>
      <c r="Y540" s="55">
        <f>IFERROR(IF(X540="",0,CEILING((X540/$H540),1)*$H540),"")</f>
        <v>42</v>
      </c>
      <c r="Z540" s="41">
        <f>IFERROR(IF(Y540=0,"",ROUNDUP(Y540/H540,0)*0.00902),"")</f>
        <v>9.0200000000000002E-2</v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44.5</v>
      </c>
      <c r="BN540" s="78">
        <f>IFERROR(Y540*I540/H540,"0")</f>
        <v>44.5</v>
      </c>
      <c r="BO540" s="78">
        <f>IFERROR(1/J540*(X540/H540),"0")</f>
        <v>7.575757575757576E-2</v>
      </c>
      <c r="BP540" s="78">
        <f>IFERROR(1/J540*(Y540/H540),"0")</f>
        <v>7.575757575757576E-2</v>
      </c>
    </row>
    <row r="541" spans="1:68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10</v>
      </c>
      <c r="Y541" s="43">
        <f>IFERROR(Y540/H540,"0")</f>
        <v>10</v>
      </c>
      <c r="Z541" s="43">
        <f>IFERROR(IF(Z540="",0,Z540),"0")</f>
        <v>9.0200000000000002E-2</v>
      </c>
      <c r="AA541" s="67"/>
      <c r="AB541" s="67"/>
      <c r="AC541" s="67"/>
    </row>
    <row r="542" spans="1:68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42</v>
      </c>
      <c r="Y542" s="43">
        <f>IFERROR(SUM(Y540:Y540),"0")</f>
        <v>42</v>
      </c>
      <c r="Z542" s="42"/>
      <c r="AA542" s="67"/>
      <c r="AB542" s="67"/>
      <c r="AC542" s="67"/>
    </row>
    <row r="543" spans="1:68" ht="14.25" hidden="1" customHeight="1" x14ac:dyDescent="0.25">
      <c r="A543" s="667" t="s">
        <v>86</v>
      </c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7"/>
      <c r="P543" s="667"/>
      <c r="Q543" s="667"/>
      <c r="R543" s="667"/>
      <c r="S543" s="667"/>
      <c r="T543" s="667"/>
      <c r="U543" s="667"/>
      <c r="V543" s="667"/>
      <c r="W543" s="667"/>
      <c r="X543" s="667"/>
      <c r="Y543" s="667"/>
      <c r="Z543" s="667"/>
      <c r="AA543" s="66"/>
      <c r="AB543" s="66"/>
      <c r="AC543" s="80"/>
    </row>
    <row r="544" spans="1:68" ht="27" hidden="1" customHeight="1" x14ac:dyDescent="0.25">
      <c r="A544" s="63" t="s">
        <v>856</v>
      </c>
      <c r="B544" s="63" t="s">
        <v>857</v>
      </c>
      <c r="C544" s="36">
        <v>4301052043</v>
      </c>
      <c r="D544" s="653">
        <v>4640242180533</v>
      </c>
      <c r="E544" s="653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66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7" t="s">
        <v>175</v>
      </c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7"/>
      <c r="P547" s="667"/>
      <c r="Q547" s="667"/>
      <c r="R547" s="667"/>
      <c r="S547" s="667"/>
      <c r="T547" s="667"/>
      <c r="U547" s="667"/>
      <c r="V547" s="667"/>
      <c r="W547" s="667"/>
      <c r="X547" s="667"/>
      <c r="Y547" s="667"/>
      <c r="Z547" s="667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653">
        <v>4640242180120</v>
      </c>
      <c r="E548" s="653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66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5"/>
      <c r="R548" s="655"/>
      <c r="S548" s="655"/>
      <c r="T548" s="656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653">
        <v>4640242180137</v>
      </c>
      <c r="E549" s="653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67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5"/>
      <c r="R549" s="655"/>
      <c r="S549" s="655"/>
      <c r="T549" s="656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660"/>
      <c r="B551" s="660"/>
      <c r="C551" s="660"/>
      <c r="D551" s="660"/>
      <c r="E551" s="660"/>
      <c r="F551" s="660"/>
      <c r="G551" s="660"/>
      <c r="H551" s="660"/>
      <c r="I551" s="660"/>
      <c r="J551" s="660"/>
      <c r="K551" s="660"/>
      <c r="L551" s="660"/>
      <c r="M551" s="660"/>
      <c r="N551" s="660"/>
      <c r="O551" s="661"/>
      <c r="P551" s="657" t="s">
        <v>40</v>
      </c>
      <c r="Q551" s="658"/>
      <c r="R551" s="658"/>
      <c r="S551" s="658"/>
      <c r="T551" s="658"/>
      <c r="U551" s="658"/>
      <c r="V551" s="659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671" t="s">
        <v>865</v>
      </c>
      <c r="B552" s="671"/>
      <c r="C552" s="671"/>
      <c r="D552" s="671"/>
      <c r="E552" s="671"/>
      <c r="F552" s="671"/>
      <c r="G552" s="671"/>
      <c r="H552" s="671"/>
      <c r="I552" s="671"/>
      <c r="J552" s="671"/>
      <c r="K552" s="671"/>
      <c r="L552" s="671"/>
      <c r="M552" s="671"/>
      <c r="N552" s="671"/>
      <c r="O552" s="671"/>
      <c r="P552" s="671"/>
      <c r="Q552" s="671"/>
      <c r="R552" s="671"/>
      <c r="S552" s="671"/>
      <c r="T552" s="671"/>
      <c r="U552" s="671"/>
      <c r="V552" s="671"/>
      <c r="W552" s="671"/>
      <c r="X552" s="671"/>
      <c r="Y552" s="671"/>
      <c r="Z552" s="671"/>
      <c r="AA552" s="65"/>
      <c r="AB552" s="65"/>
      <c r="AC552" s="79"/>
    </row>
    <row r="553" spans="1:68" ht="14.25" hidden="1" customHeight="1" x14ac:dyDescent="0.25">
      <c r="A553" s="667" t="s">
        <v>157</v>
      </c>
      <c r="B553" s="667"/>
      <c r="C553" s="667"/>
      <c r="D553" s="667"/>
      <c r="E553" s="667"/>
      <c r="F553" s="667"/>
      <c r="G553" s="667"/>
      <c r="H553" s="667"/>
      <c r="I553" s="667"/>
      <c r="J553" s="667"/>
      <c r="K553" s="667"/>
      <c r="L553" s="667"/>
      <c r="M553" s="667"/>
      <c r="N553" s="667"/>
      <c r="O553" s="667"/>
      <c r="P553" s="667"/>
      <c r="Q553" s="667"/>
      <c r="R553" s="667"/>
      <c r="S553" s="667"/>
      <c r="T553" s="667"/>
      <c r="U553" s="667"/>
      <c r="V553" s="667"/>
      <c r="W553" s="667"/>
      <c r="X553" s="667"/>
      <c r="Y553" s="667"/>
      <c r="Z553" s="667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653">
        <v>4640242180090</v>
      </c>
      <c r="E554" s="653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5"/>
      <c r="R554" s="655"/>
      <c r="S554" s="655"/>
      <c r="T554" s="656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653">
        <v>4680115889798</v>
      </c>
      <c r="E555" s="653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654" t="s">
        <v>871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660"/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1"/>
      <c r="P556" s="657" t="s">
        <v>40</v>
      </c>
      <c r="Q556" s="658"/>
      <c r="R556" s="658"/>
      <c r="S556" s="658"/>
      <c r="T556" s="658"/>
      <c r="U556" s="658"/>
      <c r="V556" s="659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660"/>
      <c r="B557" s="660"/>
      <c r="C557" s="660"/>
      <c r="D557" s="660"/>
      <c r="E557" s="660"/>
      <c r="F557" s="660"/>
      <c r="G557" s="660"/>
      <c r="H557" s="660"/>
      <c r="I557" s="660"/>
      <c r="J557" s="660"/>
      <c r="K557" s="660"/>
      <c r="L557" s="660"/>
      <c r="M557" s="660"/>
      <c r="N557" s="660"/>
      <c r="O557" s="661"/>
      <c r="P557" s="657" t="s">
        <v>40</v>
      </c>
      <c r="Q557" s="658"/>
      <c r="R557" s="658"/>
      <c r="S557" s="658"/>
      <c r="T557" s="658"/>
      <c r="U557" s="658"/>
      <c r="V557" s="659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660"/>
      <c r="B558" s="660"/>
      <c r="C558" s="660"/>
      <c r="D558" s="660"/>
      <c r="E558" s="660"/>
      <c r="F558" s="660"/>
      <c r="G558" s="660"/>
      <c r="H558" s="660"/>
      <c r="I558" s="660"/>
      <c r="J558" s="660"/>
      <c r="K558" s="660"/>
      <c r="L558" s="660"/>
      <c r="M558" s="660"/>
      <c r="N558" s="660"/>
      <c r="O558" s="665"/>
      <c r="P558" s="662" t="s">
        <v>33</v>
      </c>
      <c r="Q558" s="663"/>
      <c r="R558" s="663"/>
      <c r="S558" s="663"/>
      <c r="T558" s="663"/>
      <c r="U558" s="663"/>
      <c r="V558" s="664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3386.4500000000003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3396.4500000000003</v>
      </c>
      <c r="Z558" s="42"/>
      <c r="AA558" s="67"/>
      <c r="AB558" s="67"/>
      <c r="AC558" s="67"/>
    </row>
    <row r="559" spans="1:68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5"/>
      <c r="P559" s="662" t="s">
        <v>34</v>
      </c>
      <c r="Q559" s="663"/>
      <c r="R559" s="663"/>
      <c r="S559" s="663"/>
      <c r="T559" s="663"/>
      <c r="U559" s="663"/>
      <c r="V559" s="664"/>
      <c r="W559" s="42" t="s">
        <v>0</v>
      </c>
      <c r="X559" s="43">
        <f>IFERROR(SUM(BM22:BM555),"0")</f>
        <v>3547.7220398860395</v>
      </c>
      <c r="Y559" s="43">
        <f>IFERROR(SUM(BN22:BN555),"0")</f>
        <v>3558.235999999999</v>
      </c>
      <c r="Z559" s="42"/>
      <c r="AA559" s="67"/>
      <c r="AB559" s="67"/>
      <c r="AC559" s="67"/>
    </row>
    <row r="560" spans="1:68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5"/>
      <c r="P560" s="662" t="s">
        <v>35</v>
      </c>
      <c r="Q560" s="663"/>
      <c r="R560" s="663"/>
      <c r="S560" s="663"/>
      <c r="T560" s="663"/>
      <c r="U560" s="663"/>
      <c r="V560" s="664"/>
      <c r="W560" s="42" t="s">
        <v>20</v>
      </c>
      <c r="X560" s="44">
        <f>ROUNDUP(SUM(BO22:BO555),0)</f>
        <v>6</v>
      </c>
      <c r="Y560" s="44">
        <f>ROUNDUP(SUM(BP22:BP555),0)</f>
        <v>6</v>
      </c>
      <c r="Z560" s="42"/>
      <c r="AA560" s="67"/>
      <c r="AB560" s="67"/>
      <c r="AC560" s="67"/>
    </row>
    <row r="561" spans="1:32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36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GrossWeightTotal+PalletQtyTotal*25</f>
        <v>3697.7220398860395</v>
      </c>
      <c r="Y561" s="43">
        <f>GrossWeightTotalR+PalletQtyTotalR*25</f>
        <v>3708.235999999999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37</v>
      </c>
      <c r="Q562" s="663"/>
      <c r="R562" s="663"/>
      <c r="S562" s="663"/>
      <c r="T562" s="663"/>
      <c r="U562" s="663"/>
      <c r="V562" s="664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418.74643874643874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420</v>
      </c>
      <c r="Z562" s="42"/>
      <c r="AA562" s="67"/>
      <c r="AB562" s="67"/>
      <c r="AC562" s="67"/>
    </row>
    <row r="563" spans="1:32" ht="14.25" hidden="1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38</v>
      </c>
      <c r="Q563" s="663"/>
      <c r="R563" s="663"/>
      <c r="S563" s="663"/>
      <c r="T563" s="663"/>
      <c r="U563" s="663"/>
      <c r="V563" s="664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6.583890000000002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650" t="s">
        <v>120</v>
      </c>
      <c r="E565" s="650" t="s">
        <v>120</v>
      </c>
      <c r="F565" s="650" t="s">
        <v>120</v>
      </c>
      <c r="G565" s="650" t="s">
        <v>120</v>
      </c>
      <c r="H565" s="650" t="s">
        <v>120</v>
      </c>
      <c r="I565" s="650" t="s">
        <v>120</v>
      </c>
      <c r="J565" s="650" t="s">
        <v>120</v>
      </c>
      <c r="K565" s="650" t="s">
        <v>344</v>
      </c>
      <c r="L565" s="650" t="s">
        <v>344</v>
      </c>
      <c r="M565" s="650" t="s">
        <v>344</v>
      </c>
      <c r="N565" s="666"/>
      <c r="O565" s="650" t="s">
        <v>344</v>
      </c>
      <c r="P565" s="650" t="s">
        <v>344</v>
      </c>
      <c r="Q565" s="650" t="s">
        <v>344</v>
      </c>
      <c r="R565" s="650" t="s">
        <v>344</v>
      </c>
      <c r="S565" s="650" t="s">
        <v>344</v>
      </c>
      <c r="T565" s="650" t="s">
        <v>344</v>
      </c>
      <c r="U565" s="650" t="s">
        <v>344</v>
      </c>
      <c r="V565" s="650" t="s">
        <v>344</v>
      </c>
      <c r="W565" s="650" t="s">
        <v>697</v>
      </c>
      <c r="X565" s="650" t="s">
        <v>697</v>
      </c>
      <c r="Y565" s="650" t="s">
        <v>763</v>
      </c>
      <c r="Z565" s="650" t="s">
        <v>763</v>
      </c>
      <c r="AA565" s="85" t="s">
        <v>799</v>
      </c>
      <c r="AB565" s="650" t="s">
        <v>846</v>
      </c>
      <c r="AC565" s="650" t="s">
        <v>846</v>
      </c>
      <c r="AF565" s="1"/>
    </row>
    <row r="566" spans="1:32" ht="14.25" customHeight="1" thickTop="1" x14ac:dyDescent="0.2">
      <c r="A566" s="651" t="s">
        <v>10</v>
      </c>
      <c r="B566" s="650" t="s">
        <v>76</v>
      </c>
      <c r="C566" s="650" t="s">
        <v>104</v>
      </c>
      <c r="D566" s="650" t="s">
        <v>121</v>
      </c>
      <c r="E566" s="650" t="s">
        <v>137</v>
      </c>
      <c r="F566" s="650" t="s">
        <v>183</v>
      </c>
      <c r="G566" s="650" t="s">
        <v>207</v>
      </c>
      <c r="H566" s="650" t="s">
        <v>247</v>
      </c>
      <c r="I566" s="650" t="s">
        <v>260</v>
      </c>
      <c r="J566" s="650" t="s">
        <v>120</v>
      </c>
      <c r="K566" s="650" t="s">
        <v>345</v>
      </c>
      <c r="L566" s="650" t="s">
        <v>366</v>
      </c>
      <c r="M566" s="650" t="s">
        <v>440</v>
      </c>
      <c r="N566" s="1"/>
      <c r="O566" s="650" t="s">
        <v>508</v>
      </c>
      <c r="P566" s="650" t="s">
        <v>541</v>
      </c>
      <c r="Q566" s="650" t="s">
        <v>557</v>
      </c>
      <c r="R566" s="650" t="s">
        <v>566</v>
      </c>
      <c r="S566" s="650" t="s">
        <v>587</v>
      </c>
      <c r="T566" s="650" t="s">
        <v>596</v>
      </c>
      <c r="U566" s="650" t="s">
        <v>680</v>
      </c>
      <c r="V566" s="650" t="s">
        <v>687</v>
      </c>
      <c r="W566" s="650" t="s">
        <v>698</v>
      </c>
      <c r="X566" s="650" t="s">
        <v>747</v>
      </c>
      <c r="Y566" s="650" t="s">
        <v>764</v>
      </c>
      <c r="Z566" s="650" t="s">
        <v>787</v>
      </c>
      <c r="AA566" s="650" t="s">
        <v>799</v>
      </c>
      <c r="AB566" s="650" t="s">
        <v>846</v>
      </c>
      <c r="AC566" s="650" t="s">
        <v>865</v>
      </c>
      <c r="AF566" s="1"/>
    </row>
    <row r="567" spans="1:32" ht="13.5" thickBot="1" x14ac:dyDescent="0.25">
      <c r="A567" s="652"/>
      <c r="B567" s="650"/>
      <c r="C567" s="650"/>
      <c r="D567" s="650"/>
      <c r="E567" s="650"/>
      <c r="F567" s="650"/>
      <c r="G567" s="650"/>
      <c r="H567" s="650"/>
      <c r="I567" s="650"/>
      <c r="J567" s="650"/>
      <c r="K567" s="650"/>
      <c r="L567" s="650"/>
      <c r="M567" s="650"/>
      <c r="N567" s="1"/>
      <c r="O567" s="650"/>
      <c r="P567" s="650"/>
      <c r="Q567" s="650"/>
      <c r="R567" s="650"/>
      <c r="S567" s="650"/>
      <c r="T567" s="650"/>
      <c r="U567" s="650"/>
      <c r="V567" s="650"/>
      <c r="W567" s="650"/>
      <c r="X567" s="650"/>
      <c r="Y567" s="650"/>
      <c r="Z567" s="650"/>
      <c r="AA567" s="650"/>
      <c r="AB567" s="650"/>
      <c r="AC567" s="650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148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172.8</v>
      </c>
      <c r="F568" s="52">
        <f>IFERROR(Y85*1,"0")+IFERROR(Y86*1,"0")+IFERROR(Y87*1,"0")+IFERROR(Y88*1,"0")+IFERROR(Y89*1,"0")+IFERROR(Y90*1,"0")+IFERROR(Y94*1,"0")+IFERROR(Y95*1,"0")+IFERROR(Y96*1,"0")+IFERROR(Y97*1,"0")</f>
        <v>175.5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162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35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2">
        <f>IFERROR(Y326*1,"0")+IFERROR(Y327*1,"0")+IFERROR(Y328*1,"0")+IFERROR(Y329*1,"0")+IFERROR(Y330*1,"0")</f>
        <v>108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1136.8500000000001</v>
      </c>
      <c r="U568" s="52">
        <f>IFERROR(Y415*1,"0")+IFERROR(Y416*1,"0")</f>
        <v>109.2</v>
      </c>
      <c r="V568" s="52">
        <f>IFERROR(Y421*1,"0")+IFERROR(Y422*1,"0")+IFERROR(Y423*1,"0")</f>
        <v>146.69999999999999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738</v>
      </c>
      <c r="X568" s="52">
        <f>IFERROR(Y458*1,"0")+IFERROR(Y459*1,"0")+IFERROR(Y463*1,"0")+IFERROR(Y467*1,"0")+IFERROR(Y468*1,"0")+IFERROR(Y469*1,"0")</f>
        <v>0</v>
      </c>
      <c r="Y568" s="52">
        <f>IFERROR(Y475*1,"0")+IFERROR(Y476*1,"0")+IFERROR(Y477*1,"0")+IFERROR(Y478*1,"0")+IFERROR(Y479*1,"0")+IFERROR(Y480*1,"0")+IFERROR(Y484*1,"0")+IFERROR(Y485*1,"0")</f>
        <v>0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422.40000000000003</v>
      </c>
      <c r="AB568" s="52">
        <f>IFERROR(Y532*1,"0")+IFERROR(Y536*1,"0")+IFERROR(Y540*1,"0")+IFERROR(Y544*1,"0")+IFERROR(Y548*1,"0")+IFERROR(Y549*1,"0")</f>
        <v>42</v>
      </c>
      <c r="AC568" s="52">
        <f>IFERROR(Y554*1,"0")+IFERROR(Y555*1,"0")</f>
        <v>0</v>
      </c>
      <c r="AF568" s="1"/>
    </row>
  </sheetData>
  <sheetProtection algorithmName="SHA-512" hashValue="wBCMApqsjMlwwSppTiXbbAyqDEKGgahPqJOJwzQYtLi6V+FuWlSznwumpUC/AQKcUu/S1N+s4561lKq6+a6Snw==" saltValue="6w9IpDUZLvOvK+YESxa8Zw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0,00"/>
        <filter val="105,60"/>
        <filter val="108,00"/>
        <filter val="12,60"/>
        <filter val="12,82"/>
        <filter val="121,50"/>
        <filter val="132,00"/>
        <filter val="146,70"/>
        <filter val="148,00"/>
        <filter val="15,00"/>
        <filter val="156,00"/>
        <filter val="162,00"/>
        <filter val="168,00"/>
        <filter val="18,00"/>
        <filter val="184,80"/>
        <filter val="198,00"/>
        <filter val="2,00"/>
        <filter val="20,00"/>
        <filter val="25,00"/>
        <filter val="27,00"/>
        <filter val="3 386,45"/>
        <filter val="3 547,72"/>
        <filter val="3 697,72"/>
        <filter val="3,00"/>
        <filter val="35,00"/>
        <filter val="40,00"/>
        <filter val="418,75"/>
        <filter val="42,00"/>
        <filter val="48,00"/>
        <filter val="5,00"/>
        <filter val="5,93"/>
        <filter val="50,00"/>
        <filter val="52,80"/>
        <filter val="54,00"/>
        <filter val="6"/>
        <filter val="6,00"/>
        <filter val="64,00"/>
        <filter val="69,00"/>
        <filter val="691,20"/>
        <filter val="7,65"/>
        <filter val="720,00"/>
        <filter val="745,20"/>
        <filter val="79,20"/>
        <filter val="84,00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Qx25jajWNY+dH4V0aKMae6nFzFxcd8ChuTBJFc76d6VQNDvht1+zM9so6oJ/gsQ0OP0bQJnMuDE4LhBq6D/7ow==" saltValue="fasmiMp4nBeLSBFZhMiMd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1173</vt:i4>
      </vt:variant>
    </vt:vector>
  </HeadingPairs>
  <TitlesOfParts>
    <vt:vector size="11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2026-09-17T09:08:16Z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