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19,09,26\16,09 НПК КИ ЛП ближ\"/>
    </mc:Choice>
  </mc:AlternateContent>
  <xr:revisionPtr revIDLastSave="0" documentId="13_ncr:1_{5598A056-5E6D-46C5-A037-DA121ACF6B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P472" i="2"/>
  <c r="BO471" i="2"/>
  <c r="BM471" i="2"/>
  <c r="Y471" i="2"/>
  <c r="P471" i="2"/>
  <c r="BP470" i="2"/>
  <c r="BO470" i="2"/>
  <c r="BN470" i="2"/>
  <c r="BM470" i="2"/>
  <c r="Z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P447" i="2"/>
  <c r="BO447" i="2"/>
  <c r="BN447" i="2"/>
  <c r="BM447" i="2"/>
  <c r="Z447" i="2"/>
  <c r="Y447" i="2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BP423" i="2" s="1"/>
  <c r="P423" i="2"/>
  <c r="X421" i="2"/>
  <c r="X420" i="2"/>
  <c r="BO419" i="2"/>
  <c r="BM419" i="2"/>
  <c r="Y419" i="2"/>
  <c r="P419" i="2"/>
  <c r="BO418" i="2"/>
  <c r="BM418" i="2"/>
  <c r="Y418" i="2"/>
  <c r="P418" i="2"/>
  <c r="BP417" i="2"/>
  <c r="BO417" i="2"/>
  <c r="BN417" i="2"/>
  <c r="BM417" i="2"/>
  <c r="Z417" i="2"/>
  <c r="Y417" i="2"/>
  <c r="P417" i="2"/>
  <c r="BO416" i="2"/>
  <c r="BM416" i="2"/>
  <c r="Y416" i="2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P395" i="2"/>
  <c r="BO395" i="2"/>
  <c r="BN395" i="2"/>
  <c r="BM395" i="2"/>
  <c r="Z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BP348" i="2" s="1"/>
  <c r="P348" i="2"/>
  <c r="BP347" i="2"/>
  <c r="BO347" i="2"/>
  <c r="BN347" i="2"/>
  <c r="BM347" i="2"/>
  <c r="Z347" i="2"/>
  <c r="Y347" i="2"/>
  <c r="P347" i="2"/>
  <c r="X345" i="2"/>
  <c r="X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Y338" i="2" s="1"/>
  <c r="P334" i="2"/>
  <c r="X332" i="2"/>
  <c r="X331" i="2"/>
  <c r="BO330" i="2"/>
  <c r="BM330" i="2"/>
  <c r="Y330" i="2"/>
  <c r="BP330" i="2" s="1"/>
  <c r="P330" i="2"/>
  <c r="BP329" i="2"/>
  <c r="BO329" i="2"/>
  <c r="BN329" i="2"/>
  <c r="BM329" i="2"/>
  <c r="Z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P324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P318" i="2" s="1"/>
  <c r="BO317" i="2"/>
  <c r="BM317" i="2"/>
  <c r="Y317" i="2"/>
  <c r="BP317" i="2" s="1"/>
  <c r="P317" i="2"/>
  <c r="BO316" i="2"/>
  <c r="BM316" i="2"/>
  <c r="Y316" i="2"/>
  <c r="BO315" i="2"/>
  <c r="BM315" i="2"/>
  <c r="Y315" i="2"/>
  <c r="P315" i="2"/>
  <c r="BO314" i="2"/>
  <c r="BM314" i="2"/>
  <c r="Y314" i="2"/>
  <c r="BP314" i="2" s="1"/>
  <c r="BO313" i="2"/>
  <c r="BM313" i="2"/>
  <c r="Y313" i="2"/>
  <c r="P313" i="2"/>
  <c r="X310" i="2"/>
  <c r="X309" i="2"/>
  <c r="BO308" i="2"/>
  <c r="BM308" i="2"/>
  <c r="Y308" i="2"/>
  <c r="P308" i="2"/>
  <c r="BO307" i="2"/>
  <c r="BM307" i="2"/>
  <c r="Y307" i="2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P301" i="2"/>
  <c r="X298" i="2"/>
  <c r="X297" i="2"/>
  <c r="BP296" i="2"/>
  <c r="BO296" i="2"/>
  <c r="BN296" i="2"/>
  <c r="BM296" i="2"/>
  <c r="Z296" i="2"/>
  <c r="Y296" i="2"/>
  <c r="P296" i="2"/>
  <c r="BO295" i="2"/>
  <c r="BM295" i="2"/>
  <c r="Y295" i="2"/>
  <c r="P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O516" i="2" s="1"/>
  <c r="P286" i="2"/>
  <c r="X283" i="2"/>
  <c r="X282" i="2"/>
  <c r="BO281" i="2"/>
  <c r="BM281" i="2"/>
  <c r="Y281" i="2"/>
  <c r="BP281" i="2" s="1"/>
  <c r="P281" i="2"/>
  <c r="BP280" i="2"/>
  <c r="BO280" i="2"/>
  <c r="BN280" i="2"/>
  <c r="BM280" i="2"/>
  <c r="Z280" i="2"/>
  <c r="Y280" i="2"/>
  <c r="P280" i="2"/>
  <c r="BO279" i="2"/>
  <c r="BM279" i="2"/>
  <c r="Y279" i="2"/>
  <c r="P279" i="2"/>
  <c r="BO278" i="2"/>
  <c r="BM278" i="2"/>
  <c r="Y278" i="2"/>
  <c r="BO277" i="2"/>
  <c r="BM277" i="2"/>
  <c r="Y277" i="2"/>
  <c r="P277" i="2"/>
  <c r="X274" i="2"/>
  <c r="X273" i="2"/>
  <c r="BP272" i="2"/>
  <c r="BO272" i="2"/>
  <c r="BN272" i="2"/>
  <c r="BM272" i="2"/>
  <c r="Z272" i="2"/>
  <c r="Y272" i="2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BP268" i="2" s="1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P256" i="2"/>
  <c r="BO255" i="2"/>
  <c r="BM255" i="2"/>
  <c r="Y255" i="2"/>
  <c r="BP255" i="2" s="1"/>
  <c r="P255" i="2"/>
  <c r="BP254" i="2"/>
  <c r="BO254" i="2"/>
  <c r="BN254" i="2"/>
  <c r="BM254" i="2"/>
  <c r="Z254" i="2"/>
  <c r="Y254" i="2"/>
  <c r="P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BP251" i="2" s="1"/>
  <c r="P251" i="2"/>
  <c r="BO250" i="2"/>
  <c r="BM250" i="2"/>
  <c r="Y250" i="2"/>
  <c r="BP250" i="2" s="1"/>
  <c r="P250" i="2"/>
  <c r="X247" i="2"/>
  <c r="X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P227" i="2"/>
  <c r="BO227" i="2"/>
  <c r="BN227" i="2"/>
  <c r="BM227" i="2"/>
  <c r="Z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BP217" i="2" s="1"/>
  <c r="P217" i="2"/>
  <c r="BO216" i="2"/>
  <c r="BM216" i="2"/>
  <c r="Y216" i="2"/>
  <c r="Y218" i="2" s="1"/>
  <c r="P216" i="2"/>
  <c r="X214" i="2"/>
  <c r="X213" i="2"/>
  <c r="BO212" i="2"/>
  <c r="BM212" i="2"/>
  <c r="Y212" i="2"/>
  <c r="P212" i="2"/>
  <c r="BO211" i="2"/>
  <c r="BM211" i="2"/>
  <c r="Y211" i="2"/>
  <c r="Y213" i="2" s="1"/>
  <c r="P211" i="2"/>
  <c r="X208" i="2"/>
  <c r="X207" i="2"/>
  <c r="BO206" i="2"/>
  <c r="BM206" i="2"/>
  <c r="Y206" i="2"/>
  <c r="P206" i="2"/>
  <c r="X204" i="2"/>
  <c r="X203" i="2"/>
  <c r="BP202" i="2"/>
  <c r="BO202" i="2"/>
  <c r="BN202" i="2"/>
  <c r="BM202" i="2"/>
  <c r="Z202" i="2"/>
  <c r="Y202" i="2"/>
  <c r="P202" i="2"/>
  <c r="BO201" i="2"/>
  <c r="BM201" i="2"/>
  <c r="Y201" i="2"/>
  <c r="P201" i="2"/>
  <c r="BO200" i="2"/>
  <c r="BM200" i="2"/>
  <c r="Y200" i="2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P193" i="2"/>
  <c r="BP192" i="2"/>
  <c r="BO192" i="2"/>
  <c r="BN192" i="2"/>
  <c r="BM192" i="2"/>
  <c r="Z192" i="2"/>
  <c r="Y192" i="2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P186" i="2"/>
  <c r="BO185" i="2"/>
  <c r="BM185" i="2"/>
  <c r="Y185" i="2"/>
  <c r="BP185" i="2" s="1"/>
  <c r="P185" i="2"/>
  <c r="BP184" i="2"/>
  <c r="BO184" i="2"/>
  <c r="BN184" i="2"/>
  <c r="BM184" i="2"/>
  <c r="Z184" i="2"/>
  <c r="Y184" i="2"/>
  <c r="P184" i="2"/>
  <c r="X182" i="2"/>
  <c r="Y181" i="2"/>
  <c r="X181" i="2"/>
  <c r="BP180" i="2"/>
  <c r="BO180" i="2"/>
  <c r="BN180" i="2"/>
  <c r="BM180" i="2"/>
  <c r="Z180" i="2"/>
  <c r="Z181" i="2" s="1"/>
  <c r="Y180" i="2"/>
  <c r="P180" i="2"/>
  <c r="X176" i="2"/>
  <c r="Y175" i="2"/>
  <c r="X175" i="2"/>
  <c r="BP174" i="2"/>
  <c r="BO174" i="2"/>
  <c r="BN174" i="2"/>
  <c r="BM174" i="2"/>
  <c r="Z174" i="2"/>
  <c r="Z175" i="2" s="1"/>
  <c r="Y174" i="2"/>
  <c r="Y176" i="2" s="1"/>
  <c r="P174" i="2"/>
  <c r="X172" i="2"/>
  <c r="X171" i="2"/>
  <c r="BO170" i="2"/>
  <c r="BM170" i="2"/>
  <c r="Y170" i="2"/>
  <c r="P170" i="2"/>
  <c r="BO169" i="2"/>
  <c r="BM169" i="2"/>
  <c r="Y169" i="2"/>
  <c r="BO168" i="2"/>
  <c r="BM168" i="2"/>
  <c r="Y168" i="2"/>
  <c r="P168" i="2"/>
  <c r="BO167" i="2"/>
  <c r="BM167" i="2"/>
  <c r="Y167" i="2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BP164" i="2"/>
  <c r="BO164" i="2"/>
  <c r="BN164" i="2"/>
  <c r="BM164" i="2"/>
  <c r="Z164" i="2"/>
  <c r="Y164" i="2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P161" i="2"/>
  <c r="X159" i="2"/>
  <c r="X158" i="2"/>
  <c r="BO157" i="2"/>
  <c r="BM157" i="2"/>
  <c r="Y157" i="2"/>
  <c r="X155" i="2"/>
  <c r="X154" i="2"/>
  <c r="BO153" i="2"/>
  <c r="BM153" i="2"/>
  <c r="Y153" i="2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P137" i="2"/>
  <c r="BO137" i="2"/>
  <c r="BN137" i="2"/>
  <c r="BM137" i="2"/>
  <c r="Z137" i="2"/>
  <c r="Y137" i="2"/>
  <c r="P137" i="2"/>
  <c r="BO136" i="2"/>
  <c r="BM136" i="2"/>
  <c r="Y136" i="2"/>
  <c r="P136" i="2"/>
  <c r="X133" i="2"/>
  <c r="Y132" i="2"/>
  <c r="X132" i="2"/>
  <c r="BP131" i="2"/>
  <c r="BO131" i="2"/>
  <c r="BN131" i="2"/>
  <c r="BM131" i="2"/>
  <c r="Z131" i="2"/>
  <c r="Z132" i="2" s="1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P113" i="2"/>
  <c r="BO112" i="2"/>
  <c r="BM112" i="2"/>
  <c r="Y112" i="2"/>
  <c r="BP112" i="2" s="1"/>
  <c r="P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P95" i="2"/>
  <c r="BO94" i="2"/>
  <c r="BM94" i="2"/>
  <c r="Y94" i="2"/>
  <c r="P94" i="2"/>
  <c r="X91" i="2"/>
  <c r="X90" i="2"/>
  <c r="BO89" i="2"/>
  <c r="BM89" i="2"/>
  <c r="Y89" i="2"/>
  <c r="BP89" i="2" s="1"/>
  <c r="P89" i="2"/>
  <c r="BO88" i="2"/>
  <c r="BM88" i="2"/>
  <c r="Y88" i="2"/>
  <c r="Y90" i="2" s="1"/>
  <c r="P88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Y86" i="2" s="1"/>
  <c r="P82" i="2"/>
  <c r="BP81" i="2"/>
  <c r="BO81" i="2"/>
  <c r="BN81" i="2"/>
  <c r="BM81" i="2"/>
  <c r="Z81" i="2"/>
  <c r="Y81" i="2"/>
  <c r="P81" i="2"/>
  <c r="X79" i="2"/>
  <c r="Y78" i="2"/>
  <c r="X78" i="2"/>
  <c r="BP77" i="2"/>
  <c r="BO77" i="2"/>
  <c r="BN77" i="2"/>
  <c r="BM77" i="2"/>
  <c r="Z77" i="2"/>
  <c r="Z78" i="2" s="1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P50" i="2"/>
  <c r="BO50" i="2"/>
  <c r="BN50" i="2"/>
  <c r="BM50" i="2"/>
  <c r="Z50" i="2"/>
  <c r="Y50" i="2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P32" i="2"/>
  <c r="BO32" i="2"/>
  <c r="BN32" i="2"/>
  <c r="BM32" i="2"/>
  <c r="Z32" i="2"/>
  <c r="Y32" i="2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Z23" i="2" l="1"/>
  <c r="BN23" i="2"/>
  <c r="Z28" i="2"/>
  <c r="BN28" i="2"/>
  <c r="Z65" i="2"/>
  <c r="BN65" i="2"/>
  <c r="Z89" i="2"/>
  <c r="BN89" i="2"/>
  <c r="Z119" i="2"/>
  <c r="BN119" i="2"/>
  <c r="Z188" i="2"/>
  <c r="BN188" i="2"/>
  <c r="Z196" i="2"/>
  <c r="BN196" i="2"/>
  <c r="Z217" i="2"/>
  <c r="BN217" i="2"/>
  <c r="Z250" i="2"/>
  <c r="BN250" i="2"/>
  <c r="Z260" i="2"/>
  <c r="Z261" i="2" s="1"/>
  <c r="BN260" i="2"/>
  <c r="BP260" i="2"/>
  <c r="Y261" i="2"/>
  <c r="Z264" i="2"/>
  <c r="Z265" i="2" s="1"/>
  <c r="BN264" i="2"/>
  <c r="BP264" i="2"/>
  <c r="Y265" i="2"/>
  <c r="Z268" i="2"/>
  <c r="BN268" i="2"/>
  <c r="Y273" i="2"/>
  <c r="Z289" i="2"/>
  <c r="BN289" i="2"/>
  <c r="Z303" i="2"/>
  <c r="BN303" i="2"/>
  <c r="Z325" i="2"/>
  <c r="BN325" i="2"/>
  <c r="Z337" i="2"/>
  <c r="BN337" i="2"/>
  <c r="Z373" i="2"/>
  <c r="BN373" i="2"/>
  <c r="Z413" i="2"/>
  <c r="BN413" i="2"/>
  <c r="Z423" i="2"/>
  <c r="BN423" i="2"/>
  <c r="Z455" i="2"/>
  <c r="BN455" i="2"/>
  <c r="Z479" i="2"/>
  <c r="BN479" i="2"/>
  <c r="Y482" i="2"/>
  <c r="Y58" i="2"/>
  <c r="Y57" i="2"/>
  <c r="BP56" i="2"/>
  <c r="BN56" i="2"/>
  <c r="Z56" i="2"/>
  <c r="Z57" i="2" s="1"/>
  <c r="BP63" i="2"/>
  <c r="BN63" i="2"/>
  <c r="Z63" i="2"/>
  <c r="BP83" i="2"/>
  <c r="BN83" i="2"/>
  <c r="Z83" i="2"/>
  <c r="BP113" i="2"/>
  <c r="BN113" i="2"/>
  <c r="Z113" i="2"/>
  <c r="BP153" i="2"/>
  <c r="BN153" i="2"/>
  <c r="Z153" i="2"/>
  <c r="BP168" i="2"/>
  <c r="BN168" i="2"/>
  <c r="Z168" i="2"/>
  <c r="BP186" i="2"/>
  <c r="BN186" i="2"/>
  <c r="Z186" i="2"/>
  <c r="BP194" i="2"/>
  <c r="BN194" i="2"/>
  <c r="Z194" i="2"/>
  <c r="Y208" i="2"/>
  <c r="Y207" i="2"/>
  <c r="BP206" i="2"/>
  <c r="BN206" i="2"/>
  <c r="Z206" i="2"/>
  <c r="Z207" i="2" s="1"/>
  <c r="BP212" i="2"/>
  <c r="BN212" i="2"/>
  <c r="Z212" i="2"/>
  <c r="BP236" i="2"/>
  <c r="BN236" i="2"/>
  <c r="Z236" i="2"/>
  <c r="BP256" i="2"/>
  <c r="BN256" i="2"/>
  <c r="Z256" i="2"/>
  <c r="BP30" i="2"/>
  <c r="BN30" i="2"/>
  <c r="Z30" i="2"/>
  <c r="BP72" i="2"/>
  <c r="BN72" i="2"/>
  <c r="Z72" i="2"/>
  <c r="BP95" i="2"/>
  <c r="BN95" i="2"/>
  <c r="Z95" i="2"/>
  <c r="BP125" i="2"/>
  <c r="BN125" i="2"/>
  <c r="Z125" i="2"/>
  <c r="Y159" i="2"/>
  <c r="Y158" i="2"/>
  <c r="BP157" i="2"/>
  <c r="BN157" i="2"/>
  <c r="Z157" i="2"/>
  <c r="Z158" i="2" s="1"/>
  <c r="BP161" i="2"/>
  <c r="BN161" i="2"/>
  <c r="Z161" i="2"/>
  <c r="BP169" i="2"/>
  <c r="BN169" i="2"/>
  <c r="Z169" i="2"/>
  <c r="BP190" i="2"/>
  <c r="BN190" i="2"/>
  <c r="Z190" i="2"/>
  <c r="Y204" i="2"/>
  <c r="BP200" i="2"/>
  <c r="BN200" i="2"/>
  <c r="Z200" i="2"/>
  <c r="BP225" i="2"/>
  <c r="BN225" i="2"/>
  <c r="Z225" i="2"/>
  <c r="BP252" i="2"/>
  <c r="BN252" i="2"/>
  <c r="Z252" i="2"/>
  <c r="BP270" i="2"/>
  <c r="BN270" i="2"/>
  <c r="Z270" i="2"/>
  <c r="BP278" i="2"/>
  <c r="BN278" i="2"/>
  <c r="Z278" i="2"/>
  <c r="BP294" i="2"/>
  <c r="BN294" i="2"/>
  <c r="Z294" i="2"/>
  <c r="Y309" i="2"/>
  <c r="BP307" i="2"/>
  <c r="BN307" i="2"/>
  <c r="Z307" i="2"/>
  <c r="BP316" i="2"/>
  <c r="BN316" i="2"/>
  <c r="Z316" i="2"/>
  <c r="BP327" i="2"/>
  <c r="BN327" i="2"/>
  <c r="Z327" i="2"/>
  <c r="BP341" i="2"/>
  <c r="BN341" i="2"/>
  <c r="Z341" i="2"/>
  <c r="BP375" i="2"/>
  <c r="BN375" i="2"/>
  <c r="Z375" i="2"/>
  <c r="BP415" i="2"/>
  <c r="BN415" i="2"/>
  <c r="Z415" i="2"/>
  <c r="BP434" i="2"/>
  <c r="BN434" i="2"/>
  <c r="Z434" i="2"/>
  <c r="BP462" i="2"/>
  <c r="BN462" i="2"/>
  <c r="Z462" i="2"/>
  <c r="Y487" i="2"/>
  <c r="Y486" i="2"/>
  <c r="BP485" i="2"/>
  <c r="BN485" i="2"/>
  <c r="Z485" i="2"/>
  <c r="Z486" i="2" s="1"/>
  <c r="Y491" i="2"/>
  <c r="Y490" i="2"/>
  <c r="BP489" i="2"/>
  <c r="BN489" i="2"/>
  <c r="Z489" i="2"/>
  <c r="Z490" i="2" s="1"/>
  <c r="BP497" i="2"/>
  <c r="BN497" i="2"/>
  <c r="Z497" i="2"/>
  <c r="B516" i="2"/>
  <c r="Y35" i="2"/>
  <c r="Y85" i="2"/>
  <c r="Y121" i="2"/>
  <c r="Y171" i="2"/>
  <c r="Y197" i="2"/>
  <c r="Y203" i="2"/>
  <c r="Y274" i="2"/>
  <c r="BP277" i="2"/>
  <c r="BN277" i="2"/>
  <c r="Z277" i="2"/>
  <c r="BP287" i="2"/>
  <c r="BN287" i="2"/>
  <c r="Z287" i="2"/>
  <c r="BP301" i="2"/>
  <c r="BN301" i="2"/>
  <c r="Z301" i="2"/>
  <c r="BP315" i="2"/>
  <c r="BN315" i="2"/>
  <c r="Z315" i="2"/>
  <c r="BP319" i="2"/>
  <c r="BN319" i="2"/>
  <c r="Z319" i="2"/>
  <c r="BP335" i="2"/>
  <c r="BN335" i="2"/>
  <c r="Z335" i="2"/>
  <c r="BP349" i="2"/>
  <c r="BN349" i="2"/>
  <c r="Z349" i="2"/>
  <c r="V516" i="2"/>
  <c r="BP411" i="2"/>
  <c r="BN411" i="2"/>
  <c r="Z411" i="2"/>
  <c r="BP419" i="2"/>
  <c r="BN419" i="2"/>
  <c r="Z419" i="2"/>
  <c r="BP453" i="2"/>
  <c r="BN453" i="2"/>
  <c r="Z453" i="2"/>
  <c r="BP472" i="2"/>
  <c r="BN472" i="2"/>
  <c r="Z472" i="2"/>
  <c r="Y283" i="2"/>
  <c r="Y297" i="2"/>
  <c r="Y304" i="2"/>
  <c r="Y310" i="2"/>
  <c r="Y322" i="2"/>
  <c r="Y332" i="2"/>
  <c r="Y344" i="2"/>
  <c r="Y425" i="2"/>
  <c r="F9" i="2"/>
  <c r="J9" i="2"/>
  <c r="F10" i="2"/>
  <c r="Z22" i="2"/>
  <c r="Z24" i="2" s="1"/>
  <c r="BN22" i="2"/>
  <c r="BP22" i="2"/>
  <c r="Y25" i="2"/>
  <c r="Z27" i="2"/>
  <c r="Z34" i="2" s="1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Z73" i="2"/>
  <c r="BN73" i="2"/>
  <c r="Z82" i="2"/>
  <c r="Z85" i="2" s="1"/>
  <c r="BN82" i="2"/>
  <c r="BP82" i="2"/>
  <c r="Z84" i="2"/>
  <c r="BN84" i="2"/>
  <c r="Z88" i="2"/>
  <c r="BN88" i="2"/>
  <c r="BP88" i="2"/>
  <c r="Y91" i="2"/>
  <c r="Z96" i="2"/>
  <c r="BN96" i="2"/>
  <c r="Z112" i="2"/>
  <c r="BN112" i="2"/>
  <c r="Z118" i="2"/>
  <c r="BN118" i="2"/>
  <c r="Z120" i="2"/>
  <c r="BN120" i="2"/>
  <c r="Z127" i="2"/>
  <c r="BN127" i="2"/>
  <c r="Z147" i="2"/>
  <c r="BN147" i="2"/>
  <c r="Z163" i="2"/>
  <c r="BN163" i="2"/>
  <c r="Z166" i="2"/>
  <c r="BN166" i="2"/>
  <c r="BP167" i="2"/>
  <c r="BN167" i="2"/>
  <c r="Z167" i="2"/>
  <c r="H9" i="2"/>
  <c r="Y24" i="2"/>
  <c r="Y45" i="2"/>
  <c r="BP170" i="2"/>
  <c r="BN170" i="2"/>
  <c r="Z170" i="2"/>
  <c r="J516" i="2"/>
  <c r="Y182" i="2"/>
  <c r="Z185" i="2"/>
  <c r="BN185" i="2"/>
  <c r="Z187" i="2"/>
  <c r="BN187" i="2"/>
  <c r="Z189" i="2"/>
  <c r="BN189" i="2"/>
  <c r="Z191" i="2"/>
  <c r="BN191" i="2"/>
  <c r="Z193" i="2"/>
  <c r="BN193" i="2"/>
  <c r="Z195" i="2"/>
  <c r="BN195" i="2"/>
  <c r="Y198" i="2"/>
  <c r="Z201" i="2"/>
  <c r="Z203" i="2" s="1"/>
  <c r="BN201" i="2"/>
  <c r="BP201" i="2"/>
  <c r="Z216" i="2"/>
  <c r="Z218" i="2" s="1"/>
  <c r="BN216" i="2"/>
  <c r="BP216" i="2"/>
  <c r="Y219" i="2"/>
  <c r="Z226" i="2"/>
  <c r="BN226" i="2"/>
  <c r="Z228" i="2"/>
  <c r="BN228" i="2"/>
  <c r="Z244" i="2"/>
  <c r="BN244" i="2"/>
  <c r="Y246" i="2"/>
  <c r="L516" i="2"/>
  <c r="Z251" i="2"/>
  <c r="BN251" i="2"/>
  <c r="Z253" i="2"/>
  <c r="BN253" i="2"/>
  <c r="Z255" i="2"/>
  <c r="BN255" i="2"/>
  <c r="Y258" i="2"/>
  <c r="Z269" i="2"/>
  <c r="BN269" i="2"/>
  <c r="BP269" i="2"/>
  <c r="Z271" i="2"/>
  <c r="BN271" i="2"/>
  <c r="M516" i="2"/>
  <c r="Z279" i="2"/>
  <c r="BN279" i="2"/>
  <c r="BP279" i="2"/>
  <c r="Z281" i="2"/>
  <c r="BN281" i="2"/>
  <c r="Y282" i="2"/>
  <c r="Z286" i="2"/>
  <c r="BN286" i="2"/>
  <c r="BP286" i="2"/>
  <c r="Z288" i="2"/>
  <c r="BN288" i="2"/>
  <c r="Y291" i="2"/>
  <c r="P516" i="2"/>
  <c r="Z295" i="2"/>
  <c r="Z297" i="2" s="1"/>
  <c r="BN295" i="2"/>
  <c r="BP295" i="2"/>
  <c r="Y298" i="2"/>
  <c r="Q516" i="2"/>
  <c r="Z302" i="2"/>
  <c r="Z304" i="2" s="1"/>
  <c r="BN302" i="2"/>
  <c r="BP302" i="2"/>
  <c r="Y305" i="2"/>
  <c r="Z308" i="2"/>
  <c r="BN308" i="2"/>
  <c r="BP308" i="2"/>
  <c r="Z313" i="2"/>
  <c r="Z321" i="2" s="1"/>
  <c r="BN313" i="2"/>
  <c r="BP313" i="2"/>
  <c r="Z314" i="2"/>
  <c r="BN314" i="2"/>
  <c r="Z317" i="2"/>
  <c r="BN317" i="2"/>
  <c r="Z318" i="2"/>
  <c r="BN318" i="2"/>
  <c r="Z320" i="2"/>
  <c r="BN320" i="2"/>
  <c r="Y321" i="2"/>
  <c r="Z324" i="2"/>
  <c r="Z331" i="2" s="1"/>
  <c r="BN324" i="2"/>
  <c r="BP324" i="2"/>
  <c r="Z326" i="2"/>
  <c r="BN326" i="2"/>
  <c r="Z328" i="2"/>
  <c r="BN328" i="2"/>
  <c r="Z330" i="2"/>
  <c r="BN330" i="2"/>
  <c r="Y331" i="2"/>
  <c r="Z334" i="2"/>
  <c r="Z338" i="2" s="1"/>
  <c r="BN334" i="2"/>
  <c r="BP334" i="2"/>
  <c r="Z336" i="2"/>
  <c r="BN336" i="2"/>
  <c r="Y339" i="2"/>
  <c r="Z343" i="2"/>
  <c r="BN343" i="2"/>
  <c r="Z348" i="2"/>
  <c r="BN348" i="2"/>
  <c r="Z361" i="2"/>
  <c r="BN361" i="2"/>
  <c r="S516" i="2"/>
  <c r="Z374" i="2"/>
  <c r="BN374" i="2"/>
  <c r="BP412" i="2"/>
  <c r="BN412" i="2"/>
  <c r="Z412" i="2"/>
  <c r="BP416" i="2"/>
  <c r="BN416" i="2"/>
  <c r="Z416" i="2"/>
  <c r="Y420" i="2"/>
  <c r="BP424" i="2"/>
  <c r="BN424" i="2"/>
  <c r="Z424" i="2"/>
  <c r="Z425" i="2" s="1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BP451" i="2"/>
  <c r="BN451" i="2"/>
  <c r="Z451" i="2"/>
  <c r="BP456" i="2"/>
  <c r="BN456" i="2"/>
  <c r="Z456" i="2"/>
  <c r="BP471" i="2"/>
  <c r="BN471" i="2"/>
  <c r="Z471" i="2"/>
  <c r="BP481" i="2"/>
  <c r="BN481" i="2"/>
  <c r="Z481" i="2"/>
  <c r="Y499" i="2"/>
  <c r="Y257" i="2"/>
  <c r="Y290" i="2"/>
  <c r="Y352" i="2"/>
  <c r="BP380" i="2"/>
  <c r="BN380" i="2"/>
  <c r="Y400" i="2"/>
  <c r="BP399" i="2"/>
  <c r="BN399" i="2"/>
  <c r="Z399" i="2"/>
  <c r="Z400" i="2" s="1"/>
  <c r="Y401" i="2"/>
  <c r="BP405" i="2"/>
  <c r="BN405" i="2"/>
  <c r="Z405" i="2"/>
  <c r="BP414" i="2"/>
  <c r="BN414" i="2"/>
  <c r="Z414" i="2"/>
  <c r="BP418" i="2"/>
  <c r="BN418" i="2"/>
  <c r="Z418" i="2"/>
  <c r="BP435" i="2"/>
  <c r="BN435" i="2"/>
  <c r="Z435" i="2"/>
  <c r="Y437" i="2"/>
  <c r="X516" i="2"/>
  <c r="Y441" i="2"/>
  <c r="BP440" i="2"/>
  <c r="BN440" i="2"/>
  <c r="Z440" i="2"/>
  <c r="Z441" i="2" s="1"/>
  <c r="Y442" i="2"/>
  <c r="BP446" i="2"/>
  <c r="BN446" i="2"/>
  <c r="Z446" i="2"/>
  <c r="BP454" i="2"/>
  <c r="BN454" i="2"/>
  <c r="Z454" i="2"/>
  <c r="BP463" i="2"/>
  <c r="BN463" i="2"/>
  <c r="Z463" i="2"/>
  <c r="BP473" i="2"/>
  <c r="BN473" i="2"/>
  <c r="Z473" i="2"/>
  <c r="BP498" i="2"/>
  <c r="BN498" i="2"/>
  <c r="Z498" i="2"/>
  <c r="Z499" i="2" s="1"/>
  <c r="Y500" i="2"/>
  <c r="Y421" i="2"/>
  <c r="Y464" i="2"/>
  <c r="Z503" i="2"/>
  <c r="Z504" i="2" s="1"/>
  <c r="BN503" i="2"/>
  <c r="BP503" i="2"/>
  <c r="Y504" i="2"/>
  <c r="Y505" i="2"/>
  <c r="Z384" i="2"/>
  <c r="BN384" i="2"/>
  <c r="Z211" i="2"/>
  <c r="Z213" i="2" s="1"/>
  <c r="BN211" i="2"/>
  <c r="BP211" i="2"/>
  <c r="Y214" i="2"/>
  <c r="Y154" i="2"/>
  <c r="Z152" i="2"/>
  <c r="Z154" i="2" s="1"/>
  <c r="BN152" i="2"/>
  <c r="BP152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Z482" i="2" s="1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90" i="2" l="1"/>
  <c r="Z257" i="2"/>
  <c r="Z197" i="2"/>
  <c r="Z74" i="2"/>
  <c r="Z344" i="2"/>
  <c r="Z351" i="2"/>
  <c r="Z436" i="2"/>
  <c r="Z420" i="2"/>
  <c r="Z309" i="2"/>
  <c r="Z282" i="2"/>
  <c r="Z273" i="2"/>
  <c r="Z290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9" i="2" s="1"/>
  <c r="Y506" i="2"/>
  <c r="Z511" i="2" l="1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<sst xmlns="http://schemas.openxmlformats.org/spreadsheetml/2006/main" count="3779" uniqueCount="818">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</sst>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4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zoomScaleNormal="100" workbookViewId="0">
      <selection activeCell="AA49" sqref="AA49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3" t="s">
        <v>0</v>
      </c>
      <c r="E1" s="163"/>
      <c r="F1" s="163"/>
      <c r="G1" s="11" t="s">
        <v>1</v>
      </c>
      <c r="H1" s="163" t="s">
        <v>2</v>
      </c>
      <c r="I1" s="163"/>
      <c r="J1" s="163"/>
      <c r="K1" s="163"/>
      <c r="L1" s="163"/>
      <c r="M1" s="163"/>
      <c r="N1" s="163"/>
      <c r="O1" s="163"/>
      <c r="P1" s="163"/>
      <c r="Q1" s="163"/>
      <c r="R1" s="164" t="s">
        <v>3</v>
      </c>
      <c r="S1" s="165"/>
      <c r="T1" s="165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1"/>
      <c r="R2" s="171"/>
      <c r="S2" s="171"/>
      <c r="T2" s="171"/>
      <c r="U2" s="171"/>
      <c r="V2" s="171"/>
      <c r="W2" s="171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1"/>
      <c r="Q3" s="171"/>
      <c r="R3" s="171"/>
      <c r="S3" s="171"/>
      <c r="T3" s="171"/>
      <c r="U3" s="171"/>
      <c r="V3" s="171"/>
      <c r="W3" s="171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6"/>
      <c r="E5" s="166"/>
      <c r="F5" s="167" t="s">
        <v>9</v>
      </c>
      <c r="G5" s="167"/>
      <c r="H5" s="166"/>
      <c r="I5" s="166"/>
      <c r="J5" s="166"/>
      <c r="K5" s="166"/>
      <c r="L5" s="166"/>
      <c r="M5" s="166"/>
      <c r="N5" s="36"/>
      <c r="P5" s="37" t="s">
        <v>10</v>
      </c>
      <c r="Q5" s="168"/>
      <c r="R5" s="168"/>
      <c r="T5" s="169" t="s">
        <v>11</v>
      </c>
      <c r="U5" s="170"/>
      <c r="V5" s="172" t="s">
        <v>12</v>
      </c>
      <c r="W5" s="173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 xml:space="preserve"> 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/>
      <c r="R8" s="131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0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1" t="str">
        <f>IF(AND($A$9="Тип доверенности/получателя при получении в адресе перегруза:",$D$9="Разовая доверенность"),"Введите ФИО","")</f>
        <v/>
      </c>
      <c r="I9" s="161"/>
      <c r="J9" s="1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1"/>
      <c r="L9" s="161"/>
      <c r="M9" s="161"/>
      <c r="N9" s="23"/>
      <c r="P9" s="41" t="s">
        <v>21</v>
      </c>
      <c r="Q9" s="162"/>
      <c r="R9" s="162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hidden="1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hidden="1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hidden="1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hidden="1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hidden="1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hidden="1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hidden="1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250</v>
      </c>
      <c r="Y49" s="69">
        <f>IFERROR(IF(X49="",0,CEILING((X49/$H49),1)*$H49),"")</f>
        <v>259.20000000000005</v>
      </c>
      <c r="Z49" s="70">
        <f>IFERROR(IF(Y49=0,"",ROUNDUP(Y49/H49,0)*0.01898),"")</f>
        <v>0.45552000000000004</v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259.4907407407407</v>
      </c>
      <c r="BN49" s="76">
        <f>IFERROR(Y49*I49/H49,"0")</f>
        <v>269.04000000000002</v>
      </c>
      <c r="BO49" s="76">
        <f>IFERROR(1/J49*(X49/H49),"0")</f>
        <v>0.36168981481481477</v>
      </c>
      <c r="BP49" s="76">
        <f>IFERROR(1/J49*(Y49/H49),"0")</f>
        <v>0.37500000000000006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120</v>
      </c>
      <c r="Y51" s="69">
        <f>IFERROR(IF(X51="",0,CEILING((X51/$H51),1)*$H51),"")</f>
        <v>120</v>
      </c>
      <c r="Z51" s="70">
        <f>IFERROR(IF(Y51=0,"",ROUNDUP(Y51/H51,0)*0.00902),"")</f>
        <v>0.27060000000000001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125.70000000000002</v>
      </c>
      <c r="BN51" s="76">
        <f>IFERROR(Y51*I51/H51,"0")</f>
        <v>125.70000000000002</v>
      </c>
      <c r="BO51" s="76">
        <f>IFERROR(1/J51*(X51/H51),"0")</f>
        <v>0.22727272727272729</v>
      </c>
      <c r="BP51" s="76">
        <f>IFERROR(1/J51*(Y51/H51),"0")</f>
        <v>0.22727272727272729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53.148148148148145</v>
      </c>
      <c r="Y53" s="65">
        <f>IFERROR(Y49/H49,"0")+IFERROR(Y50/H50,"0")+IFERROR(Y51/H51,"0")+IFERROR(Y52/H52,"0")</f>
        <v>54</v>
      </c>
      <c r="Z53" s="65">
        <f>IFERROR(IF(Z49="",0,Z49),"0")+IFERROR(IF(Z50="",0,Z50),"0")+IFERROR(IF(Z51="",0,Z51),"0")+IFERROR(IF(Z52="",0,Z52),"0")</f>
        <v>0.7261200000000001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370</v>
      </c>
      <c r="Y54" s="65">
        <f>IFERROR(SUM(Y49:Y52),"0")</f>
        <v>379.20000000000005</v>
      </c>
      <c r="Z54" s="64"/>
      <c r="AA54" s="74"/>
      <c r="AB54" s="74"/>
      <c r="AC54" s="74"/>
    </row>
    <row r="55" spans="1:68" ht="14.25" hidden="1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hidden="1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50</v>
      </c>
      <c r="Y61" s="69">
        <f t="shared" ref="Y61:Y66" si="6">IFERROR(IF(X61="",0,CEILING((X61/$H61),1)*$H61),"")</f>
        <v>56</v>
      </c>
      <c r="Z61" s="70">
        <f>IFERROR(IF(Y61=0,"",ROUNDUP(Y61/H61,0)*0.01898),"")</f>
        <v>9.4899999999999998E-2</v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51.830357142857146</v>
      </c>
      <c r="BN61" s="76">
        <f t="shared" ref="BN61:BN66" si="8">IFERROR(Y61*I61/H61,"0")</f>
        <v>58.050000000000004</v>
      </c>
      <c r="BO61" s="76">
        <f t="shared" ref="BO61:BO66" si="9">IFERROR(1/J61*(X61/H61),"0")</f>
        <v>6.9754464285714288E-2</v>
      </c>
      <c r="BP61" s="76">
        <f t="shared" ref="BP61:BP66" si="10">IFERROR(1/J61*(Y61/H61),"0")</f>
        <v>7.8125E-2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100</v>
      </c>
      <c r="Y62" s="69">
        <f t="shared" si="6"/>
        <v>108</v>
      </c>
      <c r="Z62" s="70">
        <f>IFERROR(IF(Y62=0,"",ROUNDUP(Y62/H62,0)*0.01898),"")</f>
        <v>0.1898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103.79629629629629</v>
      </c>
      <c r="BN62" s="76">
        <f t="shared" si="8"/>
        <v>112.1</v>
      </c>
      <c r="BO62" s="76">
        <f t="shared" si="9"/>
        <v>0.14467592592592593</v>
      </c>
      <c r="BP62" s="76">
        <f t="shared" si="10"/>
        <v>0.15625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250</v>
      </c>
      <c r="Y66" s="69">
        <f t="shared" si="6"/>
        <v>252</v>
      </c>
      <c r="Z66" s="70">
        <f>IFERROR(IF(Y66=0,"",ROUNDUP(Y66/H66,0)*0.00902),"")</f>
        <v>0.50512000000000001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260.55555555555554</v>
      </c>
      <c r="BN66" s="76">
        <f t="shared" si="8"/>
        <v>262.64000000000004</v>
      </c>
      <c r="BO66" s="76">
        <f t="shared" si="9"/>
        <v>0.4208754208754209</v>
      </c>
      <c r="BP66" s="76">
        <f t="shared" si="10"/>
        <v>0.42424242424242425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69.279100529100532</v>
      </c>
      <c r="Y67" s="65">
        <f>IFERROR(Y61/H61,"0")+IFERROR(Y62/H62,"0")+IFERROR(Y63/H63,"0")+IFERROR(Y64/H64,"0")+IFERROR(Y65/H65,"0")+IFERROR(Y66/H66,"0")</f>
        <v>71</v>
      </c>
      <c r="Z67" s="65">
        <f>IFERROR(IF(Z61="",0,Z61),"0")+IFERROR(IF(Z62="",0,Z62),"0")+IFERROR(IF(Z63="",0,Z63),"0")+IFERROR(IF(Z64="",0,Z64),"0")+IFERROR(IF(Z65="",0,Z65),"0")+IFERROR(IF(Z66="",0,Z66),"0")</f>
        <v>0.78981999999999997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400</v>
      </c>
      <c r="Y68" s="65">
        <f>IFERROR(SUM(Y61:Y66),"0")</f>
        <v>416</v>
      </c>
      <c r="Z68" s="64"/>
      <c r="AA68" s="74"/>
      <c r="AB68" s="74"/>
      <c r="AC68" s="74"/>
    </row>
    <row r="69" spans="1:68" ht="14.25" hidden="1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50</v>
      </c>
      <c r="Y70" s="69">
        <f>IFERROR(IF(X70="",0,CEILING((X70/$H70),1)*$H70),"")</f>
        <v>54</v>
      </c>
      <c r="Z70" s="70">
        <f>IFERROR(IF(Y70=0,"",ROUNDUP(Y70/H70,0)*0.01898),"")</f>
        <v>9.4899999999999998E-2</v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51.898148148148145</v>
      </c>
      <c r="BN70" s="76">
        <f>IFERROR(Y70*I70/H70,"0")</f>
        <v>56.05</v>
      </c>
      <c r="BO70" s="76">
        <f>IFERROR(1/J70*(X70/H70),"0")</f>
        <v>7.2337962962962965E-2</v>
      </c>
      <c r="BP70" s="76">
        <f>IFERROR(1/J70*(Y70/H70),"0")</f>
        <v>7.8125E-2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4.6296296296296298</v>
      </c>
      <c r="Y74" s="65">
        <f>IFERROR(Y70/H70,"0")+IFERROR(Y71/H71,"0")+IFERROR(Y72/H72,"0")+IFERROR(Y73/H73,"0")</f>
        <v>5</v>
      </c>
      <c r="Z74" s="65">
        <f>IFERROR(IF(Z70="",0,Z70),"0")+IFERROR(IF(Z71="",0,Z71),"0")+IFERROR(IF(Z72="",0,Z72),"0")+IFERROR(IF(Z73="",0,Z73),"0")</f>
        <v>9.4899999999999998E-2</v>
      </c>
      <c r="AA74" s="74"/>
      <c r="AB74" s="74"/>
      <c r="AC74" s="74"/>
    </row>
    <row r="75" spans="1:68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50</v>
      </c>
      <c r="Y75" s="65">
        <f>IFERROR(SUM(Y70:Y73),"0")</f>
        <v>54</v>
      </c>
      <c r="Z75" s="64"/>
      <c r="AA75" s="74"/>
      <c r="AB75" s="74"/>
      <c r="AC75" s="74"/>
    </row>
    <row r="76" spans="1:68" ht="14.25" hidden="1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hidden="1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150</v>
      </c>
      <c r="Y94" s="69">
        <f>IFERROR(IF(X94="",0,CEILING((X94/$H94),1)*$H94),"")</f>
        <v>151.20000000000002</v>
      </c>
      <c r="Z94" s="70">
        <f>IFERROR(IF(Y94=0,"",ROUNDUP(Y94/H94,0)*0.01898),"")</f>
        <v>0.26572000000000001</v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155.69444444444446</v>
      </c>
      <c r="BN94" s="76">
        <f>IFERROR(Y94*I94/H94,"0")</f>
        <v>156.94</v>
      </c>
      <c r="BO94" s="76">
        <f>IFERROR(1/J94*(X94/H94),"0")</f>
        <v>0.21701388888888887</v>
      </c>
      <c r="BP94" s="76">
        <f>IFERROR(1/J94*(Y94/H94),"0")</f>
        <v>0.21875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13.888888888888888</v>
      </c>
      <c r="Y98" s="65">
        <f>IFERROR(Y94/H94,"0")+IFERROR(Y95/H95,"0")+IFERROR(Y96/H96,"0")+IFERROR(Y97/H97,"0")</f>
        <v>14</v>
      </c>
      <c r="Z98" s="65">
        <f>IFERROR(IF(Z94="",0,Z94),"0")+IFERROR(IF(Z95="",0,Z95),"0")+IFERROR(IF(Z96="",0,Z96),"0")+IFERROR(IF(Z97="",0,Z97),"0")</f>
        <v>0.26572000000000001</v>
      </c>
      <c r="AA98" s="74"/>
      <c r="AB98" s="74"/>
      <c r="AC98" s="74"/>
    </row>
    <row r="99" spans="1:68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150</v>
      </c>
      <c r="Y99" s="65">
        <f>IFERROR(SUM(Y94:Y97),"0")</f>
        <v>151.20000000000002</v>
      </c>
      <c r="Z99" s="64"/>
      <c r="AA99" s="74"/>
      <c r="AB99" s="74"/>
      <c r="AC99" s="74"/>
    </row>
    <row r="100" spans="1:68" ht="14.25" hidden="1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150</v>
      </c>
      <c r="Y101" s="69">
        <f>IFERROR(IF(X101="",0,CEILING((X101/$H101),1)*$H101),"")</f>
        <v>153.9</v>
      </c>
      <c r="Z101" s="70">
        <f>IFERROR(IF(Y101=0,"",ROUNDUP(Y101/H101,0)*0.01898),"")</f>
        <v>0.36062</v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159.14814814814815</v>
      </c>
      <c r="BN101" s="76">
        <f>IFERROR(Y101*I101/H101,"0")</f>
        <v>163.286</v>
      </c>
      <c r="BO101" s="76">
        <f>IFERROR(1/J101*(X101/H101),"0")</f>
        <v>0.28935185185185186</v>
      </c>
      <c r="BP101" s="76">
        <f>IFERROR(1/J101*(Y101/H101),"0")</f>
        <v>0.296875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300</v>
      </c>
      <c r="Y103" s="69">
        <f>IFERROR(IF(X103="",0,CEILING((X103/$H103),1)*$H103),"")</f>
        <v>302.40000000000003</v>
      </c>
      <c r="Z103" s="70">
        <f>IFERROR(IF(Y103=0,"",ROUNDUP(Y103/H103,0)*0.00651),"")</f>
        <v>0.72911999999999999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328</v>
      </c>
      <c r="BN103" s="76">
        <f>IFERROR(Y103*I103/H103,"0")</f>
        <v>330.62400000000002</v>
      </c>
      <c r="BO103" s="76">
        <f>IFERROR(1/J103*(X103/H103),"0")</f>
        <v>0.61050061050061044</v>
      </c>
      <c r="BP103" s="76">
        <f>IFERROR(1/J103*(Y103/H103),"0")</f>
        <v>0.61538461538461542</v>
      </c>
    </row>
    <row r="104" spans="1:68" ht="16.5" hidden="1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0</v>
      </c>
      <c r="Y104" s="69">
        <f>IFERROR(IF(X104="",0,CEILING((X104/$H104),1)*$H104),"")</f>
        <v>0</v>
      </c>
      <c r="Z104" s="70" t="str">
        <f>IFERROR(IF(Y104=0,"",ROUNDUP(Y104/H104,0)*0.00651),"")</f>
        <v/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0</v>
      </c>
      <c r="BN104" s="76">
        <f>IFERROR(Y104*I104/H104,"0")</f>
        <v>0</v>
      </c>
      <c r="BO104" s="76">
        <f>IFERROR(1/J104*(X104/H104),"0")</f>
        <v>0</v>
      </c>
      <c r="BP104" s="76">
        <f>IFERROR(1/J104*(Y104/H104),"0")</f>
        <v>0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129.62962962962962</v>
      </c>
      <c r="Y105" s="65">
        <f>IFERROR(Y101/H101,"0")+IFERROR(Y102/H102,"0")+IFERROR(Y103/H103,"0")+IFERROR(Y104/H104,"0")</f>
        <v>131</v>
      </c>
      <c r="Z105" s="65">
        <f>IFERROR(IF(Z101="",0,Z101),"0")+IFERROR(IF(Z102="",0,Z102),"0")+IFERROR(IF(Z103="",0,Z103),"0")+IFERROR(IF(Z104="",0,Z104),"0")</f>
        <v>1.0897399999999999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450</v>
      </c>
      <c r="Y106" s="65">
        <f>IFERROR(SUM(Y101:Y104),"0")</f>
        <v>456.30000000000007</v>
      </c>
      <c r="Z106" s="64"/>
      <c r="AA106" s="74"/>
      <c r="AB106" s="74"/>
      <c r="AC106" s="74"/>
    </row>
    <row r="107" spans="1:68" ht="16.5" hidden="1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hidden="1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200</v>
      </c>
      <c r="Y109" s="69">
        <f>IFERROR(IF(X109="",0,CEILING((X109/$H109),1)*$H109),"")</f>
        <v>205.20000000000002</v>
      </c>
      <c r="Z109" s="70">
        <f>IFERROR(IF(Y109=0,"",ROUNDUP(Y109/H109,0)*0.01898),"")</f>
        <v>0.36062</v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207.59259259259258</v>
      </c>
      <c r="BN109" s="76">
        <f>IFERROR(Y109*I109/H109,"0")</f>
        <v>212.99</v>
      </c>
      <c r="BO109" s="76">
        <f>IFERROR(1/J109*(X109/H109),"0")</f>
        <v>0.28935185185185186</v>
      </c>
      <c r="BP109" s="76">
        <f>IFERROR(1/J109*(Y109/H109),"0")</f>
        <v>0.296875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50</v>
      </c>
      <c r="Y111" s="69">
        <f>IFERROR(IF(X111="",0,CEILING((X111/$H111),1)*$H111),"")</f>
        <v>52.5</v>
      </c>
      <c r="Z111" s="70">
        <f>IFERROR(IF(Y111=0,"",ROUNDUP(Y111/H111,0)*0.00902),"")</f>
        <v>0.12628</v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52.533333333333331</v>
      </c>
      <c r="BN111" s="76">
        <f>IFERROR(Y111*I111/H111,"0")</f>
        <v>55.16</v>
      </c>
      <c r="BO111" s="76">
        <f>IFERROR(1/J111*(X111/H111),"0")</f>
        <v>0.10101010101010102</v>
      </c>
      <c r="BP111" s="76">
        <f>IFERROR(1/J111*(Y111/H111),"0")</f>
        <v>0.10606060606060606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31.851851851851855</v>
      </c>
      <c r="Y114" s="65">
        <f>IFERROR(Y109/H109,"0")+IFERROR(Y110/H110,"0")+IFERROR(Y111/H111,"0")+IFERROR(Y112/H112,"0")+IFERROR(Y113/H113,"0")</f>
        <v>33</v>
      </c>
      <c r="Z114" s="65">
        <f>IFERROR(IF(Z109="",0,Z109),"0")+IFERROR(IF(Z110="",0,Z110),"0")+IFERROR(IF(Z111="",0,Z111),"0")+IFERROR(IF(Z112="",0,Z112),"0")+IFERROR(IF(Z113="",0,Z113),"0")</f>
        <v>0.4869</v>
      </c>
      <c r="AA114" s="74"/>
      <c r="AB114" s="74"/>
      <c r="AC114" s="74"/>
    </row>
    <row r="115" spans="1:68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250</v>
      </c>
      <c r="Y115" s="65">
        <f>IFERROR(SUM(Y109:Y113),"0")</f>
        <v>257.70000000000005</v>
      </c>
      <c r="Z115" s="64"/>
      <c r="AA115" s="74"/>
      <c r="AB115" s="74"/>
      <c r="AC115" s="74"/>
    </row>
    <row r="116" spans="1:68" ht="14.25" hidden="1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50</v>
      </c>
      <c r="Y117" s="69">
        <f>IFERROR(IF(X117="",0,CEILING((X117/$H117),1)*$H117),"")</f>
        <v>54</v>
      </c>
      <c r="Z117" s="70">
        <f>IFERROR(IF(Y117=0,"",ROUNDUP(Y117/H117,0)*0.01898),"")</f>
        <v>9.4899999999999998E-2</v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51.898148148148145</v>
      </c>
      <c r="BN117" s="76">
        <f>IFERROR(Y117*I117/H117,"0")</f>
        <v>56.05</v>
      </c>
      <c r="BO117" s="76">
        <f>IFERROR(1/J117*(X117/H117),"0")</f>
        <v>7.2337962962962965E-2</v>
      </c>
      <c r="BP117" s="76">
        <f>IFERROR(1/J117*(Y117/H117),"0")</f>
        <v>7.8125E-2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4.6296296296296298</v>
      </c>
      <c r="Y121" s="65">
        <f>IFERROR(Y117/H117,"0")+IFERROR(Y118/H118,"0")+IFERROR(Y119/H119,"0")+IFERROR(Y120/H120,"0")</f>
        <v>5</v>
      </c>
      <c r="Z121" s="65">
        <f>IFERROR(IF(Z117="",0,Z117),"0")+IFERROR(IF(Z118="",0,Z118),"0")+IFERROR(IF(Z119="",0,Z119),"0")+IFERROR(IF(Z120="",0,Z120),"0")</f>
        <v>9.4899999999999998E-2</v>
      </c>
      <c r="AA121" s="74"/>
      <c r="AB121" s="74"/>
      <c r="AC121" s="74"/>
    </row>
    <row r="122" spans="1:68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50</v>
      </c>
      <c r="Y122" s="65">
        <f>IFERROR(SUM(Y117:Y120),"0")</f>
        <v>54</v>
      </c>
      <c r="Z122" s="64"/>
      <c r="AA122" s="74"/>
      <c r="AB122" s="74"/>
      <c r="AC122" s="74"/>
    </row>
    <row r="123" spans="1:68" ht="14.25" hidden="1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200</v>
      </c>
      <c r="Y124" s="69">
        <f>IFERROR(IF(X124="",0,CEILING((X124/$H124),1)*$H124),"")</f>
        <v>202.5</v>
      </c>
      <c r="Z124" s="70">
        <f>IFERROR(IF(Y124=0,"",ROUNDUP(Y124/H124,0)*0.01898),"")</f>
        <v>0.47450000000000003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212.04938271604939</v>
      </c>
      <c r="BN124" s="76">
        <f>IFERROR(Y124*I124/H124,"0")</f>
        <v>214.7</v>
      </c>
      <c r="BO124" s="76">
        <f>IFERROR(1/J124*(X124/H124),"0")</f>
        <v>0.38580246913580246</v>
      </c>
      <c r="BP124" s="76">
        <f>IFERROR(1/J124*(Y124/H124),"0")</f>
        <v>0.390625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400</v>
      </c>
      <c r="Y126" s="69">
        <f>IFERROR(IF(X126="",0,CEILING((X126/$H126),1)*$H126),"")</f>
        <v>402.3</v>
      </c>
      <c r="Z126" s="70">
        <f>IFERROR(IF(Y126=0,"",ROUNDUP(Y126/H126,0)*0.00651),"")</f>
        <v>0.96999000000000002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437.33333333333331</v>
      </c>
      <c r="BN126" s="76">
        <f>IFERROR(Y126*I126/H126,"0")</f>
        <v>439.84799999999996</v>
      </c>
      <c r="BO126" s="76">
        <f>IFERROR(1/J126*(X126/H126),"0")</f>
        <v>0.81400081400081403</v>
      </c>
      <c r="BP126" s="76">
        <f>IFERROR(1/J126*(Y126/H126),"0")</f>
        <v>0.81868131868131877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172.83950617283952</v>
      </c>
      <c r="Y128" s="65">
        <f>IFERROR(Y124/H124,"0")+IFERROR(Y125/H125,"0")+IFERROR(Y126/H126,"0")+IFERROR(Y127/H127,"0")</f>
        <v>174</v>
      </c>
      <c r="Z128" s="65">
        <f>IFERROR(IF(Z124="",0,Z124),"0")+IFERROR(IF(Z125="",0,Z125),"0")+IFERROR(IF(Z126="",0,Z126),"0")+IFERROR(IF(Z127="",0,Z127),"0")</f>
        <v>1.4444900000000001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600</v>
      </c>
      <c r="Y129" s="65">
        <f>IFERROR(SUM(Y124:Y127),"0")</f>
        <v>604.79999999999995</v>
      </c>
      <c r="Z129" s="64"/>
      <c r="AA129" s="74"/>
      <c r="AB129" s="74"/>
      <c r="AC129" s="74"/>
    </row>
    <row r="130" spans="1:68" ht="14.25" hidden="1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hidden="1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hidden="1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0</v>
      </c>
      <c r="Y146" s="69">
        <f>IFERROR(IF(X146="",0,CEILING((X146/$H146),1)*$H146),"")</f>
        <v>0</v>
      </c>
      <c r="Z146" s="70" t="str">
        <f>IFERROR(IF(Y146=0,"",ROUNDUP(Y146/H146,0)*0.00651),"")</f>
        <v/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0</v>
      </c>
      <c r="BN146" s="76">
        <f>IFERROR(Y146*I146/H146,"0")</f>
        <v>0</v>
      </c>
      <c r="BO146" s="76">
        <f>IFERROR(1/J146*(X146/H146),"0")</f>
        <v>0</v>
      </c>
      <c r="BP146" s="76">
        <f>IFERROR(1/J146*(Y146/H146),"0")</f>
        <v>0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hidden="1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0</v>
      </c>
      <c r="Y148" s="65">
        <f>IFERROR(Y146/H146,"0")+IFERROR(Y147/H147,"0")</f>
        <v>0</v>
      </c>
      <c r="Z148" s="65">
        <f>IFERROR(IF(Z146="",0,Z146),"0")+IFERROR(IF(Z147="",0,Z147),"0")</f>
        <v>0</v>
      </c>
      <c r="AA148" s="74"/>
      <c r="AB148" s="74"/>
      <c r="AC148" s="74"/>
    </row>
    <row r="149" spans="1:68" hidden="1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0</v>
      </c>
      <c r="Y149" s="65">
        <f>IFERROR(SUM(Y146:Y147),"0")</f>
        <v>0</v>
      </c>
      <c r="Z149" s="64"/>
      <c r="AA149" s="74"/>
      <c r="AB149" s="74"/>
      <c r="AC149" s="74"/>
    </row>
    <row r="150" spans="1:68" ht="16.5" hidden="1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hidden="1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hidden="1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0</v>
      </c>
      <c r="Y162" s="69">
        <f t="shared" si="11"/>
        <v>0</v>
      </c>
      <c r="Z162" s="70" t="str">
        <f>IFERROR(IF(Y162=0,"",ROUNDUP(Y162/H162,0)*0.00902),"")</f>
        <v/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0</v>
      </c>
      <c r="BN162" s="76">
        <f t="shared" si="13"/>
        <v>0</v>
      </c>
      <c r="BO162" s="76">
        <f t="shared" si="14"/>
        <v>0</v>
      </c>
      <c r="BP162" s="76">
        <f t="shared" si="15"/>
        <v>0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hidden="1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4"/>
      <c r="AB171" s="74"/>
      <c r="AC171" s="74"/>
    </row>
    <row r="172" spans="1:68" hidden="1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0</v>
      </c>
      <c r="Y172" s="65">
        <f>IFERROR(SUM(Y161:Y170),"0")</f>
        <v>0</v>
      </c>
      <c r="Z172" s="64"/>
      <c r="AA172" s="74"/>
      <c r="AB172" s="74"/>
      <c r="AC172" s="74"/>
    </row>
    <row r="173" spans="1:68" ht="14.25" hidden="1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hidden="1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hidden="1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hidden="1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150</v>
      </c>
      <c r="Y221" s="69">
        <f t="shared" ref="Y221:Y228" si="21">IFERROR(IF(X221="",0,CEILING((X221/$H221),1)*$H221),"")</f>
        <v>151.20000000000002</v>
      </c>
      <c r="Z221" s="70">
        <f>IFERROR(IF(Y221=0,"",ROUNDUP(Y221/H221,0)*0.00902),"")</f>
        <v>0.25256000000000001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155.27777777777777</v>
      </c>
      <c r="BN221" s="76">
        <f t="shared" ref="BN221:BN228" si="23">IFERROR(Y221*I221/H221,"0")</f>
        <v>156.52000000000001</v>
      </c>
      <c r="BO221" s="76">
        <f t="shared" ref="BO221:BO228" si="24">IFERROR(1/J221*(X221/H221),"0")</f>
        <v>0.21043771043771042</v>
      </c>
      <c r="BP221" s="76">
        <f t="shared" ref="BP221:BP228" si="25">IFERROR(1/J221*(Y221/H221),"0")</f>
        <v>0.21212121212121213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150</v>
      </c>
      <c r="Y222" s="69">
        <f t="shared" si="21"/>
        <v>151.20000000000002</v>
      </c>
      <c r="Z222" s="70">
        <f>IFERROR(IF(Y222=0,"",ROUNDUP(Y222/H222,0)*0.00902),"")</f>
        <v>0.25256000000000001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155.27777777777777</v>
      </c>
      <c r="BN222" s="76">
        <f t="shared" si="23"/>
        <v>156.52000000000001</v>
      </c>
      <c r="BO222" s="76">
        <f t="shared" si="24"/>
        <v>0.21043771043771042</v>
      </c>
      <c r="BP222" s="76">
        <f t="shared" si="25"/>
        <v>0.21212121212121213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111.1111111111111</v>
      </c>
      <c r="Y229" s="65">
        <f>IFERROR(Y221/H221,"0")+IFERROR(Y222/H222,"0")+IFERROR(Y223/H223,"0")+IFERROR(Y224/H224,"0")+IFERROR(Y225/H225,"0")+IFERROR(Y226/H226,"0")+IFERROR(Y227/H227,"0")+IFERROR(Y228/H228,"0")</f>
        <v>112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1.01024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600</v>
      </c>
      <c r="Y230" s="65">
        <f>IFERROR(SUM(Y221:Y228),"0")</f>
        <v>604.80000000000007</v>
      </c>
      <c r="Z230" s="64"/>
      <c r="AA230" s="74"/>
      <c r="AB230" s="74"/>
      <c r="AC230" s="74"/>
    </row>
    <row r="231" spans="1:68" ht="14.25" hidden="1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hidden="1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0</v>
      </c>
      <c r="Y232" s="69">
        <f t="shared" ref="Y232:Y240" si="26">IFERROR(IF(X232="",0,CEILING((X232/$H232),1)*$H232),"")</f>
        <v>0</v>
      </c>
      <c r="Z232" s="70" t="str">
        <f>IFERROR(IF(Y232=0,"",ROUNDUP(Y232/H232,0)*0.01898),"")</f>
        <v/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0</v>
      </c>
      <c r="BN232" s="76">
        <f t="shared" ref="BN232:BN240" si="28">IFERROR(Y232*I232/H232,"0")</f>
        <v>0</v>
      </c>
      <c r="BO232" s="76">
        <f t="shared" ref="BO232:BO240" si="29">IFERROR(1/J232*(X232/H232),"0")</f>
        <v>0</v>
      </c>
      <c r="BP232" s="76">
        <f t="shared" ref="BP232:BP240" si="30">IFERROR(1/J232*(Y232/H232),"0")</f>
        <v>0</v>
      </c>
    </row>
    <row r="233" spans="1:68" ht="37.5" hidden="1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0</v>
      </c>
      <c r="Y233" s="69">
        <f t="shared" si="26"/>
        <v>0</v>
      </c>
      <c r="Z233" s="70" t="str">
        <f>IFERROR(IF(Y233=0,"",ROUNDUP(Y233/H233,0)*0.01898),"")</f>
        <v/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0</v>
      </c>
      <c r="BN233" s="76">
        <f t="shared" si="28"/>
        <v>0</v>
      </c>
      <c r="BO233" s="76">
        <f t="shared" si="29"/>
        <v>0</v>
      </c>
      <c r="BP233" s="76">
        <f t="shared" si="30"/>
        <v>0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150</v>
      </c>
      <c r="Y234" s="69">
        <f t="shared" si="26"/>
        <v>156.6</v>
      </c>
      <c r="Z234" s="70">
        <f>IFERROR(IF(Y234=0,"",ROUNDUP(Y234/H234,0)*0.01898),"")</f>
        <v>0.34164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158.51724137931038</v>
      </c>
      <c r="BN234" s="76">
        <f t="shared" si="28"/>
        <v>165.49200000000002</v>
      </c>
      <c r="BO234" s="76">
        <f t="shared" si="29"/>
        <v>0.26939655172413796</v>
      </c>
      <c r="BP234" s="76">
        <f t="shared" si="30"/>
        <v>0.28125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100</v>
      </c>
      <c r="Y235" s="69">
        <f t="shared" si="26"/>
        <v>100.8</v>
      </c>
      <c r="Z235" s="70">
        <f t="shared" ref="Z235:Z240" si="31">IFERROR(IF(Y235=0,"",ROUNDUP(Y235/H235,0)*0.00651),"")</f>
        <v>0.27342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111.25</v>
      </c>
      <c r="BN235" s="76">
        <f t="shared" si="28"/>
        <v>112.13999999999999</v>
      </c>
      <c r="BO235" s="76">
        <f t="shared" si="29"/>
        <v>0.22893772893772898</v>
      </c>
      <c r="BP235" s="76">
        <f t="shared" si="30"/>
        <v>0.23076923076923078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250</v>
      </c>
      <c r="Y237" s="69">
        <f t="shared" si="26"/>
        <v>252</v>
      </c>
      <c r="Z237" s="70">
        <f t="shared" si="31"/>
        <v>0.68354999999999999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276.25</v>
      </c>
      <c r="BN237" s="76">
        <f t="shared" si="28"/>
        <v>278.46000000000004</v>
      </c>
      <c r="BO237" s="76">
        <f t="shared" si="29"/>
        <v>0.57234432234432242</v>
      </c>
      <c r="BP237" s="76">
        <f t="shared" si="30"/>
        <v>0.57692307692307698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250</v>
      </c>
      <c r="Y238" s="69">
        <f t="shared" si="26"/>
        <v>252</v>
      </c>
      <c r="Z238" s="70">
        <f t="shared" si="31"/>
        <v>0.68354999999999999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276.25</v>
      </c>
      <c r="BN238" s="76">
        <f t="shared" si="28"/>
        <v>278.46000000000004</v>
      </c>
      <c r="BO238" s="76">
        <f t="shared" si="29"/>
        <v>0.57234432234432242</v>
      </c>
      <c r="BP238" s="76">
        <f t="shared" si="30"/>
        <v>0.57692307692307698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100</v>
      </c>
      <c r="Y239" s="69">
        <f t="shared" si="26"/>
        <v>100.8</v>
      </c>
      <c r="Z239" s="70">
        <f t="shared" si="31"/>
        <v>0.27342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110.5</v>
      </c>
      <c r="BN239" s="76">
        <f t="shared" si="28"/>
        <v>111.384</v>
      </c>
      <c r="BO239" s="76">
        <f t="shared" si="29"/>
        <v>0.22893772893772898</v>
      </c>
      <c r="BP239" s="76">
        <f t="shared" si="30"/>
        <v>0.23076923076923078</v>
      </c>
    </row>
    <row r="240" spans="1:68" ht="27" hidden="1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0</v>
      </c>
      <c r="Y240" s="69">
        <f t="shared" si="26"/>
        <v>0</v>
      </c>
      <c r="Z240" s="70" t="str">
        <f t="shared" si="31"/>
        <v/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0</v>
      </c>
      <c r="BN240" s="76">
        <f t="shared" si="28"/>
        <v>0</v>
      </c>
      <c r="BO240" s="76">
        <f t="shared" si="29"/>
        <v>0</v>
      </c>
      <c r="BP240" s="76">
        <f t="shared" si="30"/>
        <v>0</v>
      </c>
    </row>
    <row r="241" spans="1:68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308.90804597701151</v>
      </c>
      <c r="Y241" s="65">
        <f>IFERROR(Y232/H232,"0")+IFERROR(Y233/H233,"0")+IFERROR(Y234/H234,"0")+IFERROR(Y235/H235,"0")+IFERROR(Y236/H236,"0")+IFERROR(Y237/H237,"0")+IFERROR(Y238/H238,"0")+IFERROR(Y239/H239,"0")+IFERROR(Y240/H240,"0")</f>
        <v>312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2.2555800000000001</v>
      </c>
      <c r="AA241" s="74"/>
      <c r="AB241" s="74"/>
      <c r="AC241" s="74"/>
    </row>
    <row r="242" spans="1:68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850</v>
      </c>
      <c r="Y242" s="65">
        <f>IFERROR(SUM(Y232:Y240),"0")</f>
        <v>862.19999999999993</v>
      </c>
      <c r="Z242" s="64"/>
      <c r="AA242" s="74"/>
      <c r="AB242" s="74"/>
      <c r="AC242" s="74"/>
    </row>
    <row r="243" spans="1:68" ht="14.25" hidden="1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hidden="1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hidden="1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hidden="1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hidden="1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hidden="1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hidden="1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150</v>
      </c>
      <c r="Y342" s="69">
        <f>IFERROR(IF(X342="",0,CEILING((X342/$H342),1)*$H342),"")</f>
        <v>156</v>
      </c>
      <c r="Z342" s="70">
        <f>IFERROR(IF(Y342=0,"",ROUNDUP(Y342/H342,0)*0.01898),"")</f>
        <v>0.37959999999999999</v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159.50000000000003</v>
      </c>
      <c r="BN342" s="76">
        <f>IFERROR(Y342*I342/H342,"0")</f>
        <v>165.88</v>
      </c>
      <c r="BO342" s="76">
        <f>IFERROR(1/J342*(X342/H342),"0")</f>
        <v>0.30048076923076922</v>
      </c>
      <c r="BP342" s="76">
        <f>IFERROR(1/J342*(Y342/H342),"0")</f>
        <v>0.3125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19.23076923076923</v>
      </c>
      <c r="Y344" s="65">
        <f>IFERROR(Y341/H341,"0")+IFERROR(Y342/H342,"0")+IFERROR(Y343/H343,"0")</f>
        <v>20</v>
      </c>
      <c r="Z344" s="65">
        <f>IFERROR(IF(Z341="",0,Z341),"0")+IFERROR(IF(Z342="",0,Z342),"0")+IFERROR(IF(Z343="",0,Z343),"0")</f>
        <v>0.37959999999999999</v>
      </c>
      <c r="AA344" s="74"/>
      <c r="AB344" s="74"/>
      <c r="AC344" s="74"/>
    </row>
    <row r="345" spans="1:68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150</v>
      </c>
      <c r="Y345" s="65">
        <f>IFERROR(SUM(Y341:Y343),"0")</f>
        <v>156</v>
      </c>
      <c r="Z345" s="64"/>
      <c r="AA345" s="74"/>
      <c r="AB345" s="74"/>
      <c r="AC345" s="74"/>
    </row>
    <row r="346" spans="1:68" ht="14.25" hidden="1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hidden="1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0</v>
      </c>
      <c r="Y354" s="69">
        <f>IFERROR(IF(X354="",0,CEILING((X354/$H354),1)*$H354),"")</f>
        <v>0</v>
      </c>
      <c r="Z354" s="70" t="str">
        <f>IFERROR(IF(Y354=0,"",ROUNDUP(Y354/H354,0)*0.00474),"")</f>
        <v/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0</v>
      </c>
      <c r="BN354" s="76">
        <f>IFERROR(Y354*I354/H354,"0")</f>
        <v>0</v>
      </c>
      <c r="BO354" s="76">
        <f>IFERROR(1/J354*(X354/H354),"0")</f>
        <v>0</v>
      </c>
      <c r="BP354" s="76">
        <f>IFERROR(1/J354*(Y354/H354),"0")</f>
        <v>0</v>
      </c>
    </row>
    <row r="355" spans="1:68" ht="27" hidden="1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0</v>
      </c>
      <c r="Y355" s="69">
        <f>IFERROR(IF(X355="",0,CEILING((X355/$H355),1)*$H355),"")</f>
        <v>0</v>
      </c>
      <c r="Z355" s="70" t="str">
        <f>IFERROR(IF(Y355=0,"",ROUNDUP(Y355/H355,0)*0.00474),"")</f>
        <v/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0</v>
      </c>
      <c r="BN355" s="76">
        <f>IFERROR(Y355*I355/H355,"0")</f>
        <v>0</v>
      </c>
      <c r="BO355" s="76">
        <f>IFERROR(1/J355*(X355/H355),"0")</f>
        <v>0</v>
      </c>
      <c r="BP355" s="76">
        <f>IFERROR(1/J355*(Y355/H355),"0")</f>
        <v>0</v>
      </c>
    </row>
    <row r="356" spans="1:68" ht="27" hidden="1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0</v>
      </c>
      <c r="Y356" s="69">
        <f>IFERROR(IF(X356="",0,CEILING((X356/$H356),1)*$H356),"")</f>
        <v>0</v>
      </c>
      <c r="Z356" s="70" t="str">
        <f>IFERROR(IF(Y356=0,"",ROUNDUP(Y356/H356,0)*0.00474),"")</f>
        <v/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0</v>
      </c>
      <c r="BN356" s="76">
        <f>IFERROR(Y356*I356/H356,"0")</f>
        <v>0</v>
      </c>
      <c r="BO356" s="76">
        <f>IFERROR(1/J356*(X356/H356),"0")</f>
        <v>0</v>
      </c>
      <c r="BP356" s="76">
        <f>IFERROR(1/J356*(Y356/H356),"0")</f>
        <v>0</v>
      </c>
    </row>
    <row r="357" spans="1:68" hidden="1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0</v>
      </c>
      <c r="Y357" s="65">
        <f>IFERROR(Y354/H354,"0")+IFERROR(Y355/H355,"0")+IFERROR(Y356/H356,"0")</f>
        <v>0</v>
      </c>
      <c r="Z357" s="65">
        <f>IFERROR(IF(Z354="",0,Z354),"0")+IFERROR(IF(Z355="",0,Z355),"0")+IFERROR(IF(Z356="",0,Z356),"0")</f>
        <v>0</v>
      </c>
      <c r="AA357" s="74"/>
      <c r="AB357" s="74"/>
      <c r="AC357" s="74"/>
    </row>
    <row r="358" spans="1:68" hidden="1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0</v>
      </c>
      <c r="Y358" s="65">
        <f>IFERROR(SUM(Y354:Y356),"0")</f>
        <v>0</v>
      </c>
      <c r="Z358" s="64"/>
      <c r="AA358" s="74"/>
      <c r="AB358" s="74"/>
      <c r="AC358" s="74"/>
    </row>
    <row r="359" spans="1:68" ht="16.5" hidden="1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hidden="1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50</v>
      </c>
      <c r="Y362" s="69">
        <f>IFERROR(IF(X362="",0,CEILING((X362/$H362),1)*$H362),"")</f>
        <v>50.400000000000006</v>
      </c>
      <c r="Z362" s="70">
        <f>IFERROR(IF(Y362=0,"",ROUNDUP(Y362/H362,0)*0.00651),"")</f>
        <v>0.15623999999999999</v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55.999999999999993</v>
      </c>
      <c r="BN362" s="76">
        <f>IFERROR(Y362*I362/H362,"0")</f>
        <v>56.448</v>
      </c>
      <c r="BO362" s="76">
        <f>IFERROR(1/J362*(X362/H362),"0")</f>
        <v>0.13082155939298798</v>
      </c>
      <c r="BP362" s="76">
        <f>IFERROR(1/J362*(Y362/H362),"0")</f>
        <v>0.13186813186813187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47.61904761904762</v>
      </c>
      <c r="Y364" s="65">
        <f>IFERROR(Y361/H361,"0")+IFERROR(Y362/H362,"0")+IFERROR(Y363/H363,"0")</f>
        <v>48</v>
      </c>
      <c r="Z364" s="65">
        <f>IFERROR(IF(Z361="",0,Z361),"0")+IFERROR(IF(Z362="",0,Z362),"0")+IFERROR(IF(Z363="",0,Z363),"0")</f>
        <v>0.31247999999999998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100</v>
      </c>
      <c r="Y365" s="65">
        <f>IFERROR(SUM(Y361:Y363),"0")</f>
        <v>100.80000000000001</v>
      </c>
      <c r="Z365" s="64"/>
      <c r="AA365" s="74"/>
      <c r="AB365" s="74"/>
      <c r="AC365" s="74"/>
    </row>
    <row r="366" spans="1:68" ht="27.75" hidden="1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hidden="1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hidden="1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500</v>
      </c>
      <c r="Y369" s="69">
        <f t="shared" ref="Y369:Y375" si="47">IFERROR(IF(X369="",0,CEILING((X369/$H369),1)*$H369),"")</f>
        <v>510</v>
      </c>
      <c r="Z369" s="70">
        <f>IFERROR(IF(Y369=0,"",ROUNDUP(Y369/H369,0)*0.02175),"")</f>
        <v>0.73949999999999994</v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515.66666666666663</v>
      </c>
      <c r="BN369" s="76">
        <f t="shared" ref="BN369:BN375" si="49">IFERROR(Y369*I369/H369,"0")</f>
        <v>525.98</v>
      </c>
      <c r="BO369" s="76">
        <f t="shared" ref="BO369:BO375" si="50">IFERROR(1/J369*(X369/H369),"0")</f>
        <v>0.69444444444444442</v>
      </c>
      <c r="BP369" s="76">
        <f t="shared" ref="BP369:BP375" si="51">IFERROR(1/J369*(Y369/H369),"0")</f>
        <v>0.70833333333333326</v>
      </c>
    </row>
    <row r="370" spans="1:68" ht="27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150</v>
      </c>
      <c r="Y370" s="69">
        <f t="shared" si="47"/>
        <v>150</v>
      </c>
      <c r="Z370" s="70">
        <f>IFERROR(IF(Y370=0,"",ROUNDUP(Y370/H370,0)*0.02175),"")</f>
        <v>0.21749999999999997</v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154.69999999999999</v>
      </c>
      <c r="BN370" s="76">
        <f t="shared" si="49"/>
        <v>154.69999999999999</v>
      </c>
      <c r="BO370" s="76">
        <f t="shared" si="50"/>
        <v>0.20833333333333331</v>
      </c>
      <c r="BP370" s="76">
        <f t="shared" si="51"/>
        <v>0.20833333333333331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300</v>
      </c>
      <c r="Y372" s="69">
        <f t="shared" si="47"/>
        <v>300</v>
      </c>
      <c r="Z372" s="70">
        <f>IFERROR(IF(Y372=0,"",ROUNDUP(Y372/H372,0)*0.02175),"")</f>
        <v>0.43499999999999994</v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309.39999999999998</v>
      </c>
      <c r="BN372" s="76">
        <f t="shared" si="49"/>
        <v>309.39999999999998</v>
      </c>
      <c r="BO372" s="76">
        <f t="shared" si="50"/>
        <v>0.41666666666666663</v>
      </c>
      <c r="BP372" s="76">
        <f t="shared" si="51"/>
        <v>0.41666666666666663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63.333333333333336</v>
      </c>
      <c r="Y376" s="65">
        <f>IFERROR(Y369/H369,"0")+IFERROR(Y370/H370,"0")+IFERROR(Y371/H371,"0")+IFERROR(Y372/H372,"0")+IFERROR(Y373/H373,"0")+IFERROR(Y374/H374,"0")+IFERROR(Y375/H375,"0")</f>
        <v>64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1.3919999999999999</v>
      </c>
      <c r="AA376" s="74"/>
      <c r="AB376" s="74"/>
      <c r="AC376" s="74"/>
    </row>
    <row r="377" spans="1:68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950</v>
      </c>
      <c r="Y377" s="65">
        <f>IFERROR(SUM(Y369:Y375),"0")</f>
        <v>960</v>
      </c>
      <c r="Z377" s="64"/>
      <c r="AA377" s="74"/>
      <c r="AB377" s="74"/>
      <c r="AC377" s="74"/>
    </row>
    <row r="378" spans="1:68" ht="14.25" hidden="1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300</v>
      </c>
      <c r="Y379" s="69">
        <f>IFERROR(IF(X379="",0,CEILING((X379/$H379),1)*$H379),"")</f>
        <v>300</v>
      </c>
      <c r="Z379" s="70">
        <f>IFERROR(IF(Y379=0,"",ROUNDUP(Y379/H379,0)*0.02175),"")</f>
        <v>0.43499999999999994</v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309.39999999999998</v>
      </c>
      <c r="BN379" s="76">
        <f>IFERROR(Y379*I379/H379,"0")</f>
        <v>309.39999999999998</v>
      </c>
      <c r="BO379" s="76">
        <f>IFERROR(1/J379*(X379/H379),"0")</f>
        <v>0.41666666666666663</v>
      </c>
      <c r="BP379" s="76">
        <f>IFERROR(1/J379*(Y379/H379),"0")</f>
        <v>0.41666666666666663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20</v>
      </c>
      <c r="Y381" s="65">
        <f>IFERROR(Y379/H379,"0")+IFERROR(Y380/H380,"0")</f>
        <v>20</v>
      </c>
      <c r="Z381" s="65">
        <f>IFERROR(IF(Z379="",0,Z379),"0")+IFERROR(IF(Z380="",0,Z380),"0")</f>
        <v>0.43499999999999994</v>
      </c>
      <c r="AA381" s="74"/>
      <c r="AB381" s="74"/>
      <c r="AC381" s="74"/>
    </row>
    <row r="382" spans="1:68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300</v>
      </c>
      <c r="Y382" s="65">
        <f>IFERROR(SUM(Y379:Y380),"0")</f>
        <v>300</v>
      </c>
      <c r="Z382" s="64"/>
      <c r="AA382" s="74"/>
      <c r="AB382" s="74"/>
      <c r="AC382" s="74"/>
    </row>
    <row r="383" spans="1:68" ht="14.25" hidden="1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250</v>
      </c>
      <c r="Y384" s="69">
        <f>IFERROR(IF(X384="",0,CEILING((X384/$H384),1)*$H384),"")</f>
        <v>252</v>
      </c>
      <c r="Z384" s="70">
        <f>IFERROR(IF(Y384=0,"",ROUNDUP(Y384/H384,0)*0.01898),"")</f>
        <v>0.53144000000000002</v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263.88888888888891</v>
      </c>
      <c r="BN384" s="76">
        <f>IFERROR(Y384*I384/H384,"0")</f>
        <v>266</v>
      </c>
      <c r="BO384" s="76">
        <f>IFERROR(1/J384*(X384/H384),"0")</f>
        <v>0.43402777777777779</v>
      </c>
      <c r="BP384" s="76">
        <f>IFERROR(1/J384*(Y384/H384),"0")</f>
        <v>0.4375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100</v>
      </c>
      <c r="Y385" s="69">
        <f>IFERROR(IF(X385="",0,CEILING((X385/$H385),1)*$H385),"")</f>
        <v>108</v>
      </c>
      <c r="Z385" s="70">
        <f>IFERROR(IF(Y385=0,"",ROUNDUP(Y385/H385,0)*0.01898),"")</f>
        <v>0.22776000000000002</v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105.48888888888888</v>
      </c>
      <c r="BN385" s="76">
        <f>IFERROR(Y385*I385/H385,"0")</f>
        <v>113.92799999999998</v>
      </c>
      <c r="BO385" s="76">
        <f>IFERROR(1/J385*(X385/H385),"0")</f>
        <v>0.1736111111111111</v>
      </c>
      <c r="BP385" s="76">
        <f>IFERROR(1/J385*(Y385/H385),"0")</f>
        <v>0.1875</v>
      </c>
    </row>
    <row r="386" spans="1:68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38.888888888888886</v>
      </c>
      <c r="Y386" s="65">
        <f>IFERROR(Y384/H384,"0")+IFERROR(Y385/H385,"0")</f>
        <v>40</v>
      </c>
      <c r="Z386" s="65">
        <f>IFERROR(IF(Z384="",0,Z384),"0")+IFERROR(IF(Z385="",0,Z385),"0")</f>
        <v>0.7592000000000001</v>
      </c>
      <c r="AA386" s="74"/>
      <c r="AB386" s="74"/>
      <c r="AC386" s="74"/>
    </row>
    <row r="387" spans="1:68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350</v>
      </c>
      <c r="Y387" s="65">
        <f>IFERROR(SUM(Y384:Y385),"0")</f>
        <v>360</v>
      </c>
      <c r="Z387" s="64"/>
      <c r="AA387" s="74"/>
      <c r="AB387" s="74"/>
      <c r="AC387" s="74"/>
    </row>
    <row r="388" spans="1:68" ht="14.25" hidden="1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hidden="1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150</v>
      </c>
      <c r="Y394" s="69">
        <f>IFERROR(IF(X394="",0,CEILING((X394/$H394),1)*$H394),"")</f>
        <v>156</v>
      </c>
      <c r="Z394" s="70">
        <f>IFERROR(IF(Y394=0,"",ROUNDUP(Y394/H394,0)*0.01898),"")</f>
        <v>0.24674000000000001</v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155.125</v>
      </c>
      <c r="BN394" s="76">
        <f>IFERROR(Y394*I394/H394,"0")</f>
        <v>161.33000000000001</v>
      </c>
      <c r="BO394" s="76">
        <f>IFERROR(1/J394*(X394/H394),"0")</f>
        <v>0.1953125</v>
      </c>
      <c r="BP394" s="76">
        <f>IFERROR(1/J394*(Y394/H394),"0")</f>
        <v>0.203125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12.5</v>
      </c>
      <c r="Y396" s="65">
        <f>IFERROR(Y394/H394,"0")+IFERROR(Y395/H395,"0")</f>
        <v>13</v>
      </c>
      <c r="Z396" s="65">
        <f>IFERROR(IF(Z394="",0,Z394),"0")+IFERROR(IF(Z395="",0,Z395),"0")</f>
        <v>0.24674000000000001</v>
      </c>
      <c r="AA396" s="74"/>
      <c r="AB396" s="74"/>
      <c r="AC396" s="74"/>
    </row>
    <row r="397" spans="1:68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150</v>
      </c>
      <c r="Y397" s="65">
        <f>IFERROR(SUM(Y394:Y395),"0")</f>
        <v>156</v>
      </c>
      <c r="Z397" s="64"/>
      <c r="AA397" s="74"/>
      <c r="AB397" s="74"/>
      <c r="AC397" s="74"/>
    </row>
    <row r="398" spans="1:68" ht="14.25" hidden="1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500</v>
      </c>
      <c r="Y403" s="69">
        <f>IFERROR(IF(X403="",0,CEILING((X403/$H403),1)*$H403),"")</f>
        <v>504</v>
      </c>
      <c r="Z403" s="70">
        <f>IFERROR(IF(Y403=0,"",ROUNDUP(Y403/H403,0)*0.01898),"")</f>
        <v>1.06288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527.44444444444446</v>
      </c>
      <c r="BN403" s="76">
        <f>IFERROR(Y403*I403/H403,"0")</f>
        <v>531.66399999999999</v>
      </c>
      <c r="BO403" s="76">
        <f>IFERROR(1/J403*(X403/H403),"0")</f>
        <v>0.86805555555555558</v>
      </c>
      <c r="BP403" s="76">
        <f>IFERROR(1/J403*(Y403/H403),"0")</f>
        <v>0.875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100</v>
      </c>
      <c r="Y404" s="69">
        <f>IFERROR(IF(X404="",0,CEILING((X404/$H404),1)*$H404),"")</f>
        <v>100.8</v>
      </c>
      <c r="Z404" s="70">
        <f>IFERROR(IF(Y404=0,"",ROUNDUP(Y404/H404,0)*0.00651),"")</f>
        <v>0.27342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111.00000000000001</v>
      </c>
      <c r="BN404" s="76">
        <f>IFERROR(Y404*I404/H404,"0")</f>
        <v>111.88800000000001</v>
      </c>
      <c r="BO404" s="76">
        <f>IFERROR(1/J404*(X404/H404),"0")</f>
        <v>0.22893772893772898</v>
      </c>
      <c r="BP404" s="76">
        <f>IFERROR(1/J404*(Y404/H404),"0")</f>
        <v>0.23076923076923078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97.222222222222229</v>
      </c>
      <c r="Y406" s="65">
        <f>IFERROR(Y403/H403,"0")+IFERROR(Y404/H404,"0")+IFERROR(Y405/H405,"0")</f>
        <v>98</v>
      </c>
      <c r="Z406" s="65">
        <f>IFERROR(IF(Z403="",0,Z403),"0")+IFERROR(IF(Z404="",0,Z404),"0")+IFERROR(IF(Z405="",0,Z405),"0")</f>
        <v>1.3363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600</v>
      </c>
      <c r="Y407" s="65">
        <f>IFERROR(SUM(Y403:Y405),"0")</f>
        <v>604.79999999999995</v>
      </c>
      <c r="Z407" s="64"/>
      <c r="AA407" s="74"/>
      <c r="AB407" s="74"/>
      <c r="AC407" s="74"/>
    </row>
    <row r="408" spans="1:68" ht="27.75" hidden="1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hidden="1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hidden="1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hidden="1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hidden="1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hidden="1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hidden="1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1000</v>
      </c>
      <c r="Y448" s="69">
        <f t="shared" si="58"/>
        <v>1003.2</v>
      </c>
      <c r="Z448" s="70">
        <f t="shared" si="59"/>
        <v>2.2724000000000002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1066.2878787878788</v>
      </c>
      <c r="BN448" s="76">
        <f t="shared" si="61"/>
        <v>1069.7</v>
      </c>
      <c r="BO448" s="76">
        <f t="shared" si="62"/>
        <v>1.821095571095571</v>
      </c>
      <c r="BP448" s="76">
        <f t="shared" si="63"/>
        <v>1.8269230769230771</v>
      </c>
    </row>
    <row r="449" spans="1:68" ht="27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100</v>
      </c>
      <c r="Y449" s="69">
        <f t="shared" si="58"/>
        <v>100.32000000000001</v>
      </c>
      <c r="Z449" s="70">
        <f t="shared" si="59"/>
        <v>0.22724</v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106.62878787878788</v>
      </c>
      <c r="BN449" s="76">
        <f t="shared" si="61"/>
        <v>106.97</v>
      </c>
      <c r="BO449" s="76">
        <f t="shared" si="62"/>
        <v>0.18210955710955709</v>
      </c>
      <c r="BP449" s="76">
        <f t="shared" si="63"/>
        <v>0.18269230769230771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800</v>
      </c>
      <c r="Y452" s="69">
        <f t="shared" si="58"/>
        <v>802.56000000000006</v>
      </c>
      <c r="Z452" s="70">
        <f t="shared" si="59"/>
        <v>1.81792</v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853.030303030303</v>
      </c>
      <c r="BN452" s="76">
        <f t="shared" si="61"/>
        <v>855.76</v>
      </c>
      <c r="BO452" s="76">
        <f t="shared" si="62"/>
        <v>1.4568764568764567</v>
      </c>
      <c r="BP452" s="76">
        <f t="shared" si="63"/>
        <v>1.4615384615384617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401.5151515151515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403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4.6964000000000006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2100</v>
      </c>
      <c r="Y459" s="65">
        <f>IFERROR(SUM(Y446:Y457),"0")</f>
        <v>2107.6799999999998</v>
      </c>
      <c r="Z459" s="64"/>
      <c r="AA459" s="74"/>
      <c r="AB459" s="74"/>
      <c r="AC459" s="74"/>
    </row>
    <row r="460" spans="1:68" ht="14.25" hidden="1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300</v>
      </c>
      <c r="Y461" s="69">
        <f>IFERROR(IF(X461="",0,CEILING((X461/$H461),1)*$H461),"")</f>
        <v>300.96000000000004</v>
      </c>
      <c r="Z461" s="70">
        <f>IFERROR(IF(Y461=0,"",ROUNDUP(Y461/H461,0)*0.01196),"")</f>
        <v>0.68171999999999999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319.88636363636363</v>
      </c>
      <c r="BN461" s="76">
        <f>IFERROR(Y461*I461/H461,"0")</f>
        <v>320.91000000000003</v>
      </c>
      <c r="BO461" s="76">
        <f>IFERROR(1/J461*(X461/H461),"0")</f>
        <v>0.54632867132867136</v>
      </c>
      <c r="BP461" s="76">
        <f>IFERROR(1/J461*(Y461/H461),"0")</f>
        <v>0.54807692307692313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56.818181818181813</v>
      </c>
      <c r="Y464" s="65">
        <f>IFERROR(Y461/H461,"0")+IFERROR(Y462/H462,"0")+IFERROR(Y463/H463,"0")</f>
        <v>57.000000000000007</v>
      </c>
      <c r="Z464" s="65">
        <f>IFERROR(IF(Z461="",0,Z461),"0")+IFERROR(IF(Z462="",0,Z462),"0")+IFERROR(IF(Z463="",0,Z463),"0")</f>
        <v>0.68171999999999999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300</v>
      </c>
      <c r="Y465" s="65">
        <f>IFERROR(SUM(Y461:Y463),"0")</f>
        <v>300.96000000000004</v>
      </c>
      <c r="Z465" s="64"/>
      <c r="AA465" s="74"/>
      <c r="AB465" s="74"/>
      <c r="AC465" s="74"/>
    </row>
    <row r="466" spans="1:68" ht="14.25" hidden="1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hidden="1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hidden="1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hidden="1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0</v>
      </c>
      <c r="Y469" s="69">
        <f t="shared" si="64"/>
        <v>0</v>
      </c>
      <c r="Z469" s="70" t="str">
        <f>IFERROR(IF(Y469=0,"",ROUNDUP(Y469/H469,0)*0.01196),"")</f>
        <v/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0</v>
      </c>
      <c r="BN469" s="76">
        <f t="shared" si="66"/>
        <v>0</v>
      </c>
      <c r="BO469" s="76">
        <f t="shared" si="67"/>
        <v>0</v>
      </c>
      <c r="BP469" s="76">
        <f t="shared" si="68"/>
        <v>0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hidden="1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0</v>
      </c>
      <c r="Y474" s="65">
        <f>IFERROR(Y467/H467,"0")+IFERROR(Y468/H468,"0")+IFERROR(Y469/H469,"0")+IFERROR(Y470/H470,"0")+IFERROR(Y471/H471,"0")+IFERROR(Y472/H472,"0")+IFERROR(Y473/H473,"0")</f>
        <v>0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0</v>
      </c>
      <c r="AA474" s="74"/>
      <c r="AB474" s="74"/>
      <c r="AC474" s="74"/>
    </row>
    <row r="475" spans="1:68" hidden="1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0</v>
      </c>
      <c r="Y475" s="65">
        <f>IFERROR(SUM(Y467:Y473),"0")</f>
        <v>0</v>
      </c>
      <c r="Z475" s="64"/>
      <c r="AA475" s="74"/>
      <c r="AB475" s="74"/>
      <c r="AC475" s="74"/>
    </row>
    <row r="476" spans="1:68" ht="27.75" hidden="1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hidden="1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hidden="1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hidden="1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0</v>
      </c>
      <c r="Y493" s="69">
        <f>IFERROR(IF(X493="",0,CEILING((X493/$H493),1)*$H493),"")</f>
        <v>0</v>
      </c>
      <c r="Z493" s="70" t="str">
        <f>IFERROR(IF(Y493=0,"",ROUNDUP(Y493/H493,0)*0.01898),"")</f>
        <v/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0</v>
      </c>
      <c r="BN493" s="76">
        <f>IFERROR(Y493*I493/H493,"0")</f>
        <v>0</v>
      </c>
      <c r="BO493" s="76">
        <f>IFERROR(1/J493*(X493/H493),"0")</f>
        <v>0</v>
      </c>
      <c r="BP493" s="76">
        <f>IFERROR(1/J493*(Y493/H493),"0")</f>
        <v>0</v>
      </c>
    </row>
    <row r="494" spans="1:68" hidden="1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0</v>
      </c>
      <c r="Y494" s="65">
        <f>IFERROR(Y493/H493,"0")</f>
        <v>0</v>
      </c>
      <c r="Z494" s="65">
        <f>IFERROR(IF(Z493="",0,Z493),"0")</f>
        <v>0</v>
      </c>
      <c r="AA494" s="74"/>
      <c r="AB494" s="74"/>
      <c r="AC494" s="74"/>
    </row>
    <row r="495" spans="1:68" hidden="1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0</v>
      </c>
      <c r="Y495" s="65">
        <f>IFERROR(SUM(Y493:Y493),"0")</f>
        <v>0</v>
      </c>
      <c r="Z495" s="64"/>
      <c r="AA495" s="74"/>
      <c r="AB495" s="74"/>
      <c r="AC495" s="74"/>
    </row>
    <row r="496" spans="1:68" ht="14.25" hidden="1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hidden="1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8770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8886.4399999999987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9368.4770076932418</v>
      </c>
      <c r="Y507" s="65">
        <f>IFERROR(SUM(BN22:BN503),"0")</f>
        <v>9491.5319999999974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16</v>
      </c>
      <c r="Y508" s="80">
        <f>ROUNDUP(SUM(BP22:BP503),0)</f>
        <v>16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9768.4770076932418</v>
      </c>
      <c r="Y509" s="65">
        <f>GrossWeightTotalR+PalletQtyTotalR*25</f>
        <v>9891.5319999999974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1657.043136195435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1674</v>
      </c>
      <c r="Z510" s="64"/>
      <c r="AA510" s="74"/>
      <c r="AB510" s="74"/>
      <c r="AC510" s="74"/>
    </row>
    <row r="511" spans="1:68" ht="14.25" hidden="1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18.49785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379.20000000000005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470</v>
      </c>
      <c r="F516" s="84">
        <f>IFERROR(Y94*1,"0")+IFERROR(Y95*1,"0")+IFERROR(Y96*1,"0")+IFERROR(Y97*1,"0")+IFERROR(Y101*1,"0")+IFERROR(Y102*1,"0")+IFERROR(Y103*1,"0")+IFERROR(Y104*1,"0")</f>
        <v>607.5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916.5</v>
      </c>
      <c r="H516" s="84">
        <f>IFERROR(Y136*1,"0")+IFERROR(Y137*1,"0")+IFERROR(Y141*1,"0")+IFERROR(Y142*1,"0")+IFERROR(Y146*1,"0")+IFERROR(Y147*1,"0")</f>
        <v>0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1467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156</v>
      </c>
      <c r="S516" s="84">
        <f>IFERROR(Y361*1,"0")+IFERROR(Y362*1,"0")+IFERROR(Y363*1,"0")</f>
        <v>100.80000000000001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1620</v>
      </c>
      <c r="U516" s="84">
        <f>IFERROR(Y394*1,"0")+IFERROR(Y395*1,"0")+IFERROR(Y399*1,"0")+IFERROR(Y403*1,"0")+IFERROR(Y404*1,"0")+IFERROR(Y405*1,"0")</f>
        <v>760.8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2408.64</v>
      </c>
      <c r="Z516" s="84">
        <f>IFERROR(Y479*1,"0")+IFERROR(Y480*1,"0")+IFERROR(Y481*1,"0")+IFERROR(Y485*1,"0")+IFERROR(Y489*1,"0")+IFERROR(Y493*1,"0")+IFERROR(Y497*1,"0")+IFERROR(Y498*1,"0")</f>
        <v>0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657,04"/>
        <filter val="100,00"/>
        <filter val="111,11"/>
        <filter val="12,50"/>
        <filter val="120,00"/>
        <filter val="129,63"/>
        <filter val="13,89"/>
        <filter val="150,00"/>
        <filter val="16"/>
        <filter val="172,84"/>
        <filter val="19,23"/>
        <filter val="2 100,00"/>
        <filter val="20,00"/>
        <filter val="200,00"/>
        <filter val="250,00"/>
        <filter val="300,00"/>
        <filter val="308,91"/>
        <filter val="31,85"/>
        <filter val="350,00"/>
        <filter val="370,00"/>
        <filter val="38,89"/>
        <filter val="4,63"/>
        <filter val="400,00"/>
        <filter val="401,52"/>
        <filter val="450,00"/>
        <filter val="47,62"/>
        <filter val="50,00"/>
        <filter val="500,00"/>
        <filter val="53,15"/>
        <filter val="56,82"/>
        <filter val="600,00"/>
        <filter val="63,33"/>
        <filter val="69,28"/>
        <filter val="8 770,00"/>
        <filter val="800,00"/>
        <filter val="850,00"/>
        <filter val="9 368,48"/>
        <filter val="9 768,48"/>
        <filter val="950,00"/>
        <filter val="97,22"/>
      </filters>
    </filterColumn>
  </autoFilter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FE5A0B88-DB71-4916-80FA-147DE2C72D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2026-09-17T08:46:22Z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