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19,09,26\"/>
    </mc:Choice>
  </mc:AlternateContent>
  <xr:revisionPtr revIDLastSave="0" documentId="13_ncr:1_{D8B1243F-3B9C-4DB3-9A8F-C99731834E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F4" i="1"/>
  <c r="F3" i="1"/>
  <c r="F8" i="1" l="1"/>
  <c r="E8" i="1"/>
  <c r="C8" i="1" l="1"/>
  <c r="D8" i="1"/>
  <c r="H8" i="1" l="1"/>
  <c r="T4" i="1" l="1"/>
  <c r="T5" i="1"/>
  <c r="T6" i="1"/>
  <c r="T7" i="1"/>
  <c r="T3" i="1"/>
  <c r="S8" i="1"/>
  <c r="R8" i="1"/>
  <c r="Q8" i="1"/>
  <c r="I8" i="1" l="1"/>
  <c r="J8" i="1"/>
  <c r="K8" i="1"/>
  <c r="L8" i="1"/>
  <c r="M8" i="1"/>
  <c r="N8" i="1"/>
  <c r="O8" i="1"/>
  <c r="P8" i="1"/>
  <c r="B8" i="1" l="1"/>
  <c r="T8" i="1" l="1"/>
</calcChain>
</file>

<file path=xl/sharedStrings.xml><?xml version="1.0" encoding="utf-8"?>
<sst xmlns="http://schemas.openxmlformats.org/spreadsheetml/2006/main" count="33" uniqueCount="24">
  <si>
    <t>Мелитополь</t>
  </si>
  <si>
    <t>ПОЛУЧАТЕЛЬ</t>
  </si>
  <si>
    <t>3 машина</t>
  </si>
  <si>
    <t>Остаток</t>
  </si>
  <si>
    <t>ИТОГОВЫЕ ДАННЫЕ</t>
  </si>
  <si>
    <t>Патяка</t>
  </si>
  <si>
    <t>нетто</t>
  </si>
  <si>
    <t>брутто</t>
  </si>
  <si>
    <t>паллеты</t>
  </si>
  <si>
    <t>4 машина</t>
  </si>
  <si>
    <t>НПК ЛП</t>
  </si>
  <si>
    <t>ВЕС НЕТТО</t>
  </si>
  <si>
    <t>ВЕС БРУТТО</t>
  </si>
  <si>
    <t>ПАЛЛЕТЫ</t>
  </si>
  <si>
    <t>Обрыньба</t>
  </si>
  <si>
    <t>1 машина на 27,06</t>
  </si>
  <si>
    <t>1 машина на 26,06</t>
  </si>
  <si>
    <t>Пушкарный(ВВ)</t>
  </si>
  <si>
    <t>дефицит, кг</t>
  </si>
  <si>
    <t>вес без дефицита</t>
  </si>
  <si>
    <t>комментарий</t>
  </si>
  <si>
    <t>ганноверские+датские</t>
  </si>
  <si>
    <t>ганноверские</t>
  </si>
  <si>
    <t>датские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</si>
</sst>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27" xfId="0" applyFill="1" applyBorder="1"/>
    <xf numFmtId="0" fontId="1" fillId="0" borderId="28" xfId="0" applyFont="1" applyBorder="1"/>
    <xf numFmtId="0" fontId="0" fillId="0" borderId="30" xfId="0" applyFill="1" applyBorder="1"/>
    <xf numFmtId="0" fontId="0" fillId="0" borderId="31" xfId="0" applyFill="1" applyBorder="1"/>
    <xf numFmtId="0" fontId="0" fillId="0" borderId="34" xfId="0" applyFill="1" applyBorder="1"/>
    <xf numFmtId="0" fontId="0" fillId="0" borderId="35" xfId="0" applyFill="1" applyBorder="1"/>
    <xf numFmtId="0" fontId="1" fillId="0" borderId="29" xfId="0" applyFont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32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  <xf numFmtId="0" fontId="0" fillId="3" borderId="35" xfId="0" applyFill="1" applyBorder="1"/>
    <xf numFmtId="0" fontId="0" fillId="3" borderId="27" xfId="0" applyFill="1" applyBorder="1"/>
    <xf numFmtId="0" fontId="0" fillId="3" borderId="34" xfId="0" applyFill="1" applyBorder="1"/>
    <xf numFmtId="0" fontId="0" fillId="3" borderId="26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zoomScale="115" zoomScaleNormal="115" workbookViewId="0">
      <selection activeCell="H16" sqref="H16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5" width="9.85546875" customWidth="1"/>
    <col min="6" max="6" width="11.5703125" customWidth="1"/>
    <col min="7" max="7" width="27.28515625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x14ac:dyDescent="0.25">
      <c r="A1" s="33" t="s">
        <v>1</v>
      </c>
      <c r="B1" s="35" t="s">
        <v>11</v>
      </c>
      <c r="C1" s="35" t="s">
        <v>12</v>
      </c>
      <c r="D1" s="35" t="s">
        <v>13</v>
      </c>
      <c r="E1" s="39" t="s">
        <v>18</v>
      </c>
      <c r="F1" s="41" t="s">
        <v>19</v>
      </c>
      <c r="G1" s="39" t="s">
        <v>20</v>
      </c>
      <c r="H1" s="33" t="s">
        <v>16</v>
      </c>
      <c r="I1" s="37"/>
      <c r="J1" s="38"/>
      <c r="K1" s="33" t="s">
        <v>15</v>
      </c>
      <c r="L1" s="37"/>
      <c r="M1" s="38"/>
      <c r="N1" s="33" t="s">
        <v>2</v>
      </c>
      <c r="O1" s="37"/>
      <c r="P1" s="38"/>
      <c r="Q1" s="33" t="s">
        <v>9</v>
      </c>
      <c r="R1" s="37"/>
      <c r="S1" s="38"/>
      <c r="T1" s="31" t="s">
        <v>3</v>
      </c>
    </row>
    <row r="2" spans="1:20" ht="30.75" thickBot="1" x14ac:dyDescent="0.3">
      <c r="A2" s="34"/>
      <c r="B2" s="36"/>
      <c r="C2" s="36"/>
      <c r="D2" s="36"/>
      <c r="E2" s="40"/>
      <c r="F2" s="42"/>
      <c r="G2" s="40"/>
      <c r="H2" s="15" t="s">
        <v>6</v>
      </c>
      <c r="I2" s="16" t="s">
        <v>7</v>
      </c>
      <c r="J2" s="17" t="s">
        <v>8</v>
      </c>
      <c r="K2" s="15" t="s">
        <v>6</v>
      </c>
      <c r="L2" s="16" t="s">
        <v>7</v>
      </c>
      <c r="M2" s="17" t="s">
        <v>8</v>
      </c>
      <c r="N2" s="15" t="s">
        <v>6</v>
      </c>
      <c r="O2" s="16" t="s">
        <v>7</v>
      </c>
      <c r="P2" s="17" t="s">
        <v>8</v>
      </c>
      <c r="Q2" s="15" t="s">
        <v>6</v>
      </c>
      <c r="R2" s="16" t="s">
        <v>7</v>
      </c>
      <c r="S2" s="17" t="s">
        <v>8</v>
      </c>
      <c r="T2" s="32"/>
    </row>
    <row r="3" spans="1:20" x14ac:dyDescent="0.25">
      <c r="A3" s="9" t="s">
        <v>14</v>
      </c>
      <c r="B3" s="18">
        <v>5936</v>
      </c>
      <c r="C3" s="19">
        <v>6491</v>
      </c>
      <c r="D3" s="26">
        <v>11</v>
      </c>
      <c r="E3" s="45">
        <v>1000</v>
      </c>
      <c r="F3" s="46">
        <f>B3-E3</f>
        <v>4936</v>
      </c>
      <c r="G3" s="28" t="s">
        <v>22</v>
      </c>
      <c r="H3" s="18"/>
      <c r="I3" s="19"/>
      <c r="J3" s="20"/>
      <c r="K3" s="6"/>
      <c r="L3" s="3"/>
      <c r="M3" s="7"/>
      <c r="N3" s="6"/>
      <c r="O3" s="3"/>
      <c r="P3" s="7"/>
      <c r="Q3" s="6"/>
      <c r="R3" s="3"/>
      <c r="S3" s="7"/>
      <c r="T3" s="8">
        <f>B3-H3-K3-N3-Q3</f>
        <v>5936</v>
      </c>
    </row>
    <row r="4" spans="1:20" x14ac:dyDescent="0.25">
      <c r="A4" s="9" t="s">
        <v>10</v>
      </c>
      <c r="B4" s="21">
        <v>9390</v>
      </c>
      <c r="C4" s="22">
        <v>10448</v>
      </c>
      <c r="D4" s="27">
        <v>17</v>
      </c>
      <c r="E4" s="43">
        <v>500</v>
      </c>
      <c r="F4" s="44">
        <f>B4-E4</f>
        <v>8890</v>
      </c>
      <c r="G4" s="29" t="s">
        <v>23</v>
      </c>
      <c r="H4" s="21"/>
      <c r="I4" s="22"/>
      <c r="J4" s="23"/>
      <c r="K4" s="4"/>
      <c r="L4" s="2"/>
      <c r="M4" s="5"/>
      <c r="N4" s="4"/>
      <c r="O4" s="2"/>
      <c r="P4" s="5"/>
      <c r="Q4" s="4"/>
      <c r="R4" s="2"/>
      <c r="S4" s="5"/>
      <c r="T4" s="8">
        <f>B4-H4-K4-N4-Q4</f>
        <v>9390</v>
      </c>
    </row>
    <row r="5" spans="1:20" ht="15.75" thickBot="1" x14ac:dyDescent="0.3">
      <c r="A5" s="4" t="s">
        <v>17</v>
      </c>
      <c r="B5" s="21">
        <v>6522</v>
      </c>
      <c r="C5" s="22">
        <v>7175</v>
      </c>
      <c r="D5" s="27">
        <v>12</v>
      </c>
      <c r="E5" s="43">
        <f>630+2500</f>
        <v>3130</v>
      </c>
      <c r="F5" s="44">
        <f>B5-E5</f>
        <v>3392</v>
      </c>
      <c r="G5" s="29" t="s">
        <v>21</v>
      </c>
      <c r="H5" s="21"/>
      <c r="I5" s="22"/>
      <c r="J5" s="23"/>
      <c r="K5" s="4"/>
      <c r="L5" s="2"/>
      <c r="M5" s="5"/>
      <c r="N5" s="4"/>
      <c r="O5" s="2"/>
      <c r="P5" s="5"/>
      <c r="Q5" s="4"/>
      <c r="R5" s="2"/>
      <c r="S5" s="5"/>
      <c r="T5" s="8">
        <f>B5-H5-K5-N5-Q5</f>
        <v>6522</v>
      </c>
    </row>
    <row r="6" spans="1:20" hidden="1" x14ac:dyDescent="0.25">
      <c r="A6" s="4" t="s">
        <v>0</v>
      </c>
      <c r="B6" s="21"/>
      <c r="C6" s="22"/>
      <c r="D6" s="27"/>
      <c r="E6" s="29"/>
      <c r="F6" s="24"/>
      <c r="G6" s="29"/>
      <c r="H6" s="21"/>
      <c r="I6" s="22"/>
      <c r="J6" s="23"/>
      <c r="K6" s="4"/>
      <c r="L6" s="2"/>
      <c r="M6" s="5"/>
      <c r="N6" s="4"/>
      <c r="O6" s="2"/>
      <c r="P6" s="5"/>
      <c r="Q6" s="4"/>
      <c r="R6" s="2"/>
      <c r="S6" s="5"/>
      <c r="T6" s="8">
        <f>B6-H6-K6-N6-Q6</f>
        <v>0</v>
      </c>
    </row>
    <row r="7" spans="1:20" ht="15.75" hidden="1" thickBot="1" x14ac:dyDescent="0.3">
      <c r="A7" s="4" t="s">
        <v>5</v>
      </c>
      <c r="B7" s="21"/>
      <c r="C7" s="22"/>
      <c r="D7" s="27"/>
      <c r="E7" s="29"/>
      <c r="F7" s="24"/>
      <c r="G7" s="29"/>
      <c r="H7" s="21"/>
      <c r="I7" s="22"/>
      <c r="J7" s="23"/>
      <c r="K7" s="4"/>
      <c r="L7" s="2"/>
      <c r="M7" s="5"/>
      <c r="N7" s="4"/>
      <c r="O7" s="2"/>
      <c r="P7" s="5"/>
      <c r="Q7" s="4"/>
      <c r="R7" s="2"/>
      <c r="S7" s="5"/>
      <c r="T7" s="8">
        <f>B7-H7-K7-N7-Q7</f>
        <v>0</v>
      </c>
    </row>
    <row r="8" spans="1:20" s="1" customFormat="1" ht="15.75" thickBot="1" x14ac:dyDescent="0.3">
      <c r="A8" s="10" t="s">
        <v>4</v>
      </c>
      <c r="B8" s="11">
        <f>SUM(B3:B7)</f>
        <v>21848</v>
      </c>
      <c r="C8" s="11">
        <f>SUM(C3:C7)</f>
        <v>24114</v>
      </c>
      <c r="D8" s="11">
        <f>SUM(D3:D7)</f>
        <v>40</v>
      </c>
      <c r="E8" s="30">
        <f>SUM(E3:E7)</f>
        <v>4630</v>
      </c>
      <c r="F8" s="25">
        <f>SUM(F3:F7)</f>
        <v>17218</v>
      </c>
      <c r="G8" s="30"/>
      <c r="H8" s="10">
        <f t="shared" ref="H8:T8" si="0">SUM(H3:H7)</f>
        <v>0</v>
      </c>
      <c r="I8" s="12">
        <f t="shared" si="0"/>
        <v>0</v>
      </c>
      <c r="J8" s="13">
        <f t="shared" si="0"/>
        <v>0</v>
      </c>
      <c r="K8" s="10">
        <f t="shared" si="0"/>
        <v>0</v>
      </c>
      <c r="L8" s="12">
        <f t="shared" si="0"/>
        <v>0</v>
      </c>
      <c r="M8" s="13">
        <f t="shared" si="0"/>
        <v>0</v>
      </c>
      <c r="N8" s="10">
        <f t="shared" si="0"/>
        <v>0</v>
      </c>
      <c r="O8" s="12">
        <f t="shared" si="0"/>
        <v>0</v>
      </c>
      <c r="P8" s="13">
        <f t="shared" si="0"/>
        <v>0</v>
      </c>
      <c r="Q8" s="10">
        <f t="shared" si="0"/>
        <v>0</v>
      </c>
      <c r="R8" s="12">
        <f t="shared" si="0"/>
        <v>0</v>
      </c>
      <c r="S8" s="13">
        <f t="shared" si="0"/>
        <v>0</v>
      </c>
      <c r="T8" s="14">
        <f t="shared" si="0"/>
        <v>21848</v>
      </c>
    </row>
  </sheetData>
  <mergeCells count="12">
    <mergeCell ref="T1:T2"/>
    <mergeCell ref="A1:A2"/>
    <mergeCell ref="B1:B2"/>
    <mergeCell ref="H1:J1"/>
    <mergeCell ref="K1:M1"/>
    <mergeCell ref="N1:P1"/>
    <mergeCell ref="Q1:S1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2026-09-17T09:10:49Z</dcterms:modified>
</cp:coreProperties>
</file>