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ы с ОПТами\"/>
    </mc:Choice>
  </mc:AlternateContent>
  <xr:revisionPtr revIDLastSave="0" documentId="13_ncr:1_{72EFB322-4C31-4C6A-88E4-7284AD8BCD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Q7" i="1" l="1"/>
  <c r="Q9" i="1" l="1"/>
  <c r="Q10" i="1"/>
  <c r="Q17" i="1" l="1"/>
  <c r="C18" i="1" l="1"/>
  <c r="Q8" i="1"/>
  <c r="Q11" i="1" l="1"/>
  <c r="Q15" i="1"/>
  <c r="Q16" i="1" l="1"/>
  <c r="E18" i="1" l="1"/>
  <c r="Q4" i="1" l="1"/>
  <c r="Q5" i="1"/>
  <c r="Q6" i="1"/>
  <c r="Q3" i="1"/>
  <c r="P18" i="1"/>
  <c r="O18" i="1"/>
  <c r="N18" i="1"/>
  <c r="F18" i="1" l="1"/>
  <c r="G18" i="1"/>
  <c r="H18" i="1"/>
  <c r="I18" i="1"/>
  <c r="J18" i="1"/>
  <c r="K18" i="1"/>
  <c r="L18" i="1"/>
  <c r="M18" i="1"/>
  <c r="B18" i="1" l="1"/>
  <c r="Q18" i="1" l="1"/>
</calcChain>
</file>

<file path=xl/sharedStrings.xml><?xml version="1.0" encoding="utf-8"?>
<sst xmlns="http://schemas.openxmlformats.org/spreadsheetml/2006/main" count="56" uniqueCount="38">
  <si>
    <t>Бердянск</t>
  </si>
  <si>
    <t>Донецк</t>
  </si>
  <si>
    <t>Луганск</t>
  </si>
  <si>
    <t>Мелитополь</t>
  </si>
  <si>
    <t>ПОЛУЧАТЕЛЬ</t>
  </si>
  <si>
    <t>3 машина</t>
  </si>
  <si>
    <t>Остаток</t>
  </si>
  <si>
    <t>ИТОГОВЫЕ ДАННЫЕ</t>
  </si>
  <si>
    <t>нетто</t>
  </si>
  <si>
    <t>брутто</t>
  </si>
  <si>
    <t>паллеты</t>
  </si>
  <si>
    <t>4 машина</t>
  </si>
  <si>
    <t>НПК ЛП</t>
  </si>
  <si>
    <t>Горняк Луганск</t>
  </si>
  <si>
    <t>ВЕС НЕТТО</t>
  </si>
  <si>
    <t>ВЕС БРУТТО</t>
  </si>
  <si>
    <t>ПАЛЛЕТЫ</t>
  </si>
  <si>
    <t>1 машина на 27,06</t>
  </si>
  <si>
    <t>1 машина на 26,06</t>
  </si>
  <si>
    <t>Мариуполь</t>
  </si>
  <si>
    <t>Колесник КСК</t>
  </si>
  <si>
    <t>Пушкарный(ВВ) ЛП</t>
  </si>
  <si>
    <t>ЮгОпт КСК</t>
  </si>
  <si>
    <t>Поляков КСК</t>
  </si>
  <si>
    <t>Убийконь НВ</t>
  </si>
  <si>
    <t>на доставку 30,10,26</t>
  </si>
  <si>
    <t>на доставку 28,10,26</t>
  </si>
  <si>
    <t>Геническ</t>
  </si>
  <si>
    <t>Краснодар</t>
  </si>
  <si>
    <t>Москва</t>
  </si>
  <si>
    <t>с филиалами</t>
  </si>
  <si>
    <t>машина на Краснодар</t>
  </si>
  <si>
    <t>с филиалами либо как самостоятельную машину</t>
  </si>
  <si>
    <t>отдельно</t>
  </si>
  <si>
    <t>как самостоятельную машину</t>
  </si>
  <si>
    <t>Архипов ЛП</t>
  </si>
  <si>
    <t>Обрыньба ЛП</t>
  </si>
  <si>
    <t>Кочевой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</si>
</sst>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8" xfId="0" applyBorder="1"/>
    <xf numFmtId="0" fontId="1" fillId="0" borderId="29" xfId="0" applyFont="1" applyBorder="1"/>
    <xf numFmtId="0" fontId="0" fillId="3" borderId="27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17" xfId="0" applyFill="1" applyBorder="1"/>
    <xf numFmtId="0" fontId="0" fillId="4" borderId="28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17" xfId="0" applyFill="1" applyBorder="1"/>
    <xf numFmtId="0" fontId="0" fillId="4" borderId="0" xfId="0" applyFill="1"/>
    <xf numFmtId="0" fontId="0" fillId="0" borderId="0" xfId="0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115" zoomScaleNormal="115" workbookViewId="0">
      <selection activeCell="S22" sqref="S22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hidden="1" customWidth="1"/>
    <col min="7" max="7" width="6" hidden="1" customWidth="1"/>
    <col min="8" max="9" width="7.28515625" hidden="1" customWidth="1"/>
    <col min="10" max="10" width="6" hidden="1" customWidth="1"/>
    <col min="11" max="12" width="7.28515625" hidden="1" customWidth="1"/>
    <col min="13" max="13" width="6" hidden="1" customWidth="1"/>
    <col min="14" max="15" width="7.28515625" hidden="1" customWidth="1"/>
    <col min="16" max="16" width="6" hidden="1" customWidth="1"/>
    <col min="17" max="17" width="8.140625" hidden="1" customWidth="1"/>
    <col min="18" max="18" width="21.42578125" customWidth="1"/>
    <col min="19" max="19" width="46.140625" customWidth="1"/>
  </cols>
  <sheetData>
    <row r="1" spans="1:19" x14ac:dyDescent="0.25">
      <c r="A1" s="49" t="s">
        <v>4</v>
      </c>
      <c r="B1" s="51" t="s">
        <v>14</v>
      </c>
      <c r="C1" s="51" t="s">
        <v>15</v>
      </c>
      <c r="D1" s="51" t="s">
        <v>16</v>
      </c>
      <c r="E1" s="49" t="s">
        <v>18</v>
      </c>
      <c r="F1" s="53"/>
      <c r="G1" s="54"/>
      <c r="H1" s="49" t="s">
        <v>17</v>
      </c>
      <c r="I1" s="53"/>
      <c r="J1" s="54"/>
      <c r="K1" s="49" t="s">
        <v>5</v>
      </c>
      <c r="L1" s="53"/>
      <c r="M1" s="54"/>
      <c r="N1" s="49" t="s">
        <v>11</v>
      </c>
      <c r="O1" s="53"/>
      <c r="P1" s="54"/>
      <c r="Q1" s="47" t="s">
        <v>6</v>
      </c>
    </row>
    <row r="2" spans="1:19" ht="30.75" thickBot="1" x14ac:dyDescent="0.3">
      <c r="A2" s="50"/>
      <c r="B2" s="52"/>
      <c r="C2" s="52"/>
      <c r="D2" s="52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48"/>
    </row>
    <row r="3" spans="1:19" hidden="1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9" hidden="1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15" si="0">B4-E4-H4-K4-N4</f>
        <v>0</v>
      </c>
    </row>
    <row r="5" spans="1:19" hidden="1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9" hidden="1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9" hidden="1" x14ac:dyDescent="0.25">
      <c r="A7" s="4" t="s">
        <v>19</v>
      </c>
      <c r="B7" s="26"/>
      <c r="C7" s="27"/>
      <c r="D7" s="28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9" x14ac:dyDescent="0.25">
      <c r="A8" s="29" t="s">
        <v>22</v>
      </c>
      <c r="B8" s="26">
        <v>7079</v>
      </c>
      <c r="C8" s="27">
        <v>7705</v>
      </c>
      <c r="D8" s="28">
        <v>12</v>
      </c>
      <c r="E8" s="26"/>
      <c r="F8" s="27"/>
      <c r="G8" s="28"/>
      <c r="H8" s="9"/>
      <c r="I8" s="10"/>
      <c r="J8" s="11"/>
      <c r="K8" s="9"/>
      <c r="L8" s="10"/>
      <c r="M8" s="11"/>
      <c r="N8" s="9"/>
      <c r="O8" s="10"/>
      <c r="P8" s="11"/>
      <c r="Q8" s="8">
        <f t="shared" si="0"/>
        <v>7079</v>
      </c>
      <c r="R8" t="s">
        <v>27</v>
      </c>
      <c r="S8" t="s">
        <v>30</v>
      </c>
    </row>
    <row r="9" spans="1:19" x14ac:dyDescent="0.25">
      <c r="A9" s="29" t="s">
        <v>21</v>
      </c>
      <c r="B9" s="26">
        <v>5420</v>
      </c>
      <c r="C9" s="27">
        <v>6865</v>
      </c>
      <c r="D9" s="28">
        <v>9</v>
      </c>
      <c r="E9" s="26"/>
      <c r="F9" s="27"/>
      <c r="G9" s="28"/>
      <c r="H9" s="9"/>
      <c r="I9" s="10"/>
      <c r="J9" s="11"/>
      <c r="K9" s="9"/>
      <c r="L9" s="10"/>
      <c r="M9" s="11"/>
      <c r="N9" s="9"/>
      <c r="O9" s="10"/>
      <c r="P9" s="11"/>
      <c r="Q9" s="8">
        <f t="shared" si="0"/>
        <v>5420</v>
      </c>
      <c r="R9" t="s">
        <v>28</v>
      </c>
      <c r="S9" s="55" t="s">
        <v>31</v>
      </c>
    </row>
    <row r="10" spans="1:19" x14ac:dyDescent="0.25">
      <c r="A10" s="29" t="s">
        <v>12</v>
      </c>
      <c r="B10" s="26">
        <v>6391</v>
      </c>
      <c r="C10" s="27">
        <v>7260</v>
      </c>
      <c r="D10" s="28">
        <v>12</v>
      </c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6391</v>
      </c>
      <c r="R10" t="s">
        <v>1</v>
      </c>
      <c r="S10" t="s">
        <v>30</v>
      </c>
    </row>
    <row r="11" spans="1:19" x14ac:dyDescent="0.25">
      <c r="A11" s="29" t="s">
        <v>20</v>
      </c>
      <c r="B11" s="26">
        <v>15278</v>
      </c>
      <c r="C11" s="27">
        <v>16409</v>
      </c>
      <c r="D11" s="28">
        <v>23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15278</v>
      </c>
      <c r="R11" t="s">
        <v>3</v>
      </c>
      <c r="S11" t="s">
        <v>34</v>
      </c>
    </row>
    <row r="12" spans="1:19" x14ac:dyDescent="0.25">
      <c r="A12" s="29" t="s">
        <v>36</v>
      </c>
      <c r="B12" s="26">
        <v>4177</v>
      </c>
      <c r="C12" s="27">
        <v>4533</v>
      </c>
      <c r="D12" s="28">
        <v>7</v>
      </c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/>
      <c r="R12" t="s">
        <v>28</v>
      </c>
      <c r="S12" s="55" t="s">
        <v>31</v>
      </c>
    </row>
    <row r="13" spans="1:19" x14ac:dyDescent="0.25">
      <c r="A13" s="29" t="s">
        <v>37</v>
      </c>
      <c r="B13" s="23">
        <v>7727</v>
      </c>
      <c r="C13" s="27">
        <v>8447</v>
      </c>
      <c r="D13" s="28">
        <v>13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/>
      <c r="R13" t="s">
        <v>28</v>
      </c>
      <c r="S13" s="55" t="s">
        <v>31</v>
      </c>
    </row>
    <row r="14" spans="1:19" x14ac:dyDescent="0.25">
      <c r="A14" s="29" t="s">
        <v>35</v>
      </c>
      <c r="B14" s="26">
        <v>3942</v>
      </c>
      <c r="C14" s="27">
        <v>4287</v>
      </c>
      <c r="D14" s="28">
        <v>7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/>
      <c r="R14" t="s">
        <v>29</v>
      </c>
      <c r="S14" s="56" t="s">
        <v>33</v>
      </c>
    </row>
    <row r="15" spans="1:19" x14ac:dyDescent="0.25">
      <c r="A15" s="31" t="s">
        <v>23</v>
      </c>
      <c r="B15" s="32">
        <v>12486</v>
      </c>
      <c r="C15" s="33">
        <v>13449</v>
      </c>
      <c r="D15" s="34">
        <v>19</v>
      </c>
      <c r="E15" s="32"/>
      <c r="F15" s="33"/>
      <c r="G15" s="34"/>
      <c r="H15" s="32"/>
      <c r="I15" s="33"/>
      <c r="J15" s="34"/>
      <c r="K15" s="35"/>
      <c r="L15" s="36"/>
      <c r="M15" s="37"/>
      <c r="N15" s="35"/>
      <c r="O15" s="36"/>
      <c r="P15" s="37"/>
      <c r="Q15" s="38">
        <f t="shared" si="0"/>
        <v>12486</v>
      </c>
      <c r="R15" s="46" t="s">
        <v>25</v>
      </c>
      <c r="S15" s="45" t="s">
        <v>32</v>
      </c>
    </row>
    <row r="16" spans="1:19" x14ac:dyDescent="0.25">
      <c r="A16" s="31" t="s">
        <v>24</v>
      </c>
      <c r="B16" s="35">
        <v>4495</v>
      </c>
      <c r="C16" s="36">
        <v>4890</v>
      </c>
      <c r="D16" s="37">
        <v>8</v>
      </c>
      <c r="E16" s="35"/>
      <c r="F16" s="36"/>
      <c r="G16" s="37"/>
      <c r="H16" s="35"/>
      <c r="I16" s="36"/>
      <c r="J16" s="37"/>
      <c r="K16" s="35"/>
      <c r="L16" s="36"/>
      <c r="M16" s="37"/>
      <c r="N16" s="35"/>
      <c r="O16" s="36"/>
      <c r="P16" s="37"/>
      <c r="Q16" s="38">
        <f t="shared" ref="Q16:Q17" si="1">B16-E16-H16-K16-N16</f>
        <v>4495</v>
      </c>
      <c r="R16" s="46"/>
      <c r="S16" s="45"/>
    </row>
    <row r="17" spans="1:19" ht="15.75" thickBot="1" x14ac:dyDescent="0.3">
      <c r="A17" s="39" t="s">
        <v>13</v>
      </c>
      <c r="B17" s="40">
        <v>5063</v>
      </c>
      <c r="C17" s="41">
        <v>5518</v>
      </c>
      <c r="D17" s="42">
        <v>9</v>
      </c>
      <c r="E17" s="40"/>
      <c r="F17" s="41"/>
      <c r="G17" s="42"/>
      <c r="H17" s="40"/>
      <c r="I17" s="41"/>
      <c r="J17" s="42"/>
      <c r="K17" s="40"/>
      <c r="L17" s="41"/>
      <c r="M17" s="42"/>
      <c r="N17" s="40"/>
      <c r="O17" s="41"/>
      <c r="P17" s="42"/>
      <c r="Q17" s="43">
        <f t="shared" si="1"/>
        <v>5063</v>
      </c>
      <c r="R17" s="44" t="s">
        <v>26</v>
      </c>
      <c r="S17" t="s">
        <v>30</v>
      </c>
    </row>
    <row r="18" spans="1:19" s="1" customFormat="1" ht="15.75" thickBot="1" x14ac:dyDescent="0.3">
      <c r="A18" s="30" t="s">
        <v>7</v>
      </c>
      <c r="B18" s="30">
        <f t="shared" ref="B18:Q18" si="2">SUM(B3:B17)</f>
        <v>72058</v>
      </c>
      <c r="C18" s="13">
        <f t="shared" si="2"/>
        <v>79363</v>
      </c>
      <c r="D18" s="15">
        <f t="shared" si="2"/>
        <v>119</v>
      </c>
      <c r="E18" s="12">
        <f t="shared" si="2"/>
        <v>0</v>
      </c>
      <c r="F18" s="14">
        <f t="shared" si="2"/>
        <v>0</v>
      </c>
      <c r="G18" s="15">
        <f t="shared" si="2"/>
        <v>0</v>
      </c>
      <c r="H18" s="12">
        <f t="shared" si="2"/>
        <v>0</v>
      </c>
      <c r="I18" s="14">
        <f t="shared" si="2"/>
        <v>0</v>
      </c>
      <c r="J18" s="15">
        <f t="shared" si="2"/>
        <v>0</v>
      </c>
      <c r="K18" s="12">
        <f t="shared" si="2"/>
        <v>0</v>
      </c>
      <c r="L18" s="14">
        <f t="shared" si="2"/>
        <v>0</v>
      </c>
      <c r="M18" s="15">
        <f t="shared" si="2"/>
        <v>0</v>
      </c>
      <c r="N18" s="12">
        <f t="shared" si="2"/>
        <v>0</v>
      </c>
      <c r="O18" s="14">
        <f t="shared" si="2"/>
        <v>0</v>
      </c>
      <c r="P18" s="15">
        <f t="shared" si="2"/>
        <v>0</v>
      </c>
      <c r="Q18" s="16">
        <f t="shared" si="2"/>
        <v>56212</v>
      </c>
    </row>
    <row r="21" spans="1:19" x14ac:dyDescent="0.25">
      <c r="A21" t="s">
        <v>31</v>
      </c>
      <c r="B21">
        <v>17324</v>
      </c>
    </row>
  </sheetData>
  <mergeCells count="11">
    <mergeCell ref="S15:S16"/>
    <mergeCell ref="R15:R16"/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2026-10-22T09:43:25Z</dcterms:modified>
</cp:coreProperties>
</file>