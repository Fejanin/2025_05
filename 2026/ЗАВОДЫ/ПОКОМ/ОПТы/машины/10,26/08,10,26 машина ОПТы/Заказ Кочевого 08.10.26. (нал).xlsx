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Химича\08,10 Кочевой КИ ЛП ближ\"/>
    </mc:Choice>
  </mc:AlternateContent>
  <xr:revisionPtr revIDLastSave="0" documentId="13_ncr:1_{8B67C072-76E6-4509-8318-0CD4F4C301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Z335" i="2" l="1"/>
  <c r="Z120" i="2"/>
  <c r="BN120" i="2"/>
  <c r="Z48" i="2"/>
  <c r="Z177" i="2"/>
  <c r="Z262" i="2"/>
  <c r="Z376" i="2"/>
  <c r="BN376" i="2"/>
  <c r="Z394" i="2"/>
  <c r="Z28" i="2"/>
  <c r="Z66" i="2"/>
  <c r="BN66" i="2"/>
  <c r="Z149" i="2"/>
  <c r="BN149" i="2"/>
  <c r="Z202" i="2"/>
  <c r="Z239" i="2"/>
  <c r="Z320" i="2"/>
  <c r="Z356" i="2"/>
  <c r="BN356" i="2"/>
  <c r="Z365" i="2"/>
  <c r="Z46" i="2"/>
  <c r="BP55" i="2"/>
  <c r="Z72" i="2"/>
  <c r="G556" i="2"/>
  <c r="Z136" i="2"/>
  <c r="BN136" i="2"/>
  <c r="Z173" i="2"/>
  <c r="Z184" i="2"/>
  <c r="Z214" i="2"/>
  <c r="Z225" i="2"/>
  <c r="Y236" i="2"/>
  <c r="Z259" i="2"/>
  <c r="BN259" i="2"/>
  <c r="Z278" i="2"/>
  <c r="Z332" i="2"/>
  <c r="Z355" i="2"/>
  <c r="Z366" i="2"/>
  <c r="BN366" i="2"/>
  <c r="Z375" i="2"/>
  <c r="Z475" i="2"/>
  <c r="Z476" i="2" s="1"/>
  <c r="Y476" i="2"/>
  <c r="BP510" i="2"/>
  <c r="BP22" i="2"/>
  <c r="BN27" i="2"/>
  <c r="BP36" i="2"/>
  <c r="BN38" i="2"/>
  <c r="BN47" i="2"/>
  <c r="BP56" i="2"/>
  <c r="BN68" i="2"/>
  <c r="BN102" i="2"/>
  <c r="Y127" i="2"/>
  <c r="Z126" i="2"/>
  <c r="Z127" i="2" s="1"/>
  <c r="BN175" i="2"/>
  <c r="BP175" i="2"/>
  <c r="BP204" i="2"/>
  <c r="BN204" i="2"/>
  <c r="Z204" i="2"/>
  <c r="BP216" i="2"/>
  <c r="BN216" i="2"/>
  <c r="Z216" i="2"/>
  <c r="BP223" i="2"/>
  <c r="Z223" i="2"/>
  <c r="BN240" i="2"/>
  <c r="BP240" i="2"/>
  <c r="BN272" i="2"/>
  <c r="Z272" i="2"/>
  <c r="BN277" i="2"/>
  <c r="BN309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BP107" i="2"/>
  <c r="BN107" i="2"/>
  <c r="Z107" i="2"/>
  <c r="BP111" i="2"/>
  <c r="BN111" i="2"/>
  <c r="Z111" i="2"/>
  <c r="BP113" i="2"/>
  <c r="BN113" i="2"/>
  <c r="Z113" i="2"/>
  <c r="BP147" i="2"/>
  <c r="BN147" i="2"/>
  <c r="Z147" i="2"/>
  <c r="BP178" i="2"/>
  <c r="BN178" i="2"/>
  <c r="Z178" i="2"/>
  <c r="BN180" i="2"/>
  <c r="Y187" i="2"/>
  <c r="BP185" i="2"/>
  <c r="BN215" i="2"/>
  <c r="Z215" i="2"/>
  <c r="BN234" i="2"/>
  <c r="BN265" i="2"/>
  <c r="BN293" i="2"/>
  <c r="Z293" i="2"/>
  <c r="Y303" i="2"/>
  <c r="Y302" i="2"/>
  <c r="BN301" i="2"/>
  <c r="H556" i="2"/>
  <c r="BN217" i="2"/>
  <c r="BP225" i="2"/>
  <c r="BN232" i="2"/>
  <c r="Y268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41" i="2" s="1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83" i="2" l="1"/>
  <c r="Z74" i="2"/>
  <c r="Z151" i="2"/>
  <c r="Z336" i="2"/>
  <c r="Z138" i="2"/>
  <c r="Z168" i="2"/>
  <c r="Z50" i="2"/>
  <c r="Z256" i="2"/>
  <c r="Z123" i="2"/>
  <c r="Z461" i="2"/>
  <c r="Z402" i="2"/>
  <c r="Z133" i="2"/>
  <c r="Z287" i="2"/>
  <c r="X549" i="2"/>
  <c r="Z41" i="2"/>
  <c r="Z69" i="2"/>
  <c r="Z487" i="2"/>
  <c r="Z440" i="2"/>
  <c r="Z186" i="2"/>
  <c r="Z434" i="2"/>
  <c r="Z80" i="2"/>
  <c r="Y548" i="2"/>
  <c r="Z251" i="2"/>
  <c r="Z349" i="2"/>
  <c r="Z116" i="2"/>
  <c r="Z428" i="2"/>
  <c r="Z445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<sst xmlns="http://schemas.openxmlformats.org/spreadsheetml/2006/main" count="4125" uniqueCount="875">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</sst>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283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46310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858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400</v>
      </c>
      <c r="Y46" s="55">
        <f>IFERROR(IF(X46="",0,CEILING((X46/$H46),1)*$H46),"")</f>
        <v>410.40000000000003</v>
      </c>
      <c r="Z46" s="41">
        <f>IFERROR(IF(Y46=0,"",ROUNDUP(Y46/H46,0)*0.01898),"")</f>
        <v>0.72123999999999999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415.18518518518516</v>
      </c>
      <c r="BN46" s="78">
        <f>IFERROR(Y46*I46/H46,"0")</f>
        <v>425.98</v>
      </c>
      <c r="BO46" s="78">
        <f>IFERROR(1/J46*(X46/H46),"0")</f>
        <v>0.57870370370370372</v>
      </c>
      <c r="BP46" s="78">
        <f>IFERROR(1/J46*(Y46/H46),"0")</f>
        <v>0.59375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37.037037037037038</v>
      </c>
      <c r="Y50" s="43">
        <f>IFERROR(Y46/H46,"0")+IFERROR(Y47/H47,"0")+IFERROR(Y48/H48,"0")+IFERROR(Y49/H49,"0")</f>
        <v>38</v>
      </c>
      <c r="Z50" s="43">
        <f>IFERROR(IF(Z46="",0,Z46),"0")+IFERROR(IF(Z47="",0,Z47),"0")+IFERROR(IF(Z48="",0,Z48),"0")+IFERROR(IF(Z49="",0,Z49),"0")</f>
        <v>0.72123999999999999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400</v>
      </c>
      <c r="Y51" s="43">
        <f>IFERROR(SUM(Y46:Y49),"0")</f>
        <v>410.40000000000003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350</v>
      </c>
      <c r="Y55" s="55">
        <f t="shared" si="0"/>
        <v>356.40000000000003</v>
      </c>
      <c r="Z55" s="41">
        <f>IFERROR(IF(Y55=0,"",ROUNDUP(Y55/H55,0)*0.01898),"")</f>
        <v>0.62634000000000001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363.28703703703707</v>
      </c>
      <c r="BN55" s="78">
        <f t="shared" si="2"/>
        <v>369.93</v>
      </c>
      <c r="BO55" s="78">
        <f t="shared" si="3"/>
        <v>0.5063657407407407</v>
      </c>
      <c r="BP55" s="78">
        <f t="shared" si="4"/>
        <v>0.515625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32.407407407407405</v>
      </c>
      <c r="Y62" s="43">
        <f>IFERROR(Y54/H54,"0")+IFERROR(Y55/H55,"0")+IFERROR(Y56/H56,"0")+IFERROR(Y57/H57,"0")+IFERROR(Y58/H58,"0")+IFERROR(Y59/H59,"0")+IFERROR(Y60/H60,"0")+IFERROR(Y61/H61,"0")</f>
        <v>33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0.62634000000000001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350</v>
      </c>
      <c r="Y63" s="43">
        <f>IFERROR(SUM(Y54:Y61),"0")</f>
        <v>356.40000000000003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250</v>
      </c>
      <c r="Y101" s="55">
        <f t="shared" ref="Y101:Y107" si="10">IFERROR(IF(X101="",0,CEILING((X101/$H101),1)*$H101),"")</f>
        <v>259.20000000000005</v>
      </c>
      <c r="Z101" s="41">
        <f>IFERROR(IF(Y101=0,"",ROUNDUP(Y101/H101,0)*0.01898),"")</f>
        <v>0.45552000000000004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259.4907407407407</v>
      </c>
      <c r="BN101" s="78">
        <f t="shared" ref="BN101:BN107" si="12">IFERROR(Y101*I101/H101,"0")</f>
        <v>269.04000000000002</v>
      </c>
      <c r="BO101" s="78">
        <f t="shared" ref="BO101:BO107" si="13">IFERROR(1/J101*(X101/H101),"0")</f>
        <v>0.36168981481481477</v>
      </c>
      <c r="BP101" s="78">
        <f t="shared" ref="BP101:BP107" si="14">IFERROR(1/J101*(Y101/H101),"0")</f>
        <v>0.37500000000000006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23.148148148148145</v>
      </c>
      <c r="Y108" s="43">
        <f>IFERROR(Y101/H101,"0")+IFERROR(Y102/H102,"0")+IFERROR(Y103/H103,"0")+IFERROR(Y104/H104,"0")+IFERROR(Y105/H105,"0")+IFERROR(Y106/H106,"0")+IFERROR(Y107/H107,"0")</f>
        <v>24.000000000000004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0.45552000000000004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250</v>
      </c>
      <c r="Y109" s="43">
        <f>IFERROR(SUM(Y101:Y107),"0")</f>
        <v>259.20000000000005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50</v>
      </c>
      <c r="Y259" s="55">
        <f t="shared" ref="Y259:Y266" si="31">IFERROR(IF(X259="",0,CEILING((X259/$H259),1)*$H259),"")</f>
        <v>54</v>
      </c>
      <c r="Z259" s="41">
        <f>IFERROR(IF(Y259=0,"",ROUNDUP(Y259/H259,0)*0.00902),"")</f>
        <v>9.0200000000000002E-2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51.759259259259252</v>
      </c>
      <c r="BN259" s="78">
        <f t="shared" ref="BN259:BN266" si="33">IFERROR(Y259*I259/H259,"0")</f>
        <v>55.9</v>
      </c>
      <c r="BO259" s="78">
        <f t="shared" ref="BO259:BO266" si="34">IFERROR(1/J259*(X259/H259),"0")</f>
        <v>7.0145903479236812E-2</v>
      </c>
      <c r="BP259" s="78">
        <f t="shared" ref="BP259:BP266" si="35">IFERROR(1/J259*(Y259/H259),"0")</f>
        <v>7.575757575757576E-2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31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51.759259259259252</v>
      </c>
      <c r="BN261" s="78">
        <f t="shared" si="33"/>
        <v>55.9</v>
      </c>
      <c r="BO261" s="78">
        <f t="shared" si="34"/>
        <v>7.0145903479236812E-2</v>
      </c>
      <c r="BP261" s="78">
        <f t="shared" si="35"/>
        <v>7.575757575757576E-2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1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51.759259259259252</v>
      </c>
      <c r="BN262" s="78">
        <f t="shared" si="33"/>
        <v>55.9</v>
      </c>
      <c r="BO262" s="78">
        <f t="shared" si="34"/>
        <v>7.0145903479236812E-2</v>
      </c>
      <c r="BP262" s="78">
        <f t="shared" si="35"/>
        <v>7.575757575757576E-2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27.777777777777779</v>
      </c>
      <c r="Y267" s="43">
        <f>IFERROR(Y259/H259,"0")+IFERROR(Y260/H260,"0")+IFERROR(Y261/H261,"0")+IFERROR(Y262/H262,"0")+IFERROR(Y263/H263,"0")+IFERROR(Y264/H264,"0")+IFERROR(Y265/H265,"0")+IFERROR(Y266/H266,"0")</f>
        <v>30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150</v>
      </c>
      <c r="Y268" s="43">
        <f>IFERROR(SUM(Y259:Y266),"0")</f>
        <v>162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36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185.64000000000001</v>
      </c>
      <c r="BN276" s="78">
        <f t="shared" si="38"/>
        <v>185.64000000000001</v>
      </c>
      <c r="BO276" s="78">
        <f t="shared" si="39"/>
        <v>0.38461538461538464</v>
      </c>
      <c r="BP276" s="78">
        <f t="shared" si="40"/>
        <v>0.38461538461538464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168</v>
      </c>
      <c r="Y278" s="55">
        <f t="shared" si="36"/>
        <v>168</v>
      </c>
      <c r="Z278" s="41">
        <f>IFERROR(IF(Y278=0,"",ROUNDUP(Y278/H278,0)*0.00651),"")</f>
        <v>0.45569999999999999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185.64000000000001</v>
      </c>
      <c r="BN278" s="78">
        <f t="shared" si="38"/>
        <v>185.64000000000001</v>
      </c>
      <c r="BO278" s="78">
        <f t="shared" si="39"/>
        <v>0.38461538461538464</v>
      </c>
      <c r="BP278" s="78">
        <f t="shared" si="40"/>
        <v>0.38461538461538464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140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140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0.91139999999999999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336</v>
      </c>
      <c r="Y283" s="43">
        <f>IFERROR(SUM(Y270:Y281),"0")</f>
        <v>336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hidden="1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102</v>
      </c>
      <c r="Y389" s="55">
        <f>IFERROR(IF(X389="",0,CEILING((X389/$H389),1)*$H389),"")</f>
        <v>102</v>
      </c>
      <c r="Z389" s="41">
        <f>IFERROR(IF(Y389=0,"",ROUNDUP(Y389/H389,0)*0.00651),"")</f>
        <v>0.26040000000000002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115.2</v>
      </c>
      <c r="BN389" s="78">
        <f>IFERROR(Y389*I389/H389,"0")</f>
        <v>115.2</v>
      </c>
      <c r="BO389" s="78">
        <f>IFERROR(1/J389*(X389/H389),"0")</f>
        <v>0.2197802197802198</v>
      </c>
      <c r="BP389" s="78">
        <f>IFERROR(1/J389*(Y389/H389),"0")</f>
        <v>0.2197802197802198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40</v>
      </c>
      <c r="Y390" s="43">
        <f>IFERROR(Y386/H386,"0")+IFERROR(Y387/H387,"0")+IFERROR(Y388/H388,"0")+IFERROR(Y389/H389,"0")</f>
        <v>40</v>
      </c>
      <c r="Z390" s="43">
        <f>IFERROR(IF(Z386="",0,Z386),"0")+IFERROR(IF(Z387="",0,Z387),"0")+IFERROR(IF(Z388="",0,Z388),"0")+IFERROR(IF(Z389="",0,Z389),"0")</f>
        <v>0.26040000000000002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102</v>
      </c>
      <c r="Y391" s="43">
        <f>IFERROR(SUM(Y386:Y389),"0")</f>
        <v>102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1320</v>
      </c>
      <c r="Y421" s="55">
        <f t="shared" si="61"/>
        <v>1320</v>
      </c>
      <c r="Z421" s="41">
        <f>IFERROR(IF(Y421=0,"",ROUNDUP(Y421/H421,0)*0.02175),"")</f>
        <v>1.9139999999999999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1361.3600000000001</v>
      </c>
      <c r="BN421" s="78">
        <f t="shared" si="63"/>
        <v>1361.3600000000001</v>
      </c>
      <c r="BO421" s="78">
        <f t="shared" si="64"/>
        <v>1.8333333333333333</v>
      </c>
      <c r="BP421" s="78">
        <f t="shared" si="65"/>
        <v>1.8333333333333333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660</v>
      </c>
      <c r="Y422" s="55">
        <f t="shared" si="61"/>
        <v>660</v>
      </c>
      <c r="Z422" s="41">
        <f>IFERROR(IF(Y422=0,"",ROUNDUP(Y422/H422,0)*0.02175),"")</f>
        <v>0.95699999999999996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680.68000000000006</v>
      </c>
      <c r="BN422" s="78">
        <f t="shared" si="63"/>
        <v>680.68000000000006</v>
      </c>
      <c r="BO422" s="78">
        <f t="shared" si="64"/>
        <v>0.91666666666666663</v>
      </c>
      <c r="BP422" s="78">
        <f t="shared" si="65"/>
        <v>0.91666666666666663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1320</v>
      </c>
      <c r="Y423" s="55">
        <f t="shared" si="61"/>
        <v>1320</v>
      </c>
      <c r="Z423" s="41">
        <f>IFERROR(IF(Y423=0,"",ROUNDUP(Y423/H423,0)*0.02175),"")</f>
        <v>1.9139999999999999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1361.3600000000001</v>
      </c>
      <c r="BN423" s="78">
        <f t="shared" si="63"/>
        <v>1361.3600000000001</v>
      </c>
      <c r="BO423" s="78">
        <f t="shared" si="64"/>
        <v>1.8333333333333333</v>
      </c>
      <c r="BP423" s="78">
        <f t="shared" si="65"/>
        <v>1.8333333333333333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220</v>
      </c>
      <c r="Y428" s="43">
        <f>IFERROR(Y420/H420,"0")+IFERROR(Y421/H421,"0")+IFERROR(Y422/H422,"0")+IFERROR(Y423/H423,"0")+IFERROR(Y424/H424,"0")+IFERROR(Y425/H425,"0")+IFERROR(Y426/H426,"0")+IFERROR(Y427/H427,"0")</f>
        <v>220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4.7850000000000001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3300</v>
      </c>
      <c r="Y429" s="43">
        <f>IFERROR(SUM(Y420:Y427),"0")</f>
        <v>3300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40</v>
      </c>
      <c r="Y467" s="55">
        <f t="shared" si="66"/>
        <v>43.2</v>
      </c>
      <c r="Z467" s="41">
        <f>IFERROR(IF(Y467=0,"",ROUNDUP(Y467/H467,0)*0.00902),"")</f>
        <v>7.2160000000000002E-2</v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41.407407407407405</v>
      </c>
      <c r="BN467" s="78">
        <f t="shared" si="68"/>
        <v>44.72</v>
      </c>
      <c r="BO467" s="78">
        <f t="shared" si="69"/>
        <v>5.6116722783389444E-2</v>
      </c>
      <c r="BP467" s="78">
        <f t="shared" si="70"/>
        <v>6.0606060606060608E-2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7.4074074074074066</v>
      </c>
      <c r="Y472" s="43">
        <f>IFERROR(Y466/H466,"0")+IFERROR(Y467/H467,"0")+IFERROR(Y468/H468,"0")+IFERROR(Y469/H469,"0")+IFERROR(Y470/H470,"0")+IFERROR(Y471/H471,"0")</f>
        <v>8</v>
      </c>
      <c r="Z472" s="43">
        <f>IFERROR(IF(Z466="",0,Z466),"0")+IFERROR(IF(Z467="",0,Z467),"0")+IFERROR(IF(Z468="",0,Z468),"0")+IFERROR(IF(Z469="",0,Z469),"0")+IFERROR(IF(Z470="",0,Z470),"0")+IFERROR(IF(Z471="",0,Z471),"0")</f>
        <v>7.2160000000000002E-2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40</v>
      </c>
      <c r="Y473" s="43">
        <f>IFERROR(SUM(Y466:Y471),"0")</f>
        <v>43.2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40</v>
      </c>
      <c r="Y484" s="55">
        <f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41.407407407407405</v>
      </c>
      <c r="BN484" s="78">
        <f>IFERROR(Y484*I484/H484,"0")</f>
        <v>44.72</v>
      </c>
      <c r="BO484" s="78">
        <f>IFERROR(1/J484*(X484/H484),"0")</f>
        <v>5.6116722783389444E-2</v>
      </c>
      <c r="BP484" s="78">
        <f>IFERROR(1/J484*(Y484/H484),"0")</f>
        <v>6.0606060606060608E-2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7.4074074074074066</v>
      </c>
      <c r="Y487" s="43">
        <f>IFERROR(Y484/H484,"0")+IFERROR(Y485/H485,"0")+IFERROR(Y486/H486,"0")</f>
        <v>8</v>
      </c>
      <c r="Z487" s="43">
        <f>IFERROR(IF(Z484="",0,Z484),"0")+IFERROR(IF(Z485="",0,Z485),"0")+IFERROR(IF(Z486="",0,Z486),"0")</f>
        <v>7.2160000000000002E-2</v>
      </c>
      <c r="AA487" s="67"/>
      <c r="AB487" s="67"/>
      <c r="AC487" s="67"/>
    </row>
    <row r="488" spans="1:68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40</v>
      </c>
      <c r="Y488" s="43">
        <f>IFERROR(SUM(Y484:Y486),"0")</f>
        <v>43.2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300</v>
      </c>
      <c r="Y495" s="55">
        <f t="shared" si="71"/>
        <v>300.96000000000004</v>
      </c>
      <c r="Z495" s="41">
        <f>IFERROR(IF(Y495=0,"",ROUNDUP(Y495/H495,0)*0.01196),"")</f>
        <v>0.68171999999999999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319.88636363636363</v>
      </c>
      <c r="BN495" s="78">
        <f t="shared" si="73"/>
        <v>320.91000000000003</v>
      </c>
      <c r="BO495" s="78">
        <f t="shared" si="74"/>
        <v>0.54632867132867136</v>
      </c>
      <c r="BP495" s="78">
        <f t="shared" si="75"/>
        <v>0.54807692307692313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56.818181818181813</v>
      </c>
      <c r="Y500" s="43">
        <f>IFERROR(Y492/H492,"0")+IFERROR(Y493/H493,"0")+IFERROR(Y494/H494,"0")+IFERROR(Y495/H495,"0")+IFERROR(Y496/H496,"0")+IFERROR(Y497/H497,"0")+IFERROR(Y498/H498,"0")+IFERROR(Y499/H499,"0")</f>
        <v>57.000000000000007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0.68171999999999999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300</v>
      </c>
      <c r="Y501" s="43">
        <f>IFERROR(SUM(Y492:Y499),"0")</f>
        <v>300.96000000000004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600</v>
      </c>
      <c r="Y511" s="55">
        <f t="shared" si="76"/>
        <v>601.92000000000007</v>
      </c>
      <c r="Z511" s="41">
        <f>IFERROR(IF(Y511=0,"",ROUNDUP(Y511/H511,0)*0.01196),"")</f>
        <v>1.36344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639.77272727272725</v>
      </c>
      <c r="BN511" s="78">
        <f t="shared" si="78"/>
        <v>641.82000000000005</v>
      </c>
      <c r="BO511" s="78">
        <f t="shared" si="79"/>
        <v>1.0926573426573427</v>
      </c>
      <c r="BP511" s="78">
        <f t="shared" si="80"/>
        <v>1.0961538461538463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113.63636363636363</v>
      </c>
      <c r="Y516" s="43">
        <f>IFERROR(Y509/H509,"0")+IFERROR(Y510/H510,"0")+IFERROR(Y511/H511,"0")+IFERROR(Y512/H512,"0")+IFERROR(Y513/H513,"0")+IFERROR(Y514/H514,"0")+IFERROR(Y515/H515,"0")</f>
        <v>114.00000000000001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1.36344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600</v>
      </c>
      <c r="Y517" s="43">
        <f>IFERROR(SUM(Y509:Y515),"0")</f>
        <v>601.92000000000007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5868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5915.28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6125.5946464646486</v>
      </c>
      <c r="Y547" s="43">
        <f>IFERROR(SUM(BN22:BN543),"0")</f>
        <v>6174.7000000000007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9</v>
      </c>
      <c r="Y548" s="44">
        <f>ROUNDUP(SUM(BP22:BP543),0)</f>
        <v>10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6350.5946464646486</v>
      </c>
      <c r="Y549" s="43">
        <f>GrossWeightTotalR+PalletQtyTotalR*25</f>
        <v>6424.7000000000007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705.6397306397306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712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10.219980000000001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410.40000000000003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356.40000000000003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259.20000000000005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498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102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3300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43.2</v>
      </c>
      <c r="Z556" s="52">
        <f>IFERROR(Y480*1,"0")+IFERROR(Y484*1,"0")+IFERROR(Y485*1,"0")+IFERROR(Y486*1,"0")</f>
        <v>43.2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902.88000000000011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2,00"/>
        <filter val="113,64"/>
        <filter val="12"/>
        <filter val="140,00"/>
        <filter val="150,00"/>
        <filter val="168,00"/>
        <filter val="2 000,00"/>
        <filter val="23,15"/>
        <filter val="250,00"/>
        <filter val="27,78"/>
        <filter val="300,00"/>
        <filter val="32,41"/>
        <filter val="333,33"/>
        <filter val="336,00"/>
        <filter val="350,00"/>
        <filter val="37,04"/>
        <filter val="40,00"/>
        <filter val="400,00"/>
        <filter val="5 000,00"/>
        <filter val="50,00"/>
        <filter val="56,82"/>
        <filter val="600,00"/>
        <filter val="7 568,00"/>
        <filter val="7 878,86"/>
        <filter val="7,41"/>
        <filter val="8 178,86"/>
        <filter val="818,97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2026-10-08T10:57:24Z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