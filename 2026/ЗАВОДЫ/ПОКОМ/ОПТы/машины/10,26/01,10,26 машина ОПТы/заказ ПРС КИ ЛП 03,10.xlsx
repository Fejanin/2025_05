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\30,09 ПРС ЛП ближ\"/>
    </mc:Choice>
  </mc:AlternateContent>
  <xr:revisionPtr revIDLastSave="0" documentId="13_ncr:1_{A83F504A-A95E-4BF4-A6E3-B000A235D36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Z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P460" i="2" s="1"/>
  <c r="P460" i="2"/>
  <c r="X457" i="2"/>
  <c r="X456" i="2"/>
  <c r="BO455" i="2"/>
  <c r="BM455" i="2"/>
  <c r="Y455" i="2"/>
  <c r="BP455" i="2" s="1"/>
  <c r="P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X340" i="2"/>
  <c r="X339" i="2"/>
  <c r="BO338" i="2"/>
  <c r="BM338" i="2"/>
  <c r="Y338" i="2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P256" i="2"/>
  <c r="X254" i="2"/>
  <c r="X253" i="2"/>
  <c r="BO252" i="2"/>
  <c r="BM252" i="2"/>
  <c r="Y252" i="2"/>
  <c r="Z252" i="2" s="1"/>
  <c r="P252" i="2"/>
  <c r="BO251" i="2"/>
  <c r="BM251" i="2"/>
  <c r="Y251" i="2"/>
  <c r="P251" i="2"/>
  <c r="BO250" i="2"/>
  <c r="BM250" i="2"/>
  <c r="Y250" i="2"/>
  <c r="BP250" i="2" s="1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BO95" i="2"/>
  <c r="BM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C569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104" i="2" l="1"/>
  <c r="BN104" i="2"/>
  <c r="Z105" i="2"/>
  <c r="Z307" i="2"/>
  <c r="Z241" i="2"/>
  <c r="Z50" i="2"/>
  <c r="BN50" i="2"/>
  <c r="Z190" i="2"/>
  <c r="Z286" i="2"/>
  <c r="Z346" i="2"/>
  <c r="BN346" i="2"/>
  <c r="Z465" i="2"/>
  <c r="Z466" i="2" s="1"/>
  <c r="BN465" i="2"/>
  <c r="BP470" i="2"/>
  <c r="Z58" i="2"/>
  <c r="Z95" i="2"/>
  <c r="Z134" i="2"/>
  <c r="Z138" i="2"/>
  <c r="BN138" i="2"/>
  <c r="Z224" i="2"/>
  <c r="Z297" i="2"/>
  <c r="Z330" i="2"/>
  <c r="BN330" i="2"/>
  <c r="Z376" i="2"/>
  <c r="BN376" i="2"/>
  <c r="Z425" i="2"/>
  <c r="Y360" i="2"/>
  <c r="Z29" i="2"/>
  <c r="BN29" i="2"/>
  <c r="Z56" i="2"/>
  <c r="Z68" i="2"/>
  <c r="Z88" i="2"/>
  <c r="BN88" i="2"/>
  <c r="Z90" i="2"/>
  <c r="BN90" i="2"/>
  <c r="Z98" i="2"/>
  <c r="BN98" i="2"/>
  <c r="Z103" i="2"/>
  <c r="Z121" i="2"/>
  <c r="Z175" i="2"/>
  <c r="Z205" i="2"/>
  <c r="Z207" i="2"/>
  <c r="Z240" i="2"/>
  <c r="Y269" i="2"/>
  <c r="Z267" i="2"/>
  <c r="Y268" i="2"/>
  <c r="Z273" i="2"/>
  <c r="Z287" i="2"/>
  <c r="BN287" i="2"/>
  <c r="Z304" i="2"/>
  <c r="Z308" i="2"/>
  <c r="Z364" i="2"/>
  <c r="Z384" i="2"/>
  <c r="Y483" i="2"/>
  <c r="Z525" i="2"/>
  <c r="BN525" i="2"/>
  <c r="BP39" i="2"/>
  <c r="BP60" i="2"/>
  <c r="BP61" i="2"/>
  <c r="BP76" i="2"/>
  <c r="BP97" i="2"/>
  <c r="Z97" i="2"/>
  <c r="BN106" i="2"/>
  <c r="Z106" i="2"/>
  <c r="BP115" i="2"/>
  <c r="BN115" i="2"/>
  <c r="Z115" i="2"/>
  <c r="BN151" i="2"/>
  <c r="BP171" i="2"/>
  <c r="Z171" i="2"/>
  <c r="BP230" i="2"/>
  <c r="BN230" i="2"/>
  <c r="Z230" i="2"/>
  <c r="BN233" i="2"/>
  <c r="Z233" i="2"/>
  <c r="BP251" i="2"/>
  <c r="Z251" i="2"/>
  <c r="BN256" i="2"/>
  <c r="Z256" i="2"/>
  <c r="Z257" i="2" s="1"/>
  <c r="BP276" i="2"/>
  <c r="BN276" i="2"/>
  <c r="Z276" i="2"/>
  <c r="BN283" i="2"/>
  <c r="Z283" i="2"/>
  <c r="BN290" i="2"/>
  <c r="BN306" i="2"/>
  <c r="BN338" i="2"/>
  <c r="Z338" i="2"/>
  <c r="BN380" i="2"/>
  <c r="BP386" i="2"/>
  <c r="BN386" i="2"/>
  <c r="Z386" i="2"/>
  <c r="BP417" i="2"/>
  <c r="Z417" i="2"/>
  <c r="BN443" i="2"/>
  <c r="Z443" i="2"/>
  <c r="Y456" i="2"/>
  <c r="BP454" i="2"/>
  <c r="BN523" i="2"/>
  <c r="Z39" i="2"/>
  <c r="Z47" i="2"/>
  <c r="BP56" i="2"/>
  <c r="Z60" i="2"/>
  <c r="Z61" i="2"/>
  <c r="Y72" i="2"/>
  <c r="Z71" i="2"/>
  <c r="BN71" i="2"/>
  <c r="Y77" i="2"/>
  <c r="Z76" i="2"/>
  <c r="Z77" i="2" s="1"/>
  <c r="Z81" i="2"/>
  <c r="BN81" i="2"/>
  <c r="BN122" i="2"/>
  <c r="Z122" i="2"/>
  <c r="BP158" i="2"/>
  <c r="BN158" i="2"/>
  <c r="Z158" i="2"/>
  <c r="Z159" i="2" s="1"/>
  <c r="Y159" i="2"/>
  <c r="BP178" i="2"/>
  <c r="BN178" i="2"/>
  <c r="Z178" i="2"/>
  <c r="BP181" i="2"/>
  <c r="BN181" i="2"/>
  <c r="Z181" i="2"/>
  <c r="BN183" i="2"/>
  <c r="Z183" i="2"/>
  <c r="BP209" i="2"/>
  <c r="BN209" i="2"/>
  <c r="Z209" i="2"/>
  <c r="BP223" i="2"/>
  <c r="Z223" i="2"/>
  <c r="BP233" i="2"/>
  <c r="BP234" i="2"/>
  <c r="Z234" i="2"/>
  <c r="BP243" i="2"/>
  <c r="BN243" i="2"/>
  <c r="Z243" i="2"/>
  <c r="Y254" i="2"/>
  <c r="Z250" i="2"/>
  <c r="Z268" i="2"/>
  <c r="BN327" i="2"/>
  <c r="Z327" i="2"/>
  <c r="BN359" i="2"/>
  <c r="BP366" i="2"/>
  <c r="BN366" i="2"/>
  <c r="Z366" i="2"/>
  <c r="BP374" i="2"/>
  <c r="Z374" i="2"/>
  <c r="BN400" i="2"/>
  <c r="Z400" i="2"/>
  <c r="BP436" i="2"/>
  <c r="BN436" i="2"/>
  <c r="Z436" i="2"/>
  <c r="BN471" i="2"/>
  <c r="BP480" i="2"/>
  <c r="BN480" i="2"/>
  <c r="Z480" i="2"/>
  <c r="BP512" i="2"/>
  <c r="BN512" i="2"/>
  <c r="Z512" i="2"/>
  <c r="BN517" i="2"/>
  <c r="BP517" i="2"/>
  <c r="BN522" i="2"/>
  <c r="Z522" i="2"/>
  <c r="BP103" i="2"/>
  <c r="Y112" i="2"/>
  <c r="BN110" i="2"/>
  <c r="BN154" i="2"/>
  <c r="BN165" i="2"/>
  <c r="BP190" i="2"/>
  <c r="BN211" i="2"/>
  <c r="BN232" i="2"/>
  <c r="BP240" i="2"/>
  <c r="BN245" i="2"/>
  <c r="BN252" i="2"/>
  <c r="BP266" i="2"/>
  <c r="BN278" i="2"/>
  <c r="BP286" i="2"/>
  <c r="BP307" i="2"/>
  <c r="BN370" i="2"/>
  <c r="BN399" i="2"/>
  <c r="BN448" i="2"/>
  <c r="Y473" i="2"/>
  <c r="Y484" i="2"/>
  <c r="BP477" i="2"/>
  <c r="BN478" i="2"/>
  <c r="BN518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BP434" i="2"/>
  <c r="BN434" i="2"/>
  <c r="Z434" i="2"/>
  <c r="Y73" i="2"/>
  <c r="BN117" i="2"/>
  <c r="Z117" i="2"/>
  <c r="Y135" i="2"/>
  <c r="Y136" i="2"/>
  <c r="Z139" i="2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Y119" i="2"/>
  <c r="Y25" i="2"/>
  <c r="BN55" i="2"/>
  <c r="E569" i="2"/>
  <c r="BP55" i="2"/>
  <c r="BN87" i="2"/>
  <c r="BP107" i="2"/>
  <c r="Y129" i="2"/>
  <c r="Z143" i="2"/>
  <c r="BN152" i="2"/>
  <c r="Z164" i="2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321" i="2"/>
  <c r="Z322" i="2" s="1"/>
  <c r="Z357" i="2"/>
  <c r="BP359" i="2"/>
  <c r="Z368" i="2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BP391" i="2"/>
  <c r="Z399" i="2"/>
  <c r="Z423" i="2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135" i="2" l="1"/>
  <c r="Z51" i="2"/>
  <c r="Z192" i="2"/>
  <c r="Z140" i="2"/>
  <c r="Z360" i="2"/>
  <c r="Z299" i="2"/>
  <c r="Z419" i="2"/>
  <c r="Z99" i="2"/>
  <c r="Z348" i="2"/>
  <c r="Z394" i="2"/>
  <c r="Z426" i="2"/>
  <c r="Z445" i="2"/>
  <c r="Z371" i="2"/>
  <c r="Z112" i="2"/>
  <c r="Z125" i="2"/>
  <c r="Z339" i="2"/>
  <c r="Z167" i="2"/>
  <c r="Z83" i="2"/>
  <c r="Z172" i="2"/>
  <c r="Z388" i="2"/>
  <c r="Z92" i="2"/>
  <c r="Z212" i="2"/>
  <c r="Z72" i="2"/>
  <c r="Z462" i="2"/>
  <c r="Z279" i="2"/>
  <c r="Z483" i="2"/>
  <c r="Z32" i="2"/>
  <c r="Z353" i="2"/>
  <c r="Z64" i="2"/>
  <c r="Z186" i="2"/>
  <c r="Z253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<sst xmlns="http://schemas.openxmlformats.org/spreadsheetml/2006/main" count="4294" uniqueCount="897">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</sst>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46296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Четверг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36</v>
      </c>
      <c r="Y30" s="55">
        <f>IFERROR(IF(X30="",0,CEILING((X30/$H30),1)*$H30),"")</f>
        <v>36</v>
      </c>
      <c r="Z30" s="41">
        <f>IFERROR(IF(Y30=0,"",ROUNDUP(Y30/H30,0)*0.00651),"")</f>
        <v>0.13020000000000001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63.6</v>
      </c>
      <c r="BN30" s="78">
        <f>IFERROR(Y30*I30/H30,"0")</f>
        <v>63.6</v>
      </c>
      <c r="BO30" s="78">
        <f>IFERROR(1/J30*(X30/H30),"0")</f>
        <v>0.1098901098901099</v>
      </c>
      <c r="BP30" s="78">
        <f>IFERROR(1/J30*(Y30/H30),"0")</f>
        <v>0.1098901098901099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36</v>
      </c>
      <c r="Y33" s="43">
        <f>IFERROR(SUM(Y27:Y31),"0")</f>
        <v>36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120</v>
      </c>
      <c r="Y49" s="55">
        <f>IFERROR(IF(X49="",0,CEILING((X49/$H49),1)*$H49),"")</f>
        <v>120</v>
      </c>
      <c r="Z49" s="41">
        <f>IFERROR(IF(Y49=0,"",ROUNDUP(Y49/H49,0)*0.00902),"")</f>
        <v>0.27060000000000001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125.70000000000002</v>
      </c>
      <c r="BN49" s="78">
        <f>IFERROR(Y49*I49/H49,"0")</f>
        <v>125.70000000000002</v>
      </c>
      <c r="BO49" s="78">
        <f>IFERROR(1/J49*(X49/H49),"0")</f>
        <v>0.22727272727272729</v>
      </c>
      <c r="BP49" s="78">
        <f>IFERROR(1/J49*(Y49/H49),"0")</f>
        <v>0.22727272727272729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0.27060000000000001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120</v>
      </c>
      <c r="Y52" s="43">
        <f>IFERROR(SUM(Y47:Y50),"0")</f>
        <v>120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54</v>
      </c>
      <c r="Y71" s="55">
        <f>IFERROR(IF(X71="",0,CEILING((X71/$H71),1)*$H71),"")</f>
        <v>54</v>
      </c>
      <c r="Z71" s="41">
        <f>IFERROR(IF(Y71=0,"",ROUNDUP(Y71/H71,0)*0.00651),"")</f>
        <v>0.13020000000000001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57.599999999999987</v>
      </c>
      <c r="BN71" s="78">
        <f>IFERROR(Y71*I71/H71,"0")</f>
        <v>57.599999999999987</v>
      </c>
      <c r="BO71" s="78">
        <f>IFERROR(1/J71*(X71/H71),"0")</f>
        <v>0.1098901098901099</v>
      </c>
      <c r="BP71" s="78">
        <f>IFERROR(1/J71*(Y71/H71),"0")</f>
        <v>0.1098901098901099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20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0.13020000000000001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54</v>
      </c>
      <c r="Y73" s="43">
        <f>IFERROR(SUM(Y67:Y71),"0")</f>
        <v>54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36</v>
      </c>
      <c r="Y75" s="55">
        <f>IFERROR(IF(X75="",0,CEILING((X75/$H75),1)*$H75),"")</f>
        <v>36</v>
      </c>
      <c r="Z75" s="41">
        <f>IFERROR(IF(Y75=0,"",ROUNDUP(Y75/H75,0)*0.00651),"")</f>
        <v>0.13020000000000001</v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40.919999999999995</v>
      </c>
      <c r="BN75" s="78">
        <f>IFERROR(Y75*I75/H75,"0")</f>
        <v>40.919999999999995</v>
      </c>
      <c r="BO75" s="78">
        <f>IFERROR(1/J75*(X75/H75),"0")</f>
        <v>0.1098901098901099</v>
      </c>
      <c r="BP75" s="78">
        <f>IFERROR(1/J75*(Y75/H75),"0")</f>
        <v>0.1098901098901099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20</v>
      </c>
      <c r="Y77" s="43">
        <f>IFERROR(Y75/H75,"0")+IFERROR(Y76/H76,"0")</f>
        <v>20</v>
      </c>
      <c r="Z77" s="43">
        <f>IFERROR(IF(Z75="",0,Z75),"0")+IFERROR(IF(Z76="",0,Z76),"0")</f>
        <v>0.13020000000000001</v>
      </c>
      <c r="AA77" s="67"/>
      <c r="AB77" s="67"/>
      <c r="AC77" s="67"/>
    </row>
    <row r="78" spans="1:68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36</v>
      </c>
      <c r="Y78" s="43">
        <f>IFERROR(SUM(Y75:Y76),"0")</f>
        <v>36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171</v>
      </c>
      <c r="Y97" s="55">
        <f>IFERROR(IF(X97="",0,CEILING((X97/$H97),1)*$H97),"")</f>
        <v>172.8</v>
      </c>
      <c r="Z97" s="41">
        <f>IFERROR(IF(Y97=0,"",ROUNDUP(Y97/H97,0)*0.00651),"")</f>
        <v>0.41664000000000001</v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186.95999999999998</v>
      </c>
      <c r="BN97" s="78">
        <f>IFERROR(Y97*I97/H97,"0")</f>
        <v>188.928</v>
      </c>
      <c r="BO97" s="78">
        <f>IFERROR(1/J97*(X97/H97),"0")</f>
        <v>0.34798534798534797</v>
      </c>
      <c r="BP97" s="78">
        <f>IFERROR(1/J97*(Y97/H97),"0")</f>
        <v>0.35164835164835168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63.333333333333329</v>
      </c>
      <c r="Y99" s="43">
        <f>IFERROR(Y95/H95,"0")+IFERROR(Y96/H96,"0")+IFERROR(Y97/H97,"0")+IFERROR(Y98/H98,"0")</f>
        <v>64</v>
      </c>
      <c r="Z99" s="43">
        <f>IFERROR(IF(Z95="",0,Z95),"0")+IFERROR(IF(Z96="",0,Z96),"0")+IFERROR(IF(Z97="",0,Z97),"0")+IFERROR(IF(Z98="",0,Z98),"0")</f>
        <v>0.41664000000000001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171</v>
      </c>
      <c r="Y100" s="43">
        <f>IFERROR(SUM(Y95:Y98),"0")</f>
        <v>172.8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hidden="1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54</v>
      </c>
      <c r="Y124" s="55">
        <f>IFERROR(IF(X124="",0,CEILING((X124/$H124),1)*$H124),"")</f>
        <v>54</v>
      </c>
      <c r="Z124" s="41">
        <f>IFERROR(IF(Y124=0,"",ROUNDUP(Y124/H124,0)*0.00651),"")</f>
        <v>0.1953</v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59.4</v>
      </c>
      <c r="BN124" s="78">
        <f>IFERROR(Y124*I124/H124,"0")</f>
        <v>59.4</v>
      </c>
      <c r="BO124" s="78">
        <f>IFERROR(1/J124*(X124/H124),"0")</f>
        <v>0.16483516483516486</v>
      </c>
      <c r="BP124" s="78">
        <f>IFERROR(1/J124*(Y124/H124),"0")</f>
        <v>0.16483516483516486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30</v>
      </c>
      <c r="Y125" s="43">
        <f>IFERROR(Y121/H121,"0")+IFERROR(Y122/H122,"0")+IFERROR(Y123/H123,"0")+IFERROR(Y124/H124,"0")</f>
        <v>30</v>
      </c>
      <c r="Z125" s="43">
        <f>IFERROR(IF(Z121="",0,Z121),"0")+IFERROR(IF(Z122="",0,Z122),"0")+IFERROR(IF(Z123="",0,Z123),"0")+IFERROR(IF(Z124="",0,Z124),"0")</f>
        <v>0.1953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54</v>
      </c>
      <c r="Y126" s="43">
        <f>IFERROR(SUM(Y121:Y124),"0")</f>
        <v>54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79.2</v>
      </c>
      <c r="Y128" s="55">
        <f>IFERROR(IF(X128="",0,CEILING((X128/$H128),1)*$H128),"")</f>
        <v>79.2</v>
      </c>
      <c r="Z128" s="41">
        <f>IFERROR(IF(Y128=0,"",ROUNDUP(Y128/H128,0)*0.00651),"")</f>
        <v>0.26040000000000002</v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89.52000000000001</v>
      </c>
      <c r="BN128" s="78">
        <f>IFERROR(Y128*I128/H128,"0")</f>
        <v>89.52000000000001</v>
      </c>
      <c r="BO128" s="78">
        <f>IFERROR(1/J128*(X128/H128),"0")</f>
        <v>0.2197802197802198</v>
      </c>
      <c r="BP128" s="78">
        <f>IFERROR(1/J128*(Y128/H128),"0")</f>
        <v>0.2197802197802198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40</v>
      </c>
      <c r="Y129" s="43">
        <f>IFERROR(Y128/H128,"0")</f>
        <v>40</v>
      </c>
      <c r="Z129" s="43">
        <f>IFERROR(IF(Z128="",0,Z128),"0")</f>
        <v>0.26040000000000002</v>
      </c>
      <c r="AA129" s="67"/>
      <c r="AB129" s="67"/>
      <c r="AC129" s="67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79.2</v>
      </c>
      <c r="Y130" s="43">
        <f>IFERROR(SUM(Y128:Y128),"0")</f>
        <v>79.2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9.6</v>
      </c>
      <c r="Y223" s="55">
        <f t="shared" si="27"/>
        <v>9.6000000000000014</v>
      </c>
      <c r="Z223" s="41">
        <f>IFERROR(IF(Y223=0,"",ROUNDUP(Y223/H223,0)*0.00556),"")</f>
        <v>6.6720000000000002E-2</v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11.16</v>
      </c>
      <c r="BN223" s="78">
        <f t="shared" si="29"/>
        <v>11.160000000000002</v>
      </c>
      <c r="BO223" s="78">
        <f t="shared" si="30"/>
        <v>4.7619047619047609E-2</v>
      </c>
      <c r="BP223" s="78">
        <f t="shared" si="31"/>
        <v>4.7619047619047623E-2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12</v>
      </c>
      <c r="Y230" s="55">
        <f t="shared" si="27"/>
        <v>12</v>
      </c>
      <c r="Z230" s="41">
        <f>IFERROR(IF(Y230=0,"",ROUNDUP(Y230/H230,0)*0.00417),"")</f>
        <v>6.2549999999999994E-2</v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15.15</v>
      </c>
      <c r="BN230" s="78">
        <f t="shared" si="29"/>
        <v>15.15</v>
      </c>
      <c r="BO230" s="78">
        <f t="shared" si="30"/>
        <v>4.4642857142857137E-2</v>
      </c>
      <c r="BP230" s="78">
        <f t="shared" si="31"/>
        <v>4.4642857142857137E-2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27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27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0.12927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21.6</v>
      </c>
      <c r="Y236" s="43">
        <f>IFERROR(SUM(Y220:Y234),"0")</f>
        <v>21.6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104</v>
      </c>
      <c r="Y288" s="55">
        <f t="shared" si="43"/>
        <v>105.6</v>
      </c>
      <c r="Z288" s="41">
        <f>IFERROR(IF(Y288=0,"",ROUNDUP(Y288/H288,0)*0.00651),"")</f>
        <v>0.28644000000000003</v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114.92</v>
      </c>
      <c r="BN288" s="78">
        <f t="shared" si="45"/>
        <v>116.688</v>
      </c>
      <c r="BO288" s="78">
        <f t="shared" si="46"/>
        <v>0.23809523809523814</v>
      </c>
      <c r="BP288" s="78">
        <f t="shared" si="47"/>
        <v>0.24175824175824179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60</v>
      </c>
      <c r="Y290" s="55">
        <f t="shared" si="43"/>
        <v>60</v>
      </c>
      <c r="Z290" s="41">
        <f>IFERROR(IF(Y290=0,"",ROUNDUP(Y290/H290,0)*0.00651),"")</f>
        <v>0.16275000000000001</v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66.300000000000011</v>
      </c>
      <c r="BN290" s="78">
        <f t="shared" si="45"/>
        <v>66.300000000000011</v>
      </c>
      <c r="BO290" s="78">
        <f t="shared" si="46"/>
        <v>0.13736263736263737</v>
      </c>
      <c r="BP290" s="78">
        <f t="shared" si="47"/>
        <v>0.13736263736263737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96</v>
      </c>
      <c r="Y291" s="55">
        <f t="shared" si="43"/>
        <v>96</v>
      </c>
      <c r="Z291" s="41">
        <f>IFERROR(IF(Y291=0,"",ROUNDUP(Y291/H291,0)*0.00651),"")</f>
        <v>0.26040000000000002</v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106.08000000000001</v>
      </c>
      <c r="BN291" s="78">
        <f t="shared" si="45"/>
        <v>106.08000000000001</v>
      </c>
      <c r="BO291" s="78">
        <f t="shared" si="46"/>
        <v>0.2197802197802198</v>
      </c>
      <c r="BP291" s="78">
        <f t="shared" si="47"/>
        <v>0.2197802197802198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108.33333333333334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109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0.70959000000000005</v>
      </c>
      <c r="AA294" s="67"/>
      <c r="AB294" s="67"/>
      <c r="AC294" s="67"/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260</v>
      </c>
      <c r="Y295" s="43">
        <f>IFERROR(SUM(Y282:Y293),"0")</f>
        <v>261.60000000000002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72</v>
      </c>
      <c r="Y306" s="55">
        <f t="shared" si="48"/>
        <v>72</v>
      </c>
      <c r="Z306" s="41">
        <f>IFERROR(IF(Y306=0,"",ROUNDUP(Y306/H306,0)*0.00902),"")</f>
        <v>0.16236</v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75.42</v>
      </c>
      <c r="BN306" s="78">
        <f t="shared" si="50"/>
        <v>75.42</v>
      </c>
      <c r="BO306" s="78">
        <f t="shared" si="51"/>
        <v>0.13636363636363635</v>
      </c>
      <c r="BP306" s="78">
        <f t="shared" si="52"/>
        <v>0.13636363636363635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72</v>
      </c>
      <c r="Y309" s="55">
        <f t="shared" si="48"/>
        <v>72</v>
      </c>
      <c r="Z309" s="41">
        <f>IFERROR(IF(Y309=0,"",ROUNDUP(Y309/H309,0)*0.00902),"")</f>
        <v>0.16236</v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75.42</v>
      </c>
      <c r="BN309" s="78">
        <f t="shared" si="50"/>
        <v>75.42</v>
      </c>
      <c r="BO309" s="78">
        <f t="shared" si="51"/>
        <v>0.13636363636363635</v>
      </c>
      <c r="BP309" s="78">
        <f t="shared" si="52"/>
        <v>0.13636363636363635</v>
      </c>
    </row>
    <row r="310" spans="1:68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36</v>
      </c>
      <c r="Y310" s="43">
        <f>IFERROR(Y303/H303,"0")+IFERROR(Y304/H304,"0")+IFERROR(Y305/H305,"0")+IFERROR(Y306/H306,"0")+IFERROR(Y307/H307,"0")+IFERROR(Y308/H308,"0")+IFERROR(Y309/H309,"0")</f>
        <v>36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0.32472000000000001</v>
      </c>
      <c r="AA310" s="67"/>
      <c r="AB310" s="67"/>
      <c r="AC310" s="67"/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144</v>
      </c>
      <c r="Y311" s="43">
        <f>IFERROR(SUM(Y303:Y309),"0")</f>
        <v>144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36</v>
      </c>
      <c r="Y338" s="55">
        <f>IFERROR(IF(X338="",0,CEILING((X338/$H338),1)*$H338),"")</f>
        <v>36</v>
      </c>
      <c r="Z338" s="41">
        <f>IFERROR(IF(Y338=0,"",ROUNDUP(Y338/H338,0)*0.00651),"")</f>
        <v>9.7650000000000001E-2</v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38.700000000000003</v>
      </c>
      <c r="BN338" s="78">
        <f>IFERROR(Y338*I338/H338,"0")</f>
        <v>38.700000000000003</v>
      </c>
      <c r="BO338" s="78">
        <f>IFERROR(1/J338*(X338/H338),"0")</f>
        <v>8.241758241758243E-2</v>
      </c>
      <c r="BP338" s="78">
        <f>IFERROR(1/J338*(Y338/H338),"0")</f>
        <v>8.241758241758243E-2</v>
      </c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15</v>
      </c>
      <c r="Y339" s="43">
        <f>IFERROR(Y336/H336,"0")+IFERROR(Y337/H337,"0")+IFERROR(Y338/H338,"0")</f>
        <v>15</v>
      </c>
      <c r="Z339" s="43">
        <f>IFERROR(IF(Z336="",0,Z336),"0")+IFERROR(IF(Z337="",0,Z337),"0")+IFERROR(IF(Z338="",0,Z338),"0")</f>
        <v>9.7650000000000001E-2</v>
      </c>
      <c r="AA339" s="67"/>
      <c r="AB339" s="67"/>
      <c r="AC339" s="67"/>
    </row>
    <row r="340" spans="1:68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36</v>
      </c>
      <c r="Y340" s="43">
        <f>IFERROR(SUM(Y336:Y338),"0")</f>
        <v>36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54</v>
      </c>
      <c r="Y351" s="55">
        <f>IFERROR(IF(X351="",0,CEILING((X351/$H351),1)*$H351),"")</f>
        <v>54</v>
      </c>
      <c r="Z351" s="41">
        <f>IFERROR(IF(Y351=0,"",ROUNDUP(Y351/H351,0)*0.00902),"")</f>
        <v>0.1353</v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56.849999999999994</v>
      </c>
      <c r="BN351" s="78">
        <f>IFERROR(Y351*I351/H351,"0")</f>
        <v>56.849999999999994</v>
      </c>
      <c r="BO351" s="78">
        <f>IFERROR(1/J351*(X351/H351),"0")</f>
        <v>0.11363636363636365</v>
      </c>
      <c r="BP351" s="78">
        <f>IFERROR(1/J351*(Y351/H351),"0")</f>
        <v>0.11363636363636365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15</v>
      </c>
      <c r="Y353" s="43">
        <f>IFERROR(Y351/H351,"0")+IFERROR(Y352/H352,"0")</f>
        <v>15</v>
      </c>
      <c r="Z353" s="43">
        <f>IFERROR(IF(Z351="",0,Z351),"0")+IFERROR(IF(Z352="",0,Z352),"0")</f>
        <v>0.1353</v>
      </c>
      <c r="AA353" s="67"/>
      <c r="AB353" s="67"/>
      <c r="AC353" s="67"/>
    </row>
    <row r="354" spans="1:68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54</v>
      </c>
      <c r="Y354" s="43">
        <f>IFERROR(SUM(Y351:Y352),"0")</f>
        <v>54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84</v>
      </c>
      <c r="Y378" s="55">
        <f t="shared" si="63"/>
        <v>84</v>
      </c>
      <c r="Z378" s="41">
        <f>IFERROR(IF(Y378=0,"",ROUNDUP(Y378/H378,0)*0.00502),"")</f>
        <v>0.20080000000000001</v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88</v>
      </c>
      <c r="BN378" s="78">
        <f t="shared" si="65"/>
        <v>88</v>
      </c>
      <c r="BO378" s="78">
        <f t="shared" si="66"/>
        <v>0.17094017094017094</v>
      </c>
      <c r="BP378" s="78">
        <f t="shared" si="67"/>
        <v>0.17094017094017094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27</v>
      </c>
      <c r="Y380" s="55">
        <f t="shared" si="63"/>
        <v>27</v>
      </c>
      <c r="Z380" s="41">
        <f>IFERROR(IF(Y380=0,"",ROUNDUP(Y380/H380,0)*0.00651),"")</f>
        <v>9.7650000000000001E-2</v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30.419999999999998</v>
      </c>
      <c r="BN380" s="78">
        <f t="shared" si="65"/>
        <v>30.419999999999998</v>
      </c>
      <c r="BO380" s="78">
        <f t="shared" si="66"/>
        <v>8.241758241758243E-2</v>
      </c>
      <c r="BP380" s="78">
        <f t="shared" si="67"/>
        <v>8.241758241758243E-2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55</v>
      </c>
      <c r="Y381" s="43">
        <f>IFERROR(Y374/H374,"0")+IFERROR(Y375/H375,"0")+IFERROR(Y376/H376,"0")+IFERROR(Y377/H377,"0")+IFERROR(Y378/H378,"0")+IFERROR(Y379/H379,"0")+IFERROR(Y380/H380,"0")</f>
        <v>55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0.29844999999999999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111</v>
      </c>
      <c r="Y382" s="43">
        <f>IFERROR(SUM(Y374:Y380),"0")</f>
        <v>111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10.199999999999999</v>
      </c>
      <c r="Y399" s="55">
        <f>IFERROR(IF(X399="",0,CEILING((X399/$H399),1)*$H399),"")</f>
        <v>10.199999999999999</v>
      </c>
      <c r="Z399" s="41">
        <f>IFERROR(IF(Y399=0,"",ROUNDUP(Y399/H399,0)*0.00651),"")</f>
        <v>2.6040000000000001E-2</v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11.82</v>
      </c>
      <c r="BN399" s="78">
        <f>IFERROR(Y399*I399/H399,"0")</f>
        <v>11.82</v>
      </c>
      <c r="BO399" s="78">
        <f>IFERROR(1/J399*(X399/H399),"0")</f>
        <v>2.197802197802198E-2</v>
      </c>
      <c r="BP399" s="78">
        <f>IFERROR(1/J399*(Y399/H399),"0")</f>
        <v>2.197802197802198E-2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4</v>
      </c>
      <c r="Y401" s="43">
        <f>IFERROR(Y397/H397,"0")+IFERROR(Y398/H398,"0")+IFERROR(Y399/H399,"0")+IFERROR(Y400/H400,"0")</f>
        <v>4</v>
      </c>
      <c r="Z401" s="43">
        <f>IFERROR(IF(Z397="",0,Z397),"0")+IFERROR(IF(Z398="",0,Z398),"0")+IFERROR(IF(Z399="",0,Z399),"0")+IFERROR(IF(Z400="",0,Z400),"0")</f>
        <v>2.6040000000000001E-2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10.199999999999999</v>
      </c>
      <c r="Y402" s="43">
        <f>IFERROR(SUM(Y397:Y400),"0")</f>
        <v>10.199999999999999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48</v>
      </c>
      <c r="Y406" s="55">
        <f>IFERROR(IF(X406="",0,CEILING((X406/$H406),1)*$H406),"")</f>
        <v>48</v>
      </c>
      <c r="Z406" s="41">
        <f>IFERROR(IF(Y406=0,"",ROUNDUP(Y406/H406,0)*0.00474),"")</f>
        <v>0.11376</v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53.760000000000005</v>
      </c>
      <c r="BN406" s="78">
        <f>IFERROR(Y406*I406/H406,"0")</f>
        <v>53.760000000000005</v>
      </c>
      <c r="BO406" s="78">
        <f>IFERROR(1/J406*(X406/H406),"0")</f>
        <v>0.10084033613445378</v>
      </c>
      <c r="BP406" s="78">
        <f>IFERROR(1/J406*(Y406/H406),"0")</f>
        <v>0.10084033613445378</v>
      </c>
    </row>
    <row r="407" spans="1:68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24</v>
      </c>
      <c r="Y407" s="43">
        <f>IFERROR(Y404/H404,"0")+IFERROR(Y405/H405,"0")+IFERROR(Y406/H406,"0")</f>
        <v>24</v>
      </c>
      <c r="Z407" s="43">
        <f>IFERROR(IF(Z404="",0,Z404),"0")+IFERROR(IF(Z405="",0,Z405),"0")+IFERROR(IF(Z406="",0,Z406),"0")</f>
        <v>0.11376</v>
      </c>
      <c r="AA407" s="67"/>
      <c r="AB407" s="67"/>
      <c r="AC407" s="67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48</v>
      </c>
      <c r="Y408" s="43">
        <f>IFERROR(SUM(Y404:Y406),"0")</f>
        <v>48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42</v>
      </c>
      <c r="Y424" s="55">
        <f>IFERROR(IF(X424="",0,CEILING((X424/$H424),1)*$H424),"")</f>
        <v>42</v>
      </c>
      <c r="Z424" s="41">
        <f>IFERROR(IF(Y424=0,"",ROUNDUP(Y424/H424,0)*0.00651),"")</f>
        <v>0.13020000000000001</v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47.039999999999992</v>
      </c>
      <c r="BN424" s="78">
        <f>IFERROR(Y424*I424/H424,"0")</f>
        <v>47.039999999999992</v>
      </c>
      <c r="BO424" s="78">
        <f>IFERROR(1/J424*(X424/H424),"0")</f>
        <v>0.1098901098901099</v>
      </c>
      <c r="BP424" s="78">
        <f>IFERROR(1/J424*(Y424/H424),"0")</f>
        <v>0.1098901098901099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20</v>
      </c>
      <c r="Y426" s="43">
        <f>IFERROR(Y423/H423,"0")+IFERROR(Y424/H424,"0")+IFERROR(Y425/H425,"0")</f>
        <v>20</v>
      </c>
      <c r="Z426" s="43">
        <f>IFERROR(IF(Z423="",0,Z423),"0")+IFERROR(IF(Z424="",0,Z424),"0")+IFERROR(IF(Z425="",0,Z425),"0")</f>
        <v>0.13020000000000001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42</v>
      </c>
      <c r="Y427" s="43">
        <f>IFERROR(SUM(Y423:Y425),"0")</f>
        <v>42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si="68"/>
        <v>60</v>
      </c>
      <c r="Z438" s="41">
        <f>IFERROR(IF(Y438=0,"",ROUNDUP(Y438/H438,0)*0.00902),"")</f>
        <v>0.10824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62.280000000000008</v>
      </c>
      <c r="BN438" s="78">
        <f t="shared" si="70"/>
        <v>62.280000000000008</v>
      </c>
      <c r="BO438" s="78">
        <f t="shared" si="71"/>
        <v>9.0909090909090912E-2</v>
      </c>
      <c r="BP438" s="78">
        <f t="shared" si="72"/>
        <v>9.0909090909090912E-2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12</v>
      </c>
      <c r="Y439" s="43">
        <f>IFERROR(Y431/H431,"0")+IFERROR(Y432/H432,"0")+IFERROR(Y433/H433,"0")+IFERROR(Y434/H434,"0")+IFERROR(Y435/H435,"0")+IFERROR(Y436/H436,"0")+IFERROR(Y437/H437,"0")+IFERROR(Y438/H438,"0")</f>
        <v>12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0.10824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60</v>
      </c>
      <c r="Y440" s="43">
        <f>IFERROR(SUM(Y431:Y438),"0")</f>
        <v>60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hidden="1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36</v>
      </c>
      <c r="Y444" s="55">
        <f>IFERROR(IF(X444="",0,CEILING((X444/$H444),1)*$H444),"")</f>
        <v>36</v>
      </c>
      <c r="Z444" s="41">
        <f>IFERROR(IF(Y444=0,"",ROUNDUP(Y444/H444,0)*0.00902),"")</f>
        <v>8.1180000000000002E-2</v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37.71</v>
      </c>
      <c r="BN444" s="78">
        <f>IFERROR(Y444*I444/H444,"0")</f>
        <v>37.71</v>
      </c>
      <c r="BO444" s="78">
        <f>IFERROR(1/J444*(X444/H444),"0")</f>
        <v>6.8181818181818177E-2</v>
      </c>
      <c r="BP444" s="78">
        <f>IFERROR(1/J444*(Y444/H444),"0")</f>
        <v>6.8181818181818177E-2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9</v>
      </c>
      <c r="Y445" s="43">
        <f>IFERROR(Y442/H442,"0")+IFERROR(Y443/H443,"0")+IFERROR(Y444/H444,"0")</f>
        <v>9</v>
      </c>
      <c r="Z445" s="43">
        <f>IFERROR(IF(Z442="",0,Z442),"0")+IFERROR(IF(Z443="",0,Z443),"0")+IFERROR(IF(Z444="",0,Z444),"0")</f>
        <v>8.1180000000000002E-2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36</v>
      </c>
      <c r="Y446" s="43">
        <f>IFERROR(SUM(Y442:Y444),"0")</f>
        <v>36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31.5</v>
      </c>
      <c r="Y479" s="55">
        <f t="shared" si="73"/>
        <v>31.5</v>
      </c>
      <c r="Z479" s="41">
        <f>IFERROR(IF(Y479=0,"",ROUNDUP(Y479/H479,0)*0.00502),"")</f>
        <v>7.5300000000000006E-2</v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33.450000000000003</v>
      </c>
      <c r="BN479" s="78">
        <f t="shared" si="75"/>
        <v>33.450000000000003</v>
      </c>
      <c r="BO479" s="78">
        <f t="shared" si="76"/>
        <v>6.4102564102564111E-2</v>
      </c>
      <c r="BP479" s="78">
        <f t="shared" si="77"/>
        <v>6.4102564102564111E-2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31.5</v>
      </c>
      <c r="Y481" s="55">
        <f t="shared" si="73"/>
        <v>31.5</v>
      </c>
      <c r="Z481" s="41">
        <f>IFERROR(IF(Y481=0,"",ROUNDUP(Y481/H481,0)*0.00502),"")</f>
        <v>7.5300000000000006E-2</v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33.450000000000003</v>
      </c>
      <c r="BN481" s="78">
        <f t="shared" si="75"/>
        <v>33.450000000000003</v>
      </c>
      <c r="BO481" s="78">
        <f t="shared" si="76"/>
        <v>6.4102564102564111E-2</v>
      </c>
      <c r="BP481" s="78">
        <f t="shared" si="77"/>
        <v>6.4102564102564111E-2</v>
      </c>
    </row>
    <row r="482" spans="1:68" ht="37.5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42</v>
      </c>
      <c r="Y482" s="55">
        <f t="shared" si="73"/>
        <v>42</v>
      </c>
      <c r="Z482" s="41">
        <f>IFERROR(IF(Y482=0,"",ROUNDUP(Y482/H482,0)*0.00502),"")</f>
        <v>0.1004</v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44.599999999999994</v>
      </c>
      <c r="BN482" s="78">
        <f t="shared" si="75"/>
        <v>44.599999999999994</v>
      </c>
      <c r="BO482" s="78">
        <f t="shared" si="76"/>
        <v>8.5470085470085472E-2</v>
      </c>
      <c r="BP482" s="78">
        <f t="shared" si="77"/>
        <v>8.5470085470085472E-2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50</v>
      </c>
      <c r="Y483" s="43">
        <f>IFERROR(Y477/H477,"0")+IFERROR(Y478/H478,"0")+IFERROR(Y479/H479,"0")+IFERROR(Y480/H480,"0")+IFERROR(Y481/H481,"0")+IFERROR(Y482/H482,"0")</f>
        <v>50</v>
      </c>
      <c r="Z483" s="43">
        <f>IFERROR(IF(Z477="",0,Z477),"0")+IFERROR(IF(Z478="",0,Z478),"0")+IFERROR(IF(Z479="",0,Z479),"0")+IFERROR(IF(Z480="",0,Z480),"0")+IFERROR(IF(Z481="",0,Z481),"0")+IFERROR(IF(Z482="",0,Z482),"0")</f>
        <v>0.251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105</v>
      </c>
      <c r="Y484" s="43">
        <f>IFERROR(SUM(Y477:Y482),"0")</f>
        <v>105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180</v>
      </c>
      <c r="Y511" s="55">
        <f t="shared" si="78"/>
        <v>182.4</v>
      </c>
      <c r="Z511" s="41">
        <f>IFERROR(IF(Y511=0,"",ROUNDUP(Y511/H511,0)*0.00902),"")</f>
        <v>0.34276000000000001</v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259.125</v>
      </c>
      <c r="BN511" s="78">
        <f t="shared" si="81"/>
        <v>262.58000000000004</v>
      </c>
      <c r="BO511" s="78">
        <f t="shared" si="82"/>
        <v>0.28409090909090912</v>
      </c>
      <c r="BP511" s="78">
        <f t="shared" si="83"/>
        <v>0.2878787878787879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180</v>
      </c>
      <c r="Y512" s="55">
        <f t="shared" si="78"/>
        <v>182.4</v>
      </c>
      <c r="Z512" s="41">
        <f>IFERROR(IF(Y512=0,"",ROUNDUP(Y512/H512,0)*0.00902),"")</f>
        <v>0.34276000000000001</v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259.125</v>
      </c>
      <c r="BN512" s="78">
        <f t="shared" si="81"/>
        <v>262.58000000000004</v>
      </c>
      <c r="BO512" s="78">
        <f t="shared" si="82"/>
        <v>0.28409090909090912</v>
      </c>
      <c r="BP512" s="78">
        <f t="shared" si="83"/>
        <v>0.2878787878787879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75</v>
      </c>
      <c r="Y513" s="43">
        <f>IFERROR(Y504/H504,"0")+IFERROR(Y505/H505,"0")+IFERROR(Y506/H506,"0")+IFERROR(Y507/H507,"0")+IFERROR(Y508/H508,"0")+IFERROR(Y509/H509,"0")+IFERROR(Y510/H510,"0")+IFERROR(Y511/H511,"0")+IFERROR(Y512/H512,"0")</f>
        <v>76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0.68552000000000002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360</v>
      </c>
      <c r="Y514" s="43">
        <f>IFERROR(SUM(Y504:Y512),"0")</f>
        <v>364.8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1838.0000000000002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1846.2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2144.4799999999996</v>
      </c>
      <c r="Y560" s="43">
        <f>IFERROR(SUM(BN22:BN556),"0")</f>
        <v>2155.1259999999997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2244.4799999999996</v>
      </c>
      <c r="Y562" s="43">
        <f>GrossWeightTotalR+PalletQtyTotalR*25</f>
        <v>2255.1259999999997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673.66666666666663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676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4.62446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36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120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90</v>
      </c>
      <c r="F569" s="52">
        <f>IFERROR(Y87*1,"0")+IFERROR(Y88*1,"0")+IFERROR(Y89*1,"0")+IFERROR(Y90*1,"0")+IFERROR(Y91*1,"0")+IFERROR(Y95*1,"0")+IFERROR(Y96*1,"0")+IFERROR(Y97*1,"0")+IFERROR(Y98*1,"0")</f>
        <v>172.8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133.19999999999999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21.6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261.60000000000002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144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36</v>
      </c>
      <c r="R569" s="52">
        <f>IFERROR(Y343*1,"0")+IFERROR(Y344*1,"0")+IFERROR(Y345*1,"0")+IFERROR(Y346*1,"0")+IFERROR(Y347*1,"0")+IFERROR(Y351*1,"0")+IFERROR(Y352*1,"0")</f>
        <v>54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169.2</v>
      </c>
      <c r="U569" s="52">
        <f>IFERROR(Y417*1,"0")+IFERROR(Y418*1,"0")</f>
        <v>0</v>
      </c>
      <c r="V569" s="52">
        <f>IFERROR(Y423*1,"0")+IFERROR(Y424*1,"0")+IFERROR(Y425*1,"0")</f>
        <v>42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96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105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364.8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38,00"/>
        <filter val="10,20"/>
        <filter val="104,00"/>
        <filter val="105,00"/>
        <filter val="108,33"/>
        <filter val="111,00"/>
        <filter val="12,00"/>
        <filter val="120,00"/>
        <filter val="144,00"/>
        <filter val="15,00"/>
        <filter val="171,00"/>
        <filter val="180,00"/>
        <filter val="2 144,48"/>
        <filter val="2 244,48"/>
        <filter val="20,00"/>
        <filter val="21,60"/>
        <filter val="24,00"/>
        <filter val="260,00"/>
        <filter val="27,00"/>
        <filter val="30,00"/>
        <filter val="31,50"/>
        <filter val="36,00"/>
        <filter val="360,00"/>
        <filter val="4"/>
        <filter val="4,00"/>
        <filter val="40,00"/>
        <filter val="42,00"/>
        <filter val="48,00"/>
        <filter val="50,00"/>
        <filter val="54,00"/>
        <filter val="55,00"/>
        <filter val="60,00"/>
        <filter val="63,33"/>
        <filter val="673,67"/>
        <filter val="72,00"/>
        <filter val="75,00"/>
        <filter val="79,20"/>
        <filter val="84,00"/>
        <filter val="9,00"/>
        <filter val="9,60"/>
        <filter val="96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2026-10-01T06:54:35Z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