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10,09,26 машины ОПТы\"/>
    </mc:Choice>
  </mc:AlternateContent>
  <xr:revisionPtr revIDLastSave="0" documentId="13_ncr:1_{90E91804-F9F7-4A99-A2E8-53DB6B3486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D2" i="1" l="1"/>
  <c r="I3" i="1" s="1"/>
  <c r="D3" i="1" l="1"/>
  <c r="D5" i="1" l="1"/>
  <c r="D4" i="1"/>
  <c r="D6" i="1" l="1"/>
  <c r="C7" i="1" l="1"/>
  <c r="I4" i="1" s="1"/>
  <c r="D7" i="1"/>
  <c r="B7" i="1" l="1"/>
</calcChain>
</file>

<file path=xl/sharedStrings.xml><?xml version="1.0" encoding="utf-8"?>
<sst xmlns="http://schemas.openxmlformats.org/spreadsheetml/2006/main" count="16" uniqueCount="14">
  <si>
    <t>ПОЛУЧАТЕЛЬ</t>
  </si>
  <si>
    <t>ИТОГОВЫЕ ДАННЫЕ</t>
  </si>
  <si>
    <t>ВЕС НЕТТО</t>
  </si>
  <si>
    <t>Коныгин</t>
  </si>
  <si>
    <t>Обрыньба</t>
  </si>
  <si>
    <t>ганноверские</t>
  </si>
  <si>
    <t>комментарии</t>
  </si>
  <si>
    <t>ВЕС дефицит</t>
  </si>
  <si>
    <t>ВЕС без дефицита</t>
  </si>
  <si>
    <t>Кочевой</t>
  </si>
  <si>
    <t>молочные для заавтрака</t>
  </si>
  <si>
    <t>Пушкарный(ВВ)</t>
  </si>
  <si>
    <t>НПК</t>
  </si>
  <si>
    <t>мол. для завтрака (500);  датские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</si>
</sst>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0" borderId="8" xfId="0" applyFill="1" applyBorder="1"/>
    <xf numFmtId="0" fontId="0" fillId="0" borderId="9" xfId="0" applyFill="1" applyBorder="1"/>
    <xf numFmtId="0" fontId="1" fillId="0" borderId="10" xfId="0" applyFont="1" applyBorder="1"/>
    <xf numFmtId="0" fontId="1" fillId="2" borderId="11" xfId="0" applyFont="1" applyFill="1" applyBorder="1" applyAlignment="1">
      <alignment horizontal="center" wrapText="1"/>
    </xf>
    <xf numFmtId="0" fontId="0" fillId="0" borderId="12" xfId="0" applyBorder="1"/>
    <xf numFmtId="0" fontId="1" fillId="0" borderId="6" xfId="0" applyFont="1" applyBorder="1"/>
    <xf numFmtId="0" fontId="0" fillId="0" borderId="12" xfId="0" applyFill="1" applyBorder="1"/>
    <xf numFmtId="0" fontId="0" fillId="0" borderId="13" xfId="0" applyFill="1" applyBorder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5" borderId="3" xfId="0" applyFill="1" applyBorder="1"/>
    <xf numFmtId="0" fontId="0" fillId="5" borderId="1" xfId="0" applyFill="1" applyBorder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15" zoomScaleNormal="115" workbookViewId="0">
      <selection activeCell="K15" sqref="K15"/>
    </sheetView>
  </sheetViews>
  <sheetFormatPr defaultRowHeight="15" x14ac:dyDescent="0.25"/>
  <cols>
    <col min="1" max="1" width="23.7109375" bestFit="1" customWidth="1"/>
    <col min="2" max="2" width="7.42578125" customWidth="1"/>
    <col min="3" max="3" width="9.140625" bestFit="1" customWidth="1"/>
    <col min="4" max="4" width="10.140625" customWidth="1"/>
    <col min="5" max="5" width="37" bestFit="1" customWidth="1"/>
    <col min="6" max="6" width="4.42578125" customWidth="1"/>
    <col min="7" max="7" width="1.5703125" customWidth="1"/>
    <col min="8" max="8" width="6.28515625" customWidth="1"/>
  </cols>
  <sheetData>
    <row r="1" spans="1:9" ht="30" x14ac:dyDescent="0.25">
      <c r="A1" s="8" t="s">
        <v>0</v>
      </c>
      <c r="B1" s="4" t="s">
        <v>2</v>
      </c>
      <c r="C1" s="3" t="s">
        <v>7</v>
      </c>
      <c r="D1" s="3" t="s">
        <v>8</v>
      </c>
      <c r="E1" s="8" t="s">
        <v>6</v>
      </c>
    </row>
    <row r="2" spans="1:9" x14ac:dyDescent="0.25">
      <c r="A2" s="9" t="s">
        <v>12</v>
      </c>
      <c r="B2" s="5">
        <v>10435</v>
      </c>
      <c r="C2" s="17">
        <v>1000</v>
      </c>
      <c r="D2" s="15">
        <f>B2-C2</f>
        <v>9435</v>
      </c>
      <c r="E2" s="11" t="s">
        <v>13</v>
      </c>
      <c r="F2" s="16">
        <v>2</v>
      </c>
      <c r="H2" s="14">
        <v>1</v>
      </c>
      <c r="I2" s="14">
        <f>D4+D5</f>
        <v>17046</v>
      </c>
    </row>
    <row r="3" spans="1:9" x14ac:dyDescent="0.25">
      <c r="A3" s="9" t="s">
        <v>11</v>
      </c>
      <c r="B3" s="6">
        <v>4153</v>
      </c>
      <c r="C3" s="18">
        <v>2500</v>
      </c>
      <c r="D3" s="15">
        <f>B3-C3</f>
        <v>1653</v>
      </c>
      <c r="E3" s="11" t="s">
        <v>5</v>
      </c>
      <c r="F3" s="16">
        <v>2</v>
      </c>
      <c r="H3" s="16">
        <v>2</v>
      </c>
      <c r="I3" s="16">
        <f>D2+D3+D6</f>
        <v>14952</v>
      </c>
    </row>
    <row r="4" spans="1:9" x14ac:dyDescent="0.25">
      <c r="A4" s="9" t="s">
        <v>9</v>
      </c>
      <c r="B4" s="5">
        <v>16830</v>
      </c>
      <c r="C4" s="17">
        <v>4000</v>
      </c>
      <c r="D4" s="13">
        <f>B4-C4</f>
        <v>12830</v>
      </c>
      <c r="E4" s="11" t="s">
        <v>10</v>
      </c>
      <c r="F4" s="14">
        <v>1</v>
      </c>
      <c r="H4" s="19">
        <v>3</v>
      </c>
      <c r="I4" s="19">
        <f>C7</f>
        <v>10500</v>
      </c>
    </row>
    <row r="5" spans="1:9" x14ac:dyDescent="0.25">
      <c r="A5" s="9" t="s">
        <v>4</v>
      </c>
      <c r="B5" s="5">
        <v>5216</v>
      </c>
      <c r="C5" s="17">
        <v>1000</v>
      </c>
      <c r="D5" s="13">
        <f>B5-C5</f>
        <v>4216</v>
      </c>
      <c r="E5" s="11" t="s">
        <v>5</v>
      </c>
      <c r="F5" s="14">
        <v>1</v>
      </c>
    </row>
    <row r="6" spans="1:9" ht="15.75" thickBot="1" x14ac:dyDescent="0.3">
      <c r="A6" s="9" t="s">
        <v>3</v>
      </c>
      <c r="B6" s="6">
        <v>5864</v>
      </c>
      <c r="C6" s="17">
        <v>2000</v>
      </c>
      <c r="D6" s="15">
        <f>B6-C6</f>
        <v>3864</v>
      </c>
      <c r="E6" s="12" t="s">
        <v>5</v>
      </c>
      <c r="F6" s="16">
        <v>2</v>
      </c>
    </row>
    <row r="7" spans="1:9" s="1" customFormat="1" ht="15.75" thickBot="1" x14ac:dyDescent="0.3">
      <c r="A7" s="10" t="s">
        <v>1</v>
      </c>
      <c r="B7" s="7">
        <f>SUM(B2:B6)</f>
        <v>42498</v>
      </c>
      <c r="C7" s="2">
        <f>SUM(C2:C6)</f>
        <v>10500</v>
      </c>
      <c r="D7" s="2">
        <f>SUM(D2:D6)</f>
        <v>31998</v>
      </c>
      <c r="E7" s="10"/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2026-09-09T10:45:33Z</cp:lastPrinted>
  <dcterms:created xsi:type="dcterms:W3CDTF">2015-06-05T18:19:34Z</dcterms:created>
  <dcterms:modified xsi:type="dcterms:W3CDTF">2026-09-10T06:52:47Z</dcterms:modified>
</cp:coreProperties>
</file>