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56D4A2BB-0E91-45B4-B1F3-E625577E729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Y420" i="1" s="1"/>
  <c r="P415" i="1"/>
  <c r="X413" i="1"/>
  <c r="X412" i="1"/>
  <c r="BO411" i="1"/>
  <c r="BM411" i="1"/>
  <c r="Y411" i="1"/>
  <c r="V505" i="1" s="1"/>
  <c r="P411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Y383" i="1" s="1"/>
  <c r="P380" i="1"/>
  <c r="X378" i="1"/>
  <c r="X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Y368" i="1" s="1"/>
  <c r="P365" i="1"/>
  <c r="X363" i="1"/>
  <c r="X362" i="1"/>
  <c r="BO361" i="1"/>
  <c r="BM361" i="1"/>
  <c r="Y361" i="1"/>
  <c r="BP361" i="1" s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BP353" i="1" s="1"/>
  <c r="P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Y345" i="1" s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Y325" i="1" s="1"/>
  <c r="P322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Y313" i="1" s="1"/>
  <c r="P306" i="1"/>
  <c r="X304" i="1"/>
  <c r="X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Q505" i="1" s="1"/>
  <c r="P298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P505" i="1" s="1"/>
  <c r="P287" i="1"/>
  <c r="X284" i="1"/>
  <c r="X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Y283" i="1" s="1"/>
  <c r="P280" i="1"/>
  <c r="X277" i="1"/>
  <c r="X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59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6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4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X191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G505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0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5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5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Y70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5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5" i="1" s="1"/>
  <c r="X24" i="1"/>
  <c r="X499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5" i="1"/>
  <c r="X496" i="1"/>
  <c r="X497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BP62" i="1"/>
  <c r="Z68" i="1"/>
  <c r="Z69" i="1" s="1"/>
  <c r="BN68" i="1"/>
  <c r="BP68" i="1"/>
  <c r="Z72" i="1"/>
  <c r="Z76" i="1" s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90" i="1"/>
  <c r="Z93" i="1"/>
  <c r="Z96" i="1" s="1"/>
  <c r="BN93" i="1"/>
  <c r="BP93" i="1"/>
  <c r="Z95" i="1"/>
  <c r="BN95" i="1"/>
  <c r="Z100" i="1"/>
  <c r="Z105" i="1" s="1"/>
  <c r="BN100" i="1"/>
  <c r="BP100" i="1"/>
  <c r="Z102" i="1"/>
  <c r="BN102" i="1"/>
  <c r="Z104" i="1"/>
  <c r="BN104" i="1"/>
  <c r="Y105" i="1"/>
  <c r="Z108" i="1"/>
  <c r="Z112" i="1" s="1"/>
  <c r="BN108" i="1"/>
  <c r="BP108" i="1"/>
  <c r="Z110" i="1"/>
  <c r="BN110" i="1"/>
  <c r="Y113" i="1"/>
  <c r="Z116" i="1"/>
  <c r="Z119" i="1" s="1"/>
  <c r="BN116" i="1"/>
  <c r="Z118" i="1"/>
  <c r="BN118" i="1"/>
  <c r="Y119" i="1"/>
  <c r="Z122" i="1"/>
  <c r="Z123" i="1" s="1"/>
  <c r="BN122" i="1"/>
  <c r="BP122" i="1"/>
  <c r="Y123" i="1"/>
  <c r="Z127" i="1"/>
  <c r="BN127" i="1"/>
  <c r="BP127" i="1"/>
  <c r="Y130" i="1"/>
  <c r="Z133" i="1"/>
  <c r="BN133" i="1"/>
  <c r="Y134" i="1"/>
  <c r="Y140" i="1"/>
  <c r="Y145" i="1"/>
  <c r="Y155" i="1"/>
  <c r="Y159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Y187" i="1"/>
  <c r="BP190" i="1"/>
  <c r="Y191" i="1"/>
  <c r="Y198" i="1"/>
  <c r="BP196" i="1"/>
  <c r="BN196" i="1"/>
  <c r="Z196" i="1"/>
  <c r="Z197" i="1" s="1"/>
  <c r="F9" i="1"/>
  <c r="J9" i="1"/>
  <c r="Y45" i="1"/>
  <c r="Y495" i="1" s="1"/>
  <c r="Y58" i="1"/>
  <c r="Y89" i="1"/>
  <c r="Y106" i="1"/>
  <c r="Z128" i="1"/>
  <c r="BN128" i="1"/>
  <c r="Y496" i="1" s="1"/>
  <c r="Y129" i="1"/>
  <c r="Z132" i="1"/>
  <c r="Z134" i="1" s="1"/>
  <c r="BN132" i="1"/>
  <c r="BP132" i="1"/>
  <c r="Y497" i="1" s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5" i="1"/>
  <c r="Y197" i="1"/>
  <c r="Z200" i="1"/>
  <c r="Z202" i="1" s="1"/>
  <c r="BN200" i="1"/>
  <c r="BP200" i="1"/>
  <c r="Y203" i="1"/>
  <c r="Z206" i="1"/>
  <c r="Z213" i="1" s="1"/>
  <c r="BN206" i="1"/>
  <c r="Z208" i="1"/>
  <c r="BN208" i="1"/>
  <c r="Z210" i="1"/>
  <c r="BN210" i="1"/>
  <c r="Z212" i="1"/>
  <c r="BN212" i="1"/>
  <c r="Y213" i="1"/>
  <c r="Z216" i="1"/>
  <c r="Z225" i="1" s="1"/>
  <c r="BN216" i="1"/>
  <c r="BP216" i="1"/>
  <c r="Z218" i="1"/>
  <c r="BN218" i="1"/>
  <c r="Z220" i="1"/>
  <c r="BN220" i="1"/>
  <c r="Z222" i="1"/>
  <c r="BN222" i="1"/>
  <c r="Z224" i="1"/>
  <c r="BN224" i="1"/>
  <c r="Y225" i="1"/>
  <c r="Z228" i="1"/>
  <c r="Z230" i="1" s="1"/>
  <c r="BN228" i="1"/>
  <c r="BP228" i="1"/>
  <c r="Y231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Y260" i="1"/>
  <c r="L505" i="1"/>
  <c r="Y269" i="1"/>
  <c r="Z264" i="1"/>
  <c r="BN264" i="1"/>
  <c r="Z266" i="1"/>
  <c r="BN266" i="1"/>
  <c r="Y268" i="1"/>
  <c r="BP273" i="1"/>
  <c r="BN273" i="1"/>
  <c r="Z273" i="1"/>
  <c r="Y277" i="1"/>
  <c r="Y243" i="1"/>
  <c r="Z268" i="1"/>
  <c r="Y284" i="1"/>
  <c r="Y289" i="1"/>
  <c r="Y295" i="1"/>
  <c r="Y304" i="1"/>
  <c r="Y312" i="1"/>
  <c r="Y320" i="1"/>
  <c r="Y326" i="1"/>
  <c r="Y332" i="1"/>
  <c r="Y338" i="1"/>
  <c r="Y357" i="1"/>
  <c r="Y363" i="1"/>
  <c r="Y367" i="1"/>
  <c r="Y378" i="1"/>
  <c r="Y382" i="1"/>
  <c r="Y388" i="1"/>
  <c r="Y402" i="1"/>
  <c r="Y408" i="1"/>
  <c r="Y413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BP453" i="1"/>
  <c r="BN453" i="1"/>
  <c r="Z453" i="1"/>
  <c r="BP467" i="1"/>
  <c r="BN467" i="1"/>
  <c r="Z46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S505" i="1"/>
  <c r="W505" i="1"/>
  <c r="M505" i="1"/>
  <c r="Z275" i="1"/>
  <c r="Z276" i="1" s="1"/>
  <c r="BN275" i="1"/>
  <c r="Y276" i="1"/>
  <c r="Z280" i="1"/>
  <c r="Z283" i="1" s="1"/>
  <c r="BN280" i="1"/>
  <c r="BP280" i="1"/>
  <c r="Z282" i="1"/>
  <c r="BN282" i="1"/>
  <c r="Z287" i="1"/>
  <c r="Z289" i="1" s="1"/>
  <c r="BN287" i="1"/>
  <c r="BP287" i="1"/>
  <c r="Y290" i="1"/>
  <c r="Z293" i="1"/>
  <c r="Z294" i="1" s="1"/>
  <c r="BN293" i="1"/>
  <c r="Z298" i="1"/>
  <c r="BN298" i="1"/>
  <c r="BP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Z316" i="1"/>
  <c r="Z319" i="1" s="1"/>
  <c r="BN316" i="1"/>
  <c r="Z318" i="1"/>
  <c r="BN318" i="1"/>
  <c r="Z322" i="1"/>
  <c r="BN322" i="1"/>
  <c r="BP322" i="1"/>
  <c r="Z324" i="1"/>
  <c r="BN324" i="1"/>
  <c r="Z328" i="1"/>
  <c r="BN328" i="1"/>
  <c r="BP328" i="1"/>
  <c r="Z330" i="1"/>
  <c r="BN330" i="1"/>
  <c r="Z336" i="1"/>
  <c r="Z338" i="1" s="1"/>
  <c r="BN336" i="1"/>
  <c r="R505" i="1"/>
  <c r="Z343" i="1"/>
  <c r="Z345" i="1" s="1"/>
  <c r="BN343" i="1"/>
  <c r="Y346" i="1"/>
  <c r="Z351" i="1"/>
  <c r="Z357" i="1" s="1"/>
  <c r="BN351" i="1"/>
  <c r="Z353" i="1"/>
  <c r="BN353" i="1"/>
  <c r="Z355" i="1"/>
  <c r="BN355" i="1"/>
  <c r="Z361" i="1"/>
  <c r="Z362" i="1" s="1"/>
  <c r="BN361" i="1"/>
  <c r="Z365" i="1"/>
  <c r="Z367" i="1" s="1"/>
  <c r="BN365" i="1"/>
  <c r="BP365" i="1"/>
  <c r="T505" i="1"/>
  <c r="Z376" i="1"/>
  <c r="Z377" i="1" s="1"/>
  <c r="BN376" i="1"/>
  <c r="Y377" i="1"/>
  <c r="Z380" i="1"/>
  <c r="Z382" i="1" s="1"/>
  <c r="BN380" i="1"/>
  <c r="BP380" i="1"/>
  <c r="Z386" i="1"/>
  <c r="Z388" i="1" s="1"/>
  <c r="BN386" i="1"/>
  <c r="Z394" i="1"/>
  <c r="Z402" i="1" s="1"/>
  <c r="BN394" i="1"/>
  <c r="Z396" i="1"/>
  <c r="BN396" i="1"/>
  <c r="Z398" i="1"/>
  <c r="BN398" i="1"/>
  <c r="Z400" i="1"/>
  <c r="BN400" i="1"/>
  <c r="Y403" i="1"/>
  <c r="Z406" i="1"/>
  <c r="Z407" i="1" s="1"/>
  <c r="BN406" i="1"/>
  <c r="Z411" i="1"/>
  <c r="Z412" i="1" s="1"/>
  <c r="BN411" i="1"/>
  <c r="BP411" i="1"/>
  <c r="Y412" i="1"/>
  <c r="Z415" i="1"/>
  <c r="BN415" i="1"/>
  <c r="BP415" i="1"/>
  <c r="Z417" i="1"/>
  <c r="BN417" i="1"/>
  <c r="BP431" i="1"/>
  <c r="BN431" i="1"/>
  <c r="Z431" i="1"/>
  <c r="BP435" i="1"/>
  <c r="BN435" i="1"/>
  <c r="Z435" i="1"/>
  <c r="BP439" i="1"/>
  <c r="BN439" i="1"/>
  <c r="Z439" i="1"/>
  <c r="Y448" i="1"/>
  <c r="Y447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Y498" i="1" l="1"/>
  <c r="Z325" i="1"/>
  <c r="Z32" i="1"/>
  <c r="Z500" i="1" s="1"/>
  <c r="X498" i="1"/>
  <c r="Z419" i="1"/>
  <c r="Z332" i="1"/>
  <c r="Z312" i="1"/>
  <c r="Z303" i="1"/>
  <c r="Z441" i="1"/>
  <c r="Z181" i="1"/>
  <c r="Z129" i="1"/>
  <c r="Z89" i="1"/>
  <c r="Y499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<sst xmlns="http://schemas.openxmlformats.org/spreadsheetml/2006/main" count="2318" uniqueCount="781">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</sst>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320</v>
      </c>
      <c r="Y41" s="554">
        <f>IFERROR(IF(X41="",0,CEILING((X41/$H41),1)*$H41),"")</f>
        <v>324</v>
      </c>
      <c r="Z41" s="36">
        <f>IFERROR(IF(Y41=0,"",ROUNDUP(Y41/H41,0)*0.01898),"")</f>
        <v>0.56940000000000002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332.14814814814815</v>
      </c>
      <c r="BN41" s="64">
        <f>IFERROR(Y41*I41/H41,"0")</f>
        <v>336.3</v>
      </c>
      <c r="BO41" s="64">
        <f>IFERROR(1/J41*(X41/H41),"0")</f>
        <v>0.46296296296296291</v>
      </c>
      <c r="BP41" s="64">
        <f>IFERROR(1/J41*(Y41/H41),"0")</f>
        <v>0.46874999999999994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600</v>
      </c>
      <c r="Y43" s="554">
        <f>IFERROR(IF(X43="",0,CEILING((X43/$H43),1)*$H43),"")</f>
        <v>600</v>
      </c>
      <c r="Z43" s="36">
        <f>IFERROR(IF(Y43=0,"",ROUNDUP(Y43/H43,0)*0.00902),"")</f>
        <v>1.353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628.50000000000011</v>
      </c>
      <c r="BN43" s="64">
        <f>IFERROR(Y43*I43/H43,"0")</f>
        <v>628.50000000000011</v>
      </c>
      <c r="BO43" s="64">
        <f>IFERROR(1/J43*(X43/H43),"0")</f>
        <v>1.1363636363636365</v>
      </c>
      <c r="BP43" s="64">
        <f>IFERROR(1/J43*(Y43/H43),"0")</f>
        <v>1.1363636363636365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179.62962962962962</v>
      </c>
      <c r="Y44" s="555">
        <f>IFERROR(Y41/H41,"0")+IFERROR(Y42/H42,"0")+IFERROR(Y43/H43,"0")</f>
        <v>180</v>
      </c>
      <c r="Z44" s="555">
        <f>IFERROR(IF(Z41="",0,Z41),"0")+IFERROR(IF(Z42="",0,Z42),"0")+IFERROR(IF(Z43="",0,Z43),"0")</f>
        <v>1.9224000000000001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920</v>
      </c>
      <c r="Y45" s="555">
        <f>IFERROR(SUM(Y41:Y43),"0")</f>
        <v>924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60</v>
      </c>
      <c r="Y53" s="554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62.277777777777779</v>
      </c>
      <c r="BN53" s="64">
        <f t="shared" si="2"/>
        <v>67.260000000000005</v>
      </c>
      <c r="BO53" s="64">
        <f t="shared" si="3"/>
        <v>8.6805555555555552E-2</v>
      </c>
      <c r="BP53" s="64">
        <f t="shared" si="4"/>
        <v>9.3750000000000014E-2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675</v>
      </c>
      <c r="Y57" s="554">
        <f t="shared" si="0"/>
        <v>675</v>
      </c>
      <c r="Z57" s="36">
        <f>IFERROR(IF(Y57=0,"",ROUNDUP(Y57/H57,0)*0.00902),"")</f>
        <v>1.353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703.50000000000011</v>
      </c>
      <c r="BN57" s="64">
        <f t="shared" si="2"/>
        <v>703.50000000000011</v>
      </c>
      <c r="BO57" s="64">
        <f t="shared" si="3"/>
        <v>1.1363636363636365</v>
      </c>
      <c r="BP57" s="64">
        <f t="shared" si="4"/>
        <v>1.1363636363636365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155.55555555555554</v>
      </c>
      <c r="Y58" s="555">
        <f>IFERROR(Y52/H52,"0")+IFERROR(Y53/H53,"0")+IFERROR(Y54/H54,"0")+IFERROR(Y55/H55,"0")+IFERROR(Y56/H56,"0")+IFERROR(Y57/H57,"0")</f>
        <v>156</v>
      </c>
      <c r="Z58" s="555">
        <f>IFERROR(IF(Z52="",0,Z52),"0")+IFERROR(IF(Z53="",0,Z53),"0")+IFERROR(IF(Z54="",0,Z54),"0")+IFERROR(IF(Z55="",0,Z55),"0")+IFERROR(IF(Z56="",0,Z56),"0")+IFERROR(IF(Z57="",0,Z57),"0")</f>
        <v>1.46688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735</v>
      </c>
      <c r="Y59" s="555">
        <f>IFERROR(SUM(Y52:Y57),"0")</f>
        <v>739.8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50</v>
      </c>
      <c r="Y61" s="554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495</v>
      </c>
      <c r="Y63" s="554">
        <f>IFERROR(IF(X63="",0,CEILING((X63/$H63),1)*$H63),"")</f>
        <v>496.8</v>
      </c>
      <c r="Z63" s="36">
        <f>IFERROR(IF(Y63=0,"",ROUNDUP(Y63/H63,0)*0.00651),"")</f>
        <v>1.19784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527.99999999999989</v>
      </c>
      <c r="BN63" s="64">
        <f>IFERROR(Y63*I63/H63,"0")</f>
        <v>529.91999999999996</v>
      </c>
      <c r="BO63" s="64">
        <f>IFERROR(1/J63*(X63/H63),"0")</f>
        <v>1.0073260073260073</v>
      </c>
      <c r="BP63" s="64">
        <f>IFERROR(1/J63*(Y63/H63),"0")</f>
        <v>1.0109890109890112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187.96296296296293</v>
      </c>
      <c r="Y64" s="555">
        <f>IFERROR(Y61/H61,"0")+IFERROR(Y62/H62,"0")+IFERROR(Y63/H63,"0")</f>
        <v>189</v>
      </c>
      <c r="Z64" s="555">
        <f>IFERROR(IF(Z61="",0,Z61),"0")+IFERROR(IF(Z62="",0,Z62),"0")+IFERROR(IF(Z63="",0,Z63),"0")</f>
        <v>1.29274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545</v>
      </c>
      <c r="Y65" s="555">
        <f>IFERROR(SUM(Y61:Y63),"0")</f>
        <v>550.79999999999995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100</v>
      </c>
      <c r="Y79" s="554">
        <f>IFERROR(IF(X79="",0,CEILING((X79/$H79),1)*$H79),"")</f>
        <v>101.39999999999999</v>
      </c>
      <c r="Z79" s="36">
        <f>IFERROR(IF(Y79=0,"",ROUNDUP(Y79/H79,0)*0.01898),"")</f>
        <v>0.24674000000000001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105.25641025641028</v>
      </c>
      <c r="BN79" s="64">
        <f>IFERROR(Y79*I79/H79,"0")</f>
        <v>106.73</v>
      </c>
      <c r="BO79" s="64">
        <f>IFERROR(1/J79*(X79/H79),"0")</f>
        <v>0.20032051282051283</v>
      </c>
      <c r="BP79" s="64">
        <f>IFERROR(1/J79*(Y79/H79),"0")</f>
        <v>0.203125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12.820512820512821</v>
      </c>
      <c r="Y81" s="555">
        <f>IFERROR(Y79/H79,"0")+IFERROR(Y80/H80,"0")</f>
        <v>13</v>
      </c>
      <c r="Z81" s="555">
        <f>IFERROR(IF(Z79="",0,Z79),"0")+IFERROR(IF(Z80="",0,Z80),"0")</f>
        <v>0.24674000000000001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100</v>
      </c>
      <c r="Y82" s="555">
        <f>IFERROR(SUM(Y79:Y80),"0")</f>
        <v>101.39999999999999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400</v>
      </c>
      <c r="Y85" s="554">
        <f>IFERROR(IF(X85="",0,CEILING((X85/$H85),1)*$H85),"")</f>
        <v>410.40000000000003</v>
      </c>
      <c r="Z85" s="36">
        <f>IFERROR(IF(Y85=0,"",ROUNDUP(Y85/H85,0)*0.01898),"")</f>
        <v>0.72123999999999999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415.18518518518516</v>
      </c>
      <c r="BN85" s="64">
        <f>IFERROR(Y85*I85/H85,"0")</f>
        <v>425.98</v>
      </c>
      <c r="BO85" s="64">
        <f>IFERROR(1/J85*(X85/H85),"0")</f>
        <v>0.57870370370370372</v>
      </c>
      <c r="BP85" s="64">
        <f>IFERROR(1/J85*(Y85/H85),"0")</f>
        <v>0.59375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540</v>
      </c>
      <c r="Y88" s="554">
        <f>IFERROR(IF(X88="",0,CEILING((X88/$H88),1)*$H88),"")</f>
        <v>540</v>
      </c>
      <c r="Z88" s="36">
        <f>IFERROR(IF(Y88=0,"",ROUNDUP(Y88/H88,0)*0.00902),"")</f>
        <v>1.0824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562.80000000000007</v>
      </c>
      <c r="BN88" s="64">
        <f>IFERROR(Y88*I88/H88,"0")</f>
        <v>562.80000000000007</v>
      </c>
      <c r="BO88" s="64">
        <f>IFERROR(1/J88*(X88/H88),"0")</f>
        <v>0.90909090909090917</v>
      </c>
      <c r="BP88" s="64">
        <f>IFERROR(1/J88*(Y88/H88),"0")</f>
        <v>0.90909090909090917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157.03703703703704</v>
      </c>
      <c r="Y89" s="555">
        <f>IFERROR(Y85/H85,"0")+IFERROR(Y86/H86,"0")+IFERROR(Y87/H87,"0")+IFERROR(Y88/H88,"0")</f>
        <v>158</v>
      </c>
      <c r="Z89" s="555">
        <f>IFERROR(IF(Z85="",0,Z85),"0")+IFERROR(IF(Z86="",0,Z86),"0")+IFERROR(IF(Z87="",0,Z87),"0")+IFERROR(IF(Z88="",0,Z88),"0")</f>
        <v>1.8036400000000001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940</v>
      </c>
      <c r="Y90" s="555">
        <f>IFERROR(SUM(Y85:Y88),"0")</f>
        <v>950.40000000000009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450</v>
      </c>
      <c r="Y92" s="554">
        <f>IFERROR(IF(X92="",0,CEILING((X92/$H92),1)*$H92),"")</f>
        <v>453.59999999999997</v>
      </c>
      <c r="Z92" s="36">
        <f>IFERROR(IF(Y92=0,"",ROUNDUP(Y92/H92,0)*0.01898),"")</f>
        <v>1.06288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477.44444444444446</v>
      </c>
      <c r="BN92" s="64">
        <f>IFERROR(Y92*I92/H92,"0")</f>
        <v>481.26399999999995</v>
      </c>
      <c r="BO92" s="64">
        <f>IFERROR(1/J92*(X92/H92),"0")</f>
        <v>0.86805555555555558</v>
      </c>
      <c r="BP92" s="64">
        <f>IFERROR(1/J92*(Y92/H92),"0")</f>
        <v>0.875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188.88888888888886</v>
      </c>
      <c r="Y96" s="555">
        <f>IFERROR(Y92/H92,"0")+IFERROR(Y93/H93,"0")+IFERROR(Y94/H94,"0")+IFERROR(Y95/H95,"0")</f>
        <v>190</v>
      </c>
      <c r="Z96" s="555">
        <f>IFERROR(IF(Z92="",0,Z92),"0")+IFERROR(IF(Z93="",0,Z93),"0")+IFERROR(IF(Z94="",0,Z94),"0")+IFERROR(IF(Z95="",0,Z95),"0")</f>
        <v>1.9352200000000002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810</v>
      </c>
      <c r="Y97" s="555">
        <f>IFERROR(SUM(Y92:Y95),"0")</f>
        <v>815.4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40</v>
      </c>
      <c r="Y100" s="554">
        <f>IFERROR(IF(X100="",0,CEILING((X100/$H100),1)*$H100),"")</f>
        <v>43.2</v>
      </c>
      <c r="Z100" s="36">
        <f>IFERROR(IF(Y100=0,"",ROUNDUP(Y100/H100,0)*0.01898),"")</f>
        <v>7.5920000000000001E-2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41.518518518518519</v>
      </c>
      <c r="BN100" s="64">
        <f>IFERROR(Y100*I100/H100,"0")</f>
        <v>44.84</v>
      </c>
      <c r="BO100" s="64">
        <f>IFERROR(1/J100*(X100/H100),"0")</f>
        <v>5.7870370370370364E-2</v>
      </c>
      <c r="BP100" s="64">
        <f>IFERROR(1/J100*(Y100/H100),"0")</f>
        <v>6.25E-2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810</v>
      </c>
      <c r="Y103" s="554">
        <f>IFERROR(IF(X103="",0,CEILING((X103/$H103),1)*$H103),"")</f>
        <v>810</v>
      </c>
      <c r="Z103" s="36">
        <f>IFERROR(IF(Y103=0,"",ROUNDUP(Y103/H103,0)*0.00902),"")</f>
        <v>1.6236000000000002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844.2</v>
      </c>
      <c r="BN103" s="64">
        <f>IFERROR(Y103*I103/H103,"0")</f>
        <v>844.2</v>
      </c>
      <c r="BO103" s="64">
        <f>IFERROR(1/J103*(X103/H103),"0")</f>
        <v>1.3636363636363638</v>
      </c>
      <c r="BP103" s="64">
        <f>IFERROR(1/J103*(Y103/H103),"0")</f>
        <v>1.3636363636363638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188.7037037037037</v>
      </c>
      <c r="Y105" s="555">
        <f>IFERROR(Y100/H100,"0")+IFERROR(Y101/H101,"0")+IFERROR(Y102/H102,"0")+IFERROR(Y103/H103,"0")+IFERROR(Y104/H104,"0")</f>
        <v>189</v>
      </c>
      <c r="Z105" s="555">
        <f>IFERROR(IF(Z100="",0,Z100),"0")+IFERROR(IF(Z101="",0,Z101),"0")+IFERROR(IF(Z102="",0,Z102),"0")+IFERROR(IF(Z103="",0,Z103),"0")+IFERROR(IF(Z104="",0,Z104),"0")</f>
        <v>1.7358200000000001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855.5</v>
      </c>
      <c r="Y106" s="555">
        <f>IFERROR(SUM(Y100:Y104),"0")</f>
        <v>858.7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6</v>
      </c>
      <c r="Y109" s="554">
        <f>IFERROR(IF(X109="",0,CEILING((X109/$H109),1)*$H109),"")</f>
        <v>6</v>
      </c>
      <c r="Z109" s="36">
        <f>IFERROR(IF(Y109=0,"",ROUNDUP(Y109/H109,0)*0.00358),"")</f>
        <v>2.1479999999999999E-2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7.26</v>
      </c>
      <c r="BN109" s="64">
        <f>IFERROR(Y109*I109/H109,"0")</f>
        <v>7.26</v>
      </c>
      <c r="BO109" s="64">
        <f>IFERROR(1/J109*(X109/H109),"0")</f>
        <v>1.5306122448979591E-2</v>
      </c>
      <c r="BP109" s="64">
        <f>IFERROR(1/J109*(Y109/H109),"0")</f>
        <v>1.5306122448979591E-2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6</v>
      </c>
      <c r="Y112" s="555">
        <f>IFERROR(Y108/H108,"0")+IFERROR(Y109/H109,"0")+IFERROR(Y110/H110,"0")+IFERROR(Y111/H111,"0")</f>
        <v>6</v>
      </c>
      <c r="Z112" s="555">
        <f>IFERROR(IF(Z108="",0,Z108),"0")+IFERROR(IF(Z109="",0,Z109),"0")+IFERROR(IF(Z110="",0,Z110),"0")+IFERROR(IF(Z111="",0,Z111),"0")</f>
        <v>2.1479999999999999E-2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6</v>
      </c>
      <c r="Y113" s="555">
        <f>IFERROR(SUM(Y108:Y111),"0")</f>
        <v>6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990</v>
      </c>
      <c r="Y117" s="554">
        <f>IFERROR(IF(X117="",0,CEILING((X117/$H117),1)*$H117),"")</f>
        <v>990.90000000000009</v>
      </c>
      <c r="Z117" s="36">
        <f>IFERROR(IF(Y117=0,"",ROUNDUP(Y117/H117,0)*0.00651),"")</f>
        <v>2.38917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1082.3999999999999</v>
      </c>
      <c r="BN117" s="64">
        <f>IFERROR(Y117*I117/H117,"0")</f>
        <v>1083.384</v>
      </c>
      <c r="BO117" s="64">
        <f>IFERROR(1/J117*(X117/H117),"0")</f>
        <v>2.0146520146520146</v>
      </c>
      <c r="BP117" s="64">
        <f>IFERROR(1/J117*(Y117/H117),"0")</f>
        <v>2.0164835164835164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48</v>
      </c>
      <c r="Y118" s="554">
        <f>IFERROR(IF(X118="",0,CEILING((X118/$H118),1)*$H118),"")</f>
        <v>48.6</v>
      </c>
      <c r="Z118" s="36">
        <f>IFERROR(IF(Y118=0,"",ROUNDUP(Y118/H118,0)*0.00651),"")</f>
        <v>0.17577000000000001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52.8</v>
      </c>
      <c r="BN118" s="64">
        <f>IFERROR(Y118*I118/H118,"0")</f>
        <v>53.46</v>
      </c>
      <c r="BO118" s="64">
        <f>IFERROR(1/J118*(X118/H118),"0")</f>
        <v>0.14652014652014653</v>
      </c>
      <c r="BP118" s="64">
        <f>IFERROR(1/J118*(Y118/H118),"0")</f>
        <v>0.14835164835164835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436.54320987654319</v>
      </c>
      <c r="Y119" s="555">
        <f>IFERROR(Y115/H115,"0")+IFERROR(Y116/H116,"0")+IFERROR(Y117/H117,"0")+IFERROR(Y118/H118,"0")</f>
        <v>438</v>
      </c>
      <c r="Z119" s="555">
        <f>IFERROR(IF(Z115="",0,Z115),"0")+IFERROR(IF(Z116="",0,Z116),"0")+IFERROR(IF(Z117="",0,Z117),"0")+IFERROR(IF(Z118="",0,Z118),"0")</f>
        <v>3.4000599999999999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1388</v>
      </c>
      <c r="Y120" s="555">
        <f>IFERROR(SUM(Y115:Y118),"0")</f>
        <v>1395.9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99</v>
      </c>
      <c r="Y122" s="554">
        <f>IFERROR(IF(X122="",0,CEILING((X122/$H122),1)*$H122),"")</f>
        <v>99</v>
      </c>
      <c r="Z122" s="36">
        <f>IFERROR(IF(Y122=0,"",ROUNDUP(Y122/H122,0)*0.00651),"")</f>
        <v>0.32550000000000001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111.9</v>
      </c>
      <c r="BN122" s="64">
        <f>IFERROR(Y122*I122/H122,"0")</f>
        <v>111.9</v>
      </c>
      <c r="BO122" s="64">
        <f>IFERROR(1/J122*(X122/H122),"0")</f>
        <v>0.27472527472527475</v>
      </c>
      <c r="BP122" s="64">
        <f>IFERROR(1/J122*(Y122/H122),"0")</f>
        <v>0.27472527472527475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50</v>
      </c>
      <c r="Y123" s="555">
        <f>IFERROR(Y122/H122,"0")</f>
        <v>50</v>
      </c>
      <c r="Z123" s="555">
        <f>IFERROR(IF(Z122="",0,Z122),"0")</f>
        <v>0.32550000000000001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99</v>
      </c>
      <c r="Y124" s="555">
        <f>IFERROR(SUM(Y122:Y122),"0")</f>
        <v>99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140</v>
      </c>
      <c r="Y127" s="554">
        <f>IFERROR(IF(X127="",0,CEILING((X127/$H127),1)*$H127),"")</f>
        <v>140.80000000000001</v>
      </c>
      <c r="Z127" s="36">
        <f>IFERROR(IF(Y127=0,"",ROUNDUP(Y127/H127,0)*0.00651),"")</f>
        <v>0.28644000000000003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147.875</v>
      </c>
      <c r="BN127" s="64">
        <f>IFERROR(Y127*I127/H127,"0")</f>
        <v>148.72</v>
      </c>
      <c r="BO127" s="64">
        <f>IFERROR(1/J127*(X127/H127),"0")</f>
        <v>0.24038461538461539</v>
      </c>
      <c r="BP127" s="64">
        <f>IFERROR(1/J127*(Y127/H127),"0")</f>
        <v>0.24175824175824179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43.75</v>
      </c>
      <c r="Y129" s="555">
        <f>IFERROR(Y127/H127,"0")+IFERROR(Y128/H128,"0")</f>
        <v>44</v>
      </c>
      <c r="Z129" s="555">
        <f>IFERROR(IF(Z127="",0,Z127),"0")+IFERROR(IF(Z128="",0,Z128),"0")</f>
        <v>0.28644000000000003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140</v>
      </c>
      <c r="Y130" s="555">
        <f>IFERROR(SUM(Y127:Y128),"0")</f>
        <v>140.80000000000001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87.5</v>
      </c>
      <c r="Y133" s="554">
        <f>IFERROR(IF(X133="",0,CEILING((X133/$H133),1)*$H133),"")</f>
        <v>89.6</v>
      </c>
      <c r="Z133" s="36">
        <f>IFERROR(IF(Y133=0,"",ROUNDUP(Y133/H133,0)*0.00651),"")</f>
        <v>0.20832000000000001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95.875</v>
      </c>
      <c r="BN133" s="64">
        <f>IFERROR(Y133*I133/H133,"0")</f>
        <v>98.175999999999988</v>
      </c>
      <c r="BO133" s="64">
        <f>IFERROR(1/J133*(X133/H133),"0")</f>
        <v>0.17170329670329673</v>
      </c>
      <c r="BP133" s="64">
        <f>IFERROR(1/J133*(Y133/H133),"0")</f>
        <v>0.17582417582417584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31.250000000000004</v>
      </c>
      <c r="Y134" s="555">
        <f>IFERROR(Y132/H132,"0")+IFERROR(Y133/H133,"0")</f>
        <v>32</v>
      </c>
      <c r="Z134" s="555">
        <f>IFERROR(IF(Z132="",0,Z132),"0")+IFERROR(IF(Z133="",0,Z133),"0")</f>
        <v>0.20832000000000001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87.5</v>
      </c>
      <c r="Y135" s="555">
        <f>IFERROR(SUM(Y132:Y133),"0")</f>
        <v>89.6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99</v>
      </c>
      <c r="Y138" s="554">
        <f>IFERROR(IF(X138="",0,CEILING((X138/$H138),1)*$H138),"")</f>
        <v>100.32000000000001</v>
      </c>
      <c r="Z138" s="36">
        <f>IFERROR(IF(Y138=0,"",ROUNDUP(Y138/H138,0)*0.00651),"")</f>
        <v>0.24738000000000002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109.05</v>
      </c>
      <c r="BN138" s="64">
        <f>IFERROR(Y138*I138/H138,"0")</f>
        <v>110.504</v>
      </c>
      <c r="BO138" s="64">
        <f>IFERROR(1/J138*(X138/H138),"0")</f>
        <v>0.20604395604395606</v>
      </c>
      <c r="BP138" s="64">
        <f>IFERROR(1/J138*(Y138/H138),"0")</f>
        <v>0.2087912087912088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37.5</v>
      </c>
      <c r="Y139" s="555">
        <f>IFERROR(Y137/H137,"0")+IFERROR(Y138/H138,"0")</f>
        <v>38</v>
      </c>
      <c r="Z139" s="555">
        <f>IFERROR(IF(Z137="",0,Z137),"0")+IFERROR(IF(Z138="",0,Z138),"0")</f>
        <v>0.24738000000000002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99</v>
      </c>
      <c r="Y140" s="555">
        <f>IFERROR(SUM(Y137:Y138),"0")</f>
        <v>100.32000000000001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120</v>
      </c>
      <c r="Y149" s="554">
        <f t="shared" si="5"/>
        <v>121.80000000000001</v>
      </c>
      <c r="Z149" s="36">
        <f>IFERROR(IF(Y149=0,"",ROUNDUP(Y149/H149,0)*0.00902),"")</f>
        <v>0.26158000000000003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125.42857142857142</v>
      </c>
      <c r="BN149" s="64">
        <f t="shared" si="7"/>
        <v>127.30999999999999</v>
      </c>
      <c r="BO149" s="64">
        <f t="shared" si="8"/>
        <v>0.21645021645021645</v>
      </c>
      <c r="BP149" s="64">
        <f t="shared" si="9"/>
        <v>0.2196969696969697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60</v>
      </c>
      <c r="Y151" s="554">
        <f t="shared" si="5"/>
        <v>63</v>
      </c>
      <c r="Z151" s="36">
        <f>IFERROR(IF(Y151=0,"",ROUNDUP(Y151/H151,0)*0.00902),"")</f>
        <v>0.1353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62.714285714285708</v>
      </c>
      <c r="BN151" s="64">
        <f t="shared" si="7"/>
        <v>65.849999999999994</v>
      </c>
      <c r="BO151" s="64">
        <f t="shared" si="8"/>
        <v>0.10822510822510822</v>
      </c>
      <c r="BP151" s="64">
        <f t="shared" si="9"/>
        <v>0.11363636363636365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60</v>
      </c>
      <c r="Y153" s="554">
        <f t="shared" si="5"/>
        <v>63</v>
      </c>
      <c r="Z153" s="36">
        <f>IFERROR(IF(Y153=0,"",ROUNDUP(Y153/H153,0)*0.00902),"")</f>
        <v>0.1353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62.714285714285708</v>
      </c>
      <c r="BN153" s="64">
        <f t="shared" si="7"/>
        <v>65.849999999999994</v>
      </c>
      <c r="BO153" s="64">
        <f t="shared" si="8"/>
        <v>0.10822510822510822</v>
      </c>
      <c r="BP153" s="64">
        <f t="shared" si="9"/>
        <v>0.11363636363636365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57.142857142857139</v>
      </c>
      <c r="Y154" s="555">
        <f>IFERROR(Y148/H148,"0")+IFERROR(Y149/H149,"0")+IFERROR(Y150/H150,"0")+IFERROR(Y151/H151,"0")+IFERROR(Y152/H152,"0")+IFERROR(Y153/H153,"0")</f>
        <v>59</v>
      </c>
      <c r="Z154" s="555">
        <f>IFERROR(IF(Z148="",0,Z148),"0")+IFERROR(IF(Z149="",0,Z149),"0")+IFERROR(IF(Z150="",0,Z150),"0")+IFERROR(IF(Z151="",0,Z151),"0")+IFERROR(IF(Z152="",0,Z152),"0")+IFERROR(IF(Z153="",0,Z153),"0")</f>
        <v>0.53217999999999999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240</v>
      </c>
      <c r="Y155" s="555">
        <f>IFERROR(SUM(Y148:Y153),"0")</f>
        <v>247.8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70</v>
      </c>
      <c r="Y169" s="554">
        <f t="shared" si="10"/>
        <v>71.400000000000006</v>
      </c>
      <c r="Z169" s="36">
        <f>IFERROR(IF(Y169=0,"",ROUNDUP(Y169/H169,0)*0.00902),"")</f>
        <v>0.15334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74.166666666666657</v>
      </c>
      <c r="BN169" s="64">
        <f t="shared" si="12"/>
        <v>75.650000000000006</v>
      </c>
      <c r="BO169" s="64">
        <f t="shared" si="13"/>
        <v>0.12626262626262624</v>
      </c>
      <c r="BP169" s="64">
        <f t="shared" si="14"/>
        <v>0.12878787878787878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30</v>
      </c>
      <c r="Y170" s="554">
        <f t="shared" si="10"/>
        <v>33.6</v>
      </c>
      <c r="Z170" s="36">
        <f>IFERROR(IF(Y170=0,"",ROUNDUP(Y170/H170,0)*0.00902),"")</f>
        <v>7.2160000000000002E-2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31.785714285714285</v>
      </c>
      <c r="BN170" s="64">
        <f t="shared" si="12"/>
        <v>35.6</v>
      </c>
      <c r="BO170" s="64">
        <f t="shared" si="13"/>
        <v>5.4112554112554112E-2</v>
      </c>
      <c r="BP170" s="64">
        <f t="shared" si="14"/>
        <v>6.0606060606060608E-2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30</v>
      </c>
      <c r="Y171" s="554">
        <f t="shared" si="10"/>
        <v>33.6</v>
      </c>
      <c r="Z171" s="36">
        <f>IFERROR(IF(Y171=0,"",ROUNDUP(Y171/H171,0)*0.00902),"")</f>
        <v>7.2160000000000002E-2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31.357142857142854</v>
      </c>
      <c r="BN171" s="64">
        <f t="shared" si="12"/>
        <v>35.119999999999997</v>
      </c>
      <c r="BO171" s="64">
        <f t="shared" si="13"/>
        <v>5.4112554112554112E-2</v>
      </c>
      <c r="BP171" s="64">
        <f t="shared" si="14"/>
        <v>6.0606060606060608E-2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6.4</v>
      </c>
      <c r="Y172" s="554">
        <f t="shared" si="10"/>
        <v>6.4</v>
      </c>
      <c r="Z172" s="36">
        <f>IFERROR(IF(Y172=0,"",ROUNDUP(Y172/H172,0)*0.00556),"")</f>
        <v>4.4479999999999999E-2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7.44</v>
      </c>
      <c r="BN172" s="64">
        <f t="shared" si="12"/>
        <v>7.44</v>
      </c>
      <c r="BO172" s="64">
        <f t="shared" si="13"/>
        <v>3.7037037037037035E-2</v>
      </c>
      <c r="BP172" s="64">
        <f t="shared" si="14"/>
        <v>3.7037037037037035E-2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122.5</v>
      </c>
      <c r="Y173" s="554">
        <f t="shared" si="10"/>
        <v>123.9</v>
      </c>
      <c r="Z173" s="36">
        <f>IFERROR(IF(Y173=0,"",ROUNDUP(Y173/H173,0)*0.00502),"")</f>
        <v>0.29618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130.08333333333334</v>
      </c>
      <c r="BN173" s="64">
        <f t="shared" si="12"/>
        <v>131.57</v>
      </c>
      <c r="BO173" s="64">
        <f t="shared" si="13"/>
        <v>0.2492877492877493</v>
      </c>
      <c r="BP173" s="64">
        <f t="shared" si="14"/>
        <v>0.25213675213675218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140</v>
      </c>
      <c r="Y175" s="554">
        <f t="shared" si="10"/>
        <v>140.70000000000002</v>
      </c>
      <c r="Z175" s="36">
        <f>IFERROR(IF(Y175=0,"",ROUNDUP(Y175/H175,0)*0.00502),"")</f>
        <v>0.33634000000000003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148.66666666666666</v>
      </c>
      <c r="BN175" s="64">
        <f t="shared" si="12"/>
        <v>149.41</v>
      </c>
      <c r="BO175" s="64">
        <f t="shared" si="13"/>
        <v>0.28490028490028491</v>
      </c>
      <c r="BP175" s="64">
        <f t="shared" si="14"/>
        <v>0.28632478632478636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4</v>
      </c>
      <c r="Y177" s="554">
        <f t="shared" si="10"/>
        <v>4</v>
      </c>
      <c r="Z177" s="36">
        <f>IFERROR(IF(Y177=0,"",ROUNDUP(Y177/H177,0)*0.00417),"")</f>
        <v>2.085E-2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5.05</v>
      </c>
      <c r="BN177" s="64">
        <f t="shared" si="12"/>
        <v>5.05</v>
      </c>
      <c r="BO177" s="64">
        <f t="shared" si="13"/>
        <v>1.488095238095238E-2</v>
      </c>
      <c r="BP177" s="64">
        <f t="shared" si="14"/>
        <v>1.488095238095238E-2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245</v>
      </c>
      <c r="Y178" s="554">
        <f t="shared" si="10"/>
        <v>245.70000000000002</v>
      </c>
      <c r="Z178" s="36">
        <f>IFERROR(IF(Y178=0,"",ROUNDUP(Y178/H178,0)*0.00502),"")</f>
        <v>0.58733999999999997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256.66666666666663</v>
      </c>
      <c r="BN178" s="64">
        <f t="shared" si="12"/>
        <v>257.40000000000003</v>
      </c>
      <c r="BO178" s="64">
        <f t="shared" si="13"/>
        <v>0.4985754985754986</v>
      </c>
      <c r="BP178" s="64">
        <f t="shared" si="14"/>
        <v>0.5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285.61904761904759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289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1.5828500000000001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647.9</v>
      </c>
      <c r="Y182" s="555">
        <f>IFERROR(SUM(Y167:Y180),"0")</f>
        <v>659.30000000000007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10.5</v>
      </c>
      <c r="Y184" s="554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14</v>
      </c>
      <c r="Y185" s="554">
        <f>IFERROR(IF(X185="",0,CEILING((X185/$H185),1)*$H185),"")</f>
        <v>15.120000000000001</v>
      </c>
      <c r="Z185" s="36">
        <f>IFERROR(IF(Y185=0,"",ROUNDUP(Y185/H185,0)*0.0059),"")</f>
        <v>7.0800000000000002E-2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16.111111111111111</v>
      </c>
      <c r="BN185" s="64">
        <f>IFERROR(Y185*I185/H185,"0")</f>
        <v>17.399999999999999</v>
      </c>
      <c r="BO185" s="64">
        <f>IFERROR(1/J185*(X185/H185),"0")</f>
        <v>5.1440329218106991E-2</v>
      </c>
      <c r="BP185" s="64">
        <f>IFERROR(1/J185*(Y185/H185),"0")</f>
        <v>5.5555555555555552E-2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21</v>
      </c>
      <c r="Y186" s="554">
        <f>IFERROR(IF(X186="",0,CEILING((X186/$H186),1)*$H186),"")</f>
        <v>21.42</v>
      </c>
      <c r="Z186" s="36">
        <f>IFERROR(IF(Y186=0,"",ROUNDUP(Y186/H186,0)*0.0059),"")</f>
        <v>0.1003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24.166666666666664</v>
      </c>
      <c r="BN186" s="64">
        <f>IFERROR(Y186*I186/H186,"0")</f>
        <v>24.650000000000002</v>
      </c>
      <c r="BO186" s="64">
        <f>IFERROR(1/J186*(X186/H186),"0")</f>
        <v>7.716049382716049E-2</v>
      </c>
      <c r="BP186" s="64">
        <f>IFERROR(1/J186*(Y186/H186),"0")</f>
        <v>7.8703703703703692E-2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36.111111111111114</v>
      </c>
      <c r="Y187" s="555">
        <f>IFERROR(Y184/H184,"0")+IFERROR(Y185/H185,"0")+IFERROR(Y186/H186,"0")</f>
        <v>38</v>
      </c>
      <c r="Z187" s="555">
        <f>IFERROR(IF(Z184="",0,Z184),"0")+IFERROR(IF(Z185="",0,Z185),"0")+IFERROR(IF(Z186="",0,Z186),"0")</f>
        <v>0.22420000000000001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45.5</v>
      </c>
      <c r="Y188" s="555">
        <f>IFERROR(SUM(Y184:Y186),"0")</f>
        <v>47.88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3.5</v>
      </c>
      <c r="Y190" s="554">
        <f>IFERROR(IF(X190="",0,CEILING((X190/$H190),1)*$H190),"")</f>
        <v>3.7800000000000002</v>
      </c>
      <c r="Z190" s="36">
        <f>IFERROR(IF(Y190=0,"",ROUNDUP(Y190/H190,0)*0.0059),"")</f>
        <v>1.77E-2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4.0277777777777777</v>
      </c>
      <c r="BN190" s="64">
        <f>IFERROR(Y190*I190/H190,"0")</f>
        <v>4.3499999999999996</v>
      </c>
      <c r="BO190" s="64">
        <f>IFERROR(1/J190*(X190/H190),"0")</f>
        <v>1.2860082304526748E-2</v>
      </c>
      <c r="BP190" s="64">
        <f>IFERROR(1/J190*(Y190/H190),"0")</f>
        <v>1.3888888888888888E-2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2.7777777777777777</v>
      </c>
      <c r="Y191" s="555">
        <f>IFERROR(Y190/H190,"0")</f>
        <v>3</v>
      </c>
      <c r="Z191" s="555">
        <f>IFERROR(IF(Z190="",0,Z190),"0")</f>
        <v>1.77E-2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3.5</v>
      </c>
      <c r="Y192" s="555">
        <f>IFERROR(SUM(Y190:Y190),"0")</f>
        <v>3.7800000000000002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140</v>
      </c>
      <c r="Y205" s="554">
        <f t="shared" ref="Y205:Y212" si="15">IFERROR(IF(X205="",0,CEILING((X205/$H205),1)*$H205),"")</f>
        <v>140.4</v>
      </c>
      <c r="Z205" s="36">
        <f>IFERROR(IF(Y205=0,"",ROUNDUP(Y205/H205,0)*0.00902),"")</f>
        <v>0.23452000000000001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144.92592592592592</v>
      </c>
      <c r="BN205" s="64">
        <f t="shared" ref="BN205:BN212" si="17">IFERROR(Y205*I205/H205,"0")</f>
        <v>145.34</v>
      </c>
      <c r="BO205" s="64">
        <f t="shared" ref="BO205:BO212" si="18">IFERROR(1/J205*(X205/H205),"0")</f>
        <v>0.19640852974186307</v>
      </c>
      <c r="BP205" s="64">
        <f t="shared" ref="BP205:BP212" si="19">IFERROR(1/J205*(Y205/H205),"0")</f>
        <v>0.19696969696969696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100</v>
      </c>
      <c r="Y207" s="554">
        <f t="shared" si="15"/>
        <v>102.60000000000001</v>
      </c>
      <c r="Z207" s="36">
        <f>IFERROR(IF(Y207=0,"",ROUNDUP(Y207/H207,0)*0.00902),"")</f>
        <v>0.17138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103.5185185185185</v>
      </c>
      <c r="BN207" s="64">
        <f t="shared" si="17"/>
        <v>106.21</v>
      </c>
      <c r="BO207" s="64">
        <f t="shared" si="18"/>
        <v>0.14029180695847362</v>
      </c>
      <c r="BP207" s="64">
        <f t="shared" si="19"/>
        <v>0.14393939393939395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40</v>
      </c>
      <c r="Y208" s="554">
        <f t="shared" si="15"/>
        <v>43.2</v>
      </c>
      <c r="Z208" s="36">
        <f>IFERROR(IF(Y208=0,"",ROUNDUP(Y208/H208,0)*0.00902),"")</f>
        <v>7.2160000000000002E-2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41.407407407407405</v>
      </c>
      <c r="BN208" s="64">
        <f t="shared" si="17"/>
        <v>44.72</v>
      </c>
      <c r="BO208" s="64">
        <f t="shared" si="18"/>
        <v>5.6116722783389444E-2</v>
      </c>
      <c r="BP208" s="64">
        <f t="shared" si="19"/>
        <v>6.0606060606060608E-2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30</v>
      </c>
      <c r="Y210" s="554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30</v>
      </c>
      <c r="Y211" s="554">
        <f t="shared" si="15"/>
        <v>30.6</v>
      </c>
      <c r="Z211" s="36">
        <f>IFERROR(IF(Y211=0,"",ROUNDUP(Y211/H211,0)*0.00502),"")</f>
        <v>8.5339999999999999E-2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31.666666666666664</v>
      </c>
      <c r="BN211" s="64">
        <f t="shared" si="17"/>
        <v>32.299999999999997</v>
      </c>
      <c r="BO211" s="64">
        <f t="shared" si="18"/>
        <v>7.122507122507124E-2</v>
      </c>
      <c r="BP211" s="64">
        <f t="shared" si="19"/>
        <v>7.2649572649572655E-2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30</v>
      </c>
      <c r="Y212" s="554">
        <f t="shared" si="15"/>
        <v>30.6</v>
      </c>
      <c r="Z212" s="36">
        <f>IFERROR(IF(Y212=0,"",ROUNDUP(Y212/H212,0)*0.00502),"")</f>
        <v>8.5339999999999999E-2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31.666666666666664</v>
      </c>
      <c r="BN212" s="64">
        <f t="shared" si="17"/>
        <v>32.299999999999997</v>
      </c>
      <c r="BO212" s="64">
        <f t="shared" si="18"/>
        <v>7.122507122507124E-2</v>
      </c>
      <c r="BP212" s="64">
        <f t="shared" si="19"/>
        <v>7.2649572649572655E-2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151.85185185185185</v>
      </c>
      <c r="Y213" s="555">
        <f>IFERROR(Y205/H205,"0")+IFERROR(Y206/H206,"0")+IFERROR(Y207/H207,"0")+IFERROR(Y208/H208,"0")+IFERROR(Y209/H209,"0")+IFERROR(Y210/H210,"0")+IFERROR(Y211/H211,"0")+IFERROR(Y212/H212,"0")</f>
        <v>154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0.98507999999999996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460</v>
      </c>
      <c r="Y214" s="555">
        <f>IFERROR(SUM(Y205:Y212),"0")</f>
        <v>468.00000000000006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160</v>
      </c>
      <c r="Y218" s="554">
        <f t="shared" si="20"/>
        <v>165.29999999999998</v>
      </c>
      <c r="Z218" s="36">
        <f>IFERROR(IF(Y218=0,"",ROUNDUP(Y218/H218,0)*0.01898),"")</f>
        <v>0.36062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169.08505747126441</v>
      </c>
      <c r="BN218" s="64">
        <f t="shared" si="22"/>
        <v>174.68600000000001</v>
      </c>
      <c r="BO218" s="64">
        <f t="shared" si="23"/>
        <v>0.2873563218390805</v>
      </c>
      <c r="BP218" s="64">
        <f t="shared" si="24"/>
        <v>0.296875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240</v>
      </c>
      <c r="Y219" s="554">
        <f t="shared" si="20"/>
        <v>240</v>
      </c>
      <c r="Z219" s="36">
        <f t="shared" ref="Z219:Z224" si="25">IFERROR(IF(Y219=0,"",ROUNDUP(Y219/H219,0)*0.00651),"")</f>
        <v>0.65100000000000002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267</v>
      </c>
      <c r="BN219" s="64">
        <f t="shared" si="22"/>
        <v>267</v>
      </c>
      <c r="BO219" s="64">
        <f t="shared" si="23"/>
        <v>0.5494505494505495</v>
      </c>
      <c r="BP219" s="64">
        <f t="shared" si="24"/>
        <v>0.5494505494505495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180</v>
      </c>
      <c r="Y223" s="554">
        <f t="shared" si="20"/>
        <v>180</v>
      </c>
      <c r="Z223" s="36">
        <f t="shared" si="25"/>
        <v>0.48825000000000002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198.9</v>
      </c>
      <c r="BN223" s="64">
        <f t="shared" si="22"/>
        <v>198.9</v>
      </c>
      <c r="BO223" s="64">
        <f t="shared" si="23"/>
        <v>0.41208791208791212</v>
      </c>
      <c r="BP223" s="64">
        <f t="shared" si="24"/>
        <v>0.41208791208791212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280</v>
      </c>
      <c r="Y224" s="554">
        <f t="shared" si="20"/>
        <v>280.8</v>
      </c>
      <c r="Z224" s="36">
        <f t="shared" si="25"/>
        <v>0.76167000000000007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310.10000000000002</v>
      </c>
      <c r="BN224" s="64">
        <f t="shared" si="22"/>
        <v>310.98599999999999</v>
      </c>
      <c r="BO224" s="64">
        <f t="shared" si="23"/>
        <v>0.64102564102564108</v>
      </c>
      <c r="BP224" s="64">
        <f t="shared" si="24"/>
        <v>0.64285714285714302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426.72413793103448</v>
      </c>
      <c r="Y225" s="555">
        <f>IFERROR(Y216/H216,"0")+IFERROR(Y217/H217,"0")+IFERROR(Y218/H218,"0")+IFERROR(Y219/H219,"0")+IFERROR(Y220/H220,"0")+IFERROR(Y221/H221,"0")+IFERROR(Y222/H222,"0")+IFERROR(Y223/H223,"0")+IFERROR(Y224/H224,"0")</f>
        <v>428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3.0232100000000002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1140</v>
      </c>
      <c r="Y226" s="555">
        <f>IFERROR(SUM(Y216:Y224),"0")</f>
        <v>1146.8999999999999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20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20.706896551724139</v>
      </c>
      <c r="BN234" s="64">
        <f t="shared" ref="BN234:BN242" si="28">IFERROR(Y234*I234/H234,"0")</f>
        <v>24.02</v>
      </c>
      <c r="BO234" s="64">
        <f t="shared" ref="BO234:BO242" si="29">IFERROR(1/J234*(X234/H234),"0")</f>
        <v>2.6939655172413795E-2</v>
      </c>
      <c r="BP234" s="64">
        <f t="shared" ref="BP234:BP242" si="30">IFERROR(1/J234*(Y234/H234),"0")</f>
        <v>3.125E-2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16</v>
      </c>
      <c r="Y237" s="554">
        <f t="shared" si="26"/>
        <v>16</v>
      </c>
      <c r="Z237" s="36">
        <f>IFERROR(IF(Y237=0,"",ROUNDUP(Y237/H237,0)*0.00902),"")</f>
        <v>3.6080000000000001E-2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16.760000000000002</v>
      </c>
      <c r="BN237" s="64">
        <f t="shared" si="28"/>
        <v>16.760000000000002</v>
      </c>
      <c r="BO237" s="64">
        <f t="shared" si="29"/>
        <v>3.0303030303030304E-2</v>
      </c>
      <c r="BP237" s="64">
        <f t="shared" si="30"/>
        <v>3.0303030303030304E-2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120</v>
      </c>
      <c r="Y241" s="554">
        <f t="shared" si="26"/>
        <v>120</v>
      </c>
      <c r="Z241" s="36">
        <f>IFERROR(IF(Y241=0,"",ROUNDUP(Y241/H241,0)*0.00902),"")</f>
        <v>0.27060000000000001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125.70000000000002</v>
      </c>
      <c r="BN241" s="64">
        <f t="shared" si="28"/>
        <v>125.70000000000002</v>
      </c>
      <c r="BO241" s="64">
        <f t="shared" si="29"/>
        <v>0.22727272727272729</v>
      </c>
      <c r="BP241" s="64">
        <f t="shared" si="30"/>
        <v>0.22727272727272729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35.724137931034484</v>
      </c>
      <c r="Y243" s="555">
        <f>IFERROR(Y234/H234,"0")+IFERROR(Y235/H235,"0")+IFERROR(Y236/H236,"0")+IFERROR(Y237/H237,"0")+IFERROR(Y238/H238,"0")+IFERROR(Y239/H239,"0")+IFERROR(Y240/H240,"0")+IFERROR(Y241/H241,"0")+IFERROR(Y242/H242,"0")</f>
        <v>36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0.34464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156</v>
      </c>
      <c r="Y244" s="555">
        <f>IFERROR(SUM(Y234:Y242),"0")</f>
        <v>159.19999999999999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12.222222222222221</v>
      </c>
      <c r="Y259" s="555">
        <f>IFERROR(Y254/H254,"0")+IFERROR(Y255/H255,"0")+IFERROR(Y256/H256,"0")+IFERROR(Y257/H257,"0")+IFERROR(Y258/H258,"0")</f>
        <v>13</v>
      </c>
      <c r="Z259" s="555">
        <f>IFERROR(IF(Z254="",0,Z254),"0")+IFERROR(IF(Z255="",0,Z255),"0")+IFERROR(IF(Z256="",0,Z256),"0")+IFERROR(IF(Z257="",0,Z257),"0")+IFERROR(IF(Z258="",0,Z258),"0")</f>
        <v>7.669999999999999E-2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17</v>
      </c>
      <c r="Y260" s="555">
        <f>IFERROR(SUM(Y254:Y258),"0")</f>
        <v>18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100</v>
      </c>
      <c r="Y281" s="554">
        <f>IFERROR(IF(X281="",0,CEILING((X281/$H281),1)*$H281),"")</f>
        <v>100.8</v>
      </c>
      <c r="Z281" s="36">
        <f>IFERROR(IF(Y281=0,"",ROUNDUP(Y281/H281,0)*0.00651),"")</f>
        <v>0.27342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110.5</v>
      </c>
      <c r="BN281" s="64">
        <f>IFERROR(Y281*I281/H281,"0")</f>
        <v>111.384</v>
      </c>
      <c r="BO281" s="64">
        <f>IFERROR(1/J281*(X281/H281),"0")</f>
        <v>0.22893772893772898</v>
      </c>
      <c r="BP281" s="64">
        <f>IFERROR(1/J281*(Y281/H281),"0")</f>
        <v>0.23076923076923078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280</v>
      </c>
      <c r="Y282" s="554">
        <f>IFERROR(IF(X282="",0,CEILING((X282/$H282),1)*$H282),"")</f>
        <v>280.8</v>
      </c>
      <c r="Z282" s="36">
        <f>IFERROR(IF(Y282=0,"",ROUNDUP(Y282/H282,0)*0.00651),"")</f>
        <v>0.76167000000000007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301</v>
      </c>
      <c r="BN282" s="64">
        <f>IFERROR(Y282*I282/H282,"0")</f>
        <v>301.86</v>
      </c>
      <c r="BO282" s="64">
        <f>IFERROR(1/J282*(X282/H282),"0")</f>
        <v>0.64102564102564108</v>
      </c>
      <c r="BP282" s="64">
        <f>IFERROR(1/J282*(Y282/H282),"0")</f>
        <v>0.64285714285714302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158.33333333333334</v>
      </c>
      <c r="Y283" s="555">
        <f>IFERROR(Y280/H280,"0")+IFERROR(Y281/H281,"0")+IFERROR(Y282/H282,"0")</f>
        <v>159</v>
      </c>
      <c r="Z283" s="555">
        <f>IFERROR(IF(Z280="",0,Z280),"0")+IFERROR(IF(Z281="",0,Z281),"0")+IFERROR(IF(Z282="",0,Z282),"0")</f>
        <v>1.0350900000000001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380</v>
      </c>
      <c r="Y284" s="555">
        <f>IFERROR(SUM(Y280:Y282),"0")</f>
        <v>381.6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24</v>
      </c>
      <c r="Y311" s="554">
        <f t="shared" si="31"/>
        <v>25.2</v>
      </c>
      <c r="Z311" s="36">
        <f>IFERROR(IF(Y311=0,"",ROUNDUP(Y311/H311,0)*0.00651),"")</f>
        <v>9.1139999999999999E-2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27.04</v>
      </c>
      <c r="BN311" s="64">
        <f t="shared" si="33"/>
        <v>28.391999999999999</v>
      </c>
      <c r="BO311" s="64">
        <f t="shared" si="34"/>
        <v>7.3260073260073263E-2</v>
      </c>
      <c r="BP311" s="64">
        <f t="shared" si="35"/>
        <v>7.6923076923076927E-2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46.666666666666657</v>
      </c>
      <c r="Y312" s="555">
        <f>IFERROR(Y306/H306,"0")+IFERROR(Y307/H307,"0")+IFERROR(Y308/H308,"0")+IFERROR(Y309/H309,"0")+IFERROR(Y310/H310,"0")+IFERROR(Y311/H311,"0")</f>
        <v>48</v>
      </c>
      <c r="Z312" s="555">
        <f>IFERROR(IF(Z306="",0,Z306),"0")+IFERROR(IF(Z307="",0,Z307),"0")+IFERROR(IF(Z308="",0,Z308),"0")+IFERROR(IF(Z309="",0,Z309),"0")+IFERROR(IF(Z310="",0,Z310),"0")+IFERROR(IF(Z311="",0,Z311),"0")</f>
        <v>0.26182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94</v>
      </c>
      <c r="Y313" s="555">
        <f>IFERROR(SUM(Y306:Y311),"0")</f>
        <v>96.600000000000009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40</v>
      </c>
      <c r="Y322" s="554">
        <f>IFERROR(IF(X322="",0,CEILING((X322/$H322),1)*$H322),"")</f>
        <v>42</v>
      </c>
      <c r="Z322" s="36">
        <f>IFERROR(IF(Y322=0,"",ROUNDUP(Y322/H322,0)*0.01898),"")</f>
        <v>9.4899999999999998E-2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42.352380952380948</v>
      </c>
      <c r="BN322" s="64">
        <f>IFERROR(Y322*I322/H322,"0")</f>
        <v>44.47</v>
      </c>
      <c r="BO322" s="64">
        <f>IFERROR(1/J322*(X322/H322),"0")</f>
        <v>7.4404761904761904E-2</v>
      </c>
      <c r="BP322" s="64">
        <f>IFERROR(1/J322*(Y322/H322),"0")</f>
        <v>7.8125E-2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450</v>
      </c>
      <c r="Y323" s="554">
        <f>IFERROR(IF(X323="",0,CEILING((X323/$H323),1)*$H323),"")</f>
        <v>452.4</v>
      </c>
      <c r="Z323" s="36">
        <f>IFERROR(IF(Y323=0,"",ROUNDUP(Y323/H323,0)*0.01898),"")</f>
        <v>1.10084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478.50000000000006</v>
      </c>
      <c r="BN323" s="64">
        <f>IFERROR(Y323*I323/H323,"0")</f>
        <v>481.05200000000002</v>
      </c>
      <c r="BO323" s="64">
        <f>IFERROR(1/J323*(X323/H323),"0")</f>
        <v>0.90144230769230771</v>
      </c>
      <c r="BP323" s="64">
        <f>IFERROR(1/J323*(Y323/H323),"0")</f>
        <v>0.90625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250</v>
      </c>
      <c r="Y324" s="554">
        <f>IFERROR(IF(X324="",0,CEILING((X324/$H324),1)*$H324),"")</f>
        <v>252</v>
      </c>
      <c r="Z324" s="36">
        <f>IFERROR(IF(Y324=0,"",ROUNDUP(Y324/H324,0)*0.01898),"")</f>
        <v>0.56940000000000002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264.70238095238096</v>
      </c>
      <c r="BN324" s="64">
        <f>IFERROR(Y324*I324/H324,"0")</f>
        <v>266.82</v>
      </c>
      <c r="BO324" s="64">
        <f>IFERROR(1/J324*(X324/H324),"0")</f>
        <v>0.46502976190476186</v>
      </c>
      <c r="BP324" s="64">
        <f>IFERROR(1/J324*(Y324/H324),"0")</f>
        <v>0.46875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92.216117216117212</v>
      </c>
      <c r="Y325" s="555">
        <f>IFERROR(Y322/H322,"0")+IFERROR(Y323/H323,"0")+IFERROR(Y324/H324,"0")</f>
        <v>93</v>
      </c>
      <c r="Z325" s="555">
        <f>IFERROR(IF(Z322="",0,Z322),"0")+IFERROR(IF(Z323="",0,Z323),"0")+IFERROR(IF(Z324="",0,Z324),"0")</f>
        <v>1.7651400000000002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740</v>
      </c>
      <c r="Y326" s="555">
        <f>IFERROR(SUM(Y322:Y324),"0")</f>
        <v>746.4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85</v>
      </c>
      <c r="Y331" s="554">
        <f>IFERROR(IF(X331="",0,CEILING((X331/$H331),1)*$H331),"")</f>
        <v>86.699999999999989</v>
      </c>
      <c r="Z331" s="36">
        <f>IFERROR(IF(Y331=0,"",ROUNDUP(Y331/H331,0)*0.00651),"")</f>
        <v>0.22134000000000001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96</v>
      </c>
      <c r="BN331" s="64">
        <f>IFERROR(Y331*I331/H331,"0")</f>
        <v>97.92</v>
      </c>
      <c r="BO331" s="64">
        <f>IFERROR(1/J331*(X331/H331),"0")</f>
        <v>0.18315018315018317</v>
      </c>
      <c r="BP331" s="64">
        <f>IFERROR(1/J331*(Y331/H331),"0")</f>
        <v>0.18681318681318682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33.333333333333336</v>
      </c>
      <c r="Y332" s="555">
        <f>IFERROR(Y328/H328,"0")+IFERROR(Y329/H329,"0")+IFERROR(Y330/H330,"0")+IFERROR(Y331/H331,"0")</f>
        <v>34</v>
      </c>
      <c r="Z332" s="555">
        <f>IFERROR(IF(Z328="",0,Z328),"0")+IFERROR(IF(Z329="",0,Z329),"0")+IFERROR(IF(Z330="",0,Z330),"0")+IFERROR(IF(Z331="",0,Z331),"0")</f>
        <v>0.22134000000000001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85</v>
      </c>
      <c r="Y333" s="555">
        <f>IFERROR(SUM(Y328:Y331),"0")</f>
        <v>86.699999999999989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525</v>
      </c>
      <c r="Y343" s="554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588</v>
      </c>
      <c r="BN343" s="64">
        <f>IFERROR(Y343*I343/H343,"0")</f>
        <v>588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210</v>
      </c>
      <c r="Y344" s="554">
        <f>IFERROR(IF(X344="",0,CEILING((X344/$H344),1)*$H344),"")</f>
        <v>210</v>
      </c>
      <c r="Z344" s="36">
        <f>IFERROR(IF(Y344=0,"",ROUNDUP(Y344/H344,0)*0.00651),"")</f>
        <v>0.65100000000000002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233.99999999999997</v>
      </c>
      <c r="BN344" s="64">
        <f>IFERROR(Y344*I344/H344,"0")</f>
        <v>233.99999999999997</v>
      </c>
      <c r="BO344" s="64">
        <f>IFERROR(1/J344*(X344/H344),"0")</f>
        <v>0.5494505494505495</v>
      </c>
      <c r="BP344" s="64">
        <f>IFERROR(1/J344*(Y344/H344),"0")</f>
        <v>0.5494505494505495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350</v>
      </c>
      <c r="Y345" s="555">
        <f>IFERROR(Y342/H342,"0")+IFERROR(Y343/H343,"0")+IFERROR(Y344/H344,"0")</f>
        <v>350</v>
      </c>
      <c r="Z345" s="555">
        <f>IFERROR(IF(Z342="",0,Z342),"0")+IFERROR(IF(Z343="",0,Z343),"0")+IFERROR(IF(Z344="",0,Z344),"0")</f>
        <v>2.2785000000000002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735</v>
      </c>
      <c r="Y346" s="555">
        <f>IFERROR(SUM(Y342:Y344),"0")</f>
        <v>735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1800</v>
      </c>
      <c r="Y350" s="554">
        <f t="shared" ref="Y350:Y356" si="36">IFERROR(IF(X350="",0,CEILING((X350/$H350),1)*$H350),"")</f>
        <v>1800</v>
      </c>
      <c r="Z350" s="36">
        <f>IFERROR(IF(Y350=0,"",ROUNDUP(Y350/H350,0)*0.02175),"")</f>
        <v>2.61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1856.4</v>
      </c>
      <c r="BN350" s="64">
        <f t="shared" ref="BN350:BN356" si="38">IFERROR(Y350*I350/H350,"0")</f>
        <v>1856.4</v>
      </c>
      <c r="BO350" s="64">
        <f t="shared" ref="BO350:BO356" si="39">IFERROR(1/J350*(X350/H350),"0")</f>
        <v>2.5</v>
      </c>
      <c r="BP350" s="64">
        <f t="shared" ref="BP350:BP356" si="40">IFERROR(1/J350*(Y350/H350),"0")</f>
        <v>2.5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500</v>
      </c>
      <c r="Y351" s="554">
        <f t="shared" si="36"/>
        <v>510</v>
      </c>
      <c r="Z351" s="36">
        <f>IFERROR(IF(Y351=0,"",ROUNDUP(Y351/H351,0)*0.02175),"")</f>
        <v>0.73949999999999994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515.66666666666663</v>
      </c>
      <c r="BN351" s="64">
        <f t="shared" si="38"/>
        <v>525.98</v>
      </c>
      <c r="BO351" s="64">
        <f t="shared" si="39"/>
        <v>0.69444444444444442</v>
      </c>
      <c r="BP351" s="64">
        <f t="shared" si="40"/>
        <v>0.70833333333333326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700</v>
      </c>
      <c r="Y352" s="554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721.93333333333328</v>
      </c>
      <c r="BN352" s="64">
        <f t="shared" si="38"/>
        <v>727.09</v>
      </c>
      <c r="BO352" s="64">
        <f t="shared" si="39"/>
        <v>0.9722222222222221</v>
      </c>
      <c r="BP352" s="64">
        <f t="shared" si="40"/>
        <v>0.97916666666666663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200</v>
      </c>
      <c r="Y353" s="554">
        <f t="shared" si="36"/>
        <v>210</v>
      </c>
      <c r="Z353" s="36">
        <f>IFERROR(IF(Y353=0,"",ROUNDUP(Y353/H353,0)*0.02175),"")</f>
        <v>0.30449999999999999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206.26666666666668</v>
      </c>
      <c r="BN353" s="64">
        <f t="shared" si="38"/>
        <v>216.58</v>
      </c>
      <c r="BO353" s="64">
        <f t="shared" si="39"/>
        <v>0.27777777777777779</v>
      </c>
      <c r="BP353" s="64">
        <f t="shared" si="40"/>
        <v>0.29166666666666663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40</v>
      </c>
      <c r="Y356" s="554">
        <f t="shared" si="36"/>
        <v>40</v>
      </c>
      <c r="Z356" s="36">
        <f>IFERROR(IF(Y356=0,"",ROUNDUP(Y356/H356,0)*0.00902),"")</f>
        <v>7.2160000000000002E-2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41.52</v>
      </c>
      <c r="BN356" s="64">
        <f t="shared" si="38"/>
        <v>41.52</v>
      </c>
      <c r="BO356" s="64">
        <f t="shared" si="39"/>
        <v>6.0606060606060608E-2</v>
      </c>
      <c r="BP356" s="64">
        <f t="shared" si="40"/>
        <v>6.0606060606060608E-2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221.33333333333334</v>
      </c>
      <c r="Y357" s="555">
        <f>IFERROR(Y350/H350,"0")+IFERROR(Y351/H351,"0")+IFERROR(Y352/H352,"0")+IFERROR(Y353/H353,"0")+IFERROR(Y354/H354,"0")+IFERROR(Y355/H355,"0")+IFERROR(Y356/H356,"0")</f>
        <v>223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4.7484099999999998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3240</v>
      </c>
      <c r="Y358" s="555">
        <f>IFERROR(SUM(Y350:Y356),"0")</f>
        <v>3265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80</v>
      </c>
      <c r="Y375" s="554">
        <f>IFERROR(IF(X375="",0,CEILING((X375/$H375),1)*$H375),"")</f>
        <v>84</v>
      </c>
      <c r="Z375" s="36">
        <f>IFERROR(IF(Y375=0,"",ROUNDUP(Y375/H375,0)*0.01898),"")</f>
        <v>0.13286000000000001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82.733333333333334</v>
      </c>
      <c r="BN375" s="64">
        <f>IFERROR(Y375*I375/H375,"0")</f>
        <v>86.87</v>
      </c>
      <c r="BO375" s="64">
        <f>IFERROR(1/J375*(X375/H375),"0")</f>
        <v>0.10416666666666667</v>
      </c>
      <c r="BP375" s="64">
        <f>IFERROR(1/J375*(Y375/H375),"0")</f>
        <v>0.109375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6.666666666666667</v>
      </c>
      <c r="Y377" s="555">
        <f>IFERROR(Y375/H375,"0")+IFERROR(Y376/H376,"0")</f>
        <v>7</v>
      </c>
      <c r="Z377" s="555">
        <f>IFERROR(IF(Z375="",0,Z375),"0")+IFERROR(IF(Z376="",0,Z376),"0")</f>
        <v>0.13286000000000001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80</v>
      </c>
      <c r="Y378" s="555">
        <f>IFERROR(SUM(Y375:Y376),"0")</f>
        <v>84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70</v>
      </c>
      <c r="Y385" s="554">
        <f>IFERROR(IF(X385="",0,CEILING((X385/$H385),1)*$H385),"")</f>
        <v>72</v>
      </c>
      <c r="Z385" s="36">
        <f>IFERROR(IF(Y385=0,"",ROUNDUP(Y385/H385,0)*0.01898),"")</f>
        <v>0.15184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73.842222222222219</v>
      </c>
      <c r="BN385" s="64">
        <f>IFERROR(Y385*I385/H385,"0")</f>
        <v>75.951999999999998</v>
      </c>
      <c r="BO385" s="64">
        <f>IFERROR(1/J385*(X385/H385),"0")</f>
        <v>0.12152777777777778</v>
      </c>
      <c r="BP385" s="64">
        <f>IFERROR(1/J385*(Y385/H385),"0")</f>
        <v>0.125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7.7777777777777777</v>
      </c>
      <c r="Y388" s="555">
        <f>IFERROR(Y385/H385,"0")+IFERROR(Y386/H386,"0")+IFERROR(Y387/H387,"0")</f>
        <v>8</v>
      </c>
      <c r="Z388" s="555">
        <f>IFERROR(IF(Z385="",0,Z385),"0")+IFERROR(IF(Z386="",0,Z386),"0")+IFERROR(IF(Z387="",0,Z387),"0")</f>
        <v>0.15184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70</v>
      </c>
      <c r="Y389" s="555">
        <f>IFERROR(SUM(Y385:Y387),"0")</f>
        <v>72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35</v>
      </c>
      <c r="Y398" s="554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35</v>
      </c>
      <c r="Y400" s="554">
        <f t="shared" si="41"/>
        <v>35.700000000000003</v>
      </c>
      <c r="Z400" s="36">
        <f t="shared" si="46"/>
        <v>8.5339999999999999E-2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37.166666666666664</v>
      </c>
      <c r="BN400" s="64">
        <f t="shared" si="43"/>
        <v>37.910000000000004</v>
      </c>
      <c r="BO400" s="64">
        <f t="shared" si="44"/>
        <v>7.1225071225071226E-2</v>
      </c>
      <c r="BP400" s="64">
        <f t="shared" si="45"/>
        <v>7.2649572649572655E-2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41.666666666666657</v>
      </c>
      <c r="Y402" s="555">
        <f>IFERROR(Y393/H393,"0")+IFERROR(Y394/H394,"0")+IFERROR(Y395/H395,"0")+IFERROR(Y396/H396,"0")+IFERROR(Y397/H397,"0")+IFERROR(Y398/H398,"0")+IFERROR(Y399/H399,"0")+IFERROR(Y400/H400,"0")+IFERROR(Y401/H401,"0")</f>
        <v>43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0.21586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87.5</v>
      </c>
      <c r="Y403" s="555">
        <f>IFERROR(SUM(Y393:Y401),"0")</f>
        <v>90.300000000000011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7</v>
      </c>
      <c r="Y418" s="554">
        <f>IFERROR(IF(X418="",0,CEILING((X418/$H418),1)*$H418),"")</f>
        <v>8.4</v>
      </c>
      <c r="Z418" s="36">
        <f>IFERROR(IF(Y418=0,"",ROUNDUP(Y418/H418,0)*0.00502),"")</f>
        <v>2.0080000000000001E-2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7.4333333333333327</v>
      </c>
      <c r="BN418" s="64">
        <f>IFERROR(Y418*I418/H418,"0")</f>
        <v>8.92</v>
      </c>
      <c r="BO418" s="64">
        <f>IFERROR(1/J418*(X418/H418),"0")</f>
        <v>1.4245014245014245E-2</v>
      </c>
      <c r="BP418" s="64">
        <f>IFERROR(1/J418*(Y418/H418),"0")</f>
        <v>1.7094017094017096E-2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3.333333333333333</v>
      </c>
      <c r="Y419" s="555">
        <f>IFERROR(Y415/H415,"0")+IFERROR(Y416/H416,"0")+IFERROR(Y417/H417,"0")+IFERROR(Y418/H418,"0")</f>
        <v>4</v>
      </c>
      <c r="Z419" s="555">
        <f>IFERROR(IF(Z415="",0,Z415),"0")+IFERROR(IF(Z416="",0,Z416),"0")+IFERROR(IF(Z417="",0,Z417),"0")+IFERROR(IF(Z418="",0,Z418),"0")</f>
        <v>2.0080000000000001E-2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7</v>
      </c>
      <c r="Y420" s="555">
        <f>IFERROR(SUM(Y415:Y418),"0")</f>
        <v>8.4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220</v>
      </c>
      <c r="Y429" s="554">
        <f t="shared" ref="Y429:Y440" si="47">IFERROR(IF(X429="",0,CEILING((X429/$H429),1)*$H429),"")</f>
        <v>221.76000000000002</v>
      </c>
      <c r="Z429" s="36">
        <f t="shared" ref="Z429:Z435" si="48">IFERROR(IF(Y429=0,"",ROUNDUP(Y429/H429,0)*0.01196),"")</f>
        <v>0.50231999999999999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234.58333333333331</v>
      </c>
      <c r="BN429" s="64">
        <f t="shared" ref="BN429:BN440" si="50">IFERROR(Y429*I429/H429,"0")</f>
        <v>236.46</v>
      </c>
      <c r="BO429" s="64">
        <f t="shared" ref="BO429:BO440" si="51">IFERROR(1/J429*(X429/H429),"0")</f>
        <v>0.40064102564102566</v>
      </c>
      <c r="BP429" s="64">
        <f t="shared" ref="BP429:BP440" si="52">IFERROR(1/J429*(Y429/H429),"0")</f>
        <v>0.40384615384615385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160</v>
      </c>
      <c r="Y435" s="554">
        <f t="shared" si="47"/>
        <v>163.68</v>
      </c>
      <c r="Z435" s="36">
        <f t="shared" si="48"/>
        <v>0.37075999999999998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170.60606060606059</v>
      </c>
      <c r="BN435" s="64">
        <f t="shared" si="50"/>
        <v>174.53</v>
      </c>
      <c r="BO435" s="64">
        <f t="shared" si="51"/>
        <v>0.29137529137529139</v>
      </c>
      <c r="BP435" s="64">
        <f t="shared" si="52"/>
        <v>0.29807692307692307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300</v>
      </c>
      <c r="Y437" s="554">
        <f t="shared" si="47"/>
        <v>302.39999999999998</v>
      </c>
      <c r="Z437" s="36">
        <f>IFERROR(IF(Y437=0,"",ROUNDUP(Y437/H437,0)*0.00902),"")</f>
        <v>0.56825999999999999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431.875</v>
      </c>
      <c r="BN437" s="64">
        <f t="shared" si="50"/>
        <v>435.33</v>
      </c>
      <c r="BO437" s="64">
        <f t="shared" si="51"/>
        <v>0.47348484848484851</v>
      </c>
      <c r="BP437" s="64">
        <f t="shared" si="52"/>
        <v>0.47727272727272729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180</v>
      </c>
      <c r="Y440" s="554">
        <f t="shared" si="47"/>
        <v>182.4</v>
      </c>
      <c r="Z440" s="36">
        <f>IFERROR(IF(Y440=0,"",ROUNDUP(Y440/H440,0)*0.00902),"")</f>
        <v>0.34276000000000001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259.125</v>
      </c>
      <c r="BN440" s="64">
        <f t="shared" si="50"/>
        <v>262.58000000000004</v>
      </c>
      <c r="BO440" s="64">
        <f t="shared" si="51"/>
        <v>0.28409090909090912</v>
      </c>
      <c r="BP440" s="64">
        <f t="shared" si="52"/>
        <v>0.2878787878787879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181.43939393939394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184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1.9036999999999999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910</v>
      </c>
      <c r="Y442" s="555">
        <f>IFERROR(SUM(Y429:Y440),"0")</f>
        <v>923.04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80</v>
      </c>
      <c r="Y450" s="554">
        <f t="shared" ref="Y450:Y455" si="53">IFERROR(IF(X450="",0,CEILING((X450/$H450),1)*$H450),"")</f>
        <v>84.48</v>
      </c>
      <c r="Z450" s="36">
        <f>IFERROR(IF(Y450=0,"",ROUNDUP(Y450/H450,0)*0.01196),"")</f>
        <v>0.19136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85.303030303030297</v>
      </c>
      <c r="BN450" s="64">
        <f t="shared" ref="BN450:BN455" si="55">IFERROR(Y450*I450/H450,"0")</f>
        <v>90.08</v>
      </c>
      <c r="BO450" s="64">
        <f t="shared" ref="BO450:BO455" si="56">IFERROR(1/J450*(X450/H450),"0")</f>
        <v>0.14568764568764569</v>
      </c>
      <c r="BP450" s="64">
        <f t="shared" ref="BP450:BP455" si="57">IFERROR(1/J450*(Y450/H450),"0")</f>
        <v>0.15384615384615385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50</v>
      </c>
      <c r="Y451" s="554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53.314393939393938</v>
      </c>
      <c r="BN451" s="64">
        <f t="shared" si="55"/>
        <v>56.3</v>
      </c>
      <c r="BO451" s="64">
        <f t="shared" si="56"/>
        <v>9.1054778554778545E-2</v>
      </c>
      <c r="BP451" s="64">
        <f t="shared" si="57"/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120</v>
      </c>
      <c r="Y452" s="554">
        <f t="shared" si="53"/>
        <v>121.44000000000001</v>
      </c>
      <c r="Z452" s="36">
        <f>IFERROR(IF(Y452=0,"",ROUNDUP(Y452/H452,0)*0.01196),"")</f>
        <v>0.27507999999999999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127.95454545454545</v>
      </c>
      <c r="BN452" s="64">
        <f t="shared" si="55"/>
        <v>129.49</v>
      </c>
      <c r="BO452" s="64">
        <f t="shared" si="56"/>
        <v>0.21853146853146854</v>
      </c>
      <c r="BP452" s="64">
        <f t="shared" si="57"/>
        <v>0.22115384615384617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30</v>
      </c>
      <c r="Y453" s="554">
        <f t="shared" si="53"/>
        <v>33.6</v>
      </c>
      <c r="Z453" s="36">
        <f>IFERROR(IF(Y453=0,"",ROUNDUP(Y453/H453,0)*0.00902),"")</f>
        <v>6.3140000000000002E-2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43.187500000000007</v>
      </c>
      <c r="BN453" s="64">
        <f t="shared" si="55"/>
        <v>48.370000000000005</v>
      </c>
      <c r="BO453" s="64">
        <f t="shared" si="56"/>
        <v>4.7348484848484848E-2</v>
      </c>
      <c r="BP453" s="64">
        <f t="shared" si="57"/>
        <v>5.3030303030303039E-2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12</v>
      </c>
      <c r="Y454" s="554">
        <f t="shared" si="53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16.675000000000001</v>
      </c>
      <c r="BN454" s="64">
        <f t="shared" si="55"/>
        <v>20.009999999999998</v>
      </c>
      <c r="BO454" s="64">
        <f t="shared" si="56"/>
        <v>1.893939393939394E-2</v>
      </c>
      <c r="BP454" s="64">
        <f t="shared" si="57"/>
        <v>2.2727272727272728E-2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72</v>
      </c>
      <c r="Y455" s="554">
        <f t="shared" si="53"/>
        <v>72</v>
      </c>
      <c r="Z455" s="36">
        <f>IFERROR(IF(Y455=0,"",ROUNDUP(Y455/H455,0)*0.00902),"")</f>
        <v>0.1353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100.05000000000001</v>
      </c>
      <c r="BN455" s="64">
        <f t="shared" si="55"/>
        <v>100.05000000000001</v>
      </c>
      <c r="BO455" s="64">
        <f t="shared" si="56"/>
        <v>0.11363636363636365</v>
      </c>
      <c r="BP455" s="64">
        <f t="shared" si="57"/>
        <v>0.11363636363636365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71.098484848484844</v>
      </c>
      <c r="Y456" s="555">
        <f>IFERROR(Y450/H450,"0")+IFERROR(Y451/H451,"0")+IFERROR(Y452/H452,"0")+IFERROR(Y453/H453,"0")+IFERROR(Y454/H454,"0")+IFERROR(Y455/H455,"0")</f>
        <v>74</v>
      </c>
      <c r="Z456" s="555">
        <f>IFERROR(IF(Z450="",0,Z450),"0")+IFERROR(IF(Z451="",0,Z451),"0")+IFERROR(IF(Z452="",0,Z452),"0")+IFERROR(IF(Z453="",0,Z453),"0")+IFERROR(IF(Z454="",0,Z454),"0")+IFERROR(IF(Z455="",0,Z455),"0")</f>
        <v>0.81153999999999993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364</v>
      </c>
      <c r="Y457" s="555">
        <f>IFERROR(SUM(Y450:Y455),"0")</f>
        <v>378.72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600</v>
      </c>
      <c r="Y482" s="554">
        <f>IFERROR(IF(X482="",0,CEILING((X482/$H482),1)*$H482),"")</f>
        <v>603</v>
      </c>
      <c r="Z482" s="36">
        <f>IFERROR(IF(Y482=0,"",ROUNDUP(Y482/H482,0)*0.01898),"")</f>
        <v>1.27166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632.93333333333328</v>
      </c>
      <c r="BN482" s="64">
        <f>IFERROR(Y482*I482/H482,"0")</f>
        <v>636.09799999999996</v>
      </c>
      <c r="BO482" s="64">
        <f>IFERROR(1/J482*(X482/H482),"0")</f>
        <v>1.0416666666666667</v>
      </c>
      <c r="BP482" s="64">
        <f>IFERROR(1/J482*(Y482/H482),"0")</f>
        <v>1.046875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66.666666666666671</v>
      </c>
      <c r="Y483" s="555">
        <f>IFERROR(Y482/H482,"0")</f>
        <v>67</v>
      </c>
      <c r="Z483" s="555">
        <f>IFERROR(IF(Z482="",0,Z482),"0")</f>
        <v>1.27166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600</v>
      </c>
      <c r="Y484" s="555">
        <f>IFERROR(SUM(Y482:Y482),"0")</f>
        <v>603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17489.400000000001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17673.060000000001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18766.362332132525</v>
      </c>
      <c r="Y496" s="555">
        <f>IFERROR(SUM(BN22:BN492),"0")</f>
        <v>18964.012000000002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32</v>
      </c>
      <c r="Y497" s="38">
        <f>ROUNDUP(SUM(BP22:BP492),0)</f>
        <v>33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19566.362332132525</v>
      </c>
      <c r="Y498" s="555">
        <f>GrossWeightTotalR+PalletQtyTotalR*25</f>
        <v>19789.012000000002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4042.4524784496048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4077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37.672669999999997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924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1392</v>
      </c>
      <c r="E505" s="46">
        <f>IFERROR(Y85*1,"0")+IFERROR(Y86*1,"0")+IFERROR(Y87*1,"0")+IFERROR(Y88*1,"0")+IFERROR(Y92*1,"0")+IFERROR(Y93*1,"0")+IFERROR(Y94*1,"0")+IFERROR(Y95*1,"0")</f>
        <v>1765.8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2359.6</v>
      </c>
      <c r="G505" s="46">
        <f>IFERROR(Y127*1,"0")+IFERROR(Y128*1,"0")+IFERROR(Y132*1,"0")+IFERROR(Y133*1,"0")+IFERROR(Y137*1,"0")+IFERROR(Y138*1,"0")</f>
        <v>330.72</v>
      </c>
      <c r="H505" s="46">
        <f>IFERROR(Y143*1,"0")+IFERROR(Y144*1,"0")+IFERROR(Y148*1,"0")+IFERROR(Y149*1,"0")+IFERROR(Y150*1,"0")+IFERROR(Y151*1,"0")+IFERROR(Y152*1,"0")+IFERROR(Y153*1,"0")+IFERROR(Y157*1,"0")</f>
        <v>247.8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710.96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1614.9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189.79999999999998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381.6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929.7</v>
      </c>
      <c r="R505" s="46">
        <f>IFERROR(Y342*1,"0")+IFERROR(Y343*1,"0")+IFERROR(Y344*1,"0")</f>
        <v>735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3775</v>
      </c>
      <c r="T505" s="46">
        <f>IFERROR(Y375*1,"0")+IFERROR(Y376*1,"0")+IFERROR(Y380*1,"0")+IFERROR(Y381*1,"0")+IFERROR(Y385*1,"0")+IFERROR(Y386*1,"0")+IFERROR(Y387*1,"0")</f>
        <v>156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90.300000000000011</v>
      </c>
      <c r="V505" s="46">
        <f>IFERROR(Y411*1,"0")+IFERROR(Y415*1,"0")+IFERROR(Y416*1,"0")+IFERROR(Y417*1,"0")+IFERROR(Y418*1,"0")</f>
        <v>8.4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1402.08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639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