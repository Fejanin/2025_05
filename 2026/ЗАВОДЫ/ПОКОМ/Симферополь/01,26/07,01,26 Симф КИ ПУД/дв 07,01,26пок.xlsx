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62913" refMode="R1C1"/>
</workbook>
</file>

<file path=xl/calcChain.xml><?xml version="1.0" encoding="utf-8"?>
<calcChain xmlns="http://schemas.openxmlformats.org/spreadsheetml/2006/main">
  <c r="AJ131" i="1" l="1"/>
  <c r="AK131" i="1"/>
  <c r="AL131" i="1"/>
  <c r="AL8" i="1" l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8" i="1"/>
  <c r="AI29" i="1"/>
  <c r="AI30" i="1"/>
  <c r="AI32" i="1"/>
  <c r="AI33" i="1"/>
  <c r="AI34" i="1"/>
  <c r="AI35" i="1"/>
  <c r="AI36" i="1"/>
  <c r="AI38" i="1"/>
  <c r="AI39" i="1"/>
  <c r="AI40" i="1"/>
  <c r="AI41" i="1"/>
  <c r="AI42" i="1"/>
  <c r="AI45" i="1"/>
  <c r="AI46" i="1"/>
  <c r="AI48" i="1"/>
  <c r="AI49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1" i="1"/>
  <c r="AI92" i="1"/>
  <c r="AI93" i="1"/>
  <c r="AI94" i="1"/>
  <c r="AI95" i="1"/>
  <c r="AI96" i="1"/>
  <c r="AI97" i="1"/>
  <c r="AI98" i="1"/>
  <c r="AI99" i="1"/>
  <c r="AI100" i="1"/>
  <c r="AI102" i="1"/>
  <c r="AI104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7" i="1"/>
  <c r="AH8" i="1"/>
  <c r="AH9" i="1"/>
  <c r="AH10" i="1"/>
  <c r="AH11" i="1"/>
  <c r="AH12" i="1"/>
  <c r="AH13" i="1"/>
  <c r="AH14" i="1"/>
  <c r="AH15" i="1"/>
  <c r="AH16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5" i="1"/>
  <c r="AH46" i="1"/>
  <c r="AH47" i="1"/>
  <c r="AH48" i="1"/>
  <c r="AH49" i="1"/>
  <c r="AH51" i="1"/>
  <c r="AH52" i="1"/>
  <c r="AH53" i="1"/>
  <c r="AH54" i="1"/>
  <c r="AH55" i="1"/>
  <c r="AH56" i="1"/>
  <c r="AH57" i="1"/>
  <c r="AH58" i="1"/>
  <c r="AH59" i="1"/>
  <c r="AH60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4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20" i="1"/>
  <c r="AH121" i="1"/>
  <c r="AH122" i="1"/>
  <c r="AH123" i="1"/>
  <c r="AH124" i="1"/>
  <c r="AH125" i="1"/>
  <c r="AH126" i="1"/>
  <c r="AH127" i="1"/>
  <c r="AH128" i="1"/>
  <c r="AH129" i="1"/>
  <c r="AH130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7" i="1"/>
  <c r="AF8" i="1"/>
  <c r="AF9" i="1"/>
  <c r="AF10" i="1"/>
  <c r="AF11" i="1"/>
  <c r="AF6" i="1" s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7" i="1"/>
  <c r="AE6" i="1" s="1"/>
  <c r="AD8" i="1"/>
  <c r="AD9" i="1"/>
  <c r="AD10" i="1"/>
  <c r="AD11" i="1"/>
  <c r="AD6" i="1" s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7" i="1"/>
  <c r="AC10" i="1"/>
  <c r="AC11" i="1"/>
  <c r="AC40" i="1"/>
  <c r="AC6" i="1" s="1"/>
  <c r="AC41" i="1"/>
  <c r="AC42" i="1"/>
  <c r="AC72" i="1"/>
  <c r="AC88" i="1"/>
  <c r="AC106" i="1"/>
  <c r="AC107" i="1"/>
  <c r="AC109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Z69" i="1" s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7" i="1"/>
  <c r="L8" i="1"/>
  <c r="L9" i="1"/>
  <c r="L10" i="1"/>
  <c r="L11" i="1"/>
  <c r="L6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20" i="1"/>
  <c r="J121" i="1"/>
  <c r="J122" i="1"/>
  <c r="J123" i="1"/>
  <c r="J124" i="1"/>
  <c r="J125" i="1"/>
  <c r="J126" i="1"/>
  <c r="J127" i="1"/>
  <c r="J128" i="1"/>
  <c r="J129" i="1"/>
  <c r="J130" i="1"/>
  <c r="J7" i="1"/>
  <c r="J6" i="1" s="1"/>
  <c r="AB6" i="1"/>
  <c r="AG6" i="1"/>
  <c r="AH6" i="1"/>
  <c r="AA6" i="1"/>
  <c r="M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9" i="1"/>
  <c r="H120" i="1"/>
  <c r="H121" i="1"/>
  <c r="H122" i="1"/>
  <c r="H123" i="1"/>
  <c r="H124" i="1"/>
  <c r="H125" i="1"/>
  <c r="H126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7" i="1"/>
  <c r="AL6" i="1" l="1"/>
  <c r="AK6" i="1"/>
  <c r="AJ6" i="1"/>
  <c r="K6" i="1"/>
  <c r="W6" i="1"/>
</calcChain>
</file>

<file path=xl/sharedStrings.xml><?xml version="1.0" encoding="utf-8"?>
<sst xmlns="http://schemas.openxmlformats.org/spreadsheetml/2006/main" count="321" uniqueCount="164">
  <si>
    <t>Период: 31.12.2025 - 07.01.2026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</si>
  <si>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</si>
  <si>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</si>
  <si>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</si>
  <si>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</si>
  <si>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</si>
  <si>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</si>
  <si>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</si>
  <si>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</si>
  <si>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</si>
  <si>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</si>
  <si>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</si>
  <si>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</si>
  <si>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</si>
  <si>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</si>
  <si>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</si>
  <si>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</si>
  <si>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</si>
  <si>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</si>
  <si>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</si>
  <si>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</si>
  <si>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</si>
  <si>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</si>
  <si>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</si>
  <si>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</si>
  <si>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</si>
  <si>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</si>
  <si>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</si>
  <si>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</si>
  <si>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</si>
  <si>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</si>
  <si>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</si>
  <si>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</si>
  <si>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</si>
  <si>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</si>
  <si>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</si>
  <si>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</si>
  <si>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</si>
  <si>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</si>
  <si>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</si>
  <si>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</si>
  <si>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</si>
  <si>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</si>
  <si>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</si>
  <si>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</si>
  <si>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</si>
  <si>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</si>
  <si>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</si>
  <si>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</si>
  <si>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</si>
  <si>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</si>
  <si>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</si>
  <si>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</si>
  <si>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</si>
  <si>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</si>
  <si>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</si>
  <si>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</si>
  <si>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</si>
  <si>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</si>
  <si>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</si>
  <si>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</si>
  <si>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</si>
  <si>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</si>
  <si>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</si>
  <si>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</si>
  <si>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</si>
  <si>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</si>
  <si>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</si>
  <si>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</si>
  <si>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</si>
  <si>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</si>
  <si>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</si>
  <si>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</si>
  <si>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</si>
  <si>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</si>
  <si>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</si>
  <si>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</si>
  <si>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</si>
  <si>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</si>
  <si>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</si>
  <si>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</si>
  <si>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</si>
  <si>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</si>
  <si>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</si>
  <si>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</si>
  <si>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</si>
  <si>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</si>
  <si>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</si>
  <si>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</si>
  <si>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</si>
  <si>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</si>
  <si>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</si>
  <si>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</si>
  <si>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</si>
  <si>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</si>
  <si>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</si>
  <si>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</si>
  <si>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</si>
  <si>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</si>
  <si>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</si>
  <si>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</si>
  <si>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</si>
  <si>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</si>
  <si>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</si>
  <si>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</si>
  <si>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</si>
  <si>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</si>
  <si>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</si>
  <si>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</si>
  <si>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</si>
  <si>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</si>
  <si>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</si>
  <si>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</si>
  <si>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</si>
  <si>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</si>
  <si>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</si>
  <si>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</si>
  <si>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</si>
  <si>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</si>
  <si>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</si>
  <si>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</si>
  <si>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</si>
  <si>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</si>
  <si>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</si>
  <si>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</si>
  <si>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</si>
  <si>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</si>
  <si>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</si>
  <si>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</si>
  <si>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</si>
  <si>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</si>
  <si>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</si>
  <si>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</si>
  <si>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БОНУС_334  Паштет Любительский ТМ Стародворье ламистер 0,1 кг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</si>
  <si>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</si>
  <si>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</si>
  <si>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</si>
  <si>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</si>
  <si>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</si>
  <si>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</si>
  <si>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</si>
  <si>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</si>
  <si>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</si>
  <si>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</si>
  <si>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</si>
  <si>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</si>
  <si>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</si>
  <si>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</si>
  <si>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</si>
  <si>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</si>
  <si>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нов</t>
  </si>
  <si>
    <t>бон</t>
  </si>
  <si>
    <t>08,01,</t>
  </si>
  <si>
    <t>12,01,</t>
  </si>
  <si>
    <t>13,01,</t>
  </si>
  <si>
    <t>05,12,</t>
  </si>
  <si>
    <t>12,12,</t>
  </si>
  <si>
    <t>19,12,</t>
  </si>
  <si>
    <t>26,12,</t>
  </si>
  <si>
    <t>07,01,</t>
  </si>
  <si>
    <t>м0,5тбп</t>
  </si>
  <si>
    <t>15,2т</t>
  </si>
  <si>
    <t>17т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</si>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</sst>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164" fontId="6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66" fontId="0" fillId="6" borderId="0" xfId="0" applyNumberFormat="1" applyFill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7" fillId="0" borderId="0" xfId="0" applyFont="1" applyAlignment="1"/>
    <xf numFmtId="0" fontId="0" fillId="5" borderId="1" xfId="0" applyFill="1" applyBorder="1" applyAlignment="1">
      <alignment horizontal="left" vertical="top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30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01-07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07,01,26&#1082;&#1086;&#1083;-&#1074;&#1086;&#1073;&#108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91;&#1076;%2007,01,26&#1073;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23.12.2025 - 30.12.2025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05-1,</v>
          </cell>
          <cell r="M5" t="str">
            <v>05-2,</v>
          </cell>
          <cell r="N5" t="str">
            <v>06,01,</v>
          </cell>
          <cell r="O5" t="str">
            <v>07-1,</v>
          </cell>
          <cell r="T5" t="str">
            <v>07-2,</v>
          </cell>
          <cell r="V5" t="str">
            <v>07-2,</v>
          </cell>
          <cell r="X5" t="str">
            <v>08,01,</v>
          </cell>
          <cell r="AD5" t="str">
            <v>05,12,</v>
          </cell>
          <cell r="AE5" t="str">
            <v>12,12,</v>
          </cell>
          <cell r="AF5" t="str">
            <v>19,12,</v>
          </cell>
          <cell r="AG5" t="str">
            <v>26,12,</v>
          </cell>
          <cell r="AH5" t="str">
            <v>30,12,</v>
          </cell>
        </row>
        <row r="6">
          <cell r="E6">
            <v>214208.97999999998</v>
          </cell>
          <cell r="F6">
            <v>31672.874</v>
          </cell>
          <cell r="J6">
            <v>228688.47600000002</v>
          </cell>
          <cell r="K6">
            <v>-14479.496000000003</v>
          </cell>
          <cell r="L6">
            <v>25640</v>
          </cell>
          <cell r="M6">
            <v>26090</v>
          </cell>
          <cell r="N6">
            <v>26270</v>
          </cell>
          <cell r="O6">
            <v>27150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5770</v>
          </cell>
          <cell r="U6">
            <v>0</v>
          </cell>
          <cell r="V6">
            <v>24720</v>
          </cell>
          <cell r="W6">
            <v>33072.087666666674</v>
          </cell>
          <cell r="X6">
            <v>28490</v>
          </cell>
          <cell r="AA6">
            <v>0</v>
          </cell>
          <cell r="AB6">
            <v>0</v>
          </cell>
          <cell r="AC6">
            <v>15776.454</v>
          </cell>
          <cell r="AD6">
            <v>25283.0952</v>
          </cell>
          <cell r="AE6">
            <v>24954.934799999992</v>
          </cell>
          <cell r="AF6">
            <v>25406.761799999993</v>
          </cell>
          <cell r="AG6">
            <v>34402.407200000001</v>
          </cell>
          <cell r="AH6">
            <v>34579.318000000007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657.572</v>
          </cell>
          <cell r="D7">
            <v>837.14</v>
          </cell>
          <cell r="E7">
            <v>1393.423</v>
          </cell>
          <cell r="F7">
            <v>37.518000000000001</v>
          </cell>
          <cell r="G7" t="str">
            <v>н</v>
          </cell>
          <cell r="H7">
            <v>1</v>
          </cell>
          <cell r="I7">
            <v>45</v>
          </cell>
          <cell r="J7">
            <v>1500.21</v>
          </cell>
          <cell r="K7">
            <v>-106.78700000000003</v>
          </cell>
          <cell r="L7">
            <v>150</v>
          </cell>
          <cell r="M7">
            <v>150</v>
          </cell>
          <cell r="N7">
            <v>200</v>
          </cell>
          <cell r="O7">
            <v>150</v>
          </cell>
          <cell r="V7">
            <v>200</v>
          </cell>
          <cell r="W7">
            <v>232.23716666666667</v>
          </cell>
          <cell r="X7">
            <v>270</v>
          </cell>
          <cell r="Y7">
            <v>4.9842065187670936</v>
          </cell>
          <cell r="Z7">
            <v>0.16155036912696288</v>
          </cell>
          <cell r="AC7">
            <v>0</v>
          </cell>
          <cell r="AD7">
            <v>117.14380000000001</v>
          </cell>
          <cell r="AE7">
            <v>132.06139999999999</v>
          </cell>
          <cell r="AF7">
            <v>133.971</v>
          </cell>
          <cell r="AG7">
            <v>208.64659999999998</v>
          </cell>
          <cell r="AH7">
            <v>386.99700000000001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1171.913</v>
          </cell>
          <cell r="D8">
            <v>831.78099999999995</v>
          </cell>
          <cell r="E8">
            <v>1516.241</v>
          </cell>
          <cell r="F8">
            <v>445.44400000000002</v>
          </cell>
          <cell r="G8" t="str">
            <v>ябл</v>
          </cell>
          <cell r="H8">
            <v>1</v>
          </cell>
          <cell r="I8">
            <v>45</v>
          </cell>
          <cell r="J8">
            <v>1529.655</v>
          </cell>
          <cell r="K8">
            <v>-13.413999999999987</v>
          </cell>
          <cell r="L8">
            <v>220</v>
          </cell>
          <cell r="M8">
            <v>220</v>
          </cell>
          <cell r="N8">
            <v>250</v>
          </cell>
          <cell r="O8">
            <v>220</v>
          </cell>
          <cell r="V8">
            <v>150</v>
          </cell>
          <cell r="W8">
            <v>252.70683333333332</v>
          </cell>
          <cell r="X8">
            <v>200</v>
          </cell>
          <cell r="Y8">
            <v>6.7487055158118006</v>
          </cell>
          <cell r="Z8">
            <v>1.7626907595824148</v>
          </cell>
          <cell r="AC8">
            <v>0</v>
          </cell>
          <cell r="AD8">
            <v>300.27120000000002</v>
          </cell>
          <cell r="AE8">
            <v>273.18359999999996</v>
          </cell>
          <cell r="AF8">
            <v>257.13679999999999</v>
          </cell>
          <cell r="AG8">
            <v>262.524</v>
          </cell>
          <cell r="AH8">
            <v>264.51499999999999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1336.461</v>
          </cell>
          <cell r="D9">
            <v>1398.357</v>
          </cell>
          <cell r="E9">
            <v>2267.9549999999999</v>
          </cell>
          <cell r="F9">
            <v>407.16899999999998</v>
          </cell>
          <cell r="G9">
            <v>0</v>
          </cell>
          <cell r="H9">
            <v>1</v>
          </cell>
          <cell r="I9">
            <v>45</v>
          </cell>
          <cell r="J9">
            <v>2265.3510000000001</v>
          </cell>
          <cell r="K9">
            <v>2.6039999999998145</v>
          </cell>
          <cell r="L9">
            <v>350</v>
          </cell>
          <cell r="M9">
            <v>350</v>
          </cell>
          <cell r="N9">
            <v>400</v>
          </cell>
          <cell r="O9">
            <v>350</v>
          </cell>
          <cell r="V9">
            <v>350</v>
          </cell>
          <cell r="W9">
            <v>377.99250000000001</v>
          </cell>
          <cell r="X9">
            <v>400</v>
          </cell>
          <cell r="Y9">
            <v>6.8974093401324099</v>
          </cell>
          <cell r="Z9">
            <v>1.0771880394452271</v>
          </cell>
          <cell r="AC9">
            <v>0</v>
          </cell>
          <cell r="AD9">
            <v>331.27879999999999</v>
          </cell>
          <cell r="AE9">
            <v>350.58460000000002</v>
          </cell>
          <cell r="AF9">
            <v>342.4606</v>
          </cell>
          <cell r="AG9">
            <v>423.59820000000002</v>
          </cell>
          <cell r="AH9">
            <v>409.72699999999998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2594</v>
          </cell>
          <cell r="D10">
            <v>3541</v>
          </cell>
          <cell r="E10">
            <v>5824</v>
          </cell>
          <cell r="F10">
            <v>-7</v>
          </cell>
          <cell r="G10" t="str">
            <v>ябл</v>
          </cell>
          <cell r="H10">
            <v>0.4</v>
          </cell>
          <cell r="I10">
            <v>45</v>
          </cell>
          <cell r="J10">
            <v>6564</v>
          </cell>
          <cell r="K10">
            <v>-740</v>
          </cell>
          <cell r="L10">
            <v>550</v>
          </cell>
          <cell r="M10">
            <v>550</v>
          </cell>
          <cell r="N10">
            <v>550</v>
          </cell>
          <cell r="O10">
            <v>400</v>
          </cell>
          <cell r="T10">
            <v>1800</v>
          </cell>
          <cell r="V10">
            <v>600</v>
          </cell>
          <cell r="W10">
            <v>970.66666666666663</v>
          </cell>
          <cell r="X10">
            <v>1200</v>
          </cell>
          <cell r="Y10">
            <v>3.9591346153846154</v>
          </cell>
          <cell r="Z10">
            <v>-7.2115384615384619E-3</v>
          </cell>
          <cell r="AC10">
            <v>0</v>
          </cell>
          <cell r="AD10">
            <v>486.4</v>
          </cell>
          <cell r="AE10">
            <v>572.79999999999995</v>
          </cell>
          <cell r="AF10">
            <v>599.20000000000005</v>
          </cell>
          <cell r="AG10">
            <v>922.6</v>
          </cell>
          <cell r="AH10">
            <v>1098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3513</v>
          </cell>
          <cell r="D11">
            <v>3856</v>
          </cell>
          <cell r="E11">
            <v>6516</v>
          </cell>
          <cell r="F11">
            <v>486</v>
          </cell>
          <cell r="G11">
            <v>0</v>
          </cell>
          <cell r="H11">
            <v>0.45</v>
          </cell>
          <cell r="I11">
            <v>45</v>
          </cell>
          <cell r="J11">
            <v>6849</v>
          </cell>
          <cell r="K11">
            <v>-333</v>
          </cell>
          <cell r="L11">
            <v>800</v>
          </cell>
          <cell r="M11">
            <v>800</v>
          </cell>
          <cell r="N11">
            <v>800</v>
          </cell>
          <cell r="O11">
            <v>800</v>
          </cell>
          <cell r="T11">
            <v>60</v>
          </cell>
          <cell r="V11">
            <v>1000</v>
          </cell>
          <cell r="W11">
            <v>1002</v>
          </cell>
          <cell r="X11">
            <v>1300</v>
          </cell>
          <cell r="Y11">
            <v>5.9740518962075848</v>
          </cell>
          <cell r="Z11">
            <v>0.48502994011976047</v>
          </cell>
          <cell r="AC11">
            <v>504</v>
          </cell>
          <cell r="AD11">
            <v>840.6</v>
          </cell>
          <cell r="AE11">
            <v>893.2</v>
          </cell>
          <cell r="AF11">
            <v>914.4</v>
          </cell>
          <cell r="AG11">
            <v>1030.4000000000001</v>
          </cell>
          <cell r="AH11">
            <v>1134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D12">
            <v>46</v>
          </cell>
          <cell r="E12">
            <v>0</v>
          </cell>
          <cell r="F12">
            <v>46</v>
          </cell>
          <cell r="G12" t="str">
            <v>сч</v>
          </cell>
          <cell r="H12">
            <v>0</v>
          </cell>
          <cell r="I12" t="e">
            <v>#N/A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W12">
            <v>0</v>
          </cell>
          <cell r="Y12" t="e">
            <v>#DIV/0!</v>
          </cell>
          <cell r="Z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#N/A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2340</v>
          </cell>
          <cell r="D13">
            <v>6873</v>
          </cell>
          <cell r="E13">
            <v>7797</v>
          </cell>
          <cell r="F13">
            <v>1091</v>
          </cell>
          <cell r="G13">
            <v>0</v>
          </cell>
          <cell r="H13">
            <v>0.45</v>
          </cell>
          <cell r="I13">
            <v>45</v>
          </cell>
          <cell r="J13">
            <v>9064</v>
          </cell>
          <cell r="K13">
            <v>-1267</v>
          </cell>
          <cell r="L13">
            <v>800</v>
          </cell>
          <cell r="M13">
            <v>800</v>
          </cell>
          <cell r="N13">
            <v>800</v>
          </cell>
          <cell r="O13">
            <v>800</v>
          </cell>
          <cell r="V13">
            <v>500</v>
          </cell>
          <cell r="W13">
            <v>799.5</v>
          </cell>
          <cell r="X13">
            <v>800</v>
          </cell>
          <cell r="Y13">
            <v>6.9931207004377738</v>
          </cell>
          <cell r="Z13">
            <v>1.3646028767979987</v>
          </cell>
          <cell r="AC13">
            <v>3000</v>
          </cell>
          <cell r="AD13">
            <v>706</v>
          </cell>
          <cell r="AE13">
            <v>680.8</v>
          </cell>
          <cell r="AF13">
            <v>647.20000000000005</v>
          </cell>
          <cell r="AG13">
            <v>990.2</v>
          </cell>
          <cell r="AH13">
            <v>1170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63</v>
          </cell>
          <cell r="D14">
            <v>219</v>
          </cell>
          <cell r="E14">
            <v>105</v>
          </cell>
          <cell r="F14">
            <v>151</v>
          </cell>
          <cell r="G14">
            <v>0</v>
          </cell>
          <cell r="H14">
            <v>0.4</v>
          </cell>
          <cell r="I14">
            <v>50</v>
          </cell>
          <cell r="J14">
            <v>149</v>
          </cell>
          <cell r="K14">
            <v>-44</v>
          </cell>
          <cell r="L14">
            <v>20</v>
          </cell>
          <cell r="M14">
            <v>20</v>
          </cell>
          <cell r="N14">
            <v>20</v>
          </cell>
          <cell r="O14">
            <v>20</v>
          </cell>
          <cell r="W14">
            <v>17.5</v>
          </cell>
          <cell r="Y14">
            <v>13.2</v>
          </cell>
          <cell r="Z14">
            <v>8.6285714285714281</v>
          </cell>
          <cell r="AC14">
            <v>0</v>
          </cell>
          <cell r="AD14">
            <v>14.8</v>
          </cell>
          <cell r="AE14">
            <v>16</v>
          </cell>
          <cell r="AF14">
            <v>13.8</v>
          </cell>
          <cell r="AG14">
            <v>20.6</v>
          </cell>
          <cell r="AH14">
            <v>16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1298</v>
          </cell>
          <cell r="D15">
            <v>373</v>
          </cell>
          <cell r="E15">
            <v>960</v>
          </cell>
          <cell r="F15">
            <v>669</v>
          </cell>
          <cell r="G15">
            <v>0</v>
          </cell>
          <cell r="H15">
            <v>0.17</v>
          </cell>
          <cell r="I15">
            <v>180</v>
          </cell>
          <cell r="J15">
            <v>1011</v>
          </cell>
          <cell r="K15">
            <v>-51</v>
          </cell>
          <cell r="L15">
            <v>100</v>
          </cell>
          <cell r="M15">
            <v>100</v>
          </cell>
          <cell r="N15">
            <v>0</v>
          </cell>
          <cell r="O15">
            <v>100</v>
          </cell>
          <cell r="W15">
            <v>160</v>
          </cell>
          <cell r="X15">
            <v>100</v>
          </cell>
          <cell r="Y15">
            <v>6.6812500000000004</v>
          </cell>
          <cell r="Z15">
            <v>4.1812500000000004</v>
          </cell>
          <cell r="AC15">
            <v>0</v>
          </cell>
          <cell r="AD15">
            <v>69</v>
          </cell>
          <cell r="AE15">
            <v>65.2</v>
          </cell>
          <cell r="AF15">
            <v>102.8</v>
          </cell>
          <cell r="AG15">
            <v>147</v>
          </cell>
          <cell r="AH15">
            <v>119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203</v>
          </cell>
          <cell r="D16">
            <v>552</v>
          </cell>
          <cell r="E16">
            <v>407</v>
          </cell>
          <cell r="F16">
            <v>337</v>
          </cell>
          <cell r="G16">
            <v>0</v>
          </cell>
          <cell r="H16">
            <v>0.3</v>
          </cell>
          <cell r="I16">
            <v>40</v>
          </cell>
          <cell r="J16">
            <v>423</v>
          </cell>
          <cell r="K16">
            <v>-16</v>
          </cell>
          <cell r="L16">
            <v>60</v>
          </cell>
          <cell r="M16">
            <v>60</v>
          </cell>
          <cell r="N16">
            <v>60</v>
          </cell>
          <cell r="O16">
            <v>70</v>
          </cell>
          <cell r="W16">
            <v>67.833333333333329</v>
          </cell>
          <cell r="Y16">
            <v>8.6535626535626538</v>
          </cell>
          <cell r="Z16">
            <v>4.9680589680589682</v>
          </cell>
          <cell r="AC16">
            <v>0</v>
          </cell>
          <cell r="AD16">
            <v>77</v>
          </cell>
          <cell r="AE16">
            <v>68.2</v>
          </cell>
          <cell r="AF16">
            <v>68</v>
          </cell>
          <cell r="AG16">
            <v>92.2</v>
          </cell>
          <cell r="AH16">
            <v>77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D17">
            <v>4</v>
          </cell>
          <cell r="E17">
            <v>0</v>
          </cell>
          <cell r="F17">
            <v>4</v>
          </cell>
          <cell r="G17" t="str">
            <v>сч</v>
          </cell>
          <cell r="H17">
            <v>0</v>
          </cell>
          <cell r="I17" t="e">
            <v>#N/A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W17">
            <v>0</v>
          </cell>
          <cell r="Y17" t="e">
            <v>#DIV/0!</v>
          </cell>
          <cell r="Z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18</v>
          </cell>
          <cell r="D18">
            <v>67</v>
          </cell>
          <cell r="E18">
            <v>14</v>
          </cell>
          <cell r="F18">
            <v>67</v>
          </cell>
          <cell r="G18" t="str">
            <v>сч</v>
          </cell>
          <cell r="H18">
            <v>0</v>
          </cell>
          <cell r="I18" t="e">
            <v>#N/A</v>
          </cell>
          <cell r="J18">
            <v>94</v>
          </cell>
          <cell r="K18">
            <v>-80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W18">
            <v>2.3333333333333335</v>
          </cell>
          <cell r="Y18">
            <v>28.714285714285712</v>
          </cell>
          <cell r="Z18">
            <v>28.714285714285712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3.2</v>
          </cell>
          <cell r="AH18">
            <v>0</v>
          </cell>
          <cell r="AI18" t="e">
            <v>#N/A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3592</v>
          </cell>
          <cell r="D19">
            <v>1046</v>
          </cell>
          <cell r="E19">
            <v>3532</v>
          </cell>
          <cell r="F19">
            <v>974</v>
          </cell>
          <cell r="G19">
            <v>0</v>
          </cell>
          <cell r="H19">
            <v>0.17</v>
          </cell>
          <cell r="I19">
            <v>180</v>
          </cell>
          <cell r="J19">
            <v>3653</v>
          </cell>
          <cell r="K19">
            <v>-121</v>
          </cell>
          <cell r="L19">
            <v>300</v>
          </cell>
          <cell r="M19">
            <v>300</v>
          </cell>
          <cell r="N19">
            <v>300</v>
          </cell>
          <cell r="O19">
            <v>500</v>
          </cell>
          <cell r="V19">
            <v>500</v>
          </cell>
          <cell r="W19">
            <v>588.66666666666663</v>
          </cell>
          <cell r="X19">
            <v>600</v>
          </cell>
          <cell r="Y19">
            <v>5.9014722536806348</v>
          </cell>
          <cell r="Z19">
            <v>1.6545866364665913</v>
          </cell>
          <cell r="AC19">
            <v>0</v>
          </cell>
          <cell r="AD19">
            <v>290.60000000000002</v>
          </cell>
          <cell r="AE19">
            <v>285</v>
          </cell>
          <cell r="AF19">
            <v>379.2</v>
          </cell>
          <cell r="AG19">
            <v>563.79999999999995</v>
          </cell>
          <cell r="AH19">
            <v>507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325</v>
          </cell>
          <cell r="D20">
            <v>334</v>
          </cell>
          <cell r="E20">
            <v>532</v>
          </cell>
          <cell r="F20">
            <v>114</v>
          </cell>
          <cell r="G20">
            <v>0</v>
          </cell>
          <cell r="H20">
            <v>0.35</v>
          </cell>
          <cell r="I20">
            <v>45</v>
          </cell>
          <cell r="J20">
            <v>543</v>
          </cell>
          <cell r="K20">
            <v>-11</v>
          </cell>
          <cell r="L20">
            <v>100</v>
          </cell>
          <cell r="M20">
            <v>100</v>
          </cell>
          <cell r="N20">
            <v>100</v>
          </cell>
          <cell r="O20">
            <v>60</v>
          </cell>
          <cell r="V20">
            <v>60</v>
          </cell>
          <cell r="W20">
            <v>88.666666666666671</v>
          </cell>
          <cell r="X20">
            <v>70</v>
          </cell>
          <cell r="Y20">
            <v>6.8120300751879697</v>
          </cell>
          <cell r="Z20">
            <v>1.2857142857142856</v>
          </cell>
          <cell r="AC20">
            <v>0</v>
          </cell>
          <cell r="AD20">
            <v>69.400000000000006</v>
          </cell>
          <cell r="AE20">
            <v>58.8</v>
          </cell>
          <cell r="AF20">
            <v>69</v>
          </cell>
          <cell r="AG20">
            <v>100.4</v>
          </cell>
          <cell r="AH20">
            <v>88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93</v>
          </cell>
          <cell r="D21">
            <v>186</v>
          </cell>
          <cell r="E21">
            <v>238</v>
          </cell>
          <cell r="F21">
            <v>40</v>
          </cell>
          <cell r="G21" t="str">
            <v>н</v>
          </cell>
          <cell r="H21">
            <v>0.35</v>
          </cell>
          <cell r="I21">
            <v>45</v>
          </cell>
          <cell r="J21">
            <v>249</v>
          </cell>
          <cell r="K21">
            <v>-11</v>
          </cell>
          <cell r="L21">
            <v>30</v>
          </cell>
          <cell r="M21">
            <v>30</v>
          </cell>
          <cell r="N21">
            <v>30</v>
          </cell>
          <cell r="O21">
            <v>30</v>
          </cell>
          <cell r="V21">
            <v>40</v>
          </cell>
          <cell r="W21">
            <v>39.666666666666664</v>
          </cell>
          <cell r="X21">
            <v>40</v>
          </cell>
          <cell r="Y21">
            <v>6.0504201680672276</v>
          </cell>
          <cell r="Z21">
            <v>1.0084033613445378</v>
          </cell>
          <cell r="AC21">
            <v>0</v>
          </cell>
          <cell r="AD21">
            <v>20.8</v>
          </cell>
          <cell r="AE21">
            <v>21.4</v>
          </cell>
          <cell r="AF21">
            <v>29.4</v>
          </cell>
          <cell r="AG21">
            <v>36.4</v>
          </cell>
          <cell r="AH21">
            <v>19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107</v>
          </cell>
          <cell r="D22">
            <v>157</v>
          </cell>
          <cell r="E22">
            <v>221</v>
          </cell>
          <cell r="F22">
            <v>18</v>
          </cell>
          <cell r="G22">
            <v>0</v>
          </cell>
          <cell r="H22">
            <v>0.35</v>
          </cell>
          <cell r="I22">
            <v>45</v>
          </cell>
          <cell r="J22">
            <v>262</v>
          </cell>
          <cell r="K22">
            <v>-41</v>
          </cell>
          <cell r="L22">
            <v>30</v>
          </cell>
          <cell r="M22">
            <v>30</v>
          </cell>
          <cell r="N22">
            <v>30</v>
          </cell>
          <cell r="O22">
            <v>30</v>
          </cell>
          <cell r="V22">
            <v>40</v>
          </cell>
          <cell r="W22">
            <v>36.833333333333336</v>
          </cell>
          <cell r="X22">
            <v>40</v>
          </cell>
          <cell r="Y22">
            <v>5.9185520361990944</v>
          </cell>
          <cell r="Z22">
            <v>0.48868778280542985</v>
          </cell>
          <cell r="AC22">
            <v>0</v>
          </cell>
          <cell r="AD22">
            <v>42</v>
          </cell>
          <cell r="AE22">
            <v>24.4</v>
          </cell>
          <cell r="AF22">
            <v>23</v>
          </cell>
          <cell r="AG22">
            <v>37</v>
          </cell>
          <cell r="AH22">
            <v>34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536</v>
          </cell>
          <cell r="D23">
            <v>740</v>
          </cell>
          <cell r="E23">
            <v>1043</v>
          </cell>
          <cell r="F23">
            <v>196</v>
          </cell>
          <cell r="G23">
            <v>0</v>
          </cell>
          <cell r="H23">
            <v>0.35</v>
          </cell>
          <cell r="I23">
            <v>45</v>
          </cell>
          <cell r="J23">
            <v>1071</v>
          </cell>
          <cell r="K23">
            <v>-28</v>
          </cell>
          <cell r="L23">
            <v>150</v>
          </cell>
          <cell r="M23">
            <v>150</v>
          </cell>
          <cell r="N23">
            <v>150</v>
          </cell>
          <cell r="O23">
            <v>120</v>
          </cell>
          <cell r="V23">
            <v>130</v>
          </cell>
          <cell r="W23">
            <v>173.83333333333334</v>
          </cell>
          <cell r="X23">
            <v>150</v>
          </cell>
          <cell r="Y23">
            <v>6.0172579098753589</v>
          </cell>
          <cell r="Z23">
            <v>1.1275167785234899</v>
          </cell>
          <cell r="AC23">
            <v>0</v>
          </cell>
          <cell r="AD23">
            <v>122.6</v>
          </cell>
          <cell r="AE23">
            <v>121.2</v>
          </cell>
          <cell r="AF23">
            <v>129.19999999999999</v>
          </cell>
          <cell r="AG23">
            <v>187.6</v>
          </cell>
          <cell r="AH23">
            <v>182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370.399</v>
          </cell>
          <cell r="D24">
            <v>994.10900000000004</v>
          </cell>
          <cell r="E24">
            <v>891.77599999999995</v>
          </cell>
          <cell r="F24">
            <v>414.108</v>
          </cell>
          <cell r="G24">
            <v>0</v>
          </cell>
          <cell r="H24">
            <v>1</v>
          </cell>
          <cell r="I24">
            <v>50</v>
          </cell>
          <cell r="J24">
            <v>888.28599999999994</v>
          </cell>
          <cell r="K24">
            <v>3.4900000000000091</v>
          </cell>
          <cell r="L24">
            <v>120</v>
          </cell>
          <cell r="M24">
            <v>120</v>
          </cell>
          <cell r="N24">
            <v>120</v>
          </cell>
          <cell r="O24">
            <v>120</v>
          </cell>
          <cell r="V24">
            <v>100</v>
          </cell>
          <cell r="W24">
            <v>148.62933333333334</v>
          </cell>
          <cell r="X24">
            <v>100</v>
          </cell>
          <cell r="Y24">
            <v>7.3613194344768189</v>
          </cell>
          <cell r="Z24">
            <v>2.7861794890196641</v>
          </cell>
          <cell r="AC24">
            <v>0</v>
          </cell>
          <cell r="AD24">
            <v>114.099</v>
          </cell>
          <cell r="AE24">
            <v>150.761</v>
          </cell>
          <cell r="AF24">
            <v>130.65540000000001</v>
          </cell>
          <cell r="AG24">
            <v>207.97220000000002</v>
          </cell>
          <cell r="AH24">
            <v>167.71799999999999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3845.3870000000002</v>
          </cell>
          <cell r="D25">
            <v>6971.6040000000003</v>
          </cell>
          <cell r="E25">
            <v>10437.361999999999</v>
          </cell>
          <cell r="F25">
            <v>231.59100000000001</v>
          </cell>
          <cell r="G25">
            <v>0</v>
          </cell>
          <cell r="H25">
            <v>1</v>
          </cell>
          <cell r="I25">
            <v>50</v>
          </cell>
          <cell r="J25">
            <v>10847.708000000001</v>
          </cell>
          <cell r="K25">
            <v>-410.34600000000137</v>
          </cell>
          <cell r="L25">
            <v>1700</v>
          </cell>
          <cell r="M25">
            <v>1500</v>
          </cell>
          <cell r="N25">
            <v>1800</v>
          </cell>
          <cell r="O25">
            <v>1500</v>
          </cell>
          <cell r="V25">
            <v>1200</v>
          </cell>
          <cell r="W25">
            <v>1739.5603333333331</v>
          </cell>
          <cell r="X25">
            <v>1800</v>
          </cell>
          <cell r="Y25">
            <v>5.59428196511724</v>
          </cell>
          <cell r="Z25">
            <v>0.13313191589982221</v>
          </cell>
          <cell r="AC25">
            <v>0</v>
          </cell>
          <cell r="AD25">
            <v>1120.8812</v>
          </cell>
          <cell r="AE25">
            <v>1186.6727999999998</v>
          </cell>
          <cell r="AF25">
            <v>1173.5764000000001</v>
          </cell>
          <cell r="AG25">
            <v>1803.1950000000002</v>
          </cell>
          <cell r="AH25">
            <v>1663.961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775.37</v>
          </cell>
          <cell r="D26">
            <v>117.991</v>
          </cell>
          <cell r="E26">
            <v>698.38599999999997</v>
          </cell>
          <cell r="F26">
            <v>178.352</v>
          </cell>
          <cell r="G26">
            <v>0</v>
          </cell>
          <cell r="H26">
            <v>1</v>
          </cell>
          <cell r="I26">
            <v>50</v>
          </cell>
          <cell r="J26">
            <v>690.06200000000001</v>
          </cell>
          <cell r="K26">
            <v>8.3239999999999554</v>
          </cell>
          <cell r="L26">
            <v>70</v>
          </cell>
          <cell r="M26">
            <v>70</v>
          </cell>
          <cell r="N26">
            <v>70</v>
          </cell>
          <cell r="O26">
            <v>80</v>
          </cell>
          <cell r="V26">
            <v>80</v>
          </cell>
          <cell r="W26">
            <v>116.39766666666667</v>
          </cell>
          <cell r="X26">
            <v>100</v>
          </cell>
          <cell r="Y26">
            <v>5.5701460224002197</v>
          </cell>
          <cell r="Z26">
            <v>1.5322643924706394</v>
          </cell>
          <cell r="AC26">
            <v>0</v>
          </cell>
          <cell r="AD26">
            <v>54.423199999999994</v>
          </cell>
          <cell r="AE26">
            <v>88.0488</v>
          </cell>
          <cell r="AF26">
            <v>61.163199999999996</v>
          </cell>
          <cell r="AG26">
            <v>113.8644</v>
          </cell>
          <cell r="AH26">
            <v>83.099000000000004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D27">
            <v>20.02</v>
          </cell>
          <cell r="E27">
            <v>0.748</v>
          </cell>
          <cell r="F27">
            <v>19.271999999999998</v>
          </cell>
          <cell r="G27" t="str">
            <v>сч</v>
          </cell>
          <cell r="H27">
            <v>0</v>
          </cell>
          <cell r="I27" t="e">
            <v>#N/A</v>
          </cell>
          <cell r="J27">
            <v>0.8</v>
          </cell>
          <cell r="K27">
            <v>-5.2000000000000046E-2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W27">
            <v>0.12466666666666666</v>
          </cell>
          <cell r="Y27">
            <v>154.58823529411765</v>
          </cell>
          <cell r="Z27">
            <v>154.58823529411765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0.748</v>
          </cell>
          <cell r="AI27" t="e">
            <v>#N/A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465.81599999999997</v>
          </cell>
          <cell r="D28">
            <v>835.19</v>
          </cell>
          <cell r="E28">
            <v>1145.2360000000001</v>
          </cell>
          <cell r="F28">
            <v>112.59</v>
          </cell>
          <cell r="G28">
            <v>0</v>
          </cell>
          <cell r="H28">
            <v>1</v>
          </cell>
          <cell r="I28">
            <v>50</v>
          </cell>
          <cell r="J28">
            <v>1161.451</v>
          </cell>
          <cell r="K28">
            <v>-16.214999999999918</v>
          </cell>
          <cell r="L28">
            <v>120</v>
          </cell>
          <cell r="M28">
            <v>120</v>
          </cell>
          <cell r="N28">
            <v>120</v>
          </cell>
          <cell r="O28">
            <v>130</v>
          </cell>
          <cell r="V28">
            <v>160</v>
          </cell>
          <cell r="W28">
            <v>190.87266666666667</v>
          </cell>
          <cell r="X28">
            <v>250</v>
          </cell>
          <cell r="Y28">
            <v>5.3050550279593027</v>
          </cell>
          <cell r="Z28">
            <v>0.58986968624807468</v>
          </cell>
          <cell r="AC28">
            <v>0</v>
          </cell>
          <cell r="AD28">
            <v>128.01519999999999</v>
          </cell>
          <cell r="AE28">
            <v>165.38720000000001</v>
          </cell>
          <cell r="AF28">
            <v>136.9958</v>
          </cell>
          <cell r="AG28">
            <v>211.07859999999999</v>
          </cell>
          <cell r="AH28">
            <v>201.49299999999999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219.11</v>
          </cell>
          <cell r="D29">
            <v>132.03200000000001</v>
          </cell>
          <cell r="E29">
            <v>308.91300000000001</v>
          </cell>
          <cell r="F29">
            <v>31.032</v>
          </cell>
          <cell r="G29">
            <v>0</v>
          </cell>
          <cell r="H29">
            <v>1</v>
          </cell>
          <cell r="I29">
            <v>60</v>
          </cell>
          <cell r="J29">
            <v>310.428</v>
          </cell>
          <cell r="K29">
            <v>-1.5149999999999864</v>
          </cell>
          <cell r="L29">
            <v>40</v>
          </cell>
          <cell r="M29">
            <v>40</v>
          </cell>
          <cell r="N29">
            <v>40</v>
          </cell>
          <cell r="O29">
            <v>40</v>
          </cell>
          <cell r="V29">
            <v>40</v>
          </cell>
          <cell r="W29">
            <v>51.485500000000002</v>
          </cell>
          <cell r="X29">
            <v>50</v>
          </cell>
          <cell r="Y29">
            <v>5.4584688892989286</v>
          </cell>
          <cell r="Z29">
            <v>0.60273280826640507</v>
          </cell>
          <cell r="AC29">
            <v>0</v>
          </cell>
          <cell r="AD29">
            <v>38.140799999999999</v>
          </cell>
          <cell r="AE29">
            <v>52.771400000000007</v>
          </cell>
          <cell r="AF29">
            <v>35.9084</v>
          </cell>
          <cell r="AG29">
            <v>59.824800000000003</v>
          </cell>
          <cell r="AH29">
            <v>29.050999999999998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300.67200000000003</v>
          </cell>
          <cell r="D30">
            <v>523.50300000000004</v>
          </cell>
          <cell r="E30">
            <v>581.06299999999999</v>
          </cell>
          <cell r="F30">
            <v>208.006</v>
          </cell>
          <cell r="G30">
            <v>0</v>
          </cell>
          <cell r="H30">
            <v>1</v>
          </cell>
          <cell r="I30">
            <v>60</v>
          </cell>
          <cell r="J30">
            <v>594.17100000000005</v>
          </cell>
          <cell r="K30">
            <v>-13.108000000000061</v>
          </cell>
          <cell r="L30">
            <v>60</v>
          </cell>
          <cell r="M30">
            <v>60</v>
          </cell>
          <cell r="N30">
            <v>60</v>
          </cell>
          <cell r="O30">
            <v>70</v>
          </cell>
          <cell r="V30">
            <v>70</v>
          </cell>
          <cell r="W30">
            <v>96.843833333333336</v>
          </cell>
          <cell r="X30">
            <v>70</v>
          </cell>
          <cell r="Y30">
            <v>6.1749517694294758</v>
          </cell>
          <cell r="Z30">
            <v>2.1478497168121184</v>
          </cell>
          <cell r="AC30">
            <v>0</v>
          </cell>
          <cell r="AD30">
            <v>84.236599999999996</v>
          </cell>
          <cell r="AE30">
            <v>89.378</v>
          </cell>
          <cell r="AF30">
            <v>71.462999999999994</v>
          </cell>
          <cell r="AG30">
            <v>115.19980000000001</v>
          </cell>
          <cell r="AH30">
            <v>96.515000000000001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D31">
            <v>24.238</v>
          </cell>
          <cell r="E31">
            <v>1.0880000000000001</v>
          </cell>
          <cell r="F31">
            <v>23.15</v>
          </cell>
          <cell r="G31" t="str">
            <v>сч</v>
          </cell>
          <cell r="H31">
            <v>0</v>
          </cell>
          <cell r="I31" t="e">
            <v>#N/A</v>
          </cell>
          <cell r="J31">
            <v>0.8</v>
          </cell>
          <cell r="K31">
            <v>0.28800000000000003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W31">
            <v>0.18133333333333335</v>
          </cell>
          <cell r="Y31">
            <v>127.66544117647057</v>
          </cell>
          <cell r="Z31">
            <v>127.66544117647057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1.0880000000000001</v>
          </cell>
          <cell r="AI31" t="e">
            <v>#N/A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129.19</v>
          </cell>
          <cell r="D32">
            <v>724.13800000000003</v>
          </cell>
          <cell r="E32">
            <v>552.93700000000001</v>
          </cell>
          <cell r="F32">
            <v>282.81900000000002</v>
          </cell>
          <cell r="G32">
            <v>0</v>
          </cell>
          <cell r="H32">
            <v>1</v>
          </cell>
          <cell r="I32">
            <v>60</v>
          </cell>
          <cell r="J32">
            <v>584.79600000000005</v>
          </cell>
          <cell r="K32">
            <v>-31.859000000000037</v>
          </cell>
          <cell r="L32">
            <v>70</v>
          </cell>
          <cell r="M32">
            <v>70</v>
          </cell>
          <cell r="N32">
            <v>70</v>
          </cell>
          <cell r="O32">
            <v>80</v>
          </cell>
          <cell r="W32">
            <v>92.156166666666664</v>
          </cell>
          <cell r="X32">
            <v>50</v>
          </cell>
          <cell r="Y32">
            <v>6.7582997701365617</v>
          </cell>
          <cell r="Z32">
            <v>3.0689102013430105</v>
          </cell>
          <cell r="AC32">
            <v>0</v>
          </cell>
          <cell r="AD32">
            <v>81.914400000000001</v>
          </cell>
          <cell r="AE32">
            <v>86.447599999999994</v>
          </cell>
          <cell r="AF32">
            <v>80.891800000000003</v>
          </cell>
          <cell r="AG32">
            <v>137.86340000000001</v>
          </cell>
          <cell r="AH32">
            <v>93.206000000000003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70.075000000000003</v>
          </cell>
          <cell r="D33">
            <v>121.428</v>
          </cell>
          <cell r="E33">
            <v>143.31700000000001</v>
          </cell>
          <cell r="F33">
            <v>46.703000000000003</v>
          </cell>
          <cell r="G33">
            <v>0</v>
          </cell>
          <cell r="H33">
            <v>1</v>
          </cell>
          <cell r="I33">
            <v>30</v>
          </cell>
          <cell r="J33">
            <v>149.928</v>
          </cell>
          <cell r="K33">
            <v>-6.61099999999999</v>
          </cell>
          <cell r="L33">
            <v>10</v>
          </cell>
          <cell r="M33">
            <v>10</v>
          </cell>
          <cell r="N33">
            <v>10</v>
          </cell>
          <cell r="O33">
            <v>20</v>
          </cell>
          <cell r="V33">
            <v>20</v>
          </cell>
          <cell r="W33">
            <v>23.886166666666668</v>
          </cell>
          <cell r="X33">
            <v>30</v>
          </cell>
          <cell r="Y33">
            <v>6.1417556884389146</v>
          </cell>
          <cell r="Z33">
            <v>1.9552321078448474</v>
          </cell>
          <cell r="AC33">
            <v>0</v>
          </cell>
          <cell r="AD33">
            <v>21.4802</v>
          </cell>
          <cell r="AE33">
            <v>18.440999999999999</v>
          </cell>
          <cell r="AF33">
            <v>21.8674</v>
          </cell>
          <cell r="AG33">
            <v>23.006399999999999</v>
          </cell>
          <cell r="AH33">
            <v>29.498999999999999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140.99199999999999</v>
          </cell>
          <cell r="D34">
            <v>90.308000000000007</v>
          </cell>
          <cell r="E34">
            <v>201.083</v>
          </cell>
          <cell r="F34">
            <v>15.568</v>
          </cell>
          <cell r="G34" t="str">
            <v>н</v>
          </cell>
          <cell r="H34">
            <v>1</v>
          </cell>
          <cell r="I34">
            <v>30</v>
          </cell>
          <cell r="J34">
            <v>201.35</v>
          </cell>
          <cell r="K34">
            <v>-0.26699999999999591</v>
          </cell>
          <cell r="L34">
            <v>30</v>
          </cell>
          <cell r="M34">
            <v>30</v>
          </cell>
          <cell r="N34">
            <v>30</v>
          </cell>
          <cell r="O34">
            <v>30</v>
          </cell>
          <cell r="V34">
            <v>30</v>
          </cell>
          <cell r="W34">
            <v>33.513833333333331</v>
          </cell>
          <cell r="X34">
            <v>30</v>
          </cell>
          <cell r="Y34">
            <v>5.8354410865165134</v>
          </cell>
          <cell r="Z34">
            <v>0.4645245992948186</v>
          </cell>
          <cell r="AC34">
            <v>0</v>
          </cell>
          <cell r="AD34">
            <v>30.839199999999998</v>
          </cell>
          <cell r="AE34">
            <v>28.170800000000003</v>
          </cell>
          <cell r="AF34">
            <v>30.975599999999996</v>
          </cell>
          <cell r="AG34">
            <v>41.822800000000001</v>
          </cell>
          <cell r="AH34">
            <v>12.981999999999999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534.21400000000006</v>
          </cell>
          <cell r="D35">
            <v>1961.0450000000001</v>
          </cell>
          <cell r="E35">
            <v>1953.886</v>
          </cell>
          <cell r="F35">
            <v>493.50599999999997</v>
          </cell>
          <cell r="G35">
            <v>0</v>
          </cell>
          <cell r="H35">
            <v>1</v>
          </cell>
          <cell r="I35">
            <v>30</v>
          </cell>
          <cell r="J35">
            <v>1954.404</v>
          </cell>
          <cell r="K35">
            <v>-0.5180000000000291</v>
          </cell>
          <cell r="L35">
            <v>250</v>
          </cell>
          <cell r="M35">
            <v>250</v>
          </cell>
          <cell r="N35">
            <v>300</v>
          </cell>
          <cell r="O35">
            <v>200</v>
          </cell>
          <cell r="V35">
            <v>300</v>
          </cell>
          <cell r="W35">
            <v>325.64766666666668</v>
          </cell>
          <cell r="X35">
            <v>300</v>
          </cell>
          <cell r="Y35">
            <v>6.4287455869994456</v>
          </cell>
          <cell r="Z35">
            <v>1.5154599603047465</v>
          </cell>
          <cell r="AC35">
            <v>0</v>
          </cell>
          <cell r="AD35">
            <v>364.33580000000001</v>
          </cell>
          <cell r="AE35">
            <v>334.79160000000002</v>
          </cell>
          <cell r="AF35">
            <v>326.66060000000004</v>
          </cell>
          <cell r="AG35">
            <v>355.68400000000003</v>
          </cell>
          <cell r="AH35">
            <v>360.04300000000001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50.689</v>
          </cell>
          <cell r="D36">
            <v>171.89500000000001</v>
          </cell>
          <cell r="E36">
            <v>81.683999999999997</v>
          </cell>
          <cell r="F36">
            <v>140.9</v>
          </cell>
          <cell r="G36">
            <v>0</v>
          </cell>
          <cell r="H36">
            <v>1</v>
          </cell>
          <cell r="I36">
            <v>40</v>
          </cell>
          <cell r="J36">
            <v>83.65</v>
          </cell>
          <cell r="K36">
            <v>-1.9660000000000082</v>
          </cell>
          <cell r="L36">
            <v>10</v>
          </cell>
          <cell r="M36">
            <v>10</v>
          </cell>
          <cell r="N36">
            <v>10</v>
          </cell>
          <cell r="O36">
            <v>0</v>
          </cell>
          <cell r="W36">
            <v>13.613999999999999</v>
          </cell>
          <cell r="Y36">
            <v>12.553254003231968</v>
          </cell>
          <cell r="Z36">
            <v>10.349640076391951</v>
          </cell>
          <cell r="AC36">
            <v>0</v>
          </cell>
          <cell r="AD36">
            <v>19.1998</v>
          </cell>
          <cell r="AE36">
            <v>19.645</v>
          </cell>
          <cell r="AF36">
            <v>26.098399999999998</v>
          </cell>
          <cell r="AG36">
            <v>18.698799999999999</v>
          </cell>
          <cell r="AH36">
            <v>23.928000000000001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126.151</v>
          </cell>
          <cell r="D37">
            <v>115.64</v>
          </cell>
          <cell r="E37">
            <v>165.291</v>
          </cell>
          <cell r="F37">
            <v>76.5</v>
          </cell>
          <cell r="G37" t="str">
            <v>н</v>
          </cell>
          <cell r="H37">
            <v>1</v>
          </cell>
          <cell r="I37">
            <v>35</v>
          </cell>
          <cell r="J37">
            <v>164.9</v>
          </cell>
          <cell r="K37">
            <v>0.39099999999999113</v>
          </cell>
          <cell r="L37">
            <v>10</v>
          </cell>
          <cell r="M37">
            <v>10</v>
          </cell>
          <cell r="N37">
            <v>10</v>
          </cell>
          <cell r="O37">
            <v>0</v>
          </cell>
          <cell r="V37">
            <v>30</v>
          </cell>
          <cell r="W37">
            <v>27.548500000000001</v>
          </cell>
          <cell r="X37">
            <v>30</v>
          </cell>
          <cell r="Y37">
            <v>6.0438862370001996</v>
          </cell>
          <cell r="Z37">
            <v>2.7769207034865779</v>
          </cell>
          <cell r="AC37">
            <v>0</v>
          </cell>
          <cell r="AD37">
            <v>24.002800000000001</v>
          </cell>
          <cell r="AE37">
            <v>16.987200000000001</v>
          </cell>
          <cell r="AF37">
            <v>26.175999999999998</v>
          </cell>
          <cell r="AG37">
            <v>21.5246</v>
          </cell>
          <cell r="AH37">
            <v>89.415999999999997</v>
          </cell>
          <cell r="AI37">
            <v>0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690.178</v>
          </cell>
          <cell r="D38">
            <v>650.42399999999998</v>
          </cell>
          <cell r="E38">
            <v>932.44899999999996</v>
          </cell>
          <cell r="F38">
            <v>381.65699999999998</v>
          </cell>
          <cell r="G38">
            <v>0</v>
          </cell>
          <cell r="H38">
            <v>1</v>
          </cell>
          <cell r="I38">
            <v>30</v>
          </cell>
          <cell r="J38">
            <v>897.98400000000004</v>
          </cell>
          <cell r="K38">
            <v>34.464999999999918</v>
          </cell>
          <cell r="L38">
            <v>150</v>
          </cell>
          <cell r="M38">
            <v>150</v>
          </cell>
          <cell r="N38">
            <v>150</v>
          </cell>
          <cell r="O38">
            <v>100</v>
          </cell>
          <cell r="W38">
            <v>155.40816666666666</v>
          </cell>
          <cell r="X38">
            <v>100</v>
          </cell>
          <cell r="Y38">
            <v>6.6383705704011691</v>
          </cell>
          <cell r="Z38">
            <v>2.455836190504789</v>
          </cell>
          <cell r="AC38">
            <v>0</v>
          </cell>
          <cell r="AD38">
            <v>239.15120000000002</v>
          </cell>
          <cell r="AE38">
            <v>219.10579999999999</v>
          </cell>
          <cell r="AF38">
            <v>198.5076</v>
          </cell>
          <cell r="AG38">
            <v>174.524</v>
          </cell>
          <cell r="AH38">
            <v>137.11000000000001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11.654999999999999</v>
          </cell>
          <cell r="E39">
            <v>9.843</v>
          </cell>
          <cell r="F39">
            <v>1.8120000000000001</v>
          </cell>
          <cell r="G39" t="str">
            <v>вв1912</v>
          </cell>
          <cell r="H39">
            <v>0</v>
          </cell>
          <cell r="I39">
            <v>45</v>
          </cell>
          <cell r="J39">
            <v>18.600000000000001</v>
          </cell>
          <cell r="K39">
            <v>-8.7570000000000014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W39">
            <v>1.6405000000000001</v>
          </cell>
          <cell r="Y39">
            <v>1.1045412983846388</v>
          </cell>
          <cell r="Z39">
            <v>1.1045412983846388</v>
          </cell>
          <cell r="AC39">
            <v>0</v>
          </cell>
          <cell r="AD39">
            <v>1.0891999999999999</v>
          </cell>
          <cell r="AE39">
            <v>0.36659999999999998</v>
          </cell>
          <cell r="AF39">
            <v>0.5514</v>
          </cell>
          <cell r="AG39">
            <v>4.1146000000000003</v>
          </cell>
          <cell r="AH39">
            <v>0</v>
          </cell>
          <cell r="AI39" t="str">
            <v>увел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B40" t="str">
            <v>кг</v>
          </cell>
          <cell r="C40">
            <v>10.182</v>
          </cell>
          <cell r="E40">
            <v>10.78</v>
          </cell>
          <cell r="F40">
            <v>-0.59799999999999998</v>
          </cell>
          <cell r="G40" t="str">
            <v>вв1912</v>
          </cell>
          <cell r="H40">
            <v>0</v>
          </cell>
          <cell r="I40">
            <v>45</v>
          </cell>
          <cell r="J40">
            <v>13.7</v>
          </cell>
          <cell r="K40">
            <v>-2.92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W40">
            <v>1.7966666666666666</v>
          </cell>
          <cell r="Y40">
            <v>-0.33283858998144711</v>
          </cell>
          <cell r="Z40">
            <v>-0.33283858998144711</v>
          </cell>
          <cell r="AC40">
            <v>0</v>
          </cell>
          <cell r="AD40">
            <v>2.4874000000000001</v>
          </cell>
          <cell r="AE40">
            <v>1.0664</v>
          </cell>
          <cell r="AF40">
            <v>1.2609999999999999</v>
          </cell>
          <cell r="AG40">
            <v>2.5162</v>
          </cell>
          <cell r="AH40">
            <v>0</v>
          </cell>
          <cell r="AI40" t="str">
            <v>увел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B41" t="str">
            <v>кг</v>
          </cell>
          <cell r="C41">
            <v>-1.4999999999999999E-2</v>
          </cell>
          <cell r="E41">
            <v>0</v>
          </cell>
          <cell r="F41">
            <v>-1.4999999999999999E-2</v>
          </cell>
          <cell r="G41" t="str">
            <v>вв1912</v>
          </cell>
          <cell r="H41">
            <v>0</v>
          </cell>
          <cell r="I41">
            <v>45</v>
          </cell>
          <cell r="J41">
            <v>0.8</v>
          </cell>
          <cell r="K41">
            <v>-0.8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W41">
            <v>0</v>
          </cell>
          <cell r="Y41" t="e">
            <v>#DIV/0!</v>
          </cell>
          <cell r="Z41" t="e">
            <v>#DIV/0!</v>
          </cell>
          <cell r="AC41">
            <v>0</v>
          </cell>
          <cell r="AD41">
            <v>0.90280000000000005</v>
          </cell>
          <cell r="AE41">
            <v>1.254</v>
          </cell>
          <cell r="AF41">
            <v>1.0742</v>
          </cell>
          <cell r="AG41">
            <v>2.3359999999999999</v>
          </cell>
          <cell r="AH41">
            <v>0</v>
          </cell>
          <cell r="AI41">
            <v>0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B42" t="str">
            <v>шт</v>
          </cell>
          <cell r="C42">
            <v>1059</v>
          </cell>
          <cell r="D42">
            <v>3888</v>
          </cell>
          <cell r="E42">
            <v>4544</v>
          </cell>
          <cell r="F42">
            <v>293</v>
          </cell>
          <cell r="G42">
            <v>0</v>
          </cell>
          <cell r="H42">
            <v>0.35</v>
          </cell>
          <cell r="I42">
            <v>40</v>
          </cell>
          <cell r="J42">
            <v>4628</v>
          </cell>
          <cell r="K42">
            <v>-84</v>
          </cell>
          <cell r="L42">
            <v>350</v>
          </cell>
          <cell r="M42">
            <v>350</v>
          </cell>
          <cell r="N42">
            <v>350</v>
          </cell>
          <cell r="O42">
            <v>400</v>
          </cell>
          <cell r="T42">
            <v>1002</v>
          </cell>
          <cell r="V42">
            <v>500</v>
          </cell>
          <cell r="W42">
            <v>507.33333333333331</v>
          </cell>
          <cell r="X42">
            <v>400</v>
          </cell>
          <cell r="Y42">
            <v>5.2095926412614979</v>
          </cell>
          <cell r="Z42">
            <v>0.57752956636005259</v>
          </cell>
          <cell r="AC42">
            <v>1500</v>
          </cell>
          <cell r="AD42">
            <v>360.6</v>
          </cell>
          <cell r="AE42">
            <v>336.4</v>
          </cell>
          <cell r="AF42">
            <v>372.2</v>
          </cell>
          <cell r="AG42">
            <v>512.6</v>
          </cell>
          <cell r="AH42">
            <v>480</v>
          </cell>
          <cell r="AI42" t="str">
            <v>оконч</v>
          </cell>
        </row>
        <row r="43">
          <cell r="A43" t="str">
            <v xml:space="preserve"> 273  Сосиски Сочинки с сочной грудинкой, МГС 0.4кг,   ПОКОМ</v>
          </cell>
          <cell r="B43" t="str">
            <v>шт</v>
          </cell>
          <cell r="C43">
            <v>2396</v>
          </cell>
          <cell r="D43">
            <v>2764</v>
          </cell>
          <cell r="E43">
            <v>4299</v>
          </cell>
          <cell r="F43">
            <v>662</v>
          </cell>
          <cell r="G43">
            <v>0</v>
          </cell>
          <cell r="H43">
            <v>0.4</v>
          </cell>
          <cell r="I43">
            <v>40</v>
          </cell>
          <cell r="J43">
            <v>4527</v>
          </cell>
          <cell r="K43">
            <v>-228</v>
          </cell>
          <cell r="L43">
            <v>400</v>
          </cell>
          <cell r="M43">
            <v>400</v>
          </cell>
          <cell r="N43">
            <v>400</v>
          </cell>
          <cell r="O43">
            <v>500</v>
          </cell>
          <cell r="T43">
            <v>102</v>
          </cell>
          <cell r="V43">
            <v>600</v>
          </cell>
          <cell r="W43">
            <v>599.5</v>
          </cell>
          <cell r="X43">
            <v>600</v>
          </cell>
          <cell r="Y43">
            <v>5.9416180150125104</v>
          </cell>
          <cell r="Z43">
            <v>1.1042535446205171</v>
          </cell>
          <cell r="AC43">
            <v>702</v>
          </cell>
          <cell r="AD43">
            <v>651.4</v>
          </cell>
          <cell r="AE43">
            <v>616</v>
          </cell>
          <cell r="AF43">
            <v>605.20000000000005</v>
          </cell>
          <cell r="AG43">
            <v>646.6</v>
          </cell>
          <cell r="AH43">
            <v>580</v>
          </cell>
          <cell r="AI43">
            <v>0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B44" t="str">
            <v>шт</v>
          </cell>
          <cell r="C44">
            <v>2500</v>
          </cell>
          <cell r="D44">
            <v>3950</v>
          </cell>
          <cell r="E44">
            <v>6094</v>
          </cell>
          <cell r="F44">
            <v>-3</v>
          </cell>
          <cell r="G44">
            <v>0</v>
          </cell>
          <cell r="H44">
            <v>0.45</v>
          </cell>
          <cell r="I44">
            <v>45</v>
          </cell>
          <cell r="J44">
            <v>6822</v>
          </cell>
          <cell r="K44">
            <v>-728</v>
          </cell>
          <cell r="L44">
            <v>600</v>
          </cell>
          <cell r="M44">
            <v>600</v>
          </cell>
          <cell r="N44">
            <v>800</v>
          </cell>
          <cell r="O44">
            <v>600</v>
          </cell>
          <cell r="T44">
            <v>1050</v>
          </cell>
          <cell r="V44">
            <v>800</v>
          </cell>
          <cell r="W44">
            <v>932.33333333333337</v>
          </cell>
          <cell r="X44">
            <v>1200</v>
          </cell>
          <cell r="Y44">
            <v>4.9306399713979259</v>
          </cell>
          <cell r="Z44">
            <v>-3.2177332856632105E-3</v>
          </cell>
          <cell r="AC44">
            <v>500</v>
          </cell>
          <cell r="AD44">
            <v>774</v>
          </cell>
          <cell r="AE44">
            <v>585.6</v>
          </cell>
          <cell r="AF44">
            <v>616.4</v>
          </cell>
          <cell r="AG44">
            <v>929.2</v>
          </cell>
          <cell r="AH44">
            <v>851</v>
          </cell>
          <cell r="AI44" t="str">
            <v>оконч</v>
          </cell>
        </row>
        <row r="45">
          <cell r="A45" t="str">
            <v xml:space="preserve"> 278  Сосиски Сочинки с сочным окороком, МГС 0.4кг,   ПОКОМ</v>
          </cell>
          <cell r="B45" t="str">
            <v>шт</v>
          </cell>
          <cell r="C45">
            <v>90</v>
          </cell>
          <cell r="D45">
            <v>6</v>
          </cell>
          <cell r="E45">
            <v>64</v>
          </cell>
          <cell r="F45">
            <v>23</v>
          </cell>
          <cell r="G45" t="str">
            <v>сч</v>
          </cell>
          <cell r="H45">
            <v>0</v>
          </cell>
          <cell r="I45" t="e">
            <v>#N/A</v>
          </cell>
          <cell r="J45">
            <v>89</v>
          </cell>
          <cell r="K45">
            <v>-25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W45">
            <v>10.666666666666666</v>
          </cell>
          <cell r="Y45">
            <v>2.15625</v>
          </cell>
          <cell r="Z45">
            <v>2.15625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10.4</v>
          </cell>
          <cell r="AH45">
            <v>12</v>
          </cell>
          <cell r="AI45" t="str">
            <v>Новор</v>
          </cell>
        </row>
        <row r="46">
          <cell r="A46" t="str">
            <v xml:space="preserve"> 281  Сосиски Молочные для завтрака ТМ Особый рецепт, 0,4кг  ПОКОМ</v>
          </cell>
          <cell r="B46" t="str">
            <v>шт</v>
          </cell>
          <cell r="D46">
            <v>81</v>
          </cell>
          <cell r="E46">
            <v>0</v>
          </cell>
          <cell r="F46">
            <v>81</v>
          </cell>
          <cell r="G46" t="str">
            <v>сч</v>
          </cell>
          <cell r="H46">
            <v>0</v>
          </cell>
          <cell r="I46" t="e">
            <v>#N/A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W46">
            <v>0</v>
          </cell>
          <cell r="Y46" t="e">
            <v>#DIV/0!</v>
          </cell>
          <cell r="Z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e">
            <v>#N/A</v>
          </cell>
        </row>
        <row r="47">
          <cell r="A47" t="str">
            <v xml:space="preserve"> 283  Сосиски Сочинки, ВЕС, ТМ Стародворье ПОКОМ</v>
          </cell>
          <cell r="B47" t="str">
            <v>кг</v>
          </cell>
          <cell r="C47">
            <v>362.726</v>
          </cell>
          <cell r="D47">
            <v>405.77199999999999</v>
          </cell>
          <cell r="E47">
            <v>527.89400000000001</v>
          </cell>
          <cell r="F47">
            <v>215.31399999999999</v>
          </cell>
          <cell r="G47">
            <v>0</v>
          </cell>
          <cell r="H47">
            <v>1</v>
          </cell>
          <cell r="I47">
            <v>40</v>
          </cell>
          <cell r="J47">
            <v>538.38199999999995</v>
          </cell>
          <cell r="K47">
            <v>-10.487999999999943</v>
          </cell>
          <cell r="L47">
            <v>50</v>
          </cell>
          <cell r="M47">
            <v>50</v>
          </cell>
          <cell r="N47">
            <v>50</v>
          </cell>
          <cell r="O47">
            <v>80</v>
          </cell>
          <cell r="V47">
            <v>50</v>
          </cell>
          <cell r="W47">
            <v>87.98233333333333</v>
          </cell>
          <cell r="X47">
            <v>50</v>
          </cell>
          <cell r="Y47">
            <v>6.1979942943090842</v>
          </cell>
          <cell r="Z47">
            <v>2.4472413022311299</v>
          </cell>
          <cell r="AC47">
            <v>0</v>
          </cell>
          <cell r="AD47">
            <v>123.4212</v>
          </cell>
          <cell r="AE47">
            <v>107.28279999999999</v>
          </cell>
          <cell r="AF47">
            <v>98.318799999999996</v>
          </cell>
          <cell r="AG47">
            <v>105.9096</v>
          </cell>
          <cell r="AH47">
            <v>94.834000000000003</v>
          </cell>
          <cell r="AI47">
            <v>0</v>
          </cell>
        </row>
        <row r="48">
          <cell r="A48" t="str">
            <v xml:space="preserve"> 285  Паштет печеночный со слив.маслом ТМ Стародворье ламистер 0,1 кг  ПОКОМ</v>
          </cell>
          <cell r="B48" t="str">
            <v>шт</v>
          </cell>
          <cell r="C48">
            <v>4606</v>
          </cell>
          <cell r="D48">
            <v>133</v>
          </cell>
          <cell r="E48">
            <v>992</v>
          </cell>
          <cell r="F48">
            <v>3684</v>
          </cell>
          <cell r="G48">
            <v>0</v>
          </cell>
          <cell r="H48">
            <v>0.1</v>
          </cell>
          <cell r="I48">
            <v>730</v>
          </cell>
          <cell r="J48">
            <v>1052</v>
          </cell>
          <cell r="K48">
            <v>-60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W48">
            <v>165.33333333333334</v>
          </cell>
          <cell r="Y48">
            <v>22.282258064516128</v>
          </cell>
          <cell r="Z48">
            <v>22.282258064516128</v>
          </cell>
          <cell r="AC48">
            <v>0</v>
          </cell>
          <cell r="AD48">
            <v>231.2</v>
          </cell>
          <cell r="AE48">
            <v>187.6</v>
          </cell>
          <cell r="AF48">
            <v>195.6</v>
          </cell>
          <cell r="AG48">
            <v>192.8</v>
          </cell>
          <cell r="AH48">
            <v>80</v>
          </cell>
          <cell r="AI48">
            <v>0</v>
          </cell>
        </row>
        <row r="49">
          <cell r="A49" t="str">
            <v xml:space="preserve"> 291  Сосиски Молокуши миникушай ТМ Вязанка, 0.33кг, ПОКОМ</v>
          </cell>
          <cell r="B49" t="str">
            <v>шт</v>
          </cell>
          <cell r="D49">
            <v>90</v>
          </cell>
          <cell r="E49">
            <v>0</v>
          </cell>
          <cell r="F49">
            <v>90</v>
          </cell>
          <cell r="G49" t="str">
            <v>сч</v>
          </cell>
          <cell r="H49">
            <v>0</v>
          </cell>
          <cell r="I49" t="e">
            <v>#N/A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W49">
            <v>0</v>
          </cell>
          <cell r="Y49" t="e">
            <v>#DIV/0!</v>
          </cell>
          <cell r="Z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#N/A</v>
          </cell>
        </row>
        <row r="50">
          <cell r="A50" t="str">
            <v xml:space="preserve"> 296  Колбаса Мясорубская с рубленой грудинкой 0,35кг срез ТМ Стародворье  ПОКОМ</v>
          </cell>
          <cell r="B50" t="str">
            <v>шт</v>
          </cell>
          <cell r="C50">
            <v>715</v>
          </cell>
          <cell r="D50">
            <v>1281</v>
          </cell>
          <cell r="E50">
            <v>1726</v>
          </cell>
          <cell r="F50">
            <v>200</v>
          </cell>
          <cell r="G50">
            <v>0</v>
          </cell>
          <cell r="H50">
            <v>0.35</v>
          </cell>
          <cell r="I50">
            <v>40</v>
          </cell>
          <cell r="J50">
            <v>1809</v>
          </cell>
          <cell r="K50">
            <v>-83</v>
          </cell>
          <cell r="L50">
            <v>200</v>
          </cell>
          <cell r="M50">
            <v>200</v>
          </cell>
          <cell r="N50">
            <v>200</v>
          </cell>
          <cell r="O50">
            <v>200</v>
          </cell>
          <cell r="V50">
            <v>200</v>
          </cell>
          <cell r="W50">
            <v>287.66666666666669</v>
          </cell>
          <cell r="X50">
            <v>300</v>
          </cell>
          <cell r="Y50">
            <v>5.2143684820393972</v>
          </cell>
          <cell r="Z50">
            <v>0.69524913093858631</v>
          </cell>
          <cell r="AC50">
            <v>0</v>
          </cell>
          <cell r="AD50">
            <v>245.2</v>
          </cell>
          <cell r="AE50">
            <v>206</v>
          </cell>
          <cell r="AF50">
            <v>212</v>
          </cell>
          <cell r="AG50">
            <v>280.2</v>
          </cell>
          <cell r="AH50">
            <v>240</v>
          </cell>
          <cell r="AI50">
            <v>0</v>
          </cell>
        </row>
        <row r="51">
          <cell r="A51" t="str">
            <v xml:space="preserve"> 297  Колбаса Мясорубская с рубленой грудинкой ВЕС ТМ Стародворье  ПОКОМ</v>
          </cell>
          <cell r="B51" t="str">
            <v>кг</v>
          </cell>
          <cell r="C51">
            <v>158.82</v>
          </cell>
          <cell r="D51">
            <v>322.02100000000002</v>
          </cell>
          <cell r="E51">
            <v>442.363</v>
          </cell>
          <cell r="F51">
            <v>21.027000000000001</v>
          </cell>
          <cell r="G51">
            <v>0</v>
          </cell>
          <cell r="H51">
            <v>1</v>
          </cell>
          <cell r="I51">
            <v>40</v>
          </cell>
          <cell r="J51">
            <v>496.00200000000001</v>
          </cell>
          <cell r="K51">
            <v>-53.63900000000001</v>
          </cell>
          <cell r="L51">
            <v>50</v>
          </cell>
          <cell r="M51">
            <v>50</v>
          </cell>
          <cell r="N51">
            <v>50</v>
          </cell>
          <cell r="O51">
            <v>70</v>
          </cell>
          <cell r="V51">
            <v>50</v>
          </cell>
          <cell r="W51">
            <v>73.727166666666662</v>
          </cell>
          <cell r="X51">
            <v>80</v>
          </cell>
          <cell r="Y51">
            <v>5.032432640162039</v>
          </cell>
          <cell r="Z51">
            <v>0.28520016366649115</v>
          </cell>
          <cell r="AC51">
            <v>0</v>
          </cell>
          <cell r="AD51">
            <v>48.555999999999997</v>
          </cell>
          <cell r="AE51">
            <v>41.4724</v>
          </cell>
          <cell r="AF51">
            <v>45.653599999999997</v>
          </cell>
          <cell r="AG51">
            <v>79.4816</v>
          </cell>
          <cell r="AH51">
            <v>67.635000000000005</v>
          </cell>
          <cell r="AI51">
            <v>0</v>
          </cell>
        </row>
        <row r="52">
          <cell r="A52" t="str">
            <v xml:space="preserve"> 298  Колбаса Сливушка ТМ Вязанка, 0,375кг,  ПОКОМ</v>
          </cell>
          <cell r="B52" t="str">
            <v>шт</v>
          </cell>
          <cell r="D52">
            <v>45</v>
          </cell>
          <cell r="E52">
            <v>0</v>
          </cell>
          <cell r="F52">
            <v>45</v>
          </cell>
          <cell r="G52" t="str">
            <v>сч</v>
          </cell>
          <cell r="H52">
            <v>0</v>
          </cell>
          <cell r="I52" t="e">
            <v>#N/A</v>
          </cell>
          <cell r="J52">
            <v>10</v>
          </cell>
          <cell r="K52">
            <v>-10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W52">
            <v>0</v>
          </cell>
          <cell r="Y52" t="e">
            <v>#DIV/0!</v>
          </cell>
          <cell r="Z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#N/A</v>
          </cell>
        </row>
        <row r="53">
          <cell r="A53" t="str">
            <v xml:space="preserve"> 301  Сосиски Сочинки по-баварски с сыром,  0.4кг, ТМ Стародворье  ПОКОМ</v>
          </cell>
          <cell r="B53" t="str">
            <v>шт</v>
          </cell>
          <cell r="C53">
            <v>768</v>
          </cell>
          <cell r="D53">
            <v>684</v>
          </cell>
          <cell r="E53">
            <v>1058</v>
          </cell>
          <cell r="F53">
            <v>251</v>
          </cell>
          <cell r="G53">
            <v>0</v>
          </cell>
          <cell r="H53">
            <v>0.4</v>
          </cell>
          <cell r="I53">
            <v>35</v>
          </cell>
          <cell r="J53">
            <v>1210</v>
          </cell>
          <cell r="K53">
            <v>-152</v>
          </cell>
          <cell r="L53">
            <v>150</v>
          </cell>
          <cell r="M53">
            <v>150</v>
          </cell>
          <cell r="N53">
            <v>150</v>
          </cell>
          <cell r="O53">
            <v>100</v>
          </cell>
          <cell r="V53">
            <v>100</v>
          </cell>
          <cell r="W53">
            <v>176.33333333333334</v>
          </cell>
          <cell r="X53">
            <v>100</v>
          </cell>
          <cell r="Y53">
            <v>5.6767485822306236</v>
          </cell>
          <cell r="Z53">
            <v>1.4234404536862002</v>
          </cell>
          <cell r="AC53">
            <v>0</v>
          </cell>
          <cell r="AD53">
            <v>193.4</v>
          </cell>
          <cell r="AE53">
            <v>204.6</v>
          </cell>
          <cell r="AF53">
            <v>188.8</v>
          </cell>
          <cell r="AG53">
            <v>213.2</v>
          </cell>
          <cell r="AH53">
            <v>182</v>
          </cell>
          <cell r="AI53">
            <v>0</v>
          </cell>
        </row>
        <row r="54">
          <cell r="A54" t="str">
            <v xml:space="preserve"> 302  Сосиски Сочинки по-баварски,  0.4кг, ТМ Стародворье  ПОКОМ</v>
          </cell>
          <cell r="B54" t="str">
            <v>шт</v>
          </cell>
          <cell r="C54">
            <v>1229</v>
          </cell>
          <cell r="D54">
            <v>1219</v>
          </cell>
          <cell r="E54">
            <v>2117</v>
          </cell>
          <cell r="F54">
            <v>204</v>
          </cell>
          <cell r="G54">
            <v>0</v>
          </cell>
          <cell r="H54">
            <v>0.4</v>
          </cell>
          <cell r="I54">
            <v>40</v>
          </cell>
          <cell r="J54">
            <v>2222</v>
          </cell>
          <cell r="K54">
            <v>-105</v>
          </cell>
          <cell r="L54">
            <v>250</v>
          </cell>
          <cell r="M54">
            <v>250</v>
          </cell>
          <cell r="N54">
            <v>250</v>
          </cell>
          <cell r="O54">
            <v>300</v>
          </cell>
          <cell r="V54">
            <v>300</v>
          </cell>
          <cell r="W54">
            <v>352.83333333333331</v>
          </cell>
          <cell r="X54">
            <v>300</v>
          </cell>
          <cell r="Y54">
            <v>5.2546055739253665</v>
          </cell>
          <cell r="Z54">
            <v>0.57817666509211152</v>
          </cell>
          <cell r="AC54">
            <v>0</v>
          </cell>
          <cell r="AD54">
            <v>326.2</v>
          </cell>
          <cell r="AE54">
            <v>345.6</v>
          </cell>
          <cell r="AF54">
            <v>296</v>
          </cell>
          <cell r="AG54">
            <v>379.2</v>
          </cell>
          <cell r="AH54">
            <v>424</v>
          </cell>
          <cell r="AI54">
            <v>0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B55" t="str">
            <v>кг</v>
          </cell>
          <cell r="C55">
            <v>141.07499999999999</v>
          </cell>
          <cell r="D55">
            <v>166.732</v>
          </cell>
          <cell r="E55">
            <v>306.959</v>
          </cell>
          <cell r="F55">
            <v>-7.1379999999999999</v>
          </cell>
          <cell r="G55" t="str">
            <v>лид, я</v>
          </cell>
          <cell r="H55">
            <v>1</v>
          </cell>
          <cell r="I55">
            <v>40</v>
          </cell>
          <cell r="J55">
            <v>352.8</v>
          </cell>
          <cell r="K55">
            <v>-45.841000000000008</v>
          </cell>
          <cell r="L55">
            <v>40</v>
          </cell>
          <cell r="M55">
            <v>40</v>
          </cell>
          <cell r="N55">
            <v>40</v>
          </cell>
          <cell r="O55">
            <v>50</v>
          </cell>
          <cell r="V55">
            <v>50</v>
          </cell>
          <cell r="W55">
            <v>51.159833333333331</v>
          </cell>
          <cell r="X55">
            <v>50</v>
          </cell>
          <cell r="Y55">
            <v>5.1380542678338141</v>
          </cell>
          <cell r="Z55">
            <v>-0.13952351942767602</v>
          </cell>
          <cell r="AC55">
            <v>0</v>
          </cell>
          <cell r="AD55">
            <v>32.434800000000003</v>
          </cell>
          <cell r="AE55">
            <v>29.039200000000001</v>
          </cell>
          <cell r="AF55">
            <v>34.444400000000002</v>
          </cell>
          <cell r="AG55">
            <v>52.5456</v>
          </cell>
          <cell r="AH55">
            <v>41.85</v>
          </cell>
          <cell r="AI55">
            <v>0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B56" t="str">
            <v>кг</v>
          </cell>
          <cell r="C56">
            <v>293.81700000000001</v>
          </cell>
          <cell r="D56">
            <v>477.334</v>
          </cell>
          <cell r="E56">
            <v>742.12800000000004</v>
          </cell>
          <cell r="F56">
            <v>14.496</v>
          </cell>
          <cell r="G56">
            <v>0</v>
          </cell>
          <cell r="H56">
            <v>1</v>
          </cell>
          <cell r="I56">
            <v>40</v>
          </cell>
          <cell r="J56">
            <v>802.32799999999997</v>
          </cell>
          <cell r="K56">
            <v>-60.199999999999932</v>
          </cell>
          <cell r="L56">
            <v>100</v>
          </cell>
          <cell r="M56">
            <v>100</v>
          </cell>
          <cell r="N56">
            <v>100</v>
          </cell>
          <cell r="O56">
            <v>80</v>
          </cell>
          <cell r="V56">
            <v>100</v>
          </cell>
          <cell r="W56">
            <v>123.688</v>
          </cell>
          <cell r="X56">
            <v>100</v>
          </cell>
          <cell r="Y56">
            <v>4.8064161438458051</v>
          </cell>
          <cell r="Z56">
            <v>0.11719811137701314</v>
          </cell>
          <cell r="AC56">
            <v>0</v>
          </cell>
          <cell r="AD56">
            <v>93.0214</v>
          </cell>
          <cell r="AE56">
            <v>76.961399999999998</v>
          </cell>
          <cell r="AF56">
            <v>83.297200000000004</v>
          </cell>
          <cell r="AG56">
            <v>136.81620000000001</v>
          </cell>
          <cell r="AH56">
            <v>76.352999999999994</v>
          </cell>
          <cell r="AI56" t="str">
            <v>оконч вип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B57" t="str">
            <v>шт</v>
          </cell>
          <cell r="C57">
            <v>875</v>
          </cell>
          <cell r="D57">
            <v>1619</v>
          </cell>
          <cell r="E57">
            <v>2154</v>
          </cell>
          <cell r="F57">
            <v>262</v>
          </cell>
          <cell r="G57" t="str">
            <v>лид, я</v>
          </cell>
          <cell r="H57">
            <v>0.35</v>
          </cell>
          <cell r="I57">
            <v>40</v>
          </cell>
          <cell r="J57">
            <v>2222</v>
          </cell>
          <cell r="K57">
            <v>-68</v>
          </cell>
          <cell r="L57">
            <v>250</v>
          </cell>
          <cell r="M57">
            <v>250</v>
          </cell>
          <cell r="N57">
            <v>250</v>
          </cell>
          <cell r="O57">
            <v>250</v>
          </cell>
          <cell r="V57">
            <v>300</v>
          </cell>
          <cell r="W57">
            <v>359</v>
          </cell>
          <cell r="X57">
            <v>250</v>
          </cell>
          <cell r="Y57">
            <v>5.0473537604456826</v>
          </cell>
          <cell r="Z57">
            <v>0.72980501392757657</v>
          </cell>
          <cell r="AC57">
            <v>0</v>
          </cell>
          <cell r="AD57">
            <v>284.2</v>
          </cell>
          <cell r="AE57">
            <v>255.8</v>
          </cell>
          <cell r="AF57">
            <v>272.39999999999998</v>
          </cell>
          <cell r="AG57">
            <v>346.2</v>
          </cell>
          <cell r="AH57">
            <v>364</v>
          </cell>
          <cell r="AI57">
            <v>0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B58" t="str">
            <v>шт</v>
          </cell>
          <cell r="C58">
            <v>1549</v>
          </cell>
          <cell r="D58">
            <v>2605</v>
          </cell>
          <cell r="E58">
            <v>3658</v>
          </cell>
          <cell r="F58">
            <v>359</v>
          </cell>
          <cell r="G58">
            <v>0</v>
          </cell>
          <cell r="H58">
            <v>0.35</v>
          </cell>
          <cell r="I58">
            <v>40</v>
          </cell>
          <cell r="J58">
            <v>3779</v>
          </cell>
          <cell r="K58">
            <v>-121</v>
          </cell>
          <cell r="L58">
            <v>350</v>
          </cell>
          <cell r="M58">
            <v>350</v>
          </cell>
          <cell r="N58">
            <v>350</v>
          </cell>
          <cell r="O58">
            <v>400</v>
          </cell>
          <cell r="V58">
            <v>500</v>
          </cell>
          <cell r="W58">
            <v>609.66666666666663</v>
          </cell>
          <cell r="X58">
            <v>500</v>
          </cell>
          <cell r="Y58">
            <v>4.6074357572443958</v>
          </cell>
          <cell r="Z58">
            <v>0.5888463641334063</v>
          </cell>
          <cell r="AC58">
            <v>0</v>
          </cell>
          <cell r="AD58">
            <v>484.6</v>
          </cell>
          <cell r="AE58">
            <v>432.4</v>
          </cell>
          <cell r="AF58">
            <v>419.8</v>
          </cell>
          <cell r="AG58">
            <v>613.20000000000005</v>
          </cell>
          <cell r="AH58">
            <v>517</v>
          </cell>
          <cell r="AI58">
            <v>0</v>
          </cell>
        </row>
        <row r="59">
          <cell r="A59" t="str">
            <v xml:space="preserve"> 309  Сосиски Сочинки с сыром 0,4 кг ТМ Стародворье  ПОКОМ</v>
          </cell>
          <cell r="B59" t="str">
            <v>шт</v>
          </cell>
          <cell r="C59">
            <v>774</v>
          </cell>
          <cell r="D59">
            <v>805</v>
          </cell>
          <cell r="E59">
            <v>1454</v>
          </cell>
          <cell r="F59">
            <v>48</v>
          </cell>
          <cell r="G59">
            <v>0</v>
          </cell>
          <cell r="H59">
            <v>0.4</v>
          </cell>
          <cell r="I59">
            <v>35</v>
          </cell>
          <cell r="J59">
            <v>1536</v>
          </cell>
          <cell r="K59">
            <v>-82</v>
          </cell>
          <cell r="L59">
            <v>150</v>
          </cell>
          <cell r="M59">
            <v>150</v>
          </cell>
          <cell r="N59">
            <v>150</v>
          </cell>
          <cell r="O59">
            <v>180</v>
          </cell>
          <cell r="V59">
            <v>200</v>
          </cell>
          <cell r="W59">
            <v>242.33333333333334</v>
          </cell>
          <cell r="X59">
            <v>200</v>
          </cell>
          <cell r="Y59">
            <v>4.4484181568088035</v>
          </cell>
          <cell r="Z59">
            <v>0.19807427785419532</v>
          </cell>
          <cell r="AC59">
            <v>0</v>
          </cell>
          <cell r="AD59">
            <v>247.6</v>
          </cell>
          <cell r="AE59">
            <v>225.4</v>
          </cell>
          <cell r="AF59">
            <v>219.4</v>
          </cell>
          <cell r="AG59">
            <v>244.6</v>
          </cell>
          <cell r="AH59">
            <v>243</v>
          </cell>
          <cell r="AI59">
            <v>0</v>
          </cell>
        </row>
        <row r="60">
          <cell r="A60" t="str">
            <v xml:space="preserve"> 312  Ветчина Филейская ВЕС ТМ  Вязанка ТС Столичная  ПОКОМ</v>
          </cell>
          <cell r="B60" t="str">
            <v>кг</v>
          </cell>
          <cell r="C60">
            <v>665.16300000000001</v>
          </cell>
          <cell r="D60">
            <v>1140.8679999999999</v>
          </cell>
          <cell r="E60">
            <v>1329.1369999999999</v>
          </cell>
          <cell r="F60">
            <v>459.37599999999998</v>
          </cell>
          <cell r="G60">
            <v>0</v>
          </cell>
          <cell r="H60">
            <v>1</v>
          </cell>
          <cell r="I60">
            <v>50</v>
          </cell>
          <cell r="J60">
            <v>1334.107</v>
          </cell>
          <cell r="K60">
            <v>-4.9700000000000273</v>
          </cell>
          <cell r="L60">
            <v>120</v>
          </cell>
          <cell r="M60">
            <v>120</v>
          </cell>
          <cell r="N60">
            <v>120</v>
          </cell>
          <cell r="O60">
            <v>180</v>
          </cell>
          <cell r="V60">
            <v>180</v>
          </cell>
          <cell r="W60">
            <v>221.52283333333332</v>
          </cell>
          <cell r="X60">
            <v>200</v>
          </cell>
          <cell r="Y60">
            <v>6.2267892625064238</v>
          </cell>
          <cell r="Z60">
            <v>2.0737185105824305</v>
          </cell>
          <cell r="AC60">
            <v>0</v>
          </cell>
          <cell r="AD60">
            <v>177.4718</v>
          </cell>
          <cell r="AE60">
            <v>186.9632</v>
          </cell>
          <cell r="AF60">
            <v>181.9392</v>
          </cell>
          <cell r="AG60">
            <v>256.62</v>
          </cell>
          <cell r="AH60">
            <v>195.864</v>
          </cell>
          <cell r="AI60" t="str">
            <v>жц</v>
          </cell>
        </row>
        <row r="61">
          <cell r="A61" t="str">
            <v xml:space="preserve"> 315  Колбаса вареная Молокуша ТМ Вязанка ВЕС, ПОКОМ</v>
          </cell>
          <cell r="B61" t="str">
            <v>кг</v>
          </cell>
          <cell r="C61">
            <v>543.27300000000002</v>
          </cell>
          <cell r="D61">
            <v>804.35599999999999</v>
          </cell>
          <cell r="E61">
            <v>1309.1590000000001</v>
          </cell>
          <cell r="F61">
            <v>-2.3849999999999998</v>
          </cell>
          <cell r="G61" t="str">
            <v>н</v>
          </cell>
          <cell r="H61">
            <v>1</v>
          </cell>
          <cell r="I61">
            <v>50</v>
          </cell>
          <cell r="J61">
            <v>1428.6189999999999</v>
          </cell>
          <cell r="K61">
            <v>-119.45999999999981</v>
          </cell>
          <cell r="L61">
            <v>150</v>
          </cell>
          <cell r="M61">
            <v>150</v>
          </cell>
          <cell r="N61">
            <v>150</v>
          </cell>
          <cell r="O61">
            <v>150</v>
          </cell>
          <cell r="V61">
            <v>200</v>
          </cell>
          <cell r="W61">
            <v>218.19316666666668</v>
          </cell>
          <cell r="X61">
            <v>300</v>
          </cell>
          <cell r="Y61">
            <v>5.0304737621633429</v>
          </cell>
          <cell r="Z61">
            <v>-1.0930681452749435E-2</v>
          </cell>
          <cell r="AC61">
            <v>0</v>
          </cell>
          <cell r="AD61">
            <v>138.21420000000001</v>
          </cell>
          <cell r="AE61">
            <v>121.88040000000001</v>
          </cell>
          <cell r="AF61">
            <v>142.25820000000002</v>
          </cell>
          <cell r="AG61">
            <v>223.82919999999999</v>
          </cell>
          <cell r="AH61">
            <v>151.726</v>
          </cell>
          <cell r="AI61">
            <v>0</v>
          </cell>
        </row>
        <row r="62">
          <cell r="A62" t="str">
            <v xml:space="preserve"> 316  Колбаса Нежная ТМ Зареченские ВЕС  ПОКОМ</v>
          </cell>
          <cell r="B62" t="str">
            <v>кг</v>
          </cell>
          <cell r="C62">
            <v>907.52300000000002</v>
          </cell>
          <cell r="D62">
            <v>29.988</v>
          </cell>
          <cell r="E62">
            <v>836.24199999999996</v>
          </cell>
          <cell r="F62">
            <v>57.63</v>
          </cell>
          <cell r="G62" t="str">
            <v>яблпром</v>
          </cell>
          <cell r="H62">
            <v>1</v>
          </cell>
          <cell r="I62">
            <v>50</v>
          </cell>
          <cell r="J62">
            <v>831.96400000000006</v>
          </cell>
          <cell r="K62">
            <v>4.2779999999999063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V62">
            <v>50</v>
          </cell>
          <cell r="W62">
            <v>139.37366666666665</v>
          </cell>
          <cell r="X62">
            <v>30</v>
          </cell>
          <cell r="Y62">
            <v>0.98748926746085475</v>
          </cell>
          <cell r="Z62">
            <v>0.41349274492312038</v>
          </cell>
          <cell r="AC62">
            <v>0</v>
          </cell>
          <cell r="AD62">
            <v>44.662599999999998</v>
          </cell>
          <cell r="AE62">
            <v>30.8918</v>
          </cell>
          <cell r="AF62">
            <v>26.476199999999999</v>
          </cell>
          <cell r="AG62">
            <v>102.7748</v>
          </cell>
          <cell r="AH62">
            <v>100.581</v>
          </cell>
          <cell r="AI62" t="str">
            <v>Ларин0</v>
          </cell>
        </row>
        <row r="63">
          <cell r="A63" t="str">
            <v xml:space="preserve"> 317 Колбаса Сервелат Рижский ТМ Зареченские, ВЕС  ПОКОМ</v>
          </cell>
          <cell r="B63" t="str">
            <v>кг</v>
          </cell>
          <cell r="C63">
            <v>46.917000000000002</v>
          </cell>
          <cell r="D63">
            <v>0.73299999999999998</v>
          </cell>
          <cell r="E63">
            <v>46.146999999999998</v>
          </cell>
          <cell r="F63">
            <v>0.77</v>
          </cell>
          <cell r="G63" t="str">
            <v>хз</v>
          </cell>
          <cell r="H63">
            <v>0</v>
          </cell>
          <cell r="I63" t="e">
            <v>#N/A</v>
          </cell>
          <cell r="J63">
            <v>58.62</v>
          </cell>
          <cell r="K63">
            <v>-12.472999999999999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W63">
            <v>7.6911666666666667</v>
          </cell>
          <cell r="Y63">
            <v>0.10011485036947147</v>
          </cell>
          <cell r="Z63">
            <v>0.10011485036947147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8.7919999999999998</v>
          </cell>
          <cell r="AH63">
            <v>0</v>
          </cell>
          <cell r="AI63" t="e">
            <v>#N/A</v>
          </cell>
        </row>
        <row r="64">
          <cell r="A64" t="str">
            <v xml:space="preserve"> 318  Сосиски Датские ТМ Зареченские, ВЕС  ПОКОМ</v>
          </cell>
          <cell r="B64" t="str">
            <v>кг</v>
          </cell>
          <cell r="C64">
            <v>3427.8670000000002</v>
          </cell>
          <cell r="D64">
            <v>4955.2020000000002</v>
          </cell>
          <cell r="E64">
            <v>6658.99</v>
          </cell>
          <cell r="F64">
            <v>1632.9739999999999</v>
          </cell>
          <cell r="G64">
            <v>0</v>
          </cell>
          <cell r="H64">
            <v>1</v>
          </cell>
          <cell r="I64">
            <v>40</v>
          </cell>
          <cell r="J64">
            <v>6567.3850000000002</v>
          </cell>
          <cell r="K64">
            <v>91.604999999999563</v>
          </cell>
          <cell r="L64">
            <v>1000</v>
          </cell>
          <cell r="M64">
            <v>1000</v>
          </cell>
          <cell r="N64">
            <v>1000</v>
          </cell>
          <cell r="O64">
            <v>900</v>
          </cell>
          <cell r="V64">
            <v>800</v>
          </cell>
          <cell r="W64">
            <v>1109.8316666666667</v>
          </cell>
          <cell r="X64">
            <v>900</v>
          </cell>
          <cell r="Y64">
            <v>6.5171811340758881</v>
          </cell>
          <cell r="Z64">
            <v>1.4713708835724335</v>
          </cell>
          <cell r="AC64">
            <v>0</v>
          </cell>
          <cell r="AD64">
            <v>999.38760000000002</v>
          </cell>
          <cell r="AE64">
            <v>1029.8522</v>
          </cell>
          <cell r="AF64">
            <v>1106.8102000000001</v>
          </cell>
          <cell r="AG64">
            <v>1284.4756</v>
          </cell>
          <cell r="AH64">
            <v>1680.2139999999999</v>
          </cell>
          <cell r="AI64" t="str">
            <v>проддек-ян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B65" t="str">
            <v>шт</v>
          </cell>
          <cell r="C65">
            <v>2608</v>
          </cell>
          <cell r="D65">
            <v>7656</v>
          </cell>
          <cell r="E65">
            <v>9835</v>
          </cell>
          <cell r="F65">
            <v>-6</v>
          </cell>
          <cell r="G65">
            <v>0</v>
          </cell>
          <cell r="H65">
            <v>0.45</v>
          </cell>
          <cell r="I65">
            <v>50</v>
          </cell>
          <cell r="J65">
            <v>10440</v>
          </cell>
          <cell r="K65">
            <v>-605</v>
          </cell>
          <cell r="L65">
            <v>1000</v>
          </cell>
          <cell r="M65">
            <v>1000</v>
          </cell>
          <cell r="N65">
            <v>1000</v>
          </cell>
          <cell r="O65">
            <v>1000</v>
          </cell>
          <cell r="V65">
            <v>1200</v>
          </cell>
          <cell r="W65">
            <v>1239.1666666666667</v>
          </cell>
          <cell r="X65">
            <v>1500</v>
          </cell>
          <cell r="Y65">
            <v>5.4020174848688631</v>
          </cell>
          <cell r="Z65">
            <v>-4.84196368527236E-3</v>
          </cell>
          <cell r="AC65">
            <v>2400</v>
          </cell>
          <cell r="AD65">
            <v>604.6</v>
          </cell>
          <cell r="AE65">
            <v>722</v>
          </cell>
          <cell r="AF65">
            <v>793.4</v>
          </cell>
          <cell r="AG65">
            <v>1228.2</v>
          </cell>
          <cell r="AH65">
            <v>1664</v>
          </cell>
          <cell r="AI65" t="str">
            <v>ябдек-ян</v>
          </cell>
        </row>
        <row r="66">
          <cell r="A66" t="str">
            <v xml:space="preserve"> 322  Колбаса вареная Молокуша 0,45кг ТМ Вязанка  ПОКОМ</v>
          </cell>
          <cell r="B66" t="str">
            <v>шт</v>
          </cell>
          <cell r="C66">
            <v>3342</v>
          </cell>
          <cell r="D66">
            <v>5357</v>
          </cell>
          <cell r="E66">
            <v>8219</v>
          </cell>
          <cell r="F66">
            <v>53</v>
          </cell>
          <cell r="G66">
            <v>0</v>
          </cell>
          <cell r="H66">
            <v>0.45</v>
          </cell>
          <cell r="I66">
            <v>50</v>
          </cell>
          <cell r="J66">
            <v>8725</v>
          </cell>
          <cell r="K66">
            <v>-506</v>
          </cell>
          <cell r="L66">
            <v>1000</v>
          </cell>
          <cell r="M66">
            <v>1000</v>
          </cell>
          <cell r="N66">
            <v>1000</v>
          </cell>
          <cell r="O66">
            <v>1000</v>
          </cell>
          <cell r="V66">
            <v>1100</v>
          </cell>
          <cell r="W66">
            <v>1236.5</v>
          </cell>
          <cell r="X66">
            <v>1500</v>
          </cell>
          <cell r="Y66">
            <v>5.3805095026283869</v>
          </cell>
          <cell r="Z66">
            <v>4.2862919530934088E-2</v>
          </cell>
          <cell r="AC66">
            <v>800</v>
          </cell>
          <cell r="AD66">
            <v>845.6</v>
          </cell>
          <cell r="AE66">
            <v>790.2</v>
          </cell>
          <cell r="AF66">
            <v>860</v>
          </cell>
          <cell r="AG66">
            <v>1201.5999999999999</v>
          </cell>
          <cell r="AH66">
            <v>1330</v>
          </cell>
          <cell r="AI66" t="str">
            <v>жк</v>
          </cell>
        </row>
        <row r="67">
          <cell r="A67" t="str">
            <v xml:space="preserve"> 324  Ветчина Филейская ТМ Вязанка Столичная 0,45 кг ПОКОМ</v>
          </cell>
          <cell r="B67" t="str">
            <v>шт</v>
          </cell>
          <cell r="C67">
            <v>972</v>
          </cell>
          <cell r="D67">
            <v>2202</v>
          </cell>
          <cell r="E67">
            <v>2582</v>
          </cell>
          <cell r="F67">
            <v>316</v>
          </cell>
          <cell r="G67">
            <v>0</v>
          </cell>
          <cell r="H67">
            <v>0.45</v>
          </cell>
          <cell r="I67">
            <v>50</v>
          </cell>
          <cell r="J67">
            <v>2904</v>
          </cell>
          <cell r="K67">
            <v>-322</v>
          </cell>
          <cell r="L67">
            <v>350</v>
          </cell>
          <cell r="M67">
            <v>350</v>
          </cell>
          <cell r="N67">
            <v>350</v>
          </cell>
          <cell r="O67">
            <v>300</v>
          </cell>
          <cell r="V67">
            <v>300</v>
          </cell>
          <cell r="W67">
            <v>430.33333333333331</v>
          </cell>
          <cell r="X67">
            <v>400</v>
          </cell>
          <cell r="Y67">
            <v>5.4980635166537573</v>
          </cell>
          <cell r="Z67">
            <v>0.73431448489542994</v>
          </cell>
          <cell r="AC67">
            <v>0</v>
          </cell>
          <cell r="AD67">
            <v>326.60000000000002</v>
          </cell>
          <cell r="AE67">
            <v>309</v>
          </cell>
          <cell r="AF67">
            <v>291.39999999999998</v>
          </cell>
          <cell r="AG67">
            <v>496.8</v>
          </cell>
          <cell r="AH67">
            <v>470</v>
          </cell>
          <cell r="AI67" t="str">
            <v>жц</v>
          </cell>
        </row>
        <row r="68">
          <cell r="A68" t="str">
            <v xml:space="preserve"> 328  Сардельки Сочинки Стародворье ТМ  0,4 кг ПОКОМ</v>
          </cell>
          <cell r="B68" t="str">
            <v>шт</v>
          </cell>
          <cell r="C68">
            <v>127</v>
          </cell>
          <cell r="D68">
            <v>635</v>
          </cell>
          <cell r="E68">
            <v>438</v>
          </cell>
          <cell r="F68">
            <v>313</v>
          </cell>
          <cell r="G68">
            <v>0</v>
          </cell>
          <cell r="H68">
            <v>0.4</v>
          </cell>
          <cell r="I68">
            <v>40</v>
          </cell>
          <cell r="J68">
            <v>523</v>
          </cell>
          <cell r="K68">
            <v>-85</v>
          </cell>
          <cell r="L68">
            <v>90</v>
          </cell>
          <cell r="M68">
            <v>90</v>
          </cell>
          <cell r="N68">
            <v>90</v>
          </cell>
          <cell r="O68">
            <v>60</v>
          </cell>
          <cell r="W68">
            <v>73</v>
          </cell>
          <cell r="Y68">
            <v>8.8082191780821919</v>
          </cell>
          <cell r="Z68">
            <v>4.2876712328767121</v>
          </cell>
          <cell r="AC68">
            <v>0</v>
          </cell>
          <cell r="AD68">
            <v>59.4</v>
          </cell>
          <cell r="AE68">
            <v>56.6</v>
          </cell>
          <cell r="AF68">
            <v>86</v>
          </cell>
          <cell r="AG68">
            <v>100.6</v>
          </cell>
          <cell r="AH68">
            <v>47</v>
          </cell>
          <cell r="AI68">
            <v>0</v>
          </cell>
        </row>
        <row r="69">
          <cell r="A69" t="str">
            <v xml:space="preserve"> 329  Сардельки Сочинки с сыром Стародворье ТМ, 0,4 кг. ПОКОМ</v>
          </cell>
          <cell r="B69" t="str">
            <v>шт</v>
          </cell>
          <cell r="C69">
            <v>174</v>
          </cell>
          <cell r="D69">
            <v>505</v>
          </cell>
          <cell r="E69">
            <v>467</v>
          </cell>
          <cell r="F69">
            <v>201</v>
          </cell>
          <cell r="G69">
            <v>0</v>
          </cell>
          <cell r="H69">
            <v>0.4</v>
          </cell>
          <cell r="I69">
            <v>40</v>
          </cell>
          <cell r="J69">
            <v>483</v>
          </cell>
          <cell r="K69">
            <v>-16</v>
          </cell>
          <cell r="L69">
            <v>90</v>
          </cell>
          <cell r="M69">
            <v>90</v>
          </cell>
          <cell r="N69">
            <v>90</v>
          </cell>
          <cell r="O69">
            <v>80</v>
          </cell>
          <cell r="W69">
            <v>77.833333333333329</v>
          </cell>
          <cell r="Y69">
            <v>7.0792291220556747</v>
          </cell>
          <cell r="Z69">
            <v>2.582441113490364</v>
          </cell>
          <cell r="AC69">
            <v>0</v>
          </cell>
          <cell r="AD69">
            <v>56.2</v>
          </cell>
          <cell r="AE69">
            <v>54</v>
          </cell>
          <cell r="AF69">
            <v>78.400000000000006</v>
          </cell>
          <cell r="AG69">
            <v>86.6</v>
          </cell>
          <cell r="AH69">
            <v>53</v>
          </cell>
          <cell r="AI69">
            <v>0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B70" t="str">
            <v>кг</v>
          </cell>
          <cell r="C70">
            <v>615.529</v>
          </cell>
          <cell r="D70">
            <v>1619.692</v>
          </cell>
          <cell r="E70">
            <v>2127.9050000000002</v>
          </cell>
          <cell r="F70">
            <v>18.277000000000001</v>
          </cell>
          <cell r="G70">
            <v>0</v>
          </cell>
          <cell r="H70">
            <v>1</v>
          </cell>
          <cell r="I70">
            <v>50</v>
          </cell>
          <cell r="J70">
            <v>2365.83</v>
          </cell>
          <cell r="K70">
            <v>-237.92499999999973</v>
          </cell>
          <cell r="L70">
            <v>250</v>
          </cell>
          <cell r="M70">
            <v>250</v>
          </cell>
          <cell r="N70">
            <v>250</v>
          </cell>
          <cell r="O70">
            <v>300</v>
          </cell>
          <cell r="V70">
            <v>400</v>
          </cell>
          <cell r="W70">
            <v>354.65083333333337</v>
          </cell>
          <cell r="X70">
            <v>450</v>
          </cell>
          <cell r="Y70">
            <v>5.4089172213985117</v>
          </cell>
          <cell r="Z70">
            <v>5.1535195415208852E-2</v>
          </cell>
          <cell r="AC70">
            <v>0</v>
          </cell>
          <cell r="AD70">
            <v>179.63759999999999</v>
          </cell>
          <cell r="AE70">
            <v>190.4136</v>
          </cell>
          <cell r="AF70">
            <v>211.44319999999999</v>
          </cell>
          <cell r="AG70">
            <v>366.28699999999998</v>
          </cell>
          <cell r="AH70">
            <v>465.96600000000001</v>
          </cell>
          <cell r="AI70">
            <v>0</v>
          </cell>
        </row>
        <row r="71">
          <cell r="A71" t="str">
            <v xml:space="preserve"> 334  Паштет Любительский ТМ Стародворье ламистер 0,1 кг  ПОКОМ</v>
          </cell>
          <cell r="B71" t="str">
            <v>шт</v>
          </cell>
          <cell r="C71">
            <v>2833</v>
          </cell>
          <cell r="D71">
            <v>8</v>
          </cell>
          <cell r="E71">
            <v>624</v>
          </cell>
          <cell r="F71">
            <v>2193</v>
          </cell>
          <cell r="G71">
            <v>0</v>
          </cell>
          <cell r="H71">
            <v>0.1</v>
          </cell>
          <cell r="I71">
            <v>730</v>
          </cell>
          <cell r="J71">
            <v>645</v>
          </cell>
          <cell r="K71">
            <v>-21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W71">
            <v>104</v>
          </cell>
          <cell r="Y71">
            <v>21.08653846153846</v>
          </cell>
          <cell r="Z71">
            <v>21.08653846153846</v>
          </cell>
          <cell r="AC71">
            <v>0</v>
          </cell>
          <cell r="AD71">
            <v>157.4</v>
          </cell>
          <cell r="AE71">
            <v>129.4</v>
          </cell>
          <cell r="AF71">
            <v>128.19999999999999</v>
          </cell>
          <cell r="AG71">
            <v>115</v>
          </cell>
          <cell r="AH71">
            <v>54</v>
          </cell>
          <cell r="AI71">
            <v>0</v>
          </cell>
        </row>
        <row r="72">
          <cell r="A72" t="str">
            <v xml:space="preserve"> 335  Колбаса Сливушка ТМ Вязанка. ВЕС.  ПОКОМ </v>
          </cell>
          <cell r="B72" t="str">
            <v>кг</v>
          </cell>
          <cell r="C72">
            <v>203.46100000000001</v>
          </cell>
          <cell r="D72">
            <v>191.56800000000001</v>
          </cell>
          <cell r="E72">
            <v>377.18299999999999</v>
          </cell>
          <cell r="F72">
            <v>13.816000000000001</v>
          </cell>
          <cell r="G72">
            <v>0</v>
          </cell>
          <cell r="H72">
            <v>1</v>
          </cell>
          <cell r="I72">
            <v>50</v>
          </cell>
          <cell r="J72">
            <v>488.79300000000001</v>
          </cell>
          <cell r="K72">
            <v>-111.61000000000001</v>
          </cell>
          <cell r="L72">
            <v>50</v>
          </cell>
          <cell r="M72">
            <v>50</v>
          </cell>
          <cell r="N72">
            <v>50</v>
          </cell>
          <cell r="O72">
            <v>50</v>
          </cell>
          <cell r="V72">
            <v>50</v>
          </cell>
          <cell r="W72">
            <v>62.863833333333332</v>
          </cell>
          <cell r="X72">
            <v>60</v>
          </cell>
          <cell r="Y72">
            <v>5.151069905059348</v>
          </cell>
          <cell r="Z72">
            <v>0.21977660711113706</v>
          </cell>
          <cell r="AC72">
            <v>0</v>
          </cell>
          <cell r="AD72">
            <v>47.904199999999996</v>
          </cell>
          <cell r="AE72">
            <v>44.678800000000003</v>
          </cell>
          <cell r="AF72">
            <v>44.595999999999997</v>
          </cell>
          <cell r="AG72">
            <v>73.781199999999998</v>
          </cell>
          <cell r="AH72">
            <v>21.584</v>
          </cell>
          <cell r="AI72">
            <v>0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B73" t="str">
            <v>шт</v>
          </cell>
          <cell r="D73">
            <v>593</v>
          </cell>
          <cell r="E73">
            <v>49</v>
          </cell>
          <cell r="F73">
            <v>534</v>
          </cell>
          <cell r="G73" t="str">
            <v>сч</v>
          </cell>
          <cell r="H73">
            <v>0</v>
          </cell>
          <cell r="I73" t="e">
            <v>#N/A</v>
          </cell>
          <cell r="J73">
            <v>59</v>
          </cell>
          <cell r="K73">
            <v>-10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W73">
            <v>8.1666666666666661</v>
          </cell>
          <cell r="Y73">
            <v>65.387755102040828</v>
          </cell>
          <cell r="Z73">
            <v>65.387755102040828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24</v>
          </cell>
          <cell r="AI73" t="e">
            <v>#N/A</v>
          </cell>
        </row>
        <row r="74">
          <cell r="A74" t="str">
            <v xml:space="preserve"> 342 Сосиски Сочинки Молочные ТМ Стародворье 0,4 кг ПОКОМ</v>
          </cell>
          <cell r="B74" t="str">
            <v>шт</v>
          </cell>
          <cell r="C74">
            <v>2197</v>
          </cell>
          <cell r="D74">
            <v>3102</v>
          </cell>
          <cell r="E74">
            <v>4450</v>
          </cell>
          <cell r="F74">
            <v>724</v>
          </cell>
          <cell r="G74">
            <v>0</v>
          </cell>
          <cell r="H74">
            <v>0.4</v>
          </cell>
          <cell r="I74">
            <v>40</v>
          </cell>
          <cell r="J74">
            <v>4551</v>
          </cell>
          <cell r="K74">
            <v>-101</v>
          </cell>
          <cell r="L74">
            <v>500</v>
          </cell>
          <cell r="M74">
            <v>500</v>
          </cell>
          <cell r="N74">
            <v>500</v>
          </cell>
          <cell r="O74">
            <v>500</v>
          </cell>
          <cell r="T74">
            <v>252</v>
          </cell>
          <cell r="V74">
            <v>400</v>
          </cell>
          <cell r="W74">
            <v>624.66666666666663</v>
          </cell>
          <cell r="X74">
            <v>300</v>
          </cell>
          <cell r="Y74">
            <v>5.4813233724653152</v>
          </cell>
          <cell r="Z74">
            <v>1.1590181430096052</v>
          </cell>
          <cell r="AC74">
            <v>702</v>
          </cell>
          <cell r="AD74">
            <v>593.4</v>
          </cell>
          <cell r="AE74">
            <v>567.79999999999995</v>
          </cell>
          <cell r="AF74">
            <v>584.6</v>
          </cell>
          <cell r="AG74">
            <v>672.8</v>
          </cell>
          <cell r="AH74">
            <v>609</v>
          </cell>
          <cell r="AI74">
            <v>0</v>
          </cell>
        </row>
        <row r="75">
          <cell r="A75" t="str">
            <v xml:space="preserve"> 343 Сосиски Сочинки Сливочные ТМ Стародворье  0,4 кг</v>
          </cell>
          <cell r="B75" t="str">
            <v>шт</v>
          </cell>
          <cell r="C75">
            <v>1897</v>
          </cell>
          <cell r="D75">
            <v>2011</v>
          </cell>
          <cell r="E75">
            <v>3166</v>
          </cell>
          <cell r="F75">
            <v>612</v>
          </cell>
          <cell r="G75">
            <v>0</v>
          </cell>
          <cell r="H75">
            <v>0.4</v>
          </cell>
          <cell r="I75">
            <v>40</v>
          </cell>
          <cell r="J75">
            <v>3256</v>
          </cell>
          <cell r="K75">
            <v>-90</v>
          </cell>
          <cell r="L75">
            <v>400</v>
          </cell>
          <cell r="M75">
            <v>400</v>
          </cell>
          <cell r="N75">
            <v>400</v>
          </cell>
          <cell r="O75">
            <v>400</v>
          </cell>
          <cell r="V75">
            <v>400</v>
          </cell>
          <cell r="W75">
            <v>527.66666666666663</v>
          </cell>
          <cell r="X75">
            <v>300</v>
          </cell>
          <cell r="Y75">
            <v>5.5186355022109925</v>
          </cell>
          <cell r="Z75">
            <v>1.1598231206569805</v>
          </cell>
          <cell r="AC75">
            <v>0</v>
          </cell>
          <cell r="AD75">
            <v>493</v>
          </cell>
          <cell r="AE75">
            <v>469.4</v>
          </cell>
          <cell r="AF75">
            <v>497.8</v>
          </cell>
          <cell r="AG75">
            <v>559.6</v>
          </cell>
          <cell r="AH75">
            <v>493</v>
          </cell>
          <cell r="AI75">
            <v>0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B76" t="str">
            <v>кг</v>
          </cell>
          <cell r="C76">
            <v>293.83100000000002</v>
          </cell>
          <cell r="D76">
            <v>722.197</v>
          </cell>
          <cell r="E76">
            <v>893.745</v>
          </cell>
          <cell r="F76">
            <v>98.805999999999997</v>
          </cell>
          <cell r="G76" t="str">
            <v>ябл</v>
          </cell>
          <cell r="H76">
            <v>1</v>
          </cell>
          <cell r="I76">
            <v>40</v>
          </cell>
          <cell r="J76">
            <v>876.9</v>
          </cell>
          <cell r="K76">
            <v>16.845000000000027</v>
          </cell>
          <cell r="L76">
            <v>110</v>
          </cell>
          <cell r="M76">
            <v>110</v>
          </cell>
          <cell r="N76">
            <v>110</v>
          </cell>
          <cell r="O76">
            <v>100</v>
          </cell>
          <cell r="V76">
            <v>80</v>
          </cell>
          <cell r="W76">
            <v>148.95750000000001</v>
          </cell>
          <cell r="X76">
            <v>130</v>
          </cell>
          <cell r="Y76">
            <v>4.9598442508769276</v>
          </cell>
          <cell r="Z76">
            <v>0.66331671785576418</v>
          </cell>
          <cell r="AC76">
            <v>0</v>
          </cell>
          <cell r="AD76">
            <v>113.84259999999999</v>
          </cell>
          <cell r="AE76">
            <v>97.102400000000003</v>
          </cell>
          <cell r="AF76">
            <v>107.62039999999999</v>
          </cell>
          <cell r="AG76">
            <v>160.5488</v>
          </cell>
          <cell r="AH76">
            <v>141.203</v>
          </cell>
          <cell r="AI76" t="str">
            <v>вип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B77" t="str">
            <v>кг</v>
          </cell>
          <cell r="C77">
            <v>146.43799999999999</v>
          </cell>
          <cell r="D77">
            <v>263.762</v>
          </cell>
          <cell r="E77">
            <v>390.17</v>
          </cell>
          <cell r="F77">
            <v>5.6669999999999998</v>
          </cell>
          <cell r="G77">
            <v>0</v>
          </cell>
          <cell r="H77">
            <v>1</v>
          </cell>
          <cell r="I77">
            <v>40</v>
          </cell>
          <cell r="J77">
            <v>444.50099999999998</v>
          </cell>
          <cell r="K77">
            <v>-54.33099999999996</v>
          </cell>
          <cell r="L77">
            <v>60</v>
          </cell>
          <cell r="M77">
            <v>60</v>
          </cell>
          <cell r="N77">
            <v>60</v>
          </cell>
          <cell r="O77">
            <v>50</v>
          </cell>
          <cell r="V77">
            <v>40</v>
          </cell>
          <cell r="W77">
            <v>65.028333333333336</v>
          </cell>
          <cell r="X77">
            <v>60</v>
          </cell>
          <cell r="Y77">
            <v>5.1618576517928085</v>
          </cell>
          <cell r="Z77">
            <v>8.7146628392751876E-2</v>
          </cell>
          <cell r="AC77">
            <v>0</v>
          </cell>
          <cell r="AD77">
            <v>44.610599999999998</v>
          </cell>
          <cell r="AE77">
            <v>39.742200000000004</v>
          </cell>
          <cell r="AF77">
            <v>44.135399999999997</v>
          </cell>
          <cell r="AG77">
            <v>75.297600000000003</v>
          </cell>
          <cell r="AH77">
            <v>21.417000000000002</v>
          </cell>
          <cell r="AI77">
            <v>0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B78" t="str">
            <v>кг</v>
          </cell>
          <cell r="C78">
            <v>1617.598</v>
          </cell>
          <cell r="D78">
            <v>2088.163</v>
          </cell>
          <cell r="E78">
            <v>3415.3939999999998</v>
          </cell>
          <cell r="F78">
            <v>199.315</v>
          </cell>
          <cell r="G78" t="str">
            <v>ябл</v>
          </cell>
          <cell r="H78">
            <v>1</v>
          </cell>
          <cell r="I78">
            <v>40</v>
          </cell>
          <cell r="J78">
            <v>3352.8760000000002</v>
          </cell>
          <cell r="K78">
            <v>62.517999999999574</v>
          </cell>
          <cell r="L78">
            <v>350</v>
          </cell>
          <cell r="M78">
            <v>350</v>
          </cell>
          <cell r="N78">
            <v>350</v>
          </cell>
          <cell r="O78">
            <v>400</v>
          </cell>
          <cell r="V78">
            <v>500</v>
          </cell>
          <cell r="W78">
            <v>569.23233333333326</v>
          </cell>
          <cell r="X78">
            <v>700</v>
          </cell>
          <cell r="Y78">
            <v>5.0055396244181498</v>
          </cell>
          <cell r="Z78">
            <v>0.35014701085731254</v>
          </cell>
          <cell r="AC78">
            <v>0</v>
          </cell>
          <cell r="AD78">
            <v>402.38459999999998</v>
          </cell>
          <cell r="AE78">
            <v>382.58839999999998</v>
          </cell>
          <cell r="AF78">
            <v>456.33599999999996</v>
          </cell>
          <cell r="AG78">
            <v>569.84379999999999</v>
          </cell>
          <cell r="AH78">
            <v>563.55100000000004</v>
          </cell>
          <cell r="AI78" t="str">
            <v>жц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B79" t="str">
            <v>кг</v>
          </cell>
          <cell r="C79">
            <v>244.328</v>
          </cell>
          <cell r="D79">
            <v>307.43700000000001</v>
          </cell>
          <cell r="E79">
            <v>522.05399999999997</v>
          </cell>
          <cell r="F79">
            <v>18.829000000000001</v>
          </cell>
          <cell r="G79">
            <v>0</v>
          </cell>
          <cell r="H79">
            <v>1</v>
          </cell>
          <cell r="I79">
            <v>40</v>
          </cell>
          <cell r="J79">
            <v>517.45299999999997</v>
          </cell>
          <cell r="K79">
            <v>4.6009999999999991</v>
          </cell>
          <cell r="L79">
            <v>60</v>
          </cell>
          <cell r="M79">
            <v>60</v>
          </cell>
          <cell r="N79">
            <v>60</v>
          </cell>
          <cell r="O79">
            <v>70</v>
          </cell>
          <cell r="V79">
            <v>80</v>
          </cell>
          <cell r="W79">
            <v>87.009</v>
          </cell>
          <cell r="X79">
            <v>90</v>
          </cell>
          <cell r="Y79">
            <v>5.0434897539335015</v>
          </cell>
          <cell r="Z79">
            <v>0.21640290084933744</v>
          </cell>
          <cell r="AC79">
            <v>0</v>
          </cell>
          <cell r="AD79">
            <v>60.1432</v>
          </cell>
          <cell r="AE79">
            <v>55.286000000000001</v>
          </cell>
          <cell r="AF79">
            <v>65.268600000000006</v>
          </cell>
          <cell r="AG79">
            <v>88.7624</v>
          </cell>
          <cell r="AH79">
            <v>68.825999999999993</v>
          </cell>
          <cell r="AI79">
            <v>0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B80" t="str">
            <v>шт</v>
          </cell>
          <cell r="C80">
            <v>111</v>
          </cell>
          <cell r="D80">
            <v>111</v>
          </cell>
          <cell r="E80">
            <v>190</v>
          </cell>
          <cell r="F80">
            <v>21</v>
          </cell>
          <cell r="G80" t="str">
            <v>дк</v>
          </cell>
          <cell r="H80">
            <v>0.6</v>
          </cell>
          <cell r="I80">
            <v>60</v>
          </cell>
          <cell r="J80">
            <v>198</v>
          </cell>
          <cell r="K80">
            <v>-8</v>
          </cell>
          <cell r="L80">
            <v>30</v>
          </cell>
          <cell r="M80">
            <v>30</v>
          </cell>
          <cell r="N80">
            <v>30</v>
          </cell>
          <cell r="O80">
            <v>30</v>
          </cell>
          <cell r="V80">
            <v>20</v>
          </cell>
          <cell r="W80">
            <v>31.666666666666668</v>
          </cell>
          <cell r="X80">
            <v>30</v>
          </cell>
          <cell r="Y80">
            <v>6.0315789473684207</v>
          </cell>
          <cell r="Z80">
            <v>0.66315789473684206</v>
          </cell>
          <cell r="AC80">
            <v>0</v>
          </cell>
          <cell r="AD80">
            <v>22.6</v>
          </cell>
          <cell r="AE80">
            <v>19.399999999999999</v>
          </cell>
          <cell r="AF80">
            <v>24.6</v>
          </cell>
          <cell r="AG80">
            <v>32.200000000000003</v>
          </cell>
          <cell r="AH80">
            <v>25</v>
          </cell>
          <cell r="AI80">
            <v>0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B81" t="str">
            <v>шт</v>
          </cell>
          <cell r="C81">
            <v>258</v>
          </cell>
          <cell r="D81">
            <v>504</v>
          </cell>
          <cell r="E81">
            <v>645</v>
          </cell>
          <cell r="F81">
            <v>57</v>
          </cell>
          <cell r="G81" t="str">
            <v>ябл</v>
          </cell>
          <cell r="H81">
            <v>0.6</v>
          </cell>
          <cell r="I81">
            <v>60</v>
          </cell>
          <cell r="J81">
            <v>673</v>
          </cell>
          <cell r="K81">
            <v>-28</v>
          </cell>
          <cell r="L81">
            <v>70</v>
          </cell>
          <cell r="M81">
            <v>70</v>
          </cell>
          <cell r="N81">
            <v>70</v>
          </cell>
          <cell r="O81">
            <v>80</v>
          </cell>
          <cell r="V81">
            <v>90</v>
          </cell>
          <cell r="W81">
            <v>107.5</v>
          </cell>
          <cell r="X81">
            <v>100</v>
          </cell>
          <cell r="Y81">
            <v>4.9953488372093027</v>
          </cell>
          <cell r="Z81">
            <v>0.53023255813953485</v>
          </cell>
          <cell r="AC81">
            <v>0</v>
          </cell>
          <cell r="AD81">
            <v>72.400000000000006</v>
          </cell>
          <cell r="AE81">
            <v>66.599999999999994</v>
          </cell>
          <cell r="AF81">
            <v>79.599999999999994</v>
          </cell>
          <cell r="AG81">
            <v>101.8</v>
          </cell>
          <cell r="AH81">
            <v>135</v>
          </cell>
          <cell r="AI81" t="str">
            <v>проддек-ян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B82" t="str">
            <v>шт</v>
          </cell>
          <cell r="C82">
            <v>414</v>
          </cell>
          <cell r="D82">
            <v>638</v>
          </cell>
          <cell r="E82">
            <v>857</v>
          </cell>
          <cell r="F82">
            <v>107</v>
          </cell>
          <cell r="G82" t="str">
            <v>ябл</v>
          </cell>
          <cell r="H82">
            <v>0.6</v>
          </cell>
          <cell r="I82">
            <v>60</v>
          </cell>
          <cell r="J82">
            <v>922</v>
          </cell>
          <cell r="K82">
            <v>-65</v>
          </cell>
          <cell r="L82">
            <v>100</v>
          </cell>
          <cell r="M82">
            <v>100</v>
          </cell>
          <cell r="N82">
            <v>100</v>
          </cell>
          <cell r="O82">
            <v>100</v>
          </cell>
          <cell r="V82">
            <v>100</v>
          </cell>
          <cell r="W82">
            <v>142.83333333333334</v>
          </cell>
          <cell r="X82">
            <v>100</v>
          </cell>
          <cell r="Y82">
            <v>4.9498249708284714</v>
          </cell>
          <cell r="Z82">
            <v>0.74912485414235697</v>
          </cell>
          <cell r="AC82">
            <v>0</v>
          </cell>
          <cell r="AD82">
            <v>102.2</v>
          </cell>
          <cell r="AE82">
            <v>121.8</v>
          </cell>
          <cell r="AF82">
            <v>101.6</v>
          </cell>
          <cell r="AG82">
            <v>150.6</v>
          </cell>
          <cell r="AH82">
            <v>150</v>
          </cell>
          <cell r="AI82" t="str">
            <v>проддек-ян</v>
          </cell>
        </row>
        <row r="83">
          <cell r="A83" t="str">
            <v xml:space="preserve"> 364  Сардельки Филейские Вязанка ВЕС NDX ТМ Вязанка  ПОКОМ</v>
          </cell>
          <cell r="B83" t="str">
            <v>кг</v>
          </cell>
          <cell r="C83">
            <v>66.734999999999999</v>
          </cell>
          <cell r="D83">
            <v>253.80799999999999</v>
          </cell>
          <cell r="E83">
            <v>277.97800000000001</v>
          </cell>
          <cell r="F83">
            <v>35.951000000000001</v>
          </cell>
          <cell r="G83">
            <v>0</v>
          </cell>
          <cell r="H83">
            <v>1</v>
          </cell>
          <cell r="I83">
            <v>30</v>
          </cell>
          <cell r="J83">
            <v>402.00099999999998</v>
          </cell>
          <cell r="K83">
            <v>-124.02299999999997</v>
          </cell>
          <cell r="L83">
            <v>30</v>
          </cell>
          <cell r="M83">
            <v>30</v>
          </cell>
          <cell r="N83">
            <v>30</v>
          </cell>
          <cell r="O83">
            <v>30</v>
          </cell>
          <cell r="V83">
            <v>20</v>
          </cell>
          <cell r="W83">
            <v>46.329666666666668</v>
          </cell>
          <cell r="X83">
            <v>60</v>
          </cell>
          <cell r="Y83">
            <v>5.0928706588291153</v>
          </cell>
          <cell r="Z83">
            <v>0.77598227197835801</v>
          </cell>
          <cell r="AC83">
            <v>0</v>
          </cell>
          <cell r="AD83">
            <v>31.431400000000004</v>
          </cell>
          <cell r="AE83">
            <v>44.179199999999994</v>
          </cell>
          <cell r="AF83">
            <v>38.625799999999998</v>
          </cell>
          <cell r="AG83">
            <v>39.72</v>
          </cell>
          <cell r="AH83">
            <v>96.608000000000004</v>
          </cell>
          <cell r="AI83" t="str">
            <v>увел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B84" t="str">
            <v>шт</v>
          </cell>
          <cell r="C84">
            <v>647</v>
          </cell>
          <cell r="D84">
            <v>1090</v>
          </cell>
          <cell r="E84">
            <v>1525</v>
          </cell>
          <cell r="F84">
            <v>125</v>
          </cell>
          <cell r="G84" t="str">
            <v>ябл,дк</v>
          </cell>
          <cell r="H84">
            <v>0.6</v>
          </cell>
          <cell r="I84">
            <v>60</v>
          </cell>
          <cell r="J84">
            <v>1672</v>
          </cell>
          <cell r="K84">
            <v>-147</v>
          </cell>
          <cell r="L84">
            <v>170</v>
          </cell>
          <cell r="M84">
            <v>170</v>
          </cell>
          <cell r="N84">
            <v>170</v>
          </cell>
          <cell r="O84">
            <v>150</v>
          </cell>
          <cell r="V84">
            <v>200</v>
          </cell>
          <cell r="W84">
            <v>254.16666666666666</v>
          </cell>
          <cell r="X84">
            <v>250</v>
          </cell>
          <cell r="Y84">
            <v>4.8590163934426229</v>
          </cell>
          <cell r="Z84">
            <v>0.49180327868852458</v>
          </cell>
          <cell r="AC84">
            <v>0</v>
          </cell>
          <cell r="AD84">
            <v>145.6</v>
          </cell>
          <cell r="AE84">
            <v>182.6</v>
          </cell>
          <cell r="AF84">
            <v>158.80000000000001</v>
          </cell>
          <cell r="AG84">
            <v>271.8</v>
          </cell>
          <cell r="AH84">
            <v>337</v>
          </cell>
          <cell r="AI84" t="str">
            <v>проддек-ян</v>
          </cell>
        </row>
        <row r="85">
          <cell r="A85" t="str">
            <v xml:space="preserve"> 377  Колбаса Молочная Дугушка 0,6кг ТМ Стародворье  ПОКОМ</v>
          </cell>
          <cell r="B85" t="str">
            <v>шт</v>
          </cell>
          <cell r="C85">
            <v>833</v>
          </cell>
          <cell r="D85">
            <v>1017</v>
          </cell>
          <cell r="E85">
            <v>1681</v>
          </cell>
          <cell r="F85">
            <v>95</v>
          </cell>
          <cell r="G85" t="str">
            <v>ябл,дк</v>
          </cell>
          <cell r="H85">
            <v>0.6</v>
          </cell>
          <cell r="I85">
            <v>60</v>
          </cell>
          <cell r="J85">
            <v>1726</v>
          </cell>
          <cell r="K85">
            <v>-45</v>
          </cell>
          <cell r="L85">
            <v>180</v>
          </cell>
          <cell r="M85">
            <v>180</v>
          </cell>
          <cell r="N85">
            <v>180</v>
          </cell>
          <cell r="O85">
            <v>200</v>
          </cell>
          <cell r="V85">
            <v>220</v>
          </cell>
          <cell r="W85">
            <v>280.16666666666669</v>
          </cell>
          <cell r="X85">
            <v>250</v>
          </cell>
          <cell r="Y85">
            <v>4.6579417013682329</v>
          </cell>
          <cell r="Z85">
            <v>0.33908387864366446</v>
          </cell>
          <cell r="AC85">
            <v>0</v>
          </cell>
          <cell r="AD85">
            <v>199</v>
          </cell>
          <cell r="AE85">
            <v>191.6</v>
          </cell>
          <cell r="AF85">
            <v>211.6</v>
          </cell>
          <cell r="AG85">
            <v>277.60000000000002</v>
          </cell>
          <cell r="AH85">
            <v>288</v>
          </cell>
          <cell r="AI85" t="str">
            <v>оконч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B86" t="str">
            <v>шт</v>
          </cell>
          <cell r="C86">
            <v>415</v>
          </cell>
          <cell r="D86">
            <v>1095</v>
          </cell>
          <cell r="E86">
            <v>1103</v>
          </cell>
          <cell r="F86">
            <v>338</v>
          </cell>
          <cell r="G86">
            <v>0</v>
          </cell>
          <cell r="H86">
            <v>0.4</v>
          </cell>
          <cell r="I86" t="e">
            <v>#N/A</v>
          </cell>
          <cell r="J86">
            <v>1175</v>
          </cell>
          <cell r="K86">
            <v>-72</v>
          </cell>
          <cell r="L86">
            <v>120</v>
          </cell>
          <cell r="M86">
            <v>120</v>
          </cell>
          <cell r="N86">
            <v>120</v>
          </cell>
          <cell r="O86">
            <v>150</v>
          </cell>
          <cell r="V86">
            <v>100</v>
          </cell>
          <cell r="W86">
            <v>183.83333333333334</v>
          </cell>
          <cell r="X86">
            <v>150</v>
          </cell>
          <cell r="Y86">
            <v>5.9728014505893015</v>
          </cell>
          <cell r="Z86">
            <v>1.8386219401631911</v>
          </cell>
          <cell r="AC86">
            <v>0</v>
          </cell>
          <cell r="AD86">
            <v>134.80000000000001</v>
          </cell>
          <cell r="AE86">
            <v>127.6</v>
          </cell>
          <cell r="AF86">
            <v>156.6</v>
          </cell>
          <cell r="AG86">
            <v>180</v>
          </cell>
          <cell r="AH86">
            <v>160</v>
          </cell>
          <cell r="AI86">
            <v>0</v>
          </cell>
        </row>
        <row r="87">
          <cell r="A87" t="str">
            <v xml:space="preserve"> 388  Сосиски Восточные Халяль ТМ Вязанка 0,33 кг АК. ПОКОМ</v>
          </cell>
          <cell r="B87" t="str">
            <v>шт</v>
          </cell>
          <cell r="C87">
            <v>385</v>
          </cell>
          <cell r="D87">
            <v>803</v>
          </cell>
          <cell r="E87">
            <v>728</v>
          </cell>
          <cell r="F87">
            <v>406</v>
          </cell>
          <cell r="G87">
            <v>0</v>
          </cell>
          <cell r="H87">
            <v>0.33</v>
          </cell>
          <cell r="I87">
            <v>60</v>
          </cell>
          <cell r="J87">
            <v>786</v>
          </cell>
          <cell r="K87">
            <v>-58</v>
          </cell>
          <cell r="L87">
            <v>80</v>
          </cell>
          <cell r="M87">
            <v>80</v>
          </cell>
          <cell r="N87">
            <v>80</v>
          </cell>
          <cell r="O87">
            <v>100</v>
          </cell>
          <cell r="W87">
            <v>121.33333333333333</v>
          </cell>
          <cell r="Y87">
            <v>6.1483516483516487</v>
          </cell>
          <cell r="Z87">
            <v>3.3461538461538463</v>
          </cell>
          <cell r="AC87">
            <v>0</v>
          </cell>
          <cell r="AD87">
            <v>131</v>
          </cell>
          <cell r="AE87">
            <v>130</v>
          </cell>
          <cell r="AF87">
            <v>131</v>
          </cell>
          <cell r="AG87">
            <v>137.19999999999999</v>
          </cell>
          <cell r="AH87">
            <v>83</v>
          </cell>
          <cell r="AI87">
            <v>0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B88" t="str">
            <v>шт</v>
          </cell>
          <cell r="C88">
            <v>547</v>
          </cell>
          <cell r="D88">
            <v>594</v>
          </cell>
          <cell r="E88">
            <v>821</v>
          </cell>
          <cell r="F88">
            <v>278</v>
          </cell>
          <cell r="G88">
            <v>0</v>
          </cell>
          <cell r="H88">
            <v>0.35</v>
          </cell>
          <cell r="I88" t="e">
            <v>#N/A</v>
          </cell>
          <cell r="J88">
            <v>870</v>
          </cell>
          <cell r="K88">
            <v>-49</v>
          </cell>
          <cell r="L88">
            <v>100</v>
          </cell>
          <cell r="M88">
            <v>100</v>
          </cell>
          <cell r="N88">
            <v>100</v>
          </cell>
          <cell r="O88">
            <v>120</v>
          </cell>
          <cell r="V88">
            <v>100</v>
          </cell>
          <cell r="W88">
            <v>136.83333333333334</v>
          </cell>
          <cell r="X88">
            <v>50</v>
          </cell>
          <cell r="Y88">
            <v>6.1973203410475026</v>
          </cell>
          <cell r="Z88">
            <v>2.0316686967113275</v>
          </cell>
          <cell r="AC88">
            <v>0</v>
          </cell>
          <cell r="AD88">
            <v>138</v>
          </cell>
          <cell r="AE88">
            <v>135.4</v>
          </cell>
          <cell r="AF88">
            <v>118.4</v>
          </cell>
          <cell r="AG88">
            <v>131.4</v>
          </cell>
          <cell r="AH88">
            <v>105</v>
          </cell>
          <cell r="AI88">
            <v>0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B89" t="str">
            <v>шт</v>
          </cell>
          <cell r="C89">
            <v>237</v>
          </cell>
          <cell r="D89">
            <v>330</v>
          </cell>
          <cell r="E89">
            <v>550</v>
          </cell>
          <cell r="F89">
            <v>4</v>
          </cell>
          <cell r="G89" t="str">
            <v>ябл</v>
          </cell>
          <cell r="H89">
            <v>0.33</v>
          </cell>
          <cell r="I89" t="e">
            <v>#N/A</v>
          </cell>
          <cell r="J89">
            <v>681</v>
          </cell>
          <cell r="K89">
            <v>-131</v>
          </cell>
          <cell r="L89">
            <v>60</v>
          </cell>
          <cell r="M89">
            <v>60</v>
          </cell>
          <cell r="N89">
            <v>60</v>
          </cell>
          <cell r="O89">
            <v>60</v>
          </cell>
          <cell r="V89">
            <v>80</v>
          </cell>
          <cell r="W89">
            <v>91.666666666666671</v>
          </cell>
          <cell r="X89">
            <v>100</v>
          </cell>
          <cell r="Y89">
            <v>4.625454545454545</v>
          </cell>
          <cell r="Z89">
            <v>4.3636363636363633E-2</v>
          </cell>
          <cell r="AC89">
            <v>0</v>
          </cell>
          <cell r="AD89">
            <v>61.2</v>
          </cell>
          <cell r="AE89">
            <v>80.599999999999994</v>
          </cell>
          <cell r="AF89">
            <v>66.8</v>
          </cell>
          <cell r="AG89">
            <v>103.6</v>
          </cell>
          <cell r="AH89">
            <v>187</v>
          </cell>
          <cell r="AI89" t="str">
            <v>ябдек-ян</v>
          </cell>
        </row>
        <row r="90">
          <cell r="A90" t="str">
            <v xml:space="preserve"> 410  Сосиски Баварские с сыром ТМ Стародворье 0,35 кг. ПОКОМ</v>
          </cell>
          <cell r="B90" t="str">
            <v>шт</v>
          </cell>
          <cell r="C90">
            <v>4778</v>
          </cell>
          <cell r="D90">
            <v>7535</v>
          </cell>
          <cell r="E90">
            <v>10083</v>
          </cell>
          <cell r="F90">
            <v>1921</v>
          </cell>
          <cell r="G90">
            <v>0</v>
          </cell>
          <cell r="H90">
            <v>0.35</v>
          </cell>
          <cell r="I90">
            <v>40</v>
          </cell>
          <cell r="J90">
            <v>10353</v>
          </cell>
          <cell r="K90">
            <v>-270</v>
          </cell>
          <cell r="L90">
            <v>1050</v>
          </cell>
          <cell r="M90">
            <v>1000</v>
          </cell>
          <cell r="N90">
            <v>1100</v>
          </cell>
          <cell r="O90">
            <v>1200</v>
          </cell>
          <cell r="T90">
            <v>402</v>
          </cell>
          <cell r="V90">
            <v>800</v>
          </cell>
          <cell r="W90">
            <v>1280.5</v>
          </cell>
          <cell r="X90">
            <v>600</v>
          </cell>
          <cell r="Y90">
            <v>5.9906286606794223</v>
          </cell>
          <cell r="Z90">
            <v>1.5001952362358453</v>
          </cell>
          <cell r="AC90">
            <v>2400</v>
          </cell>
          <cell r="AD90">
            <v>905</v>
          </cell>
          <cell r="AE90">
            <v>1216.5999999999999</v>
          </cell>
          <cell r="AF90">
            <v>1263.4000000000001</v>
          </cell>
          <cell r="AG90">
            <v>1409.6</v>
          </cell>
          <cell r="AH90">
            <v>1531</v>
          </cell>
          <cell r="AI90" t="str">
            <v>жк,ябдек-ян</v>
          </cell>
        </row>
        <row r="91">
          <cell r="A91" t="str">
            <v xml:space="preserve"> 412  Сосиски Баварские ТМ Стародворье 0,35 кг ПОКОМ</v>
          </cell>
          <cell r="B91" t="str">
            <v>шт</v>
          </cell>
          <cell r="C91">
            <v>5661</v>
          </cell>
          <cell r="D91">
            <v>7831</v>
          </cell>
          <cell r="E91">
            <v>11386</v>
          </cell>
          <cell r="F91">
            <v>1670</v>
          </cell>
          <cell r="G91">
            <v>0</v>
          </cell>
          <cell r="H91">
            <v>0.35</v>
          </cell>
          <cell r="I91">
            <v>45</v>
          </cell>
          <cell r="J91">
            <v>11807</v>
          </cell>
          <cell r="K91">
            <v>-421</v>
          </cell>
          <cell r="L91">
            <v>1200</v>
          </cell>
          <cell r="M91">
            <v>1200</v>
          </cell>
          <cell r="N91">
            <v>1300</v>
          </cell>
          <cell r="O91">
            <v>1400</v>
          </cell>
          <cell r="V91">
            <v>1500</v>
          </cell>
          <cell r="W91">
            <v>1563.6666666666667</v>
          </cell>
          <cell r="X91">
            <v>1000</v>
          </cell>
          <cell r="Y91">
            <v>5.928373481134086</v>
          </cell>
          <cell r="Z91">
            <v>1.0680025580899595</v>
          </cell>
          <cell r="AC91">
            <v>2004</v>
          </cell>
          <cell r="AD91">
            <v>1968</v>
          </cell>
          <cell r="AE91">
            <v>1455</v>
          </cell>
          <cell r="AF91">
            <v>1434</v>
          </cell>
          <cell r="AG91">
            <v>1616.6</v>
          </cell>
          <cell r="AH91">
            <v>1660</v>
          </cell>
          <cell r="AI91" t="str">
            <v>жк, яоконч</v>
          </cell>
        </row>
        <row r="92">
          <cell r="A92" t="str">
            <v xml:space="preserve"> 413  Ветчина Сливушка с индейкой ТМ Вязанка  0,3 кг. ПОКОМ</v>
          </cell>
          <cell r="B92" t="str">
            <v>шт</v>
          </cell>
          <cell r="D92">
            <v>69</v>
          </cell>
          <cell r="E92">
            <v>0</v>
          </cell>
          <cell r="F92">
            <v>69</v>
          </cell>
          <cell r="G92" t="str">
            <v>сч</v>
          </cell>
          <cell r="H92">
            <v>0</v>
          </cell>
          <cell r="I92" t="e">
            <v>#N/A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W92">
            <v>0</v>
          </cell>
          <cell r="Y92" t="e">
            <v>#DIV/0!</v>
          </cell>
          <cell r="Z92" t="e">
            <v>#DIV/0!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e">
            <v>#N/A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B93" t="str">
            <v>шт</v>
          </cell>
          <cell r="C93">
            <v>369</v>
          </cell>
          <cell r="D93">
            <v>500</v>
          </cell>
          <cell r="E93">
            <v>749</v>
          </cell>
          <cell r="F93">
            <v>80</v>
          </cell>
          <cell r="G93">
            <v>0</v>
          </cell>
          <cell r="H93">
            <v>0.4</v>
          </cell>
          <cell r="I93" t="e">
            <v>#N/A</v>
          </cell>
          <cell r="J93">
            <v>786</v>
          </cell>
          <cell r="K93">
            <v>-37</v>
          </cell>
          <cell r="L93">
            <v>70</v>
          </cell>
          <cell r="M93">
            <v>70</v>
          </cell>
          <cell r="N93">
            <v>70</v>
          </cell>
          <cell r="O93">
            <v>80</v>
          </cell>
          <cell r="V93">
            <v>130</v>
          </cell>
          <cell r="W93">
            <v>124.83333333333333</v>
          </cell>
          <cell r="X93">
            <v>120</v>
          </cell>
          <cell r="Y93">
            <v>4.9666221628838452</v>
          </cell>
          <cell r="Z93">
            <v>0.64085447263017359</v>
          </cell>
          <cell r="AC93">
            <v>0</v>
          </cell>
          <cell r="AD93">
            <v>119.6</v>
          </cell>
          <cell r="AE93">
            <v>98.8</v>
          </cell>
          <cell r="AF93">
            <v>88</v>
          </cell>
          <cell r="AG93">
            <v>131.4</v>
          </cell>
          <cell r="AH93">
            <v>114</v>
          </cell>
          <cell r="AI93">
            <v>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B94" t="str">
            <v>кг</v>
          </cell>
          <cell r="C94">
            <v>181.72800000000001</v>
          </cell>
          <cell r="D94">
            <v>499.69799999999998</v>
          </cell>
          <cell r="E94">
            <v>560.01099999999997</v>
          </cell>
          <cell r="F94">
            <v>114.13800000000001</v>
          </cell>
          <cell r="G94" t="str">
            <v>н</v>
          </cell>
          <cell r="H94">
            <v>1</v>
          </cell>
          <cell r="I94" t="e">
            <v>#N/A</v>
          </cell>
          <cell r="J94">
            <v>560.029</v>
          </cell>
          <cell r="K94">
            <v>-1.8000000000029104E-2</v>
          </cell>
          <cell r="L94">
            <v>50</v>
          </cell>
          <cell r="M94">
            <v>50</v>
          </cell>
          <cell r="N94">
            <v>50</v>
          </cell>
          <cell r="O94">
            <v>70</v>
          </cell>
          <cell r="V94">
            <v>70</v>
          </cell>
          <cell r="W94">
            <v>93.335166666666666</v>
          </cell>
          <cell r="X94">
            <v>70</v>
          </cell>
          <cell r="Y94">
            <v>5.0799502152636293</v>
          </cell>
          <cell r="Z94">
            <v>1.2228831219386762</v>
          </cell>
          <cell r="AC94">
            <v>0</v>
          </cell>
          <cell r="AD94">
            <v>51.5182</v>
          </cell>
          <cell r="AE94">
            <v>51.5184</v>
          </cell>
          <cell r="AF94">
            <v>72.150000000000006</v>
          </cell>
          <cell r="AG94">
            <v>112.7886</v>
          </cell>
          <cell r="AH94">
            <v>103.95099999999999</v>
          </cell>
          <cell r="AI94">
            <v>0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B95" t="str">
            <v>шт</v>
          </cell>
          <cell r="C95">
            <v>238</v>
          </cell>
          <cell r="D95">
            <v>201</v>
          </cell>
          <cell r="E95">
            <v>401</v>
          </cell>
          <cell r="F95">
            <v>23</v>
          </cell>
          <cell r="G95">
            <v>0</v>
          </cell>
          <cell r="H95">
            <v>0.4</v>
          </cell>
          <cell r="I95" t="e">
            <v>#N/A</v>
          </cell>
          <cell r="J95">
            <v>440</v>
          </cell>
          <cell r="K95">
            <v>-39</v>
          </cell>
          <cell r="L95">
            <v>60</v>
          </cell>
          <cell r="M95">
            <v>60</v>
          </cell>
          <cell r="N95">
            <v>60</v>
          </cell>
          <cell r="O95">
            <v>60</v>
          </cell>
          <cell r="V95">
            <v>50</v>
          </cell>
          <cell r="W95">
            <v>66.833333333333329</v>
          </cell>
          <cell r="X95">
            <v>50</v>
          </cell>
          <cell r="Y95">
            <v>5.4314214463840402</v>
          </cell>
          <cell r="Z95">
            <v>0.344139650872818</v>
          </cell>
          <cell r="AC95">
            <v>0</v>
          </cell>
          <cell r="AD95">
            <v>55</v>
          </cell>
          <cell r="AE95">
            <v>67.2</v>
          </cell>
          <cell r="AF95">
            <v>56.6</v>
          </cell>
          <cell r="AG95">
            <v>73.599999999999994</v>
          </cell>
          <cell r="AH95">
            <v>46</v>
          </cell>
          <cell r="AI95" t="str">
            <v>ябдек-ян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B96" t="str">
            <v>кг</v>
          </cell>
          <cell r="C96">
            <v>73.221999999999994</v>
          </cell>
          <cell r="D96">
            <v>80.441000000000003</v>
          </cell>
          <cell r="E96">
            <v>139.32</v>
          </cell>
          <cell r="F96">
            <v>14.343</v>
          </cell>
          <cell r="G96">
            <v>0</v>
          </cell>
          <cell r="H96">
            <v>1</v>
          </cell>
          <cell r="I96" t="e">
            <v>#N/A</v>
          </cell>
          <cell r="J96">
            <v>136.05000000000001</v>
          </cell>
          <cell r="K96">
            <v>3.2699999999999818</v>
          </cell>
          <cell r="L96">
            <v>10</v>
          </cell>
          <cell r="M96">
            <v>10</v>
          </cell>
          <cell r="N96">
            <v>10</v>
          </cell>
          <cell r="O96">
            <v>20</v>
          </cell>
          <cell r="V96">
            <v>30</v>
          </cell>
          <cell r="W96">
            <v>23.22</v>
          </cell>
          <cell r="X96">
            <v>30</v>
          </cell>
          <cell r="Y96">
            <v>5.3549956933677869</v>
          </cell>
          <cell r="Z96">
            <v>0.61770025839793286</v>
          </cell>
          <cell r="AC96">
            <v>0</v>
          </cell>
          <cell r="AD96">
            <v>23.110199999999999</v>
          </cell>
          <cell r="AE96">
            <v>13.330400000000001</v>
          </cell>
          <cell r="AF96">
            <v>17.2912</v>
          </cell>
          <cell r="AG96">
            <v>22.133000000000003</v>
          </cell>
          <cell r="AH96">
            <v>7.1749999999999998</v>
          </cell>
          <cell r="AI96">
            <v>0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B97" t="str">
            <v>шт</v>
          </cell>
          <cell r="C97">
            <v>368</v>
          </cell>
          <cell r="D97">
            <v>722</v>
          </cell>
          <cell r="E97">
            <v>759</v>
          </cell>
          <cell r="F97">
            <v>303</v>
          </cell>
          <cell r="G97">
            <v>0</v>
          </cell>
          <cell r="H97">
            <v>0.2</v>
          </cell>
          <cell r="I97" t="e">
            <v>#N/A</v>
          </cell>
          <cell r="J97">
            <v>794</v>
          </cell>
          <cell r="K97">
            <v>-35</v>
          </cell>
          <cell r="L97">
            <v>120</v>
          </cell>
          <cell r="M97">
            <v>120</v>
          </cell>
          <cell r="N97">
            <v>120</v>
          </cell>
          <cell r="O97">
            <v>100</v>
          </cell>
          <cell r="W97">
            <v>126.5</v>
          </cell>
          <cell r="X97">
            <v>100</v>
          </cell>
          <cell r="Y97">
            <v>6.8221343873517784</v>
          </cell>
          <cell r="Z97">
            <v>2.3952569169960474</v>
          </cell>
          <cell r="AC97">
            <v>0</v>
          </cell>
          <cell r="AD97">
            <v>128</v>
          </cell>
          <cell r="AE97">
            <v>105</v>
          </cell>
          <cell r="AF97">
            <v>133.19999999999999</v>
          </cell>
          <cell r="AG97">
            <v>141.4</v>
          </cell>
          <cell r="AH97">
            <v>88</v>
          </cell>
          <cell r="AI97">
            <v>0</v>
          </cell>
        </row>
        <row r="98">
          <cell r="A98" t="str">
            <v xml:space="preserve"> 448  Сосиски Сливушки по-венски ТМ Вязанка. 0,3 кг ПОКОМ</v>
          </cell>
          <cell r="B98" t="str">
            <v>шт</v>
          </cell>
          <cell r="C98">
            <v>314</v>
          </cell>
          <cell r="D98">
            <v>202</v>
          </cell>
          <cell r="E98">
            <v>378</v>
          </cell>
          <cell r="F98">
            <v>81</v>
          </cell>
          <cell r="G98">
            <v>0</v>
          </cell>
          <cell r="H98">
            <v>0.3</v>
          </cell>
          <cell r="I98" t="e">
            <v>#N/A</v>
          </cell>
          <cell r="J98">
            <v>431</v>
          </cell>
          <cell r="K98">
            <v>-53</v>
          </cell>
          <cell r="L98">
            <v>30</v>
          </cell>
          <cell r="M98">
            <v>30</v>
          </cell>
          <cell r="N98">
            <v>30</v>
          </cell>
          <cell r="O98">
            <v>60</v>
          </cell>
          <cell r="V98">
            <v>50</v>
          </cell>
          <cell r="W98">
            <v>63</v>
          </cell>
          <cell r="X98">
            <v>80</v>
          </cell>
          <cell r="Y98">
            <v>5.7301587301587302</v>
          </cell>
          <cell r="Z98">
            <v>1.2857142857142858</v>
          </cell>
          <cell r="AC98">
            <v>0</v>
          </cell>
          <cell r="AD98">
            <v>85.8</v>
          </cell>
          <cell r="AE98">
            <v>57.6</v>
          </cell>
          <cell r="AF98">
            <v>60.8</v>
          </cell>
          <cell r="AG98">
            <v>62.4</v>
          </cell>
          <cell r="AH98">
            <v>86</v>
          </cell>
          <cell r="AI98">
            <v>0</v>
          </cell>
        </row>
        <row r="99">
          <cell r="A99" t="str">
            <v xml:space="preserve"> 449  Колбаса Дугушка Стародворская ВЕС ТС Дугушка ПОКОМ</v>
          </cell>
          <cell r="B99" t="str">
            <v>кг</v>
          </cell>
          <cell r="C99">
            <v>373.38799999999998</v>
          </cell>
          <cell r="D99">
            <v>643.197</v>
          </cell>
          <cell r="E99">
            <v>935.05700000000002</v>
          </cell>
          <cell r="F99">
            <v>52.701000000000001</v>
          </cell>
          <cell r="G99">
            <v>0</v>
          </cell>
          <cell r="H99">
            <v>1</v>
          </cell>
          <cell r="I99" t="e">
            <v>#N/A</v>
          </cell>
          <cell r="J99">
            <v>941.63199999999995</v>
          </cell>
          <cell r="K99">
            <v>-6.5749999999999318</v>
          </cell>
          <cell r="L99">
            <v>120</v>
          </cell>
          <cell r="M99">
            <v>120</v>
          </cell>
          <cell r="N99">
            <v>120</v>
          </cell>
          <cell r="O99">
            <v>120</v>
          </cell>
          <cell r="V99">
            <v>100</v>
          </cell>
          <cell r="W99">
            <v>155.84283333333335</v>
          </cell>
          <cell r="X99">
            <v>200</v>
          </cell>
          <cell r="Y99">
            <v>5.3432100930745392</v>
          </cell>
          <cell r="Z99">
            <v>0.33816761972799519</v>
          </cell>
          <cell r="AC99">
            <v>0</v>
          </cell>
          <cell r="AD99">
            <v>87.367199999999997</v>
          </cell>
          <cell r="AE99">
            <v>100.2654</v>
          </cell>
          <cell r="AF99">
            <v>115.05820000000001</v>
          </cell>
          <cell r="AG99">
            <v>151.6652</v>
          </cell>
          <cell r="AH99">
            <v>213.3</v>
          </cell>
          <cell r="AI99">
            <v>0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B100" t="str">
            <v>кг</v>
          </cell>
          <cell r="C100">
            <v>4493.2730000000001</v>
          </cell>
          <cell r="D100">
            <v>2833.8470000000002</v>
          </cell>
          <cell r="E100">
            <v>6224.433</v>
          </cell>
          <cell r="F100">
            <v>974.39400000000001</v>
          </cell>
          <cell r="G100">
            <v>0</v>
          </cell>
          <cell r="H100">
            <v>1</v>
          </cell>
          <cell r="I100" t="e">
            <v>#N/A</v>
          </cell>
          <cell r="J100">
            <v>6337.5870000000004</v>
          </cell>
          <cell r="K100">
            <v>-113.15400000000045</v>
          </cell>
          <cell r="L100">
            <v>700</v>
          </cell>
          <cell r="M100">
            <v>900</v>
          </cell>
          <cell r="N100">
            <v>900</v>
          </cell>
          <cell r="O100">
            <v>600</v>
          </cell>
          <cell r="V100">
            <v>500</v>
          </cell>
          <cell r="W100">
            <v>1037.4055000000001</v>
          </cell>
          <cell r="X100">
            <v>800</v>
          </cell>
          <cell r="Y100">
            <v>5.1806106676704529</v>
          </cell>
          <cell r="Z100">
            <v>0.9392604916785191</v>
          </cell>
          <cell r="AC100">
            <v>0</v>
          </cell>
          <cell r="AD100">
            <v>859.18759999999997</v>
          </cell>
          <cell r="AE100">
            <v>1041.681</v>
          </cell>
          <cell r="AF100">
            <v>822.88719999999989</v>
          </cell>
          <cell r="AG100">
            <v>1037.6032</v>
          </cell>
          <cell r="AH100">
            <v>1064.4839999999999</v>
          </cell>
          <cell r="AI100">
            <v>0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B101" t="str">
            <v>кг</v>
          </cell>
          <cell r="C101">
            <v>5782.3379999999997</v>
          </cell>
          <cell r="D101">
            <v>9154.7990000000009</v>
          </cell>
          <cell r="E101">
            <v>14618.776</v>
          </cell>
          <cell r="F101">
            <v>19.064</v>
          </cell>
          <cell r="G101">
            <v>0</v>
          </cell>
          <cell r="H101">
            <v>1</v>
          </cell>
          <cell r="I101" t="e">
            <v>#N/A</v>
          </cell>
          <cell r="J101">
            <v>16745.422999999999</v>
          </cell>
          <cell r="K101">
            <v>-2126.646999999999</v>
          </cell>
          <cell r="L101">
            <v>2400</v>
          </cell>
          <cell r="M101">
            <v>2500</v>
          </cell>
          <cell r="N101">
            <v>2200</v>
          </cell>
          <cell r="O101">
            <v>3200</v>
          </cell>
          <cell r="V101">
            <v>1600</v>
          </cell>
          <cell r="W101">
            <v>2418.7575000000002</v>
          </cell>
          <cell r="X101">
            <v>1100</v>
          </cell>
          <cell r="Y101">
            <v>5.382542069636993</v>
          </cell>
          <cell r="Z101">
            <v>7.8817326664620165E-3</v>
          </cell>
          <cell r="AC101">
            <v>106.23099999999999</v>
          </cell>
          <cell r="AD101">
            <v>1302.1748000000002</v>
          </cell>
          <cell r="AE101">
            <v>1449.4908</v>
          </cell>
          <cell r="AF101">
            <v>1456.7872</v>
          </cell>
          <cell r="AG101">
            <v>2459.7380000000003</v>
          </cell>
          <cell r="AH101">
            <v>2386.6329999999998</v>
          </cell>
          <cell r="AI101" t="str">
            <v>проддек-ян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B102" t="str">
            <v>кг</v>
          </cell>
          <cell r="C102">
            <v>4458.2529999999997</v>
          </cell>
          <cell r="D102">
            <v>8330.1260000000002</v>
          </cell>
          <cell r="E102">
            <v>12438.454</v>
          </cell>
          <cell r="F102">
            <v>28.927</v>
          </cell>
          <cell r="G102">
            <v>0</v>
          </cell>
          <cell r="H102">
            <v>1</v>
          </cell>
          <cell r="I102" t="e">
            <v>#N/A</v>
          </cell>
          <cell r="J102">
            <v>13830.47</v>
          </cell>
          <cell r="K102">
            <v>-1392.0159999999996</v>
          </cell>
          <cell r="L102">
            <v>1900</v>
          </cell>
          <cell r="M102">
            <v>2300</v>
          </cell>
          <cell r="N102">
            <v>2000</v>
          </cell>
          <cell r="O102">
            <v>1800</v>
          </cell>
          <cell r="V102">
            <v>1400</v>
          </cell>
          <cell r="W102">
            <v>2055.7051666666666</v>
          </cell>
          <cell r="X102">
            <v>1200</v>
          </cell>
          <cell r="Y102">
            <v>5.1704530262162267</v>
          </cell>
          <cell r="Z102">
            <v>1.4071570412456196E-2</v>
          </cell>
          <cell r="AC102">
            <v>104.223</v>
          </cell>
          <cell r="AD102">
            <v>1345.3812</v>
          </cell>
          <cell r="AE102">
            <v>1348.6866</v>
          </cell>
          <cell r="AF102">
            <v>1359.4394</v>
          </cell>
          <cell r="AG102">
            <v>2109.1264000000001</v>
          </cell>
          <cell r="AH102">
            <v>2516.9879999999998</v>
          </cell>
          <cell r="AI102" t="str">
            <v>жк,ябдек-ян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B103" t="str">
            <v>шт</v>
          </cell>
          <cell r="D103">
            <v>65</v>
          </cell>
          <cell r="E103">
            <v>0</v>
          </cell>
          <cell r="F103">
            <v>65</v>
          </cell>
          <cell r="G103" t="str">
            <v>сч</v>
          </cell>
          <cell r="H103">
            <v>0</v>
          </cell>
          <cell r="I103" t="e">
            <v>#N/A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e">
            <v>#N/A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B104" t="str">
            <v>кг</v>
          </cell>
          <cell r="C104">
            <v>189.76</v>
          </cell>
          <cell r="D104">
            <v>232.51400000000001</v>
          </cell>
          <cell r="E104">
            <v>363.24799999999999</v>
          </cell>
          <cell r="F104">
            <v>52.588999999999999</v>
          </cell>
          <cell r="G104">
            <v>0</v>
          </cell>
          <cell r="H104">
            <v>1</v>
          </cell>
          <cell r="I104" t="e">
            <v>#N/A</v>
          </cell>
          <cell r="J104">
            <v>376.27499999999998</v>
          </cell>
          <cell r="K104">
            <v>-13.026999999999987</v>
          </cell>
          <cell r="L104">
            <v>40</v>
          </cell>
          <cell r="M104">
            <v>40</v>
          </cell>
          <cell r="N104">
            <v>40</v>
          </cell>
          <cell r="O104">
            <v>50</v>
          </cell>
          <cell r="V104">
            <v>50</v>
          </cell>
          <cell r="W104">
            <v>60.541333333333334</v>
          </cell>
          <cell r="X104">
            <v>50</v>
          </cell>
          <cell r="Y104">
            <v>5.3284092410694619</v>
          </cell>
          <cell r="Z104">
            <v>0.86864621415671939</v>
          </cell>
          <cell r="AC104">
            <v>0</v>
          </cell>
          <cell r="AD104">
            <v>38.357399999999998</v>
          </cell>
          <cell r="AE104">
            <v>37.7012</v>
          </cell>
          <cell r="AF104">
            <v>36.11</v>
          </cell>
          <cell r="AG104">
            <v>63.814200000000007</v>
          </cell>
          <cell r="AH104">
            <v>55.401000000000003</v>
          </cell>
          <cell r="AI104">
            <v>0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B105" t="str">
            <v>шт</v>
          </cell>
          <cell r="D105">
            <v>167</v>
          </cell>
          <cell r="E105">
            <v>0</v>
          </cell>
          <cell r="F105">
            <v>167</v>
          </cell>
          <cell r="G105" t="str">
            <v>сч</v>
          </cell>
          <cell r="H105">
            <v>0</v>
          </cell>
          <cell r="I105" t="e">
            <v>#N/A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#N/A</v>
          </cell>
        </row>
        <row r="106">
          <cell r="A106" t="str">
            <v xml:space="preserve"> 467  Колбаса Филейная 0,5кг ТМ Особый рецепт  ПОКОМ</v>
          </cell>
          <cell r="B106" t="str">
            <v>шт</v>
          </cell>
          <cell r="C106">
            <v>94</v>
          </cell>
          <cell r="D106">
            <v>296</v>
          </cell>
          <cell r="E106">
            <v>217</v>
          </cell>
          <cell r="F106">
            <v>142</v>
          </cell>
          <cell r="G106">
            <v>0</v>
          </cell>
          <cell r="H106">
            <v>0.5</v>
          </cell>
          <cell r="I106" t="e">
            <v>#N/A</v>
          </cell>
          <cell r="J106">
            <v>254</v>
          </cell>
          <cell r="K106">
            <v>-37</v>
          </cell>
          <cell r="L106">
            <v>30</v>
          </cell>
          <cell r="M106">
            <v>30</v>
          </cell>
          <cell r="N106">
            <v>30</v>
          </cell>
          <cell r="O106">
            <v>30</v>
          </cell>
          <cell r="W106">
            <v>36.166666666666664</v>
          </cell>
          <cell r="X106">
            <v>20</v>
          </cell>
          <cell r="Y106">
            <v>7.7972350230414751</v>
          </cell>
          <cell r="Z106">
            <v>3.9262672811059911</v>
          </cell>
          <cell r="AC106">
            <v>0</v>
          </cell>
          <cell r="AD106">
            <v>27.6</v>
          </cell>
          <cell r="AE106">
            <v>24.2</v>
          </cell>
          <cell r="AF106">
            <v>26.6</v>
          </cell>
          <cell r="AG106">
            <v>41.8</v>
          </cell>
          <cell r="AH106">
            <v>35</v>
          </cell>
          <cell r="AI106">
            <v>0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B107" t="str">
            <v>кг</v>
          </cell>
          <cell r="D107">
            <v>64.504999999999995</v>
          </cell>
          <cell r="E107">
            <v>0</v>
          </cell>
          <cell r="F107">
            <v>64.504999999999995</v>
          </cell>
          <cell r="G107" t="str">
            <v>сч</v>
          </cell>
          <cell r="H107">
            <v>0</v>
          </cell>
          <cell r="I107" t="e">
            <v>#N/A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W107">
            <v>0</v>
          </cell>
          <cell r="Y107" t="e">
            <v>#DIV/0!</v>
          </cell>
          <cell r="Z107" t="e">
            <v>#DIV/0!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e">
            <v>#N/A</v>
          </cell>
        </row>
        <row r="108">
          <cell r="A108" t="str">
            <v xml:space="preserve"> 474  Колбаса Молочная 0,4кг ТМ Зареченские  ПОКОМ</v>
          </cell>
          <cell r="B108" t="str">
            <v>шт</v>
          </cell>
          <cell r="D108">
            <v>700</v>
          </cell>
          <cell r="E108">
            <v>700</v>
          </cell>
          <cell r="G108" t="str">
            <v>пуд</v>
          </cell>
          <cell r="H108">
            <v>0.4</v>
          </cell>
          <cell r="I108" t="e">
            <v>#N/A</v>
          </cell>
          <cell r="J108">
            <v>700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T108">
            <v>700</v>
          </cell>
          <cell r="W108">
            <v>0</v>
          </cell>
          <cell r="Y108" t="e">
            <v>#DIV/0!</v>
          </cell>
          <cell r="Z108" t="e">
            <v>#DIV/0!</v>
          </cell>
          <cell r="AC108">
            <v>700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#N/A</v>
          </cell>
        </row>
        <row r="109">
          <cell r="A109" t="str">
            <v xml:space="preserve"> 483  Колбаса Молочная Традиционная ТМ Стародворье в оболочке полиамид 0,4 кг. ПОКОМ </v>
          </cell>
          <cell r="B109" t="str">
            <v>шт</v>
          </cell>
          <cell r="D109">
            <v>13</v>
          </cell>
          <cell r="E109">
            <v>0</v>
          </cell>
          <cell r="F109">
            <v>13</v>
          </cell>
          <cell r="G109" t="str">
            <v>сч</v>
          </cell>
          <cell r="H109">
            <v>0</v>
          </cell>
          <cell r="I109" t="e">
            <v>#N/A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#N/A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950</v>
          </cell>
          <cell r="D110">
            <v>1840</v>
          </cell>
          <cell r="E110">
            <v>2464</v>
          </cell>
          <cell r="F110">
            <v>257</v>
          </cell>
          <cell r="G110">
            <v>0</v>
          </cell>
          <cell r="H110">
            <v>0.3</v>
          </cell>
          <cell r="I110" t="e">
            <v>#N/A</v>
          </cell>
          <cell r="J110">
            <v>2535</v>
          </cell>
          <cell r="K110">
            <v>-71</v>
          </cell>
          <cell r="L110">
            <v>300</v>
          </cell>
          <cell r="M110">
            <v>300</v>
          </cell>
          <cell r="N110">
            <v>300</v>
          </cell>
          <cell r="O110">
            <v>300</v>
          </cell>
          <cell r="T110">
            <v>282</v>
          </cell>
          <cell r="V110">
            <v>250</v>
          </cell>
          <cell r="W110">
            <v>376.66666666666669</v>
          </cell>
          <cell r="X110">
            <v>300</v>
          </cell>
          <cell r="Y110">
            <v>5.3283185840707965</v>
          </cell>
          <cell r="Z110">
            <v>0.68230088495575214</v>
          </cell>
          <cell r="AC110">
            <v>204</v>
          </cell>
          <cell r="AD110">
            <v>330.4</v>
          </cell>
          <cell r="AE110">
            <v>290.60000000000002</v>
          </cell>
          <cell r="AF110">
            <v>289</v>
          </cell>
          <cell r="AG110">
            <v>384.8</v>
          </cell>
          <cell r="AH110">
            <v>333</v>
          </cell>
          <cell r="AI110">
            <v>0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B111" t="str">
            <v>шт</v>
          </cell>
          <cell r="C111">
            <v>404</v>
          </cell>
          <cell r="D111">
            <v>875</v>
          </cell>
          <cell r="E111">
            <v>1204</v>
          </cell>
          <cell r="F111">
            <v>21</v>
          </cell>
          <cell r="G111">
            <v>0</v>
          </cell>
          <cell r="H111">
            <v>0.3</v>
          </cell>
          <cell r="I111" t="e">
            <v>#N/A</v>
          </cell>
          <cell r="J111">
            <v>1311</v>
          </cell>
          <cell r="K111">
            <v>-107</v>
          </cell>
          <cell r="L111">
            <v>150</v>
          </cell>
          <cell r="M111">
            <v>150</v>
          </cell>
          <cell r="N111">
            <v>150</v>
          </cell>
          <cell r="O111">
            <v>200</v>
          </cell>
          <cell r="V111">
            <v>150</v>
          </cell>
          <cell r="W111">
            <v>200.66666666666666</v>
          </cell>
          <cell r="X111">
            <v>200</v>
          </cell>
          <cell r="Y111">
            <v>5.088039867109635</v>
          </cell>
          <cell r="Z111">
            <v>0.10465116279069768</v>
          </cell>
          <cell r="AC111">
            <v>0</v>
          </cell>
          <cell r="AD111">
            <v>160.4</v>
          </cell>
          <cell r="AE111">
            <v>133</v>
          </cell>
          <cell r="AF111">
            <v>147.4</v>
          </cell>
          <cell r="AG111">
            <v>195.8</v>
          </cell>
          <cell r="AH111">
            <v>168</v>
          </cell>
          <cell r="AI111">
            <v>0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B112" t="str">
            <v>шт</v>
          </cell>
          <cell r="C112">
            <v>725</v>
          </cell>
          <cell r="D112">
            <v>1207</v>
          </cell>
          <cell r="E112">
            <v>1794</v>
          </cell>
          <cell r="F112">
            <v>61</v>
          </cell>
          <cell r="G112">
            <v>0</v>
          </cell>
          <cell r="H112">
            <v>0.3</v>
          </cell>
          <cell r="I112" t="e">
            <v>#N/A</v>
          </cell>
          <cell r="J112">
            <v>1909</v>
          </cell>
          <cell r="K112">
            <v>-115</v>
          </cell>
          <cell r="L112">
            <v>200</v>
          </cell>
          <cell r="M112">
            <v>200</v>
          </cell>
          <cell r="N112">
            <v>200</v>
          </cell>
          <cell r="O112">
            <v>250</v>
          </cell>
          <cell r="T112">
            <v>120</v>
          </cell>
          <cell r="V112">
            <v>250</v>
          </cell>
          <cell r="W112">
            <v>299</v>
          </cell>
          <cell r="X112">
            <v>300</v>
          </cell>
          <cell r="Y112">
            <v>4.8862876254180598</v>
          </cell>
          <cell r="Z112">
            <v>0.20401337792642141</v>
          </cell>
          <cell r="AC112">
            <v>0</v>
          </cell>
          <cell r="AD112">
            <v>236.6</v>
          </cell>
          <cell r="AE112">
            <v>205.8</v>
          </cell>
          <cell r="AF112">
            <v>218.8</v>
          </cell>
          <cell r="AG112">
            <v>297.39999999999998</v>
          </cell>
          <cell r="AH112">
            <v>267</v>
          </cell>
          <cell r="AI112">
            <v>0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B113" t="str">
            <v>шт</v>
          </cell>
          <cell r="C113">
            <v>503</v>
          </cell>
          <cell r="D113">
            <v>984</v>
          </cell>
          <cell r="E113">
            <v>1400</v>
          </cell>
          <cell r="F113">
            <v>34</v>
          </cell>
          <cell r="G113">
            <v>0</v>
          </cell>
          <cell r="H113">
            <v>0.3</v>
          </cell>
          <cell r="I113" t="e">
            <v>#N/A</v>
          </cell>
          <cell r="J113">
            <v>1546</v>
          </cell>
          <cell r="K113">
            <v>-146</v>
          </cell>
          <cell r="L113">
            <v>180</v>
          </cell>
          <cell r="M113">
            <v>180</v>
          </cell>
          <cell r="N113">
            <v>180</v>
          </cell>
          <cell r="O113">
            <v>250</v>
          </cell>
          <cell r="V113">
            <v>150</v>
          </cell>
          <cell r="W113">
            <v>233.33333333333334</v>
          </cell>
          <cell r="X113">
            <v>200</v>
          </cell>
          <cell r="Y113">
            <v>5.0314285714285711</v>
          </cell>
          <cell r="Z113">
            <v>0.14571428571428571</v>
          </cell>
          <cell r="AC113">
            <v>0</v>
          </cell>
          <cell r="AD113">
            <v>166.2</v>
          </cell>
          <cell r="AE113">
            <v>154</v>
          </cell>
          <cell r="AF113">
            <v>172</v>
          </cell>
          <cell r="AG113">
            <v>234.8</v>
          </cell>
          <cell r="AH113">
            <v>181</v>
          </cell>
          <cell r="AI113">
            <v>0</v>
          </cell>
        </row>
        <row r="114">
          <cell r="A114" t="str">
            <v xml:space="preserve"> 505  Ветчина Стародворская ТМ Стародворье брикет 0,33 кг.  ПОКОМ</v>
          </cell>
          <cell r="B114" t="str">
            <v>шт</v>
          </cell>
          <cell r="D114">
            <v>150</v>
          </cell>
          <cell r="E114">
            <v>150</v>
          </cell>
          <cell r="G114">
            <v>0</v>
          </cell>
          <cell r="H114">
            <v>0.33</v>
          </cell>
          <cell r="I114" t="e">
            <v>#N/A</v>
          </cell>
          <cell r="J114">
            <v>150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C114">
            <v>150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 t="str">
            <v xml:space="preserve"> 519  Грудинка 0,12 кг нарезка ТМ Стародворье  ПОКОМ</v>
          </cell>
          <cell r="B115" t="str">
            <v>шт</v>
          </cell>
          <cell r="C115">
            <v>279</v>
          </cell>
          <cell r="D115">
            <v>263</v>
          </cell>
          <cell r="E115">
            <v>500</v>
          </cell>
          <cell r="F115">
            <v>14</v>
          </cell>
          <cell r="G115">
            <v>0</v>
          </cell>
          <cell r="H115">
            <v>0.12</v>
          </cell>
          <cell r="I115">
            <v>45</v>
          </cell>
          <cell r="J115">
            <v>574</v>
          </cell>
          <cell r="K115">
            <v>-74</v>
          </cell>
          <cell r="L115">
            <v>50</v>
          </cell>
          <cell r="M115">
            <v>50</v>
          </cell>
          <cell r="N115">
            <v>50</v>
          </cell>
          <cell r="O115">
            <v>100</v>
          </cell>
          <cell r="V115">
            <v>100</v>
          </cell>
          <cell r="W115">
            <v>83.333333333333329</v>
          </cell>
          <cell r="X115">
            <v>100</v>
          </cell>
          <cell r="Y115">
            <v>5.5680000000000005</v>
          </cell>
          <cell r="Z115">
            <v>0.16800000000000001</v>
          </cell>
          <cell r="AC115">
            <v>0</v>
          </cell>
          <cell r="AD115">
            <v>55.6</v>
          </cell>
          <cell r="AE115">
            <v>39.4</v>
          </cell>
          <cell r="AF115">
            <v>58.4</v>
          </cell>
          <cell r="AG115">
            <v>83.2</v>
          </cell>
          <cell r="AH115">
            <v>34</v>
          </cell>
          <cell r="AI115">
            <v>0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B116" t="str">
            <v>шт</v>
          </cell>
          <cell r="C116">
            <v>416</v>
          </cell>
          <cell r="D116">
            <v>1055</v>
          </cell>
          <cell r="E116">
            <v>986</v>
          </cell>
          <cell r="F116">
            <v>361</v>
          </cell>
          <cell r="G116">
            <v>0</v>
          </cell>
          <cell r="H116">
            <v>7.0000000000000007E-2</v>
          </cell>
          <cell r="I116" t="e">
            <v>#N/A</v>
          </cell>
          <cell r="J116">
            <v>1113</v>
          </cell>
          <cell r="K116">
            <v>-127</v>
          </cell>
          <cell r="L116">
            <v>100</v>
          </cell>
          <cell r="M116">
            <v>100</v>
          </cell>
          <cell r="N116">
            <v>100</v>
          </cell>
          <cell r="O116">
            <v>200</v>
          </cell>
          <cell r="V116">
            <v>100</v>
          </cell>
          <cell r="W116">
            <v>164.33333333333334</v>
          </cell>
          <cell r="X116">
            <v>200</v>
          </cell>
          <cell r="Y116">
            <v>7.064908722109533</v>
          </cell>
          <cell r="Z116">
            <v>2.1967545638945234</v>
          </cell>
          <cell r="AC116">
            <v>0</v>
          </cell>
          <cell r="AD116">
            <v>103.8</v>
          </cell>
          <cell r="AE116">
            <v>93.6</v>
          </cell>
          <cell r="AF116">
            <v>121.2</v>
          </cell>
          <cell r="AG116">
            <v>168.6</v>
          </cell>
          <cell r="AH116">
            <v>156</v>
          </cell>
          <cell r="AI116" t="str">
            <v>Ларин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B117" t="str">
            <v>шт</v>
          </cell>
          <cell r="C117">
            <v>295</v>
          </cell>
          <cell r="D117">
            <v>636</v>
          </cell>
          <cell r="E117">
            <v>782</v>
          </cell>
          <cell r="F117">
            <v>113</v>
          </cell>
          <cell r="G117">
            <v>0</v>
          </cell>
          <cell r="H117">
            <v>0.12</v>
          </cell>
          <cell r="I117" t="e">
            <v>#N/A</v>
          </cell>
          <cell r="J117">
            <v>886</v>
          </cell>
          <cell r="K117">
            <v>-104</v>
          </cell>
          <cell r="L117">
            <v>100</v>
          </cell>
          <cell r="M117">
            <v>100</v>
          </cell>
          <cell r="N117">
            <v>100</v>
          </cell>
          <cell r="O117">
            <v>150</v>
          </cell>
          <cell r="V117">
            <v>100</v>
          </cell>
          <cell r="W117">
            <v>130.33333333333334</v>
          </cell>
          <cell r="X117">
            <v>100</v>
          </cell>
          <cell r="Y117">
            <v>5.8542199488491047</v>
          </cell>
          <cell r="Z117">
            <v>0.86700767263427103</v>
          </cell>
          <cell r="AC117">
            <v>0</v>
          </cell>
          <cell r="AD117">
            <v>44.6</v>
          </cell>
          <cell r="AE117">
            <v>68.2</v>
          </cell>
          <cell r="AF117">
            <v>91</v>
          </cell>
          <cell r="AG117">
            <v>122.2</v>
          </cell>
          <cell r="AH117">
            <v>83</v>
          </cell>
          <cell r="AI117">
            <v>0</v>
          </cell>
        </row>
        <row r="118">
          <cell r="A118" t="str">
            <v xml:space="preserve"> 523  Колбаса Сальчичон нарезка 0,07кг ТМ Стародворье  ПОКОМ </v>
          </cell>
          <cell r="B118" t="str">
            <v>шт</v>
          </cell>
          <cell r="C118">
            <v>385</v>
          </cell>
          <cell r="D118">
            <v>1117</v>
          </cell>
          <cell r="E118">
            <v>1132</v>
          </cell>
          <cell r="F118">
            <v>275</v>
          </cell>
          <cell r="G118">
            <v>0</v>
          </cell>
          <cell r="H118">
            <v>7.0000000000000007E-2</v>
          </cell>
          <cell r="I118" t="e">
            <v>#N/A</v>
          </cell>
          <cell r="J118">
            <v>1229</v>
          </cell>
          <cell r="K118">
            <v>-97</v>
          </cell>
          <cell r="L118">
            <v>120</v>
          </cell>
          <cell r="M118">
            <v>120</v>
          </cell>
          <cell r="N118">
            <v>120</v>
          </cell>
          <cell r="O118">
            <v>250</v>
          </cell>
          <cell r="V118">
            <v>150</v>
          </cell>
          <cell r="W118">
            <v>188.66666666666666</v>
          </cell>
          <cell r="X118">
            <v>200</v>
          </cell>
          <cell r="Y118">
            <v>6.5459363957597176</v>
          </cell>
          <cell r="Z118">
            <v>1.4575971731448765</v>
          </cell>
          <cell r="AC118">
            <v>0</v>
          </cell>
          <cell r="AD118">
            <v>115</v>
          </cell>
          <cell r="AE118">
            <v>99.6</v>
          </cell>
          <cell r="AF118">
            <v>121</v>
          </cell>
          <cell r="AG118">
            <v>184</v>
          </cell>
          <cell r="AH118">
            <v>167</v>
          </cell>
          <cell r="AI118" t="str">
            <v>Ларин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B119" t="str">
            <v>шт</v>
          </cell>
          <cell r="C119">
            <v>365</v>
          </cell>
          <cell r="D119">
            <v>1232</v>
          </cell>
          <cell r="E119">
            <v>1120</v>
          </cell>
          <cell r="F119">
            <v>367</v>
          </cell>
          <cell r="G119">
            <v>0</v>
          </cell>
          <cell r="H119">
            <v>7.0000000000000007E-2</v>
          </cell>
          <cell r="I119">
            <v>90</v>
          </cell>
          <cell r="J119">
            <v>1352</v>
          </cell>
          <cell r="K119">
            <v>-232</v>
          </cell>
          <cell r="L119">
            <v>120</v>
          </cell>
          <cell r="M119">
            <v>120</v>
          </cell>
          <cell r="N119">
            <v>120</v>
          </cell>
          <cell r="O119">
            <v>200</v>
          </cell>
          <cell r="V119">
            <v>150</v>
          </cell>
          <cell r="W119">
            <v>186.66666666666666</v>
          </cell>
          <cell r="X119">
            <v>200</v>
          </cell>
          <cell r="Y119">
            <v>6.8410714285714294</v>
          </cell>
          <cell r="Z119">
            <v>1.9660714285714287</v>
          </cell>
          <cell r="AC119">
            <v>0</v>
          </cell>
          <cell r="AD119">
            <v>147.6</v>
          </cell>
          <cell r="AE119">
            <v>113.6</v>
          </cell>
          <cell r="AF119">
            <v>141.4</v>
          </cell>
          <cell r="AG119">
            <v>185.4</v>
          </cell>
          <cell r="AH119">
            <v>219</v>
          </cell>
          <cell r="AI119" t="str">
            <v>Ларин</v>
          </cell>
        </row>
        <row r="120">
          <cell r="A120" t="str">
            <v xml:space="preserve"> 525  Колбаса Фуэт нарезка 0,07кг ТМ Стародворье  ПОКОМ</v>
          </cell>
          <cell r="B120" t="str">
            <v>шт</v>
          </cell>
          <cell r="C120">
            <v>246</v>
          </cell>
          <cell r="D120">
            <v>563</v>
          </cell>
          <cell r="E120">
            <v>628</v>
          </cell>
          <cell r="F120">
            <v>150</v>
          </cell>
          <cell r="G120">
            <v>0</v>
          </cell>
          <cell r="H120">
            <v>7.0000000000000007E-2</v>
          </cell>
          <cell r="I120" t="e">
            <v>#N/A</v>
          </cell>
          <cell r="J120">
            <v>758</v>
          </cell>
          <cell r="K120">
            <v>-130</v>
          </cell>
          <cell r="L120">
            <v>70</v>
          </cell>
          <cell r="M120">
            <v>70</v>
          </cell>
          <cell r="N120">
            <v>70</v>
          </cell>
          <cell r="O120">
            <v>100</v>
          </cell>
          <cell r="V120">
            <v>80</v>
          </cell>
          <cell r="W120">
            <v>104.66666666666667</v>
          </cell>
          <cell r="X120">
            <v>100</v>
          </cell>
          <cell r="Y120">
            <v>6.114649681528662</v>
          </cell>
          <cell r="Z120">
            <v>1.4331210191082802</v>
          </cell>
          <cell r="AC120">
            <v>0</v>
          </cell>
          <cell r="AD120">
            <v>86.2</v>
          </cell>
          <cell r="AE120">
            <v>59.8</v>
          </cell>
          <cell r="AF120">
            <v>65.599999999999994</v>
          </cell>
          <cell r="AG120">
            <v>94</v>
          </cell>
          <cell r="AH120">
            <v>91</v>
          </cell>
          <cell r="AI120">
            <v>0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B121" t="str">
            <v>шт</v>
          </cell>
          <cell r="C121">
            <v>202</v>
          </cell>
          <cell r="D121">
            <v>429</v>
          </cell>
          <cell r="E121">
            <v>430</v>
          </cell>
          <cell r="F121">
            <v>169</v>
          </cell>
          <cell r="G121">
            <v>0</v>
          </cell>
          <cell r="H121">
            <v>0.05</v>
          </cell>
          <cell r="I121" t="e">
            <v>#N/A</v>
          </cell>
          <cell r="J121">
            <v>551</v>
          </cell>
          <cell r="K121">
            <v>-121</v>
          </cell>
          <cell r="L121">
            <v>50</v>
          </cell>
          <cell r="M121">
            <v>50</v>
          </cell>
          <cell r="N121">
            <v>50</v>
          </cell>
          <cell r="O121">
            <v>50</v>
          </cell>
          <cell r="V121">
            <v>50</v>
          </cell>
          <cell r="W121">
            <v>71.666666666666671</v>
          </cell>
          <cell r="X121">
            <v>100</v>
          </cell>
          <cell r="Y121">
            <v>7.2418604651162788</v>
          </cell>
          <cell r="Z121">
            <v>2.3581395348837209</v>
          </cell>
          <cell r="AC121">
            <v>0</v>
          </cell>
          <cell r="AD121">
            <v>58</v>
          </cell>
          <cell r="AE121">
            <v>45.2</v>
          </cell>
          <cell r="AF121">
            <v>43.6</v>
          </cell>
          <cell r="AG121">
            <v>70</v>
          </cell>
          <cell r="AH121">
            <v>67</v>
          </cell>
          <cell r="AI121">
            <v>0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B122" t="str">
            <v>шт</v>
          </cell>
          <cell r="D122">
            <v>160</v>
          </cell>
          <cell r="E122">
            <v>17</v>
          </cell>
          <cell r="F122">
            <v>143</v>
          </cell>
          <cell r="G122" t="str">
            <v>сч</v>
          </cell>
          <cell r="H122">
            <v>5.5E-2</v>
          </cell>
          <cell r="I122" t="e">
            <v>#N/A</v>
          </cell>
          <cell r="J122">
            <v>18</v>
          </cell>
          <cell r="K122">
            <v>-1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W122">
            <v>2.8333333333333335</v>
          </cell>
          <cell r="Y122">
            <v>50.470588235294116</v>
          </cell>
          <cell r="Z122">
            <v>50.470588235294116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17</v>
          </cell>
          <cell r="AI122" t="e">
            <v>#N/A</v>
          </cell>
        </row>
        <row r="123">
          <cell r="A123" t="str">
            <v xml:space="preserve"> 529  Бекон выдержанный нарезка 0,055кг ТМ Стародворье  ПОКОМ</v>
          </cell>
          <cell r="B123" t="str">
            <v>шт</v>
          </cell>
          <cell r="D123">
            <v>75</v>
          </cell>
          <cell r="E123">
            <v>0</v>
          </cell>
          <cell r="F123">
            <v>75</v>
          </cell>
          <cell r="G123" t="str">
            <v>сч</v>
          </cell>
          <cell r="H123">
            <v>0</v>
          </cell>
          <cell r="I123" t="e">
            <v>#N/A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e">
            <v>#N/A</v>
          </cell>
        </row>
        <row r="124">
          <cell r="A124" t="str">
            <v xml:space="preserve"> 530  Окорок Хамон выдержанный нарезка 0,055кг ТМ Стародворье  ПОКОМ</v>
          </cell>
          <cell r="B124" t="str">
            <v>шт</v>
          </cell>
          <cell r="D124">
            <v>45</v>
          </cell>
          <cell r="E124">
            <v>0</v>
          </cell>
          <cell r="F124">
            <v>45</v>
          </cell>
          <cell r="G124" t="str">
            <v>сч</v>
          </cell>
          <cell r="H124">
            <v>0</v>
          </cell>
          <cell r="I124" t="e">
            <v>#N/A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e">
            <v>#N/A</v>
          </cell>
        </row>
        <row r="125">
          <cell r="A125" t="str">
            <v xml:space="preserve"> 546  Колбаса Чесночная 0,4 кг срез ТМ Стародворье  ПОКОМ</v>
          </cell>
          <cell r="B125" t="str">
            <v>шт</v>
          </cell>
          <cell r="C125">
            <v>96</v>
          </cell>
          <cell r="D125">
            <v>1</v>
          </cell>
          <cell r="E125">
            <v>84</v>
          </cell>
          <cell r="F125">
            <v>8</v>
          </cell>
          <cell r="G125" t="str">
            <v>вв1912</v>
          </cell>
          <cell r="H125">
            <v>0</v>
          </cell>
          <cell r="I125" t="e">
            <v>#N/A</v>
          </cell>
          <cell r="J125">
            <v>90</v>
          </cell>
          <cell r="K125">
            <v>-6</v>
          </cell>
          <cell r="L125">
            <v>10</v>
          </cell>
          <cell r="M125">
            <v>10</v>
          </cell>
          <cell r="N125">
            <v>10</v>
          </cell>
          <cell r="O125">
            <v>20</v>
          </cell>
          <cell r="W125">
            <v>14</v>
          </cell>
          <cell r="Y125">
            <v>4.1428571428571432</v>
          </cell>
          <cell r="Z125">
            <v>0.5714285714285714</v>
          </cell>
          <cell r="AC125">
            <v>0</v>
          </cell>
          <cell r="AD125">
            <v>14</v>
          </cell>
          <cell r="AE125">
            <v>12.6</v>
          </cell>
          <cell r="AF125">
            <v>12.6</v>
          </cell>
          <cell r="AG125">
            <v>11.6</v>
          </cell>
          <cell r="AH125">
            <v>4</v>
          </cell>
          <cell r="AI125" t="str">
            <v>увел</v>
          </cell>
        </row>
        <row r="126">
          <cell r="A126" t="str">
            <v xml:space="preserve"> 549  Колбаса Докторская ТМ Особый рецепт в оболочке полиамид.ВЕС  ПОКОМ</v>
          </cell>
          <cell r="B126" t="str">
            <v>кг</v>
          </cell>
          <cell r="C126">
            <v>2171.3429999999998</v>
          </cell>
          <cell r="D126">
            <v>2731.7849999999999</v>
          </cell>
          <cell r="E126">
            <v>4369.7719999999999</v>
          </cell>
          <cell r="F126">
            <v>488.404</v>
          </cell>
          <cell r="G126" t="str">
            <v>рот11,11,</v>
          </cell>
          <cell r="H126">
            <v>1</v>
          </cell>
          <cell r="I126" t="e">
            <v>#N/A</v>
          </cell>
          <cell r="J126">
            <v>4831.415</v>
          </cell>
          <cell r="K126">
            <v>-461.64300000000003</v>
          </cell>
          <cell r="L126">
            <v>650</v>
          </cell>
          <cell r="M126">
            <v>650</v>
          </cell>
          <cell r="N126">
            <v>650</v>
          </cell>
          <cell r="O126">
            <v>500</v>
          </cell>
          <cell r="V126">
            <v>500</v>
          </cell>
          <cell r="W126">
            <v>728.29533333333336</v>
          </cell>
          <cell r="X126">
            <v>500</v>
          </cell>
          <cell r="Y126">
            <v>5.4077018205984198</v>
          </cell>
          <cell r="Z126">
            <v>0.67061256285224946</v>
          </cell>
          <cell r="AC126">
            <v>0</v>
          </cell>
          <cell r="AD126">
            <v>476.98220000000003</v>
          </cell>
          <cell r="AE126">
            <v>522.60220000000004</v>
          </cell>
          <cell r="AF126">
            <v>496.02079999999995</v>
          </cell>
          <cell r="AG126">
            <v>776.4588</v>
          </cell>
          <cell r="AH126">
            <v>127.078</v>
          </cell>
          <cell r="AI126">
            <v>0</v>
          </cell>
        </row>
        <row r="127">
          <cell r="A127" t="str">
            <v xml:space="preserve"> 551  Колбаса Сливушка ТМ Вязанка в модифицированной газовой среде 0,11 кг нарезка  ПОКОМ</v>
          </cell>
          <cell r="B127" t="str">
            <v>шт</v>
          </cell>
          <cell r="D127">
            <v>150</v>
          </cell>
          <cell r="E127">
            <v>63</v>
          </cell>
          <cell r="F127">
            <v>82</v>
          </cell>
          <cell r="G127" t="str">
            <v>нов</v>
          </cell>
          <cell r="H127">
            <v>0.11</v>
          </cell>
          <cell r="I127" t="e">
            <v>#N/A</v>
          </cell>
          <cell r="J127">
            <v>69</v>
          </cell>
          <cell r="K127">
            <v>-6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V127">
            <v>50</v>
          </cell>
          <cell r="W127">
            <v>10.5</v>
          </cell>
          <cell r="X127">
            <v>50</v>
          </cell>
          <cell r="Y127">
            <v>17.333333333333332</v>
          </cell>
          <cell r="Z127">
            <v>7.8095238095238093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44</v>
          </cell>
          <cell r="AI127" t="e">
            <v>#N/A</v>
          </cell>
        </row>
        <row r="128">
          <cell r="A128" t="str">
            <v xml:space="preserve"> 552  Ветчина Сливушка с индейкой ТМ Вязанка в модифицированной газовой среде 0,1 кг нарезка  ПОКОМ</v>
          </cell>
          <cell r="B128" t="str">
            <v>шт</v>
          </cell>
          <cell r="D128">
            <v>150</v>
          </cell>
          <cell r="E128">
            <v>92</v>
          </cell>
          <cell r="F128">
            <v>50</v>
          </cell>
          <cell r="G128" t="str">
            <v>нов</v>
          </cell>
          <cell r="H128">
            <v>0.1</v>
          </cell>
          <cell r="I128" t="e">
            <v>#N/A</v>
          </cell>
          <cell r="J128">
            <v>103</v>
          </cell>
          <cell r="K128">
            <v>-11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V128">
            <v>100</v>
          </cell>
          <cell r="W128">
            <v>15.333333333333334</v>
          </cell>
          <cell r="X128">
            <v>100</v>
          </cell>
          <cell r="Y128">
            <v>16.304347826086957</v>
          </cell>
          <cell r="Z128">
            <v>3.2608695652173911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65</v>
          </cell>
          <cell r="AI128" t="e">
            <v>#N/A</v>
          </cell>
        </row>
        <row r="129">
          <cell r="A129" t="str">
            <v xml:space="preserve"> 553  Ассорти колбас Мясорубская коллекция: Сервелат Делюкс, С балыком 0,08 кг нарезка  ПОКОМ</v>
          </cell>
          <cell r="B129" t="str">
            <v>шт</v>
          </cell>
          <cell r="D129">
            <v>150</v>
          </cell>
          <cell r="E129">
            <v>132</v>
          </cell>
          <cell r="F129">
            <v>10</v>
          </cell>
          <cell r="G129" t="str">
            <v>нов</v>
          </cell>
          <cell r="H129">
            <v>0.08</v>
          </cell>
          <cell r="I129" t="e">
            <v>#N/A</v>
          </cell>
          <cell r="J129">
            <v>167</v>
          </cell>
          <cell r="K129">
            <v>-35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V129">
            <v>100</v>
          </cell>
          <cell r="W129">
            <v>22</v>
          </cell>
          <cell r="X129">
            <v>100</v>
          </cell>
          <cell r="Y129">
            <v>9.545454545454545</v>
          </cell>
          <cell r="Z129">
            <v>0.45454545454545453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86</v>
          </cell>
          <cell r="AI129" t="e">
            <v>#N/A</v>
          </cell>
        </row>
        <row r="130">
          <cell r="A130" t="str">
            <v xml:space="preserve"> 554  Колбаса Сервелат Мясорубский ТМ Стародворье в упаковке скин 0,08 кг нарезка  ПОКОМ</v>
          </cell>
          <cell r="B130" t="str">
            <v>шт</v>
          </cell>
          <cell r="D130">
            <v>150</v>
          </cell>
          <cell r="E130">
            <v>133</v>
          </cell>
          <cell r="F130">
            <v>9</v>
          </cell>
          <cell r="G130" t="str">
            <v>нов</v>
          </cell>
          <cell r="H130">
            <v>0.08</v>
          </cell>
          <cell r="I130" t="e">
            <v>#N/A</v>
          </cell>
          <cell r="J130">
            <v>159</v>
          </cell>
          <cell r="K130">
            <v>-26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V130">
            <v>100</v>
          </cell>
          <cell r="W130">
            <v>22.166666666666668</v>
          </cell>
          <cell r="X130">
            <v>100</v>
          </cell>
          <cell r="Y130">
            <v>9.4285714285714288</v>
          </cell>
          <cell r="Z130">
            <v>0.40601503759398494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92</v>
          </cell>
          <cell r="AI13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01.01.2026 - 07.01.2026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481.63499999999999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562.87300000000005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11.9</v>
          </cell>
          <cell r="F9">
            <v>797.23400000000004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3605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1757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29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1822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36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230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126</v>
          </cell>
        </row>
        <row r="17">
          <cell r="A17" t="str">
            <v xml:space="preserve"> 079  Колбаса Сервелат Кремлевский,  0.35 кг, ПОКОМ</v>
          </cell>
          <cell r="F17">
            <v>2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7</v>
          </cell>
          <cell r="F18">
            <v>883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F19">
            <v>123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F20">
            <v>49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F21">
            <v>61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F22">
            <v>210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2.5</v>
          </cell>
          <cell r="F23">
            <v>291.04599999999999</v>
          </cell>
        </row>
        <row r="24">
          <cell r="A24" t="str">
            <v xml:space="preserve"> 201  Ветчина Нежная ТМ Особый рецепт, (2,5кг), ПОКОМ</v>
          </cell>
          <cell r="D24">
            <v>45</v>
          </cell>
          <cell r="F24">
            <v>2232.29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F25">
            <v>250.18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0.4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0.8</v>
          </cell>
          <cell r="F27">
            <v>320.66199999999998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F28">
            <v>101.575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148.952</v>
          </cell>
        </row>
        <row r="30">
          <cell r="A30" t="str">
            <v xml:space="preserve"> 240  Колбаса Салями охотничья, ВЕС. ПОКОМ</v>
          </cell>
          <cell r="F30">
            <v>0.4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F31">
            <v>170.97900000000001</v>
          </cell>
        </row>
        <row r="32">
          <cell r="A32" t="str">
            <v xml:space="preserve"> 247  Сардельки Нежные, ВЕС.  ПОКОМ</v>
          </cell>
          <cell r="D32">
            <v>1.35</v>
          </cell>
          <cell r="F32">
            <v>65.62</v>
          </cell>
        </row>
        <row r="33">
          <cell r="A33" t="str">
            <v xml:space="preserve"> 248  Сардельки Сочные ТМ Особый рецепт,   ПОКОМ</v>
          </cell>
          <cell r="F33">
            <v>50.7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13.1</v>
          </cell>
          <cell r="F34">
            <v>711.52700000000004</v>
          </cell>
        </row>
        <row r="35">
          <cell r="A35" t="str">
            <v xml:space="preserve"> 254 Сосиски Датские, ВЕС, ТМ КОЛБАСНЫЙ СТАНДАРТ ПОКОМ</v>
          </cell>
          <cell r="F35">
            <v>1.5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F36">
            <v>22.4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13.5</v>
          </cell>
        </row>
        <row r="38">
          <cell r="A38" t="str">
            <v xml:space="preserve"> 263  Шпикачки Стародворские, ВЕС.  ПОКОМ</v>
          </cell>
          <cell r="F38">
            <v>346.72</v>
          </cell>
        </row>
        <row r="39">
          <cell r="A39" t="str">
            <v xml:space="preserve"> 265  Колбаса Балыкбургская, ВЕС, ТМ Баварушка  ПОКОМ</v>
          </cell>
          <cell r="F39">
            <v>0.9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F40">
            <v>0.8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1003</v>
          </cell>
          <cell r="F42">
            <v>1571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110</v>
          </cell>
          <cell r="F43">
            <v>1291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1058</v>
          </cell>
          <cell r="F44">
            <v>2942</v>
          </cell>
        </row>
        <row r="45">
          <cell r="A45" t="str">
            <v xml:space="preserve"> 277  Колбаса Мясорубская ТМ Стародворье с сочной грудинкой , 0,35 кг срез  ПОКОМ</v>
          </cell>
          <cell r="F45">
            <v>1</v>
          </cell>
        </row>
        <row r="46">
          <cell r="A46" t="str">
            <v xml:space="preserve"> 278  Сосиски Сочинки с сочным окороком, МГС 0.4кг,   ПОКОМ</v>
          </cell>
          <cell r="F46">
            <v>20</v>
          </cell>
        </row>
        <row r="47">
          <cell r="A47" t="str">
            <v xml:space="preserve"> 281  Сосиски Молочные для завтрака ТМ Особый рецепт, 0,4кг  ПОКОМ</v>
          </cell>
          <cell r="F47">
            <v>6</v>
          </cell>
        </row>
        <row r="48">
          <cell r="A48" t="str">
            <v xml:space="preserve"> 283  Сосиски Сочинки, ВЕС, ТМ Стародворье ПОКОМ</v>
          </cell>
          <cell r="F48">
            <v>252.20500000000001</v>
          </cell>
        </row>
        <row r="49">
          <cell r="A49" t="str">
            <v xml:space="preserve"> 285  Паштет печеночный со слив.маслом ТМ Стародворье ламистер 0,1 кг  ПОКОМ</v>
          </cell>
          <cell r="F49">
            <v>574</v>
          </cell>
        </row>
        <row r="50">
          <cell r="A50" t="str">
            <v xml:space="preserve"> 291  Сосиски Молокуши миникушай ТМ Вязанка, 0.33кг, ПОКОМ</v>
          </cell>
          <cell r="F50">
            <v>64</v>
          </cell>
        </row>
        <row r="51">
          <cell r="A51" t="str">
            <v xml:space="preserve"> 296  Колбаса Мясорубская с рубленой грудинкой 0,35кг срез ТМ Стародворье  ПОКОМ</v>
          </cell>
          <cell r="F51">
            <v>484</v>
          </cell>
        </row>
        <row r="52">
          <cell r="A52" t="str">
            <v xml:space="preserve"> 297  Колбаса Мясорубская с рубленой грудинкой ВЕС ТМ Стародворье  ПОКОМ</v>
          </cell>
          <cell r="F52">
            <v>101.16</v>
          </cell>
        </row>
        <row r="53">
          <cell r="A53" t="str">
            <v xml:space="preserve"> 298  Колбаса Сливушка ТМ Вязанка, 0,375кг,  ПОКОМ</v>
          </cell>
          <cell r="F53">
            <v>36</v>
          </cell>
        </row>
        <row r="54">
          <cell r="A54" t="str">
            <v xml:space="preserve"> 301  Сосиски Сочинки по-баварски с сыром,  0.4кг, ТМ Стародворье  ПОКОМ</v>
          </cell>
          <cell r="F54">
            <v>320</v>
          </cell>
        </row>
        <row r="55">
          <cell r="A55" t="str">
            <v xml:space="preserve"> 302  Сосиски Сочинки по-баварски,  0.4кг, ТМ Стародворье  ПОКОМ</v>
          </cell>
          <cell r="D55">
            <v>7</v>
          </cell>
          <cell r="F55">
            <v>662</v>
          </cell>
        </row>
        <row r="56">
          <cell r="A56" t="str">
            <v xml:space="preserve"> 304  Колбаса Салями Мясорубская с рубленным шпиком ВЕС ТМ Стародворье  ПОКОМ</v>
          </cell>
          <cell r="D56">
            <v>0.7</v>
          </cell>
          <cell r="F56">
            <v>76.349999999999994</v>
          </cell>
        </row>
        <row r="57">
          <cell r="A57" t="str">
            <v xml:space="preserve"> 305  Колбаса Сервелат Мясорубский с мелкорубленным окороком в/у  ТМ Стародворье ВЕС   ПОКОМ</v>
          </cell>
          <cell r="D57">
            <v>5.7</v>
          </cell>
          <cell r="F57">
            <v>133.97</v>
          </cell>
        </row>
        <row r="58">
          <cell r="A58" t="str">
            <v xml:space="preserve"> 306  Колбаса Салями Мясорубская с рубленым шпиком 0,35 кг срез ТМ Стародворье   Поком</v>
          </cell>
          <cell r="D58">
            <v>1</v>
          </cell>
          <cell r="F58">
            <v>546</v>
          </cell>
        </row>
        <row r="59">
          <cell r="A59" t="str">
            <v xml:space="preserve"> 307  Колбаса Сервелат Мясорубский с мелкорубленным окороком 0,35 кг срез ТМ Стародворье   Поком</v>
          </cell>
          <cell r="D59">
            <v>2</v>
          </cell>
          <cell r="F59">
            <v>848</v>
          </cell>
        </row>
        <row r="60">
          <cell r="A60" t="str">
            <v xml:space="preserve"> 309  Сосиски Сочинки с сыром 0,4 кг ТМ Стародворье  ПОКОМ</v>
          </cell>
          <cell r="D60">
            <v>5</v>
          </cell>
          <cell r="F60">
            <v>498</v>
          </cell>
        </row>
        <row r="61">
          <cell r="A61" t="str">
            <v xml:space="preserve"> 312  Ветчина Филейская ВЕС ТМ  Вязанка ТС Столичная  ПОКОМ</v>
          </cell>
          <cell r="D61">
            <v>12.3</v>
          </cell>
          <cell r="F61">
            <v>341.142</v>
          </cell>
        </row>
        <row r="62">
          <cell r="A62" t="str">
            <v xml:space="preserve"> 315  Колбаса вареная Молокуша ТМ Вязанка ВЕС, ПОКОМ</v>
          </cell>
          <cell r="D62">
            <v>2.7</v>
          </cell>
          <cell r="F62">
            <v>474.12400000000002</v>
          </cell>
        </row>
        <row r="63">
          <cell r="A63" t="str">
            <v xml:space="preserve"> 316  Колбаса Нежная ТМ Зареченские ВЕС  ПОКОМ</v>
          </cell>
          <cell r="F63">
            <v>74.3</v>
          </cell>
        </row>
        <row r="64">
          <cell r="A64" t="str">
            <v xml:space="preserve"> 318  Сосиски Датские ТМ Зареченские, ВЕС  ПОКОМ</v>
          </cell>
          <cell r="D64">
            <v>12</v>
          </cell>
          <cell r="F64">
            <v>1677.9649999999999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5</v>
          </cell>
          <cell r="F65">
            <v>2113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9</v>
          </cell>
          <cell r="F66">
            <v>2100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1</v>
          </cell>
          <cell r="F67">
            <v>921</v>
          </cell>
        </row>
        <row r="68">
          <cell r="A68" t="str">
            <v xml:space="preserve"> 328  Сардельки Сочинки Стародворье ТМ  0,4 кг ПОКОМ</v>
          </cell>
          <cell r="F68">
            <v>107</v>
          </cell>
        </row>
        <row r="69">
          <cell r="A69" t="str">
            <v xml:space="preserve"> 329  Сардельки Сочинки с сыром Стародворье ТМ, 0,4 кг. ПОКОМ</v>
          </cell>
          <cell r="F69">
            <v>103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13.2</v>
          </cell>
          <cell r="F70">
            <v>577.67999999999995</v>
          </cell>
        </row>
        <row r="71">
          <cell r="A71" t="str">
            <v xml:space="preserve"> 334  Паштет Любительский ТМ Стародворье ламистер 0,1 кг  ПОКОМ</v>
          </cell>
          <cell r="F71">
            <v>423</v>
          </cell>
        </row>
        <row r="72">
          <cell r="A72" t="str">
            <v xml:space="preserve"> 335  Колбаса Сливушка ТМ Вязанка. ВЕС.  ПОКОМ </v>
          </cell>
          <cell r="F72">
            <v>146.58000000000001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F73">
            <v>238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257</v>
          </cell>
          <cell r="F74">
            <v>1413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5</v>
          </cell>
          <cell r="F75">
            <v>1075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2.6</v>
          </cell>
          <cell r="F76">
            <v>223.85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0.8</v>
          </cell>
          <cell r="F77">
            <v>70.78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2.6</v>
          </cell>
          <cell r="F78">
            <v>516.85199999999998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F79">
            <v>94.25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D80">
            <v>1</v>
          </cell>
          <cell r="F80">
            <v>33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D81">
            <v>1</v>
          </cell>
          <cell r="F81">
            <v>152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D82">
            <v>1</v>
          </cell>
          <cell r="F82">
            <v>203</v>
          </cell>
        </row>
        <row r="83">
          <cell r="A83" t="str">
            <v xml:space="preserve"> 364  Сардельки Филейские Вязанка ВЕС NDX ТМ Вязанка  ПОКОМ</v>
          </cell>
          <cell r="F83">
            <v>209.05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D84">
            <v>4</v>
          </cell>
          <cell r="F84">
            <v>494</v>
          </cell>
        </row>
        <row r="85">
          <cell r="A85" t="str">
            <v xml:space="preserve"> 377  Колбаса Молочная Дугушка 0,6кг ТМ Стародворье  ПОКОМ</v>
          </cell>
          <cell r="D85">
            <v>2</v>
          </cell>
          <cell r="F85">
            <v>473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F86">
            <v>355</v>
          </cell>
        </row>
        <row r="87">
          <cell r="A87" t="str">
            <v xml:space="preserve"> 388  Сосиски Восточные Халяль ТМ Вязанка 0,33 кг АК. ПОКОМ</v>
          </cell>
          <cell r="F87">
            <v>337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F88">
            <v>284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F89">
            <v>246</v>
          </cell>
        </row>
        <row r="90">
          <cell r="A90" t="str">
            <v xml:space="preserve"> 410  Сосиски Баварские с сыром ТМ Стародворье 0,35 кг. ПОКОМ</v>
          </cell>
          <cell r="D90">
            <v>415</v>
          </cell>
          <cell r="F90">
            <v>2499</v>
          </cell>
        </row>
        <row r="91">
          <cell r="A91" t="str">
            <v xml:space="preserve"> 412  Сосиски Баварские ТМ Стародворье 0,35 кг ПОКОМ</v>
          </cell>
          <cell r="D91">
            <v>26</v>
          </cell>
          <cell r="F91">
            <v>2979</v>
          </cell>
        </row>
        <row r="92">
          <cell r="A92" t="str">
            <v xml:space="preserve"> 430  Колбаса Стародворская с окороком 0,4 кг. ТМ Стародворье в оболочке полиамид  ПОКОМ</v>
          </cell>
          <cell r="F92">
            <v>282</v>
          </cell>
        </row>
        <row r="93">
          <cell r="A93" t="str">
            <v xml:space="preserve"> 431  Колбаса Стародворская с окороком в оболочке полиамид ТМ Стародворье ВЕС ПОКОМ</v>
          </cell>
          <cell r="F93">
            <v>134.25700000000001</v>
          </cell>
        </row>
        <row r="94">
          <cell r="A94" t="str">
            <v xml:space="preserve"> 435  Колбаса Молочная Стародворская  с молоком в оболочке полиамид 0,4 кг.ТМ Стародворье ПОКОМ</v>
          </cell>
          <cell r="F94">
            <v>130</v>
          </cell>
        </row>
        <row r="95">
          <cell r="A95" t="str">
            <v xml:space="preserve"> 436  Колбаса Молочная стародворская с молоком, ВЕС, ТМ Стародворье  ПОКОМ</v>
          </cell>
          <cell r="F95">
            <v>33.25</v>
          </cell>
        </row>
        <row r="96">
          <cell r="A96" t="str">
            <v xml:space="preserve"> 447  Колбаски Краковюрст ТМ Баварушка с изысканными пряностями в оболочке NDX в в.у 0,2 кг. ПОКОМ </v>
          </cell>
          <cell r="F96">
            <v>230</v>
          </cell>
        </row>
        <row r="97">
          <cell r="A97" t="str">
            <v xml:space="preserve"> 448  Сосиски Сливушки по-венски ТМ Вязанка. 0,3 кг ПОКОМ</v>
          </cell>
          <cell r="F97">
            <v>194</v>
          </cell>
        </row>
        <row r="98">
          <cell r="A98" t="str">
            <v xml:space="preserve"> 449  Колбаса Дугушка Стародворская ВЕС ТС Дугушка ПОКОМ</v>
          </cell>
          <cell r="D98">
            <v>2.5</v>
          </cell>
          <cell r="F98">
            <v>203.97300000000001</v>
          </cell>
        </row>
        <row r="99">
          <cell r="A99" t="str">
            <v xml:space="preserve"> 452  Колбаса Со шпиком ВЕС большой батон ТМ Особый рецепт  ПОКОМ</v>
          </cell>
          <cell r="D99">
            <v>35</v>
          </cell>
          <cell r="F99">
            <v>1884.624</v>
          </cell>
        </row>
        <row r="100">
          <cell r="A100" t="str">
            <v xml:space="preserve"> 456  Колбаса Филейная ТМ Особый рецепт ВЕС большой батон  ПОКОМ</v>
          </cell>
          <cell r="D100">
            <v>52.5</v>
          </cell>
          <cell r="F100">
            <v>3661.68</v>
          </cell>
        </row>
        <row r="101">
          <cell r="A101" t="str">
            <v xml:space="preserve"> 457  Колбаса Молочная ТМ Особый рецепт ВЕС большой батон  ПОКОМ</v>
          </cell>
          <cell r="D101">
            <v>20</v>
          </cell>
          <cell r="F101">
            <v>3576.5259999999998</v>
          </cell>
        </row>
        <row r="102">
          <cell r="A102" t="str">
            <v xml:space="preserve"> 462  Колбаса Со шпиком ТМ Особый рецепт в оболочке полиамид 0,5 кг. ПОКОМ</v>
          </cell>
          <cell r="F102">
            <v>8</v>
          </cell>
        </row>
        <row r="103">
          <cell r="A103" t="str">
            <v xml:space="preserve"> 465  Колбаса Филейная оригинальная ВЕС 0,8кг ТМ Особый рецепт в оболочке полиамид  ПОКОМ</v>
          </cell>
          <cell r="F103">
            <v>72.05</v>
          </cell>
        </row>
        <row r="104">
          <cell r="A104" t="str">
            <v xml:space="preserve"> 467  Колбаса Филейная 0,5кг ТМ Особый рецепт  ПОКОМ</v>
          </cell>
          <cell r="F104">
            <v>68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F105">
            <v>2.1</v>
          </cell>
        </row>
        <row r="106">
          <cell r="A106" t="str">
            <v xml:space="preserve"> 474  Колбаса Молочная 0,4кг ТМ Зареченские  ПОКОМ</v>
          </cell>
          <cell r="D106">
            <v>700</v>
          </cell>
          <cell r="F106">
            <v>700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4.2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287</v>
          </cell>
          <cell r="F108">
            <v>916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F109">
            <v>324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124</v>
          </cell>
          <cell r="F110">
            <v>570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F111">
            <v>308</v>
          </cell>
        </row>
        <row r="112">
          <cell r="A112" t="str">
            <v xml:space="preserve"> 519  Грудинка 0,12 кг нарезка ТМ Стародворье  ПОКОМ</v>
          </cell>
          <cell r="F112">
            <v>148</v>
          </cell>
        </row>
        <row r="113">
          <cell r="A113" t="str">
            <v xml:space="preserve"> 520  Колбаса Мраморная ТМ Стародворье в вакуумной упаковке 0,07 кг нарезка  ПОКОМ</v>
          </cell>
          <cell r="F113">
            <v>292</v>
          </cell>
        </row>
        <row r="114">
          <cell r="A114" t="str">
            <v xml:space="preserve"> 521  Бекон ТМ Стародворье в вакуумной упаковке 0,12кг нарезка  ПОКОМ</v>
          </cell>
          <cell r="F114">
            <v>250</v>
          </cell>
        </row>
        <row r="115">
          <cell r="A115" t="str">
            <v xml:space="preserve"> 523  Колбаса Сальчичон нарезка 0,07кг ТМ Стародворье  ПОКОМ </v>
          </cell>
          <cell r="F115">
            <v>415</v>
          </cell>
        </row>
        <row r="116">
          <cell r="A116" t="str">
            <v xml:space="preserve"> 524  Колбаса Сервелат Ореховый нарезка 0,07кг ТМ Стародворье  ПОКОМ</v>
          </cell>
          <cell r="F116">
            <v>581</v>
          </cell>
        </row>
        <row r="117">
          <cell r="A117" t="str">
            <v xml:space="preserve"> 525  Колбаса Фуэт нарезка 0,07кг ТМ Стародворье  ПОКОМ</v>
          </cell>
          <cell r="D117">
            <v>3</v>
          </cell>
          <cell r="F117">
            <v>202</v>
          </cell>
        </row>
        <row r="118">
          <cell r="A118" t="str">
            <v xml:space="preserve"> 526  Корейка вяленая выдержанная нарезка 0,05кг ТМ Стародворье  ПОКОМ</v>
          </cell>
          <cell r="D118">
            <v>3</v>
          </cell>
          <cell r="F118">
            <v>136</v>
          </cell>
        </row>
        <row r="119">
          <cell r="A119" t="str">
            <v xml:space="preserve"> 527  Окорок Прошутто выдержанный нарезка 0,055кг ТМ Стародворье  ПОКОМ</v>
          </cell>
          <cell r="D119">
            <v>3</v>
          </cell>
          <cell r="F119">
            <v>96</v>
          </cell>
        </row>
        <row r="120">
          <cell r="A120" t="str">
            <v xml:space="preserve"> 530  Окорок Хамон выдержанный нарезка 0,055кг ТМ Стародворье  ПОКОМ</v>
          </cell>
          <cell r="F120">
            <v>60</v>
          </cell>
        </row>
        <row r="121">
          <cell r="A121" t="str">
            <v xml:space="preserve"> 546  Колбаса Чесночная 0,4 кг срез ТМ Стародворье  ПОКОМ</v>
          </cell>
          <cell r="F121">
            <v>14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F122">
            <v>1152.0350000000001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F123">
            <v>52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F124">
            <v>71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F125">
            <v>70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F126">
            <v>70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F127">
            <v>52.8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F128">
            <v>41.5</v>
          </cell>
        </row>
        <row r="129">
          <cell r="A129" t="str">
            <v xml:space="preserve"> 558  Колбаса Балыковая НОВАЯ ВЕС Вязанка фиброуз в/у ПОКОМ</v>
          </cell>
          <cell r="F129">
            <v>42.95</v>
          </cell>
        </row>
        <row r="130">
          <cell r="A130" t="str">
            <v>0447 Сыр Голландский 45% Нарезка 125г ТМ Папа может ОСТАНКИНО</v>
          </cell>
          <cell r="D130">
            <v>21</v>
          </cell>
          <cell r="F130">
            <v>21</v>
          </cell>
        </row>
        <row r="131">
          <cell r="A131" t="str">
            <v>0454 Сыр Российский Особый 50%, Нарезка 125г тф ТМ Папа Может  ОСТАНКИНО</v>
          </cell>
          <cell r="D131">
            <v>32</v>
          </cell>
          <cell r="F131">
            <v>32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5</v>
          </cell>
          <cell r="F132">
            <v>5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5</v>
          </cell>
          <cell r="F133">
            <v>5</v>
          </cell>
        </row>
        <row r="134">
          <cell r="A134" t="str">
            <v>2712 Сыр тертый Три сыра Папа может 200 гр  ОСТАНКИНО</v>
          </cell>
          <cell r="D134">
            <v>1</v>
          </cell>
          <cell r="F134">
            <v>1</v>
          </cell>
        </row>
        <row r="135">
          <cell r="A135" t="str">
            <v>3215 ВЕТЧ.МЯСНАЯ Папа может п/о 0.4кг 8шт.    ОСТАНКИНО</v>
          </cell>
          <cell r="D135">
            <v>364</v>
          </cell>
          <cell r="F135">
            <v>364</v>
          </cell>
        </row>
        <row r="136">
          <cell r="A136" t="str">
            <v>3684 ПРЕСИЖН с/к в/у 1/250 8шт.   ОСТАНКИНО</v>
          </cell>
          <cell r="D136">
            <v>35</v>
          </cell>
          <cell r="F136">
            <v>35</v>
          </cell>
        </row>
        <row r="137">
          <cell r="A137" t="str">
            <v>3986 Ароматная с/к в/у 1/250 ОСТАНКИНО</v>
          </cell>
          <cell r="D137">
            <v>243</v>
          </cell>
          <cell r="F137">
            <v>243</v>
          </cell>
        </row>
        <row r="138">
          <cell r="A138" t="str">
            <v>4063 МЯСНАЯ Папа может вар п/о_Л   ОСТАНКИНО</v>
          </cell>
          <cell r="D138">
            <v>738.3</v>
          </cell>
          <cell r="F138">
            <v>738.3</v>
          </cell>
        </row>
        <row r="139">
          <cell r="A139" t="str">
            <v>4117 ЭКСТРА Папа может с/к в/у_Л   ОСТАНКИНО</v>
          </cell>
          <cell r="D139">
            <v>36.799999999999997</v>
          </cell>
          <cell r="F139">
            <v>36.799999999999997</v>
          </cell>
        </row>
        <row r="140">
          <cell r="A140" t="str">
            <v>4163 Сыр Боккончини копченый 40% 100 гр.  ОСТАНКИНО</v>
          </cell>
          <cell r="D140">
            <v>72</v>
          </cell>
          <cell r="F140">
            <v>72</v>
          </cell>
        </row>
        <row r="141">
          <cell r="A141" t="str">
            <v>4170 Сыр Скаморца свежий 40% 100 гр.  ОСТАНКИНО</v>
          </cell>
          <cell r="D141">
            <v>34</v>
          </cell>
          <cell r="F141">
            <v>34</v>
          </cell>
        </row>
        <row r="142">
          <cell r="A142" t="str">
            <v>4187 Сыр Чечил свежий 45% 100г/6шт ТМ Папа Может  ОСТАНКИНО</v>
          </cell>
          <cell r="D142">
            <v>113</v>
          </cell>
          <cell r="F142">
            <v>113</v>
          </cell>
        </row>
        <row r="143">
          <cell r="A143" t="str">
            <v>4194 Сыр Чечил копченый 43% 100г/6шт ТМ Папа Может  ОСТАНКИНО</v>
          </cell>
          <cell r="D143">
            <v>63</v>
          </cell>
          <cell r="F143">
            <v>63</v>
          </cell>
        </row>
        <row r="144">
          <cell r="A144" t="str">
            <v>4574 Колбаса вар Мясная со шпиком 1кг Папа может п/о (код покуп. 24784) Останкино</v>
          </cell>
          <cell r="D144">
            <v>56.9</v>
          </cell>
          <cell r="F144">
            <v>56.9</v>
          </cell>
        </row>
        <row r="145">
          <cell r="A145" t="str">
            <v>4813 ФИЛЕЙНАЯ Папа может вар п/о_Л   ОСТАНКИНО</v>
          </cell>
          <cell r="D145">
            <v>277.8</v>
          </cell>
          <cell r="F145">
            <v>277.8</v>
          </cell>
        </row>
        <row r="146">
          <cell r="A146" t="str">
            <v>4819 Сыр "Пармезан" 40% кусок 180 гр  ОСТАНКИНО</v>
          </cell>
          <cell r="D146">
            <v>44</v>
          </cell>
          <cell r="F146">
            <v>44</v>
          </cell>
        </row>
        <row r="147">
          <cell r="A147" t="str">
            <v>4903 Сыр Перлини 40% 100гр (8шт)  ОСТАНКИНО</v>
          </cell>
          <cell r="D147">
            <v>37</v>
          </cell>
          <cell r="F147">
            <v>37</v>
          </cell>
        </row>
        <row r="148">
          <cell r="A148" t="str">
            <v>4910 Сыр Перлини копченый 40% 100гр (8шт)  ОСТАНКИНО</v>
          </cell>
          <cell r="D148">
            <v>37</v>
          </cell>
          <cell r="F148">
            <v>37</v>
          </cell>
        </row>
        <row r="149">
          <cell r="A149" t="str">
            <v>4927 Сыр Перлини со вкусом Васаби 40% 100гр (8шт)  ОСТАНКИНО</v>
          </cell>
          <cell r="D149">
            <v>32</v>
          </cell>
          <cell r="F149">
            <v>32</v>
          </cell>
        </row>
        <row r="150">
          <cell r="A150" t="str">
            <v>4993 САЛЯМИ ИТАЛЬЯНСКАЯ с/к в/у 1/250*8_120c ОСТАНКИНО</v>
          </cell>
          <cell r="D150">
            <v>182</v>
          </cell>
          <cell r="F150">
            <v>182</v>
          </cell>
        </row>
        <row r="151">
          <cell r="A151" t="str">
            <v>5204 Сыр полутвердый "Российский", ВЕС брус, с массовой долей жира 50%  ОСТАНКИНО</v>
          </cell>
          <cell r="D151">
            <v>56.8</v>
          </cell>
          <cell r="F151">
            <v>56.8</v>
          </cell>
        </row>
        <row r="152">
          <cell r="A152" t="str">
            <v>5242 Сыр полутвердый "Гауда", 45%, ВЕС брус из блока 1/5  ОСТАНКИНО</v>
          </cell>
          <cell r="D152">
            <v>3</v>
          </cell>
          <cell r="F152">
            <v>3</v>
          </cell>
        </row>
        <row r="153">
          <cell r="A153" t="str">
            <v>5246 ДОКТОРСКАЯ ПРЕМИУМ вар б/о мгс_30с ОСТАНКИНО</v>
          </cell>
          <cell r="D153">
            <v>64.8</v>
          </cell>
          <cell r="F153">
            <v>64.8</v>
          </cell>
        </row>
        <row r="154">
          <cell r="A154" t="str">
            <v>5247 РУССКАЯ ПРЕМИУМ вар б/о мгс_30с ОСТАНКИНО</v>
          </cell>
          <cell r="D154">
            <v>15.1</v>
          </cell>
          <cell r="F154">
            <v>15.1</v>
          </cell>
        </row>
        <row r="155">
          <cell r="A155" t="str">
            <v>5483 ЭКСТРА Папа может с/к в/у 1/250 8шт.   ОСТАНКИНО</v>
          </cell>
          <cell r="D155">
            <v>342</v>
          </cell>
          <cell r="F155">
            <v>342</v>
          </cell>
        </row>
        <row r="156">
          <cell r="A156" t="str">
            <v>5544 Сервелат Финский в/к в/у_45с НОВАЯ ОСТАНКИНО</v>
          </cell>
          <cell r="D156">
            <v>280.786</v>
          </cell>
          <cell r="F156">
            <v>280.786</v>
          </cell>
        </row>
        <row r="157">
          <cell r="A157" t="str">
            <v>5579 БЛИНЧ.КРУГЛЫЕ С САД.ЯБЛОК.1/420 зам_ПОСТ  ОСТАНКИНО</v>
          </cell>
          <cell r="D157">
            <v>2</v>
          </cell>
          <cell r="F157">
            <v>2</v>
          </cell>
        </row>
        <row r="158">
          <cell r="A158" t="str">
            <v>5679 САЛЯМИ ИТАЛЬЯНСКАЯ с/к в/у 1/150_60с ОСТАНКИНО</v>
          </cell>
          <cell r="D158">
            <v>174</v>
          </cell>
          <cell r="F158">
            <v>174</v>
          </cell>
        </row>
        <row r="159">
          <cell r="A159" t="str">
            <v>5682 САЛЯМИ МЕЛКОЗЕРНЕНАЯ с/к в/у 1/120_60с   ОСТАНКИНО</v>
          </cell>
          <cell r="D159">
            <v>5</v>
          </cell>
          <cell r="F159">
            <v>5</v>
          </cell>
        </row>
        <row r="160">
          <cell r="A160" t="str">
            <v>5706 АРОМАТНАЯ Папа может с/к в/у 1/250 8шт.  ОСТАНКИНО</v>
          </cell>
          <cell r="D160">
            <v>1</v>
          </cell>
          <cell r="F160">
            <v>1</v>
          </cell>
        </row>
        <row r="161">
          <cell r="A161" t="str">
            <v>5708 ПОСОЛЬСКАЯ Папа может с/к в/у ОСТАНКИНО</v>
          </cell>
          <cell r="D161">
            <v>41.8</v>
          </cell>
          <cell r="F161">
            <v>41.8</v>
          </cell>
        </row>
        <row r="162">
          <cell r="A162" t="str">
            <v>5851 ЭКСТРА Папа может вар п/о   ОСТАНКИНО</v>
          </cell>
          <cell r="D162">
            <v>154.69999999999999</v>
          </cell>
          <cell r="F162">
            <v>154.69999999999999</v>
          </cell>
        </row>
        <row r="163">
          <cell r="A163" t="str">
            <v>5931 ОХОТНИЧЬЯ Папа может с/к в/у 1/220 8шт.   ОСТАНКИНО</v>
          </cell>
          <cell r="D163">
            <v>518</v>
          </cell>
          <cell r="F163">
            <v>518</v>
          </cell>
        </row>
        <row r="164">
          <cell r="A164" t="str">
            <v>5949 Сырный продукт Моцарелла 45% (батоны) 1,0кг ТМ "КОРОВИНО"  ОСТАНКИНО</v>
          </cell>
          <cell r="D164">
            <v>1</v>
          </cell>
          <cell r="F164">
            <v>1</v>
          </cell>
        </row>
        <row r="165">
          <cell r="A165" t="str">
            <v>6004 РАГУ СВИНОЕ 1кг 8шт.зам_120с ОСТАНКИНО</v>
          </cell>
          <cell r="D165">
            <v>36</v>
          </cell>
          <cell r="F165">
            <v>36</v>
          </cell>
        </row>
        <row r="166">
          <cell r="A166" t="str">
            <v>6168 БЛИНЧ.С МЯСОМ пл.1/350 зам  ОСТАНКИНО</v>
          </cell>
          <cell r="D166">
            <v>14</v>
          </cell>
          <cell r="F166">
            <v>14</v>
          </cell>
        </row>
        <row r="167">
          <cell r="A167" t="str">
            <v>6202 БЛИНЧ.КРУГЛЫЕ С ТВОРОГОМ ПМ 1/300 зам.  ОСТАНКИНО</v>
          </cell>
          <cell r="D167">
            <v>8</v>
          </cell>
          <cell r="F167">
            <v>8</v>
          </cell>
        </row>
        <row r="168">
          <cell r="A168" t="str">
            <v>6209 БЛИНЧ.С КУРИНЫМ МЯСОМ пл.1/350 зам.  ОСТАНКИНО</v>
          </cell>
          <cell r="D168">
            <v>15</v>
          </cell>
          <cell r="F168">
            <v>15</v>
          </cell>
        </row>
        <row r="169">
          <cell r="A169" t="str">
            <v>6220 ГОВЯЖЬЯ Папа может вар п/о  ОСТАНКИНО</v>
          </cell>
          <cell r="D169">
            <v>5.4</v>
          </cell>
          <cell r="F169">
            <v>5.4</v>
          </cell>
        </row>
        <row r="170">
          <cell r="A170" t="str">
            <v>6221 НЕАПОЛИТАНСКИЙ ДУЭТ с/к с/н мгс 1/90  ОСТАНКИНО</v>
          </cell>
          <cell r="D170">
            <v>380</v>
          </cell>
          <cell r="F170">
            <v>380</v>
          </cell>
        </row>
        <row r="171">
          <cell r="A171" t="str">
            <v>6228 МЯСНОЕ АССОРТИ к/з с/н мгс 1/90 10шт.  ОСТАНКИНО</v>
          </cell>
          <cell r="D171">
            <v>395</v>
          </cell>
          <cell r="F171">
            <v>395</v>
          </cell>
        </row>
        <row r="172">
          <cell r="A172" t="str">
            <v>6247 ДОМАШНЯЯ Папа может вар п/о 0,4кг 8шт.  ОСТАНКИНО</v>
          </cell>
          <cell r="D172">
            <v>83</v>
          </cell>
          <cell r="F172">
            <v>83</v>
          </cell>
        </row>
        <row r="173">
          <cell r="A173" t="str">
            <v>6268 ГОВЯЖЬЯ Папа может вар п/о 0,4кг 8 шт.  ОСТАНКИНО</v>
          </cell>
          <cell r="D173">
            <v>384</v>
          </cell>
          <cell r="F173">
            <v>384</v>
          </cell>
        </row>
        <row r="174">
          <cell r="A174" t="str">
            <v>6279 КОРЕЙКА ПО-ОСТ.к/в в/с с/н в/у 1/150_45с  ОСТАНКИНО</v>
          </cell>
          <cell r="D174">
            <v>402</v>
          </cell>
          <cell r="F174">
            <v>402</v>
          </cell>
        </row>
        <row r="175">
          <cell r="A175" t="str">
            <v>6303 МЯСНЫЕ Папа может сос п/о мгс 1.5*3  ОСТАНКИНО</v>
          </cell>
          <cell r="D175">
            <v>124.5</v>
          </cell>
          <cell r="F175">
            <v>124.5</v>
          </cell>
        </row>
        <row r="176">
          <cell r="A176" t="str">
            <v>6324 ДОКТОРСКАЯ ГОСТ вар п/о 0.4кг 8шт.  ОСТАНКИНО</v>
          </cell>
          <cell r="D176">
            <v>30</v>
          </cell>
          <cell r="F176">
            <v>30</v>
          </cell>
        </row>
        <row r="177">
          <cell r="A177" t="str">
            <v>6325 ДОКТОРСКАЯ ПРЕМИУМ вар п/о 0.4кг 8шт.  ОСТАНКИНО</v>
          </cell>
          <cell r="D177">
            <v>826</v>
          </cell>
          <cell r="F177">
            <v>826</v>
          </cell>
        </row>
        <row r="178">
          <cell r="A178" t="str">
            <v>6333 МЯСНАЯ Папа может вар п/о 0.4кг 8шт.  ОСТАНКИНО</v>
          </cell>
          <cell r="D178">
            <v>2202</v>
          </cell>
          <cell r="F178">
            <v>2202</v>
          </cell>
        </row>
        <row r="179">
          <cell r="A179" t="str">
            <v>6340 ДОМАШНИЙ РЕЦЕПТ Коровино 0.5кг 8шт.  ОСТАНКИНО</v>
          </cell>
          <cell r="D179">
            <v>134</v>
          </cell>
          <cell r="F179">
            <v>134</v>
          </cell>
        </row>
        <row r="180">
          <cell r="A180" t="str">
            <v>6353 ЭКСТРА Папа может вар п/о 0.4кг 8шт.  ОСТАНКИНО</v>
          </cell>
          <cell r="D180">
            <v>651</v>
          </cell>
          <cell r="F180">
            <v>651</v>
          </cell>
        </row>
        <row r="181">
          <cell r="A181" t="str">
            <v>6392 ФИЛЕЙНАЯ Папа может вар п/о 0.4кг. ОСТАНКИНО</v>
          </cell>
          <cell r="D181">
            <v>1254</v>
          </cell>
          <cell r="F181">
            <v>1254</v>
          </cell>
        </row>
        <row r="182">
          <cell r="A182" t="str">
            <v>6448 СВИНИНА МАДЕРА с/к с/н в/у 1/100 10шт.   ОСТАНКИНО</v>
          </cell>
          <cell r="D182">
            <v>29</v>
          </cell>
          <cell r="F182">
            <v>29</v>
          </cell>
        </row>
        <row r="183">
          <cell r="A183" t="str">
            <v>6453 ЭКСТРА Папа может с/к с/н в/у 1/100 14шт.   ОСТАНКИНО</v>
          </cell>
          <cell r="D183">
            <v>788</v>
          </cell>
          <cell r="F183">
            <v>788</v>
          </cell>
        </row>
        <row r="184">
          <cell r="A184" t="str">
            <v>6454 АРОМАТНАЯ с/к с/н в/у 1/100 10шт.  ОСТАНКИНО</v>
          </cell>
          <cell r="D184">
            <v>809</v>
          </cell>
          <cell r="F184">
            <v>809</v>
          </cell>
        </row>
        <row r="185">
          <cell r="A185" t="str">
            <v>6459 СЕРВЕЛАТ ШВЕЙЦАРСК. в/к с/н в/у 1/100*10  ОСТАНКИНО</v>
          </cell>
          <cell r="D185">
            <v>642</v>
          </cell>
          <cell r="F185">
            <v>642</v>
          </cell>
        </row>
        <row r="186">
          <cell r="A186" t="str">
            <v>6470 ВЕТЧ.МРАМОРНАЯ в/у_45с  ОСТАНКИНО</v>
          </cell>
          <cell r="D186">
            <v>18.2</v>
          </cell>
          <cell r="F186">
            <v>18.2</v>
          </cell>
        </row>
        <row r="187">
          <cell r="A187" t="str">
            <v>6495 ВЕТЧ.МРАМОРНАЯ в/у срез 0.3кг 6шт_45с  ОСТАНКИНО</v>
          </cell>
          <cell r="D187">
            <v>135</v>
          </cell>
          <cell r="F187">
            <v>135</v>
          </cell>
        </row>
        <row r="188">
          <cell r="A188" t="str">
            <v>6527 ШПИКАЧКИ СОЧНЫЕ ПМ сар б/о мгс 1*3 45с ОСТАНКИНО</v>
          </cell>
          <cell r="D188">
            <v>121.5</v>
          </cell>
          <cell r="F188">
            <v>121.5</v>
          </cell>
        </row>
        <row r="189">
          <cell r="A189" t="str">
            <v>6586 МРАМОРНАЯ И БАЛЫКОВАЯ в/к с/н мгс 1/90 ОСТАНКИНО</v>
          </cell>
          <cell r="D189">
            <v>15</v>
          </cell>
          <cell r="F189">
            <v>15</v>
          </cell>
        </row>
        <row r="190">
          <cell r="A190" t="str">
            <v>6609 С ГОВЯДИНОЙ ПМ сар б/о мгс 0.4кг_45с ОСТАНКИНО</v>
          </cell>
          <cell r="D190">
            <v>4</v>
          </cell>
          <cell r="F190">
            <v>4</v>
          </cell>
        </row>
        <row r="191">
          <cell r="A191" t="str">
            <v>6616 МОЛОЧНЫЕ КЛАССИЧЕСКИЕ сос п/о в/у 0.3кг  ОСТАНКИНО</v>
          </cell>
          <cell r="D191">
            <v>774</v>
          </cell>
          <cell r="F191">
            <v>774</v>
          </cell>
        </row>
        <row r="192">
          <cell r="A192" t="str">
            <v>6697 СЕРВЕЛАТ ФИНСКИЙ ПМ в/к в/у 0,35кг 8шт.  ОСТАНКИНО</v>
          </cell>
          <cell r="D192">
            <v>1420</v>
          </cell>
          <cell r="F192">
            <v>1420</v>
          </cell>
        </row>
        <row r="193">
          <cell r="A193" t="str">
            <v>6713 СОЧНЫЙ ГРИЛЬ ПМ сос п/о мгс 0.41кг 8шт.  ОСТАНКИНО</v>
          </cell>
          <cell r="D193">
            <v>565</v>
          </cell>
          <cell r="F193">
            <v>565</v>
          </cell>
        </row>
        <row r="194">
          <cell r="A194" t="str">
            <v>6724 МОЛОЧНЫЕ ПМ сос п/о мгс 0.41кг 10шт.  ОСТАНКИНО</v>
          </cell>
          <cell r="D194">
            <v>306</v>
          </cell>
          <cell r="F194">
            <v>306</v>
          </cell>
        </row>
        <row r="195">
          <cell r="A195" t="str">
            <v>6765 РУБЛЕНЫЕ сос ц/о мгс 0.36кг 6шт.  ОСТАНКИНО</v>
          </cell>
          <cell r="D195">
            <v>189</v>
          </cell>
          <cell r="F195">
            <v>189</v>
          </cell>
        </row>
        <row r="196">
          <cell r="A196" t="str">
            <v>6785 ВЕНСКАЯ САЛЯМИ п/к в/у 0.33кг 8шт.  ОСТАНКИНО</v>
          </cell>
          <cell r="D196">
            <v>56</v>
          </cell>
          <cell r="F196">
            <v>56</v>
          </cell>
        </row>
        <row r="197">
          <cell r="A197" t="str">
            <v>6787 СЕРВЕЛАТ КРЕМЛЕВСКИЙ в/к в/у 0,33кг 8шт.  ОСТАНКИНО</v>
          </cell>
          <cell r="D197">
            <v>56</v>
          </cell>
          <cell r="F197">
            <v>56</v>
          </cell>
        </row>
        <row r="198">
          <cell r="A198" t="str">
            <v>6793 БАЛЫКОВАЯ в/к в/у 0,33кг 8шт.  ОСТАНКИНО</v>
          </cell>
          <cell r="D198">
            <v>90</v>
          </cell>
          <cell r="F198">
            <v>90</v>
          </cell>
        </row>
        <row r="199">
          <cell r="A199" t="str">
            <v>6797 С ИНДЕЙКОЙ Папа может вар п/о 0,4кг 8шт.  ОСТАНКИНО</v>
          </cell>
          <cell r="D199">
            <v>107</v>
          </cell>
          <cell r="F199">
            <v>107</v>
          </cell>
        </row>
        <row r="200">
          <cell r="A200" t="str">
            <v>6819 БЛИНЧ.КРУГЛЫЕ С САД.ЯБЛОК. пл.1/300 зам.  ОСТАНКИНО</v>
          </cell>
          <cell r="D200">
            <v>3</v>
          </cell>
          <cell r="F200">
            <v>3</v>
          </cell>
        </row>
        <row r="201">
          <cell r="A201" t="str">
            <v>6829 МОЛОЧНЫЕ КЛАССИЧЕСКИЕ сос п/о мгс 2*4_С  ОСТАНКИНО</v>
          </cell>
          <cell r="D201">
            <v>300.8</v>
          </cell>
          <cell r="F201">
            <v>300.8</v>
          </cell>
        </row>
        <row r="202">
          <cell r="A202" t="str">
            <v>6832 АССОРТИ СЫРОКОПЧЕНЫХ КОЛБАС Коровино в/у  ОСТАНКИНО</v>
          </cell>
          <cell r="D202">
            <v>5.5</v>
          </cell>
          <cell r="F202">
            <v>5.5</v>
          </cell>
        </row>
        <row r="203">
          <cell r="A203" t="str">
            <v>6837 ФИЛЕЙНЫЕ Папа Может сос ц/о мгс 0.4кг  ОСТАНКИНО</v>
          </cell>
          <cell r="D203">
            <v>451</v>
          </cell>
          <cell r="F203">
            <v>451</v>
          </cell>
        </row>
        <row r="204">
          <cell r="A204" t="str">
            <v>6842 ДЫМОВИЦА ИЗ ОКОРОКА к/в мл/к в/у 0,3кг  ОСТАНКИНО</v>
          </cell>
          <cell r="D204">
            <v>158</v>
          </cell>
          <cell r="F204">
            <v>158</v>
          </cell>
        </row>
        <row r="205">
          <cell r="A205" t="str">
            <v>6861 ДОМАШНИЙ РЕЦЕПТ Коровино вар п/о  ОСТАНКИНО</v>
          </cell>
          <cell r="D205">
            <v>267.62</v>
          </cell>
          <cell r="F205">
            <v>267.62</v>
          </cell>
        </row>
        <row r="206">
          <cell r="A206" t="str">
            <v>6866 ВЕТЧ.НЕЖНАЯ Коровино п/о_Маяк  ОСТАНКИНО</v>
          </cell>
          <cell r="D206">
            <v>74.3</v>
          </cell>
          <cell r="F206">
            <v>74.3</v>
          </cell>
        </row>
        <row r="207">
          <cell r="A207" t="str">
            <v>6928 Сыр твердый "Пармезан", с массовой долей жира 35%, цилиндр 1/4  ОСТАНКИНО</v>
          </cell>
          <cell r="D207">
            <v>1.5</v>
          </cell>
          <cell r="F207">
            <v>1.5</v>
          </cell>
        </row>
        <row r="208">
          <cell r="A208" t="str">
            <v>7001 КЛАССИЧЕСКИЕ Папа может сар б/о мгс 1*3  ОСТАНКИНО</v>
          </cell>
          <cell r="D208">
            <v>73.599999999999994</v>
          </cell>
          <cell r="F208">
            <v>73.599999999999994</v>
          </cell>
        </row>
        <row r="209">
          <cell r="A209" t="str">
            <v>7040 С ИНДЕЙКОЙ ПМ сос ц/о в/у 1/270 8шт.  ОСТАНКИНО</v>
          </cell>
          <cell r="D209">
            <v>72</v>
          </cell>
          <cell r="F209">
            <v>72</v>
          </cell>
        </row>
        <row r="210">
          <cell r="A210" t="str">
            <v>7059 ШПИКАЧКИ СОЧНЫЕ С БЕК. п/о мгс 0.3кг_60с  ОСТАНКИНО</v>
          </cell>
          <cell r="D210">
            <v>96</v>
          </cell>
          <cell r="F210">
            <v>96</v>
          </cell>
        </row>
        <row r="211">
          <cell r="A211" t="str">
            <v>7066 СОЧНЫЕ ПМ сос п/о мгс 0.41кг 10шт_50с  ОСТАНКИНО</v>
          </cell>
          <cell r="D211">
            <v>2188</v>
          </cell>
          <cell r="F211">
            <v>2188</v>
          </cell>
        </row>
        <row r="212">
          <cell r="A212" t="str">
            <v>7070 СОЧНЫЕ ПМ сос п/о мгс 1.5*4_А_50с  ОСТАНКИНО</v>
          </cell>
          <cell r="D212">
            <v>1184.3</v>
          </cell>
          <cell r="F212">
            <v>1184.3</v>
          </cell>
        </row>
        <row r="213">
          <cell r="A213" t="str">
            <v>7073 МОЛОЧ.ПРЕМИУМ ПМ сос п/о в/у 1/350_50с  ОСТАНКИНО</v>
          </cell>
          <cell r="D213">
            <v>656</v>
          </cell>
          <cell r="F213">
            <v>656</v>
          </cell>
        </row>
        <row r="214">
          <cell r="A214" t="str">
            <v>7075 МОЛОЧ.ПРЕМИУМ ПМ сос п/о мгс 1.5*4_О_50с  ОСТАНКИНО</v>
          </cell>
          <cell r="D214">
            <v>45.2</v>
          </cell>
          <cell r="F214">
            <v>45.2</v>
          </cell>
        </row>
        <row r="215">
          <cell r="A215" t="str">
            <v>7077 МЯСНЫЕ С ГОВЯД.ПМ сос п/о мгс 0.4кг_50с  ОСТАНКИНО</v>
          </cell>
          <cell r="D215">
            <v>123</v>
          </cell>
          <cell r="F215">
            <v>123</v>
          </cell>
        </row>
        <row r="216">
          <cell r="A216" t="str">
            <v>7080 СЛИВОЧНЫЕ ПМ сос п/о мгс 0.41кг 10шт. 50с  ОСТАНКИНО</v>
          </cell>
          <cell r="D216">
            <v>1244</v>
          </cell>
          <cell r="F216">
            <v>1244</v>
          </cell>
        </row>
        <row r="217">
          <cell r="A217" t="str">
            <v>7082 СЛИВОЧНЫЕ ПМ сос п/о мгс 1.5*4_50с  ОСТАНКИНО</v>
          </cell>
          <cell r="D217">
            <v>77.3</v>
          </cell>
          <cell r="F217">
            <v>77.3</v>
          </cell>
        </row>
        <row r="218">
          <cell r="A218" t="str">
            <v>7087 ШПИК С ЧЕСНОК.И ПЕРЦЕМ к/в в/у 0.3кг_50с  ОСТАНКИНО</v>
          </cell>
          <cell r="D218">
            <v>175</v>
          </cell>
          <cell r="F218">
            <v>175</v>
          </cell>
        </row>
        <row r="219">
          <cell r="A219" t="str">
            <v>7090 СВИНИНА ПО-ДОМ. к/в мл/к в/у 0.3кг_50с  ОСТАНКИНО</v>
          </cell>
          <cell r="D219">
            <v>213</v>
          </cell>
          <cell r="F219">
            <v>213</v>
          </cell>
        </row>
        <row r="220">
          <cell r="A220" t="str">
            <v>7092 БЕКОН Папа может с/к с/н в/у 1/140_50с  ОСТАНКИНО</v>
          </cell>
          <cell r="D220">
            <v>524</v>
          </cell>
          <cell r="F220">
            <v>524</v>
          </cell>
        </row>
        <row r="221">
          <cell r="A221" t="str">
            <v>7147 САЛЬЧИЧОН Останкино с/к в/у 1/220 8шт.  ОСТАНКИНО</v>
          </cell>
          <cell r="D221">
            <v>8</v>
          </cell>
          <cell r="F221">
            <v>8</v>
          </cell>
        </row>
        <row r="222">
          <cell r="A222" t="str">
            <v>7149 БАЛЫКОВАЯ Коровино п/к в/у 0.84кг_50с  ОСТАНКИНО</v>
          </cell>
          <cell r="D222">
            <v>11</v>
          </cell>
          <cell r="F222">
            <v>11</v>
          </cell>
        </row>
        <row r="223">
          <cell r="A223" t="str">
            <v>7154 СЕРВЕЛАТ ЗЕРНИСТЫЙ ПМ в/к в/у 0.35кг_50с  ОСТАНКИНО</v>
          </cell>
          <cell r="D223">
            <v>1011</v>
          </cell>
          <cell r="F223">
            <v>1011</v>
          </cell>
        </row>
        <row r="224">
          <cell r="A224" t="str">
            <v>7157 СЕРВЕЛАТ ЗЕРНИСНЫЙ ПМ в/к в/у_50с  ОСТАНКИНО</v>
          </cell>
          <cell r="D224">
            <v>46.4</v>
          </cell>
          <cell r="F224">
            <v>46.4</v>
          </cell>
        </row>
        <row r="225">
          <cell r="A225" t="str">
            <v>7166 СЕРВЕЛТ ОХОТНИЧИЙ ПМ в/к в/у_50с  ОСТАНКИНО</v>
          </cell>
          <cell r="D225">
            <v>119.099</v>
          </cell>
          <cell r="F225">
            <v>119.099</v>
          </cell>
        </row>
        <row r="226">
          <cell r="A226" t="str">
            <v>7169 СЕРВЕЛАТ ОХОТНИЧИЙ ПМ в/к в/у 0.35кг_50с  ОСТАНКИНО</v>
          </cell>
          <cell r="D226">
            <v>1329</v>
          </cell>
          <cell r="F226">
            <v>1329</v>
          </cell>
        </row>
        <row r="227">
          <cell r="A227" t="str">
            <v>7187 ГРУДИНКА ПРЕМИУМ к/в мл/к в/у 0,3кг_50с ОСТАНКИНО</v>
          </cell>
          <cell r="D227">
            <v>436</v>
          </cell>
          <cell r="F227">
            <v>436</v>
          </cell>
        </row>
        <row r="228">
          <cell r="A228" t="str">
            <v>7225 ТОСКАНО ПРЕМИУМ Останкино с/к в/у 1/180  ОСТАНКИНО</v>
          </cell>
          <cell r="D228">
            <v>1</v>
          </cell>
          <cell r="F228">
            <v>1</v>
          </cell>
        </row>
        <row r="229">
          <cell r="A229" t="str">
            <v>7227 САЛЯМИ ФИНСКАЯ Папа может с/к в/у 1/180  ОСТАНКИНО</v>
          </cell>
          <cell r="D229">
            <v>21</v>
          </cell>
          <cell r="F229">
            <v>21</v>
          </cell>
        </row>
        <row r="230">
          <cell r="A230" t="str">
            <v>7231 КЛАССИЧЕСКАЯ ПМ вар п/о 0,3кг 8шт_209к ОСТАНКИНО</v>
          </cell>
          <cell r="D230">
            <v>502</v>
          </cell>
          <cell r="F230">
            <v>502</v>
          </cell>
        </row>
        <row r="231">
          <cell r="A231" t="str">
            <v>7232 БОЯNСКАЯ ПМ п/к в/у 0,28кг 8шт_209к ОСТАНКИНО</v>
          </cell>
          <cell r="D231">
            <v>474</v>
          </cell>
          <cell r="F231">
            <v>474</v>
          </cell>
        </row>
        <row r="232">
          <cell r="A232" t="str">
            <v>7235 ВЕТЧ.КЛАССИЧЕСКАЯ ПМ п/о 0,35кг 8шт_209к ОСТАНКИНО</v>
          </cell>
          <cell r="D232">
            <v>11</v>
          </cell>
          <cell r="F232">
            <v>11</v>
          </cell>
        </row>
        <row r="233">
          <cell r="A233" t="str">
            <v>7236 СЕРВЕЛАТ КАРЕЛЬСКИЙ в/к в/у 0,28кг_209к ОСТАНКИНО</v>
          </cell>
          <cell r="D233">
            <v>1067</v>
          </cell>
          <cell r="F233">
            <v>1067</v>
          </cell>
        </row>
        <row r="234">
          <cell r="A234" t="str">
            <v>7241 САЛЯМИ Папа может п/к в/у 0,28кг_209к ОСТАНКИНО</v>
          </cell>
          <cell r="D234">
            <v>424</v>
          </cell>
          <cell r="F234">
            <v>424</v>
          </cell>
        </row>
        <row r="235">
          <cell r="A235" t="str">
            <v>7245 ВЕТЧ.ФИЛЕЙНАЯ ПМ п/о 0,4кг 8шт ОСТАНКИНО</v>
          </cell>
          <cell r="D235">
            <v>43</v>
          </cell>
          <cell r="F235">
            <v>43</v>
          </cell>
        </row>
        <row r="236">
          <cell r="A236" t="str">
            <v>7255 МЯСНЫЕ С ГОВЯД. ПМ сос п/о мгс 0,4кг 6шт.  ОСТАНКИНО</v>
          </cell>
          <cell r="D236">
            <v>702</v>
          </cell>
          <cell r="F236">
            <v>702</v>
          </cell>
        </row>
        <row r="237">
          <cell r="A237" t="str">
            <v>7271 МЯСНЫЕ С ГОВЯДИНОЙ ПМ сос п/о мгс 1.5*4 ВЕС  ОСТАНКИНО</v>
          </cell>
          <cell r="D237">
            <v>47.7</v>
          </cell>
          <cell r="F237">
            <v>47.7</v>
          </cell>
        </row>
        <row r="238">
          <cell r="A238" t="str">
            <v>7284 ДЛЯ ДЕТЕЙ сос п/о мгс 0,33кг 6шт  ОСТАНКИНО</v>
          </cell>
          <cell r="D238">
            <v>64</v>
          </cell>
          <cell r="F238">
            <v>64</v>
          </cell>
        </row>
        <row r="239">
          <cell r="A239" t="str">
            <v>7299 НАБОР ДЛЯ ПИЦЦЫ Папа может с/к в/у  ОСТАНКИНО</v>
          </cell>
          <cell r="D239">
            <v>5</v>
          </cell>
          <cell r="F239">
            <v>5</v>
          </cell>
        </row>
        <row r="240">
          <cell r="A240" t="str">
            <v>7317 ПРЕСИЖН с/к дек.спец. мгс 0,54кг  ОСТАНКИНО</v>
          </cell>
          <cell r="D240">
            <v>4</v>
          </cell>
          <cell r="F240">
            <v>4</v>
          </cell>
        </row>
        <row r="241">
          <cell r="A241" t="str">
            <v>7332 БОЯРСКАЯ ПМ п/к в/у 0.28кг_СНГ  ОСТАНКИНО</v>
          </cell>
          <cell r="D241">
            <v>17</v>
          </cell>
          <cell r="F241">
            <v>17</v>
          </cell>
        </row>
        <row r="242">
          <cell r="A242" t="str">
            <v>7333 СЕРВЕЛАТ ОХОТНИЧИЙ ПМ в/к в/у 0.28кг_СНГ  ОСТАНКИНО</v>
          </cell>
          <cell r="D242">
            <v>26</v>
          </cell>
          <cell r="F242">
            <v>26</v>
          </cell>
        </row>
        <row r="243">
          <cell r="A243" t="str">
            <v>7343 СЕЙЧАС СЕЗОН ПМ вар п/о 0,4кг  ОСТАНКИНО</v>
          </cell>
          <cell r="D243">
            <v>788</v>
          </cell>
          <cell r="F243">
            <v>788</v>
          </cell>
        </row>
        <row r="244">
          <cell r="A244" t="str">
            <v>7364 ЧОРИЗО Останкино с/к в/у 1/220 8шт.  ОСТАНКИНО</v>
          </cell>
          <cell r="D244">
            <v>8</v>
          </cell>
          <cell r="F244">
            <v>8</v>
          </cell>
        </row>
        <row r="245">
          <cell r="A245" t="str">
            <v>7377 ВЕТЧ.С ИНДЕЙКОЙ ПМ в/у срез 0,3кг 6шт.  ОСТАНКИНО</v>
          </cell>
          <cell r="D245">
            <v>77</v>
          </cell>
          <cell r="F245">
            <v>77</v>
          </cell>
        </row>
        <row r="246">
          <cell r="A246" t="str">
            <v>7382 САЛЯМИ МЕЛКОЗЕРНЕНАЯ с/к в/у 1/120 8шт.  ОСТАНКИНО</v>
          </cell>
          <cell r="D246">
            <v>936</v>
          </cell>
          <cell r="F246">
            <v>936</v>
          </cell>
        </row>
        <row r="247">
          <cell r="A247" t="str">
            <v>7383 САН-РЕМО Останкино с/в в/у 1/220 8шт.  ОСТАНКИНО</v>
          </cell>
          <cell r="D247">
            <v>11</v>
          </cell>
          <cell r="F247">
            <v>11</v>
          </cell>
        </row>
        <row r="248">
          <cell r="A248" t="str">
            <v>8256 Майонез провансаль классический оливковый с мас. долей жира 67%ТМ «ПАПА МОЖЕТ» 372г  ОСТАНКИНО</v>
          </cell>
          <cell r="D248">
            <v>40</v>
          </cell>
          <cell r="F248">
            <v>40</v>
          </cell>
        </row>
        <row r="249">
          <cell r="A249" t="str">
            <v>8263 Майонез провансаль классический оливковый с мас. долей жира 67%ТМ «ПАПА МОЖЕТ» 744г  ОСТАНКИНО</v>
          </cell>
          <cell r="D249">
            <v>34</v>
          </cell>
          <cell r="F249">
            <v>34</v>
          </cell>
        </row>
        <row r="250">
          <cell r="A250" t="str">
            <v>8270 Майонез провансаль классический с массовой долей жира 67% ТМ «ПАПА МОЖЕТ» 372г  ОСТАНКИНО</v>
          </cell>
          <cell r="D250">
            <v>82</v>
          </cell>
          <cell r="F250">
            <v>82</v>
          </cell>
        </row>
        <row r="251">
          <cell r="A251" t="str">
            <v>8287 Майонез провансаль классический с массовой долей жира 67% ТМ "ПАПА МОЖЕТ" 744 г  ОСТАНКИНО</v>
          </cell>
          <cell r="D251">
            <v>37</v>
          </cell>
          <cell r="F251">
            <v>37</v>
          </cell>
        </row>
        <row r="252">
          <cell r="A252" t="str">
            <v>8377 Творожный Сыр 60% Сливочный  СТМ "ПапаМожет" - 140гр  ОСТАНКИНО</v>
          </cell>
          <cell r="D252">
            <v>372</v>
          </cell>
          <cell r="F252">
            <v>372</v>
          </cell>
        </row>
        <row r="253">
          <cell r="A253" t="str">
            <v>8391 Сыр творожный с зеленью 60% Папа может 140 гр.  ОСТАНКИНО</v>
          </cell>
          <cell r="D253">
            <v>82</v>
          </cell>
          <cell r="F253">
            <v>82</v>
          </cell>
        </row>
        <row r="254">
          <cell r="A254" t="str">
            <v>8398 Сыр ПАПА МОЖЕТ "Тильзитер" 45% 180 г  ОСТАНКИНО</v>
          </cell>
          <cell r="D254">
            <v>134</v>
          </cell>
          <cell r="F254">
            <v>134</v>
          </cell>
        </row>
        <row r="255">
          <cell r="A255" t="str">
            <v>8411 Сыр ПАПА МОЖЕТ "Гауда Голд" 45% 180 г  ОСТАНКИНО</v>
          </cell>
          <cell r="D255">
            <v>155</v>
          </cell>
          <cell r="F255">
            <v>155</v>
          </cell>
        </row>
        <row r="256">
          <cell r="A256" t="str">
            <v>8421 Творожный Сыр 60% С маринованными огурчиками и укропом 140 гр  ОСТАНКИНО</v>
          </cell>
          <cell r="D256">
            <v>20</v>
          </cell>
          <cell r="F256">
            <v>20</v>
          </cell>
        </row>
        <row r="257">
          <cell r="A257" t="str">
            <v>8435 Сыр ПАПА МОЖЕТ "Российский традиционный" 45% 180 г  ОСТАНКИНО</v>
          </cell>
          <cell r="D257">
            <v>510</v>
          </cell>
          <cell r="F257">
            <v>510</v>
          </cell>
        </row>
        <row r="258">
          <cell r="A258" t="str">
            <v>8438 Плавленый Сыр 45% "С ветчиной" СТМ "ПапаМожет" 180гр  ОСТАНКИНО</v>
          </cell>
          <cell r="D258">
            <v>18</v>
          </cell>
          <cell r="F258">
            <v>18</v>
          </cell>
        </row>
        <row r="259">
          <cell r="A259" t="str">
            <v>8445 Плавленый Сыр 45% "С грибами" СТМ "ПапаМожет 180гр  ОСТАНКИНО</v>
          </cell>
          <cell r="D259">
            <v>17</v>
          </cell>
          <cell r="F259">
            <v>17</v>
          </cell>
        </row>
        <row r="260">
          <cell r="A260" t="str">
            <v>8452 Сыр колбасный копченый Папа Может 400 гр  ОСТАНКИНО</v>
          </cell>
          <cell r="D260">
            <v>2</v>
          </cell>
          <cell r="F260">
            <v>2</v>
          </cell>
        </row>
        <row r="261">
          <cell r="A261" t="str">
            <v>8459 Сыр ПАПА МОЖЕТ "Голландский традиционный" 45% 180 г  ОСТАНКИНО</v>
          </cell>
          <cell r="D261">
            <v>463</v>
          </cell>
          <cell r="F261">
            <v>463</v>
          </cell>
        </row>
        <row r="262">
          <cell r="A262" t="str">
            <v>8476 Продукт колбасный с сыром копченый Коровино 400 гр  ОСТАНКИНО</v>
          </cell>
          <cell r="D262">
            <v>15</v>
          </cell>
          <cell r="F262">
            <v>15</v>
          </cell>
        </row>
        <row r="263">
          <cell r="A263" t="str">
            <v>8674 Плавленый сыр "Шоколадный" 30% 180 гр ТМ "ПАПА МОЖЕТ"  ОСТАНКИНО</v>
          </cell>
          <cell r="D263">
            <v>18</v>
          </cell>
          <cell r="F263">
            <v>18</v>
          </cell>
        </row>
        <row r="264">
          <cell r="A264" t="str">
            <v>8681 Сыр плавленый Сливочный ж 45 % 180г ТМ Папа Может (16шт) ОСТАНКИНО</v>
          </cell>
          <cell r="D264">
            <v>43</v>
          </cell>
          <cell r="F264">
            <v>43</v>
          </cell>
        </row>
        <row r="265">
          <cell r="A265" t="str">
            <v>8831 Сыр ПАПА МОЖЕТ "Министерский" 180гр, 45 %  ОСТАНКИНО</v>
          </cell>
          <cell r="D265">
            <v>19</v>
          </cell>
          <cell r="F265">
            <v>19</v>
          </cell>
        </row>
        <row r="266">
          <cell r="A266" t="str">
            <v>8855 Сыр ПАПА МОЖЕТ "Папин завтрак" 180гр, 45 %  ОСТАНКИНО</v>
          </cell>
          <cell r="D266">
            <v>10</v>
          </cell>
          <cell r="F266">
            <v>10</v>
          </cell>
        </row>
        <row r="267">
          <cell r="A267" t="str">
            <v>8950 Масло сливочное ПАПА МОЖЕТ 72,5%, фас. в фольгу, 180гр  ОСТАНКИНО</v>
          </cell>
          <cell r="D267">
            <v>21</v>
          </cell>
          <cell r="F267">
            <v>21</v>
          </cell>
        </row>
        <row r="268">
          <cell r="A268" t="str">
            <v>8967 Масло "Папа может" 82,5% 180гр  ОСТАНКИНО</v>
          </cell>
          <cell r="D268">
            <v>18</v>
          </cell>
          <cell r="F268">
            <v>18</v>
          </cell>
        </row>
        <row r="269">
          <cell r="A269" t="str">
            <v>Балык говяжий с/к "Эликатессе" 0,10 кг.шт. нарезка (лоток с ср.защ.атм.)  СПК</v>
          </cell>
          <cell r="D269">
            <v>47</v>
          </cell>
          <cell r="F269">
            <v>47</v>
          </cell>
        </row>
        <row r="270">
          <cell r="A270" t="str">
            <v>Балык свиной с/к "Эликатессе" 0,10 кг.шт. нарезка (лоток с ср.защ.атм.)  СПК</v>
          </cell>
          <cell r="D270">
            <v>49</v>
          </cell>
          <cell r="F270">
            <v>49</v>
          </cell>
        </row>
        <row r="271">
          <cell r="A271" t="str">
            <v>Балыковая с/к 200 гр. срез "Эликатессе" термоформ.пак.  СПК</v>
          </cell>
          <cell r="D271">
            <v>45</v>
          </cell>
          <cell r="F271">
            <v>45</v>
          </cell>
        </row>
        <row r="272">
          <cell r="A272" t="str">
            <v>БЛИНЧ.КРУГЛЫЕ С ГРУШЕЙ пл.1/420 зам.   ОСТАНКИНО</v>
          </cell>
          <cell r="D272">
            <v>4</v>
          </cell>
          <cell r="F272">
            <v>4</v>
          </cell>
        </row>
        <row r="273">
          <cell r="A273" t="str">
            <v>БОНУС МОЛОЧНЫЕ КЛАССИЧЕСКИЕ сос п/о в/у 0.3кг (6084)  ОСТАНКИНО</v>
          </cell>
          <cell r="D273">
            <v>1</v>
          </cell>
          <cell r="F273">
            <v>1</v>
          </cell>
        </row>
        <row r="274">
          <cell r="A274" t="str">
            <v>БОНУС МОЛОЧНЫЕ КЛАССИЧЕСКИЕ сос п/о мгс 2*4_С (4980)  ОСТАНКИНО</v>
          </cell>
          <cell r="D274">
            <v>8</v>
          </cell>
          <cell r="F274">
            <v>8</v>
          </cell>
        </row>
        <row r="275">
          <cell r="A275" t="str">
            <v>БОНУС СОЧНЫЕ Папа может сос п/о мгс 1.5*4 (6954)  ОСТАНКИНО</v>
          </cell>
          <cell r="D275">
            <v>79.5</v>
          </cell>
          <cell r="F275">
            <v>79.5</v>
          </cell>
        </row>
        <row r="276">
          <cell r="A276" t="str">
            <v>БОНУС СОЧНЫЕ сос п/о мгс 0.41кг_UZ (6087)  ОСТАНКИНО</v>
          </cell>
          <cell r="D276">
            <v>31</v>
          </cell>
          <cell r="F276">
            <v>31</v>
          </cell>
        </row>
        <row r="277">
          <cell r="A277" t="str">
            <v>БОНУС_334  Паштет Любительский ТМ Стародворье ламистер 0,1 кг  ПОКОМ</v>
          </cell>
          <cell r="F277">
            <v>108</v>
          </cell>
        </row>
        <row r="278">
          <cell r="A278" t="str">
            <v>Вацлавская п/к (черева) 390 гр.шт. термоус.пак  СПК</v>
          </cell>
          <cell r="D278">
            <v>1</v>
          </cell>
          <cell r="F278">
            <v>1</v>
          </cell>
        </row>
        <row r="279">
          <cell r="A279" t="str">
            <v>ВЫВЕДЕНА Наггетсы с индейкой 0,25кг ТМ Вязанка ТС Наггетсы замор.  ПОКОМ</v>
          </cell>
          <cell r="F279">
            <v>1</v>
          </cell>
        </row>
        <row r="280">
          <cell r="A280" t="str">
            <v>ВЫВЕДЕНА.Наггетсы из печи 0,25кг ТМ Вязанка ТС Наггетсы замор.  ПОКОМ</v>
          </cell>
          <cell r="F280">
            <v>1</v>
          </cell>
        </row>
        <row r="281">
          <cell r="A281" t="str">
            <v>Готовые бельмеши сочные с мясом ТМ Горячая штучка 0,3кг зам  ПОКОМ</v>
          </cell>
          <cell r="D281">
            <v>3</v>
          </cell>
          <cell r="F281">
            <v>203</v>
          </cell>
        </row>
        <row r="282">
          <cell r="A282" t="str">
            <v>Готовые чебупели острые с мясом 0,24кг ТМ Горячая штучка  ПОКОМ</v>
          </cell>
          <cell r="D282">
            <v>8</v>
          </cell>
          <cell r="F282">
            <v>301</v>
          </cell>
        </row>
        <row r="283">
          <cell r="A283" t="str">
            <v>Готовые чебупели с ветчиной и сыром ТМ Горячая штучка флоу-пак 0,24 кг.  ПОКОМ</v>
          </cell>
          <cell r="D283">
            <v>489</v>
          </cell>
          <cell r="F283">
            <v>1379</v>
          </cell>
        </row>
        <row r="284">
          <cell r="A284" t="str">
            <v>Готовые чебупели сочные с мясом ТМ Горячая штучка  0,3кг зам  ПОКОМ</v>
          </cell>
          <cell r="F284">
            <v>3</v>
          </cell>
        </row>
        <row r="285">
          <cell r="A285" t="str">
            <v>Готовые чебупели сочные с мясом ТМ Горячая штучка флоу-пак 0,24 кг  ПОКОМ</v>
          </cell>
          <cell r="D285">
            <v>610</v>
          </cell>
          <cell r="F285">
            <v>1580</v>
          </cell>
        </row>
        <row r="286">
          <cell r="A286" t="str">
            <v>Готовые чебуреки с мясом ТМ Горячая штучка 0,09 кг флоу-пак ПОКОМ</v>
          </cell>
          <cell r="F286">
            <v>191</v>
          </cell>
        </row>
        <row r="287">
          <cell r="A287" t="str">
            <v>Грудинка Деревенская в аджике к/в 150 гр.шт. нарезка (лоток с ср.защ.атм.)  СПК</v>
          </cell>
          <cell r="D287">
            <v>1</v>
          </cell>
          <cell r="F287">
            <v>1</v>
          </cell>
        </row>
        <row r="288">
          <cell r="A288" t="str">
            <v>Гуцульская с/к "КолбасГрад" 160 гр.шт. термоус. пак  СПК</v>
          </cell>
          <cell r="D288">
            <v>27</v>
          </cell>
          <cell r="F288">
            <v>27</v>
          </cell>
        </row>
        <row r="289">
          <cell r="A289" t="str">
            <v>Дельгаро с/в "Эликатессе" 140 гр.шт.  СПК</v>
          </cell>
          <cell r="D289">
            <v>26</v>
          </cell>
          <cell r="F289">
            <v>26</v>
          </cell>
        </row>
        <row r="290">
          <cell r="A290" t="str">
            <v>Деревенская с чесночком и сальцем п/к (черева) 390 гр.шт. термоус. пак.  СПК</v>
          </cell>
          <cell r="D290">
            <v>21</v>
          </cell>
          <cell r="F290">
            <v>21</v>
          </cell>
        </row>
        <row r="291">
          <cell r="A291" t="str">
            <v>Докторская вареная в/с 0,47 кг шт.  СПК</v>
          </cell>
          <cell r="D291">
            <v>7</v>
          </cell>
          <cell r="F291">
            <v>7</v>
          </cell>
        </row>
        <row r="292">
          <cell r="A292" t="str">
            <v>Докторская вареная термоус.пак. "Высокий вкус"  СПК</v>
          </cell>
          <cell r="D292">
            <v>2</v>
          </cell>
          <cell r="F292">
            <v>2</v>
          </cell>
        </row>
        <row r="293">
          <cell r="A293" t="str">
            <v>ЖАР-ладушки с мясом 0,2кг ТМ Стародворье  ПОКОМ</v>
          </cell>
          <cell r="F293">
            <v>166</v>
          </cell>
        </row>
        <row r="294">
          <cell r="A294" t="str">
            <v>Жареные вареники с картофелем и беконом Добросельские 0,2 кг. ТМ Стародворье  ПОКОМ</v>
          </cell>
          <cell r="F294">
            <v>2</v>
          </cell>
        </row>
        <row r="295">
          <cell r="A295" t="str">
            <v>Жареные вареники с картофелем и беконом ТМ Стародворье 0,2 кг  ПОКОМ</v>
          </cell>
          <cell r="F295">
            <v>75</v>
          </cell>
        </row>
        <row r="296">
          <cell r="A296" t="str">
            <v>К798 Сыч/Прод Коровино Российский 50% 200г НОВАЯ СЗМЖ  ОСТАНКИНО</v>
          </cell>
          <cell r="D296">
            <v>154</v>
          </cell>
          <cell r="F296">
            <v>154</v>
          </cell>
        </row>
        <row r="297">
          <cell r="A297" t="str">
            <v>К801 Сыч/Прод Коровино Тильзитер 50% 200г НОВАЯ СЗМЖ  ОСТАНКИНО</v>
          </cell>
          <cell r="D297">
            <v>102</v>
          </cell>
          <cell r="F297">
            <v>102</v>
          </cell>
        </row>
        <row r="298">
          <cell r="A298" t="str">
            <v>К811 Сыч/Прод Коровино Российский Оригин 50% ВЕС НОВАЯ (5 кг)  ОСТАНКИНО</v>
          </cell>
          <cell r="D298">
            <v>59.3</v>
          </cell>
          <cell r="F298">
            <v>59.3</v>
          </cell>
        </row>
        <row r="299">
          <cell r="A299" t="str">
            <v>К825 Сыч/Прод Коровино Тильзитер Оригин 50% ВЕС НОВАЯ (5 кг брус) СЗМЖ  ОСТАНКИНО</v>
          </cell>
          <cell r="D299">
            <v>22</v>
          </cell>
          <cell r="F299">
            <v>22</v>
          </cell>
        </row>
        <row r="300">
          <cell r="A300" t="str">
            <v>Карбонад Юбилейный термоус.пак.  СПК</v>
          </cell>
          <cell r="D300">
            <v>1.411</v>
          </cell>
          <cell r="F300">
            <v>1.411</v>
          </cell>
        </row>
        <row r="301">
          <cell r="A301" t="str">
            <v>Классическая вареная 400 гр.шт.  СПК</v>
          </cell>
          <cell r="D301">
            <v>4</v>
          </cell>
          <cell r="F301">
            <v>4</v>
          </cell>
        </row>
        <row r="302">
          <cell r="A302" t="str">
            <v>Классическая с/к 80 гр.шт.нар. (лоток с ср.защ.атм.)  СПК</v>
          </cell>
          <cell r="D302">
            <v>114</v>
          </cell>
          <cell r="F302">
            <v>114</v>
          </cell>
        </row>
        <row r="303">
          <cell r="A303" t="str">
            <v>Колбаски ПодПивасики оригинальные с/к 0,10 кг.шт. термофор.пак.  СПК</v>
          </cell>
          <cell r="D303">
            <v>62</v>
          </cell>
          <cell r="F303">
            <v>62</v>
          </cell>
        </row>
        <row r="304">
          <cell r="A304" t="str">
            <v>Колбаски ПодПивасики острые с/к 0,10 кг.шт. термофор.пак.  СПК</v>
          </cell>
          <cell r="D304">
            <v>71</v>
          </cell>
          <cell r="F304">
            <v>71</v>
          </cell>
        </row>
        <row r="305">
          <cell r="A305" t="str">
            <v>Колбаски ПодПивасики с сыром с/к 100 гр.шт. (в ср.защ.атм.)  СПК</v>
          </cell>
          <cell r="D305">
            <v>18</v>
          </cell>
          <cell r="F305">
            <v>18</v>
          </cell>
        </row>
        <row r="306">
          <cell r="A306" t="str">
            <v>Круггетсы с сырным соусом ТМ Горячая штучка 0,25 кг зам  ПОКОМ</v>
          </cell>
          <cell r="D306">
            <v>4</v>
          </cell>
          <cell r="F306">
            <v>4</v>
          </cell>
        </row>
        <row r="307">
          <cell r="A307" t="str">
            <v>Круггетсы с сырным соусом ТМ Горячая штучка ТС Круггетсы флоу-пак 0,2 кг  ПОКОМ</v>
          </cell>
          <cell r="F307">
            <v>421</v>
          </cell>
        </row>
        <row r="308">
          <cell r="A308" t="str">
            <v>Круггетсы сочные ТМ Горячая штучка ТС Круггетсы 0,25 кг зам  ПОКОМ</v>
          </cell>
          <cell r="D308">
            <v>8</v>
          </cell>
          <cell r="F308">
            <v>8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1800</v>
          </cell>
          <cell r="F309">
            <v>2320</v>
          </cell>
        </row>
        <row r="310">
          <cell r="A310" t="str">
            <v>Ла Фаворте с/в "Эликатессе" 140 гр.шт.  СПК</v>
          </cell>
          <cell r="D310">
            <v>6</v>
          </cell>
          <cell r="F310">
            <v>6</v>
          </cell>
        </row>
        <row r="311">
          <cell r="A311" t="str">
            <v>Ливерная Печеночная 250 гр.шт.  СПК</v>
          </cell>
          <cell r="D311">
            <v>14</v>
          </cell>
          <cell r="F311">
            <v>14</v>
          </cell>
        </row>
        <row r="312">
          <cell r="A312" t="str">
            <v>Любительская вареная термоус.пак. "Высокий вкус"  СПК</v>
          </cell>
          <cell r="D312">
            <v>5</v>
          </cell>
          <cell r="F312">
            <v>5</v>
          </cell>
        </row>
        <row r="313">
          <cell r="A313" t="str">
            <v>Мини-пицца с ветчиной и сыром ТМ Зареченские ВЕС,  ПОКОМ</v>
          </cell>
          <cell r="F313">
            <v>20.9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93.1</v>
          </cell>
        </row>
        <row r="315">
          <cell r="A315" t="str">
            <v>Мини-чебуречки с мясом ВЕС 5,5кг ТМ Зареченские  ПОКОМ</v>
          </cell>
          <cell r="F315">
            <v>66</v>
          </cell>
        </row>
        <row r="316">
          <cell r="A316" t="str">
            <v>Мини-шарики с курочкой и сыром ТМ Зареченские ВЕС  ПОКОМ</v>
          </cell>
          <cell r="F316">
            <v>171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605</v>
          </cell>
          <cell r="F317">
            <v>1624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362</v>
          </cell>
          <cell r="F318">
            <v>1173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482</v>
          </cell>
          <cell r="F319">
            <v>1365</v>
          </cell>
        </row>
        <row r="320">
          <cell r="A320" t="str">
            <v>Наггетсы с куриным филе и сыром ТМ Вязанка 0,25 кг ПОКОМ</v>
          </cell>
          <cell r="D320">
            <v>601</v>
          </cell>
          <cell r="F320">
            <v>1427</v>
          </cell>
        </row>
        <row r="321">
          <cell r="A321" t="str">
            <v>Наггетсы Хрустящие ТМ Зареченские. ВЕС ПОКОМ</v>
          </cell>
          <cell r="F321">
            <v>606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1</v>
          </cell>
          <cell r="F322">
            <v>265</v>
          </cell>
        </row>
        <row r="323">
          <cell r="A323" t="str">
            <v>Оригинальная с перцем с/к  СПК</v>
          </cell>
          <cell r="D323">
            <v>24</v>
          </cell>
          <cell r="F323">
            <v>24</v>
          </cell>
        </row>
        <row r="324">
          <cell r="A324" t="str">
            <v>Пекерсы с индейкой в сливочном соусе ТМ Горячая штучка 0,25 кг зам  ПОКОМ</v>
          </cell>
          <cell r="D324">
            <v>4</v>
          </cell>
          <cell r="F324">
            <v>214</v>
          </cell>
        </row>
        <row r="325">
          <cell r="A325" t="str">
            <v>Пельмени Grandmeni с говядиной и свининой 0,7кг ТМ Горячая штучка  ПОКОМ</v>
          </cell>
          <cell r="F325">
            <v>121</v>
          </cell>
        </row>
        <row r="326">
          <cell r="A326" t="str">
            <v>Пельмени Бигбули #МЕГАВКУСИЩЕ с сочной грудинкой ТМ Горячая штучка 0,7 кг. ПОКОМ</v>
          </cell>
          <cell r="F326">
            <v>392</v>
          </cell>
        </row>
        <row r="327">
          <cell r="A327" t="str">
            <v>Пельмени Бигбули с мясом ТМ Горячая штучка. флоу-пак сфера 0,4 кг. ПОКОМ</v>
          </cell>
          <cell r="D327">
            <v>3</v>
          </cell>
          <cell r="F327">
            <v>88</v>
          </cell>
        </row>
        <row r="328">
          <cell r="A328" t="str">
            <v>Пельмени Бигбули с мясом ТМ Горячая штучка. флоу-пак сфера 0,7 кг ПОКОМ</v>
          </cell>
          <cell r="D328">
            <v>723</v>
          </cell>
          <cell r="F328">
            <v>1176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5</v>
          </cell>
          <cell r="F329">
            <v>631</v>
          </cell>
        </row>
        <row r="330">
          <cell r="A330" t="str">
            <v>Пельмени Бульмени мини с мясом и cыром ТМ Горячая штучка ТС Бульмени ГШ флоу-пак сфера 0,4 кг  ПОКОМ</v>
          </cell>
          <cell r="F330">
            <v>73</v>
          </cell>
        </row>
        <row r="331">
          <cell r="A331" t="str">
            <v>Пельмени Бульмени мини с мясом и оливковым маслом 0,7 кг ТМ Горячая штучка  ПОКОМ</v>
          </cell>
          <cell r="D331">
            <v>3</v>
          </cell>
          <cell r="F331">
            <v>635</v>
          </cell>
        </row>
        <row r="332">
          <cell r="A332" t="str">
            <v>Пельмени Бульмени Нейробуст с мясом ТМ Горячая штучка ТС Бульмени ГШ сфера флоу-пак 0,6 кг.  ПОКОМ</v>
          </cell>
          <cell r="F332">
            <v>36</v>
          </cell>
        </row>
        <row r="333">
          <cell r="A333" t="str">
            <v>Пельмени Бульмени с говядиной и свининой Наваристые 5кг Горячая штучка ВЕС  ПОКОМ</v>
          </cell>
          <cell r="D333">
            <v>5</v>
          </cell>
          <cell r="F333">
            <v>995</v>
          </cell>
        </row>
        <row r="334">
          <cell r="A334" t="str">
            <v>Пельмени Бульмени с говядиной и свининой СЕВЕРНАЯ КОЛЛЕКЦИЯ 0,7кг ТМ Горячая штучка сфера  ПОКОМ</v>
          </cell>
          <cell r="D334">
            <v>3</v>
          </cell>
          <cell r="F334">
            <v>345</v>
          </cell>
        </row>
        <row r="335">
          <cell r="A335" t="str">
            <v>Пельмени Бульмени с говядиной и свининой ТМ Горячая штучка. флоу-пак сфера 0,4 кг ПОКОМ</v>
          </cell>
          <cell r="D335">
            <v>6</v>
          </cell>
          <cell r="F335">
            <v>540</v>
          </cell>
        </row>
        <row r="336">
          <cell r="A336" t="str">
            <v>Пельмени Бульмени с говядиной и свининой ТМ Горячая штучка. флоу-пак сфера 0,7 кг ПОКОМ</v>
          </cell>
          <cell r="D336">
            <v>412</v>
          </cell>
          <cell r="F336">
            <v>1584</v>
          </cell>
        </row>
        <row r="337">
          <cell r="A337" t="str">
            <v>Пельмени Бульмени со сливочным маслом ТМ Горячая штучка. флоу-пак сфера 0,4 кг. ПОКОМ</v>
          </cell>
          <cell r="D337">
            <v>3</v>
          </cell>
          <cell r="F337">
            <v>601</v>
          </cell>
        </row>
        <row r="338">
          <cell r="A338" t="str">
            <v>Пельмени Бульмени со сливочным маслом ТМ Горячая штучка.флоу-пак сфера 0,7 кг. ПОКОМ</v>
          </cell>
          <cell r="D338">
            <v>307</v>
          </cell>
          <cell r="F338">
            <v>1562</v>
          </cell>
        </row>
        <row r="339">
          <cell r="A339" t="str">
            <v>Пельмени Бульмени хрустящие с мясом 0,22 кг ТМ Горячая штучка  ПОКОМ</v>
          </cell>
          <cell r="F339">
            <v>114</v>
          </cell>
        </row>
        <row r="340">
          <cell r="A340" t="str">
            <v>Пельмени Добросельские со свининой и говядиной ТМ Стародворье флоу-пак клас. форма 0,65 кг.  ПОКОМ</v>
          </cell>
          <cell r="D340">
            <v>2</v>
          </cell>
          <cell r="F340">
            <v>22</v>
          </cell>
        </row>
        <row r="341">
          <cell r="A341" t="str">
            <v>Пельмени Мясные с говядиной ТМ Стародворье сфера флоу-пак 1 кг  ПОКОМ</v>
          </cell>
          <cell r="D341">
            <v>3</v>
          </cell>
          <cell r="F341">
            <v>263</v>
          </cell>
        </row>
        <row r="342">
          <cell r="A342" t="str">
            <v>Пельмени Отборные из свинины и говядины 0,9 кг ТМ Стародворье ТС Медвежье ушко  ПОКОМ</v>
          </cell>
          <cell r="D342">
            <v>3</v>
          </cell>
          <cell r="F342">
            <v>344</v>
          </cell>
        </row>
        <row r="343">
          <cell r="A343" t="str">
            <v>Пельмени Отборные с говядиной 0,9 кг НОВА ТМ Стародворье ТС Медвежье ушко  ПОКОМ</v>
          </cell>
          <cell r="D343">
            <v>1</v>
          </cell>
          <cell r="F343">
            <v>1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F344">
            <v>230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5</v>
          </cell>
          <cell r="F345">
            <v>320</v>
          </cell>
        </row>
        <row r="346">
          <cell r="A346" t="str">
            <v>Пельмени Сочные сфера 0,8 кг ТМ Стародворье  ПОКОМ</v>
          </cell>
          <cell r="D346">
            <v>2</v>
          </cell>
          <cell r="F346">
            <v>91</v>
          </cell>
        </row>
        <row r="347">
          <cell r="A347" t="str">
            <v>Пирожки с мясом 3,7кг ВЕС ТМ Зареченские  ПОКОМ</v>
          </cell>
          <cell r="F347">
            <v>25.9</v>
          </cell>
        </row>
        <row r="348">
          <cell r="A348" t="str">
            <v>Ричеза с/к 230 гр.шт.  СПК</v>
          </cell>
          <cell r="D348">
            <v>11</v>
          </cell>
          <cell r="F348">
            <v>11</v>
          </cell>
        </row>
        <row r="349">
          <cell r="A349" t="str">
            <v>Сальчетти с/к 230 гр.шт.  СПК</v>
          </cell>
          <cell r="D349">
            <v>46</v>
          </cell>
          <cell r="F349">
            <v>46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24</v>
          </cell>
          <cell r="F350">
            <v>24</v>
          </cell>
        </row>
        <row r="351">
          <cell r="A351" t="str">
            <v>Салями с/к 100 гр.шт.нар. (лоток с ср.защ.атм.)  СПК</v>
          </cell>
          <cell r="D351">
            <v>87</v>
          </cell>
          <cell r="F351">
            <v>87</v>
          </cell>
        </row>
        <row r="352">
          <cell r="A352" t="str">
            <v>Салями Трюфель с/в "Эликатессе" 0,16 кг.шт.  СПК</v>
          </cell>
          <cell r="D352">
            <v>47</v>
          </cell>
          <cell r="F352">
            <v>47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9.6</v>
          </cell>
          <cell r="F353">
            <v>9.6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7</v>
          </cell>
          <cell r="F354">
            <v>7</v>
          </cell>
        </row>
        <row r="355">
          <cell r="A355" t="str">
            <v>Семейная с чесночком Экстра вареная  СПК</v>
          </cell>
          <cell r="D355">
            <v>2</v>
          </cell>
          <cell r="F355">
            <v>2</v>
          </cell>
        </row>
        <row r="356">
          <cell r="A356" t="str">
            <v>Сервелат Европейский в/к, в/с 0,38 кг.шт.термофор.пак  СПК</v>
          </cell>
          <cell r="D356">
            <v>3</v>
          </cell>
          <cell r="F356">
            <v>3</v>
          </cell>
        </row>
        <row r="357">
          <cell r="A357" t="str">
            <v>Сервелат мелкозернистый в/к 0,5 кг.шт. термоус.пак. "Высокий вкус"  СПК</v>
          </cell>
          <cell r="D357">
            <v>11</v>
          </cell>
          <cell r="F357">
            <v>11</v>
          </cell>
        </row>
        <row r="358">
          <cell r="A358" t="str">
            <v>Сервелат Финский в/к 0,38 кг.шт. термофор.пак.  СПК</v>
          </cell>
          <cell r="D358">
            <v>2</v>
          </cell>
          <cell r="F358">
            <v>2</v>
          </cell>
        </row>
        <row r="359">
          <cell r="A359" t="str">
            <v>Сервелат Фирменный в/к 0,10 кг.шт. нарезка (лоток с ср.защ.атм.)  СПК</v>
          </cell>
          <cell r="D359">
            <v>62</v>
          </cell>
          <cell r="F359">
            <v>62</v>
          </cell>
        </row>
        <row r="360">
          <cell r="A360" t="str">
            <v>Сибирская особая с/к 0,10 кг.шт. нарезка (лоток с ср.защ.атм.)  СПК</v>
          </cell>
          <cell r="D360">
            <v>16</v>
          </cell>
          <cell r="F360">
            <v>16</v>
          </cell>
        </row>
        <row r="361">
          <cell r="A361" t="str">
            <v>Сибирская особая с/к 0,235 кг шт.  СПК</v>
          </cell>
          <cell r="D361">
            <v>36</v>
          </cell>
          <cell r="F361">
            <v>36</v>
          </cell>
        </row>
        <row r="362">
          <cell r="A362" t="str">
            <v>Сосиски "Баварские" 0,36 кг.шт. вак.упак.  СПК</v>
          </cell>
          <cell r="D362">
            <v>4</v>
          </cell>
          <cell r="F362">
            <v>4</v>
          </cell>
        </row>
        <row r="363">
          <cell r="A363" t="str">
            <v>Сосиски "Молочные" 0,36 кг.шт. вак.упак.  СПК</v>
          </cell>
          <cell r="D363">
            <v>1</v>
          </cell>
          <cell r="F363">
            <v>1</v>
          </cell>
        </row>
        <row r="364">
          <cell r="A364" t="str">
            <v>Сочный мегачебурек ТМ Зареченские ВЕС ПОКОМ</v>
          </cell>
          <cell r="D364">
            <v>2.2400000000000002</v>
          </cell>
          <cell r="F364">
            <v>64.86</v>
          </cell>
        </row>
        <row r="365">
          <cell r="A365" t="str">
            <v>Торо Неро с/в "Эликатессе" 140 гр.шт.  СПК</v>
          </cell>
          <cell r="D365">
            <v>6</v>
          </cell>
          <cell r="F365">
            <v>6</v>
          </cell>
        </row>
        <row r="366">
          <cell r="A366" t="str">
            <v>Утренняя вареная ВЕС СПК</v>
          </cell>
          <cell r="D366">
            <v>4</v>
          </cell>
          <cell r="F366">
            <v>4</v>
          </cell>
        </row>
        <row r="367">
          <cell r="A367" t="str">
            <v>Уши свиные копченые к пиву 0,15кг нар. д/ф шт.  СПК</v>
          </cell>
          <cell r="D367">
            <v>9</v>
          </cell>
          <cell r="F367">
            <v>9</v>
          </cell>
        </row>
        <row r="368">
          <cell r="A368" t="str">
            <v>Фестивальная пора с/к 100 гр.шт.нар. (лоток с ср.защ.атм.)  СПК</v>
          </cell>
          <cell r="D368">
            <v>48</v>
          </cell>
          <cell r="F368">
            <v>48</v>
          </cell>
        </row>
        <row r="369">
          <cell r="A369" t="str">
            <v>Фестивальная пора с/к 235 гр.шт.  СПК</v>
          </cell>
          <cell r="D369">
            <v>131</v>
          </cell>
          <cell r="F369">
            <v>131</v>
          </cell>
        </row>
        <row r="370">
          <cell r="A370" t="str">
            <v>Фестивальная пора с/к термоус.пак  СПК</v>
          </cell>
          <cell r="D370">
            <v>5</v>
          </cell>
          <cell r="F370">
            <v>5</v>
          </cell>
        </row>
        <row r="371">
          <cell r="A371" t="str">
            <v>Фирменная с/к 200 гр. срез "Эликатессе" термоформ.пак.  СПК</v>
          </cell>
          <cell r="D371">
            <v>50</v>
          </cell>
          <cell r="F371">
            <v>50</v>
          </cell>
        </row>
        <row r="372">
          <cell r="A372" t="str">
            <v>Фуэт с/в "Эликатессе" 160 гр.шт.  СПК</v>
          </cell>
          <cell r="D372">
            <v>27</v>
          </cell>
          <cell r="F372">
            <v>27</v>
          </cell>
        </row>
        <row r="373">
          <cell r="A373" t="str">
            <v>Хот-догстер ТМ Горячая штучка ТС Хот-Догстер флоу-пак 0,09 кг. ПОКОМ</v>
          </cell>
          <cell r="F373">
            <v>144</v>
          </cell>
        </row>
        <row r="374">
          <cell r="A374" t="str">
            <v>Хотстеры с сыром 0,25кг ТМ Горячая штучка  ПОКОМ</v>
          </cell>
          <cell r="D374">
            <v>9</v>
          </cell>
          <cell r="F374">
            <v>411</v>
          </cell>
        </row>
        <row r="375">
          <cell r="A375" t="str">
            <v>Хотстеры ТМ Горячая штучка ТС Хотстеры 0,25 кг зам  ПОКОМ</v>
          </cell>
          <cell r="D375">
            <v>606</v>
          </cell>
          <cell r="F375">
            <v>1733</v>
          </cell>
        </row>
        <row r="376">
          <cell r="A376" t="str">
            <v>Хрустящие крылышки острые к пиву ТМ Горячая штучка 0,3кг зам  ПОКОМ</v>
          </cell>
          <cell r="D376">
            <v>9</v>
          </cell>
          <cell r="F376">
            <v>364</v>
          </cell>
        </row>
        <row r="377">
          <cell r="A377" t="str">
            <v>Хрустящие крылышки ТМ Горячая штучка 0,3 кг зам  ПОКОМ</v>
          </cell>
          <cell r="D377">
            <v>9</v>
          </cell>
          <cell r="F377">
            <v>384</v>
          </cell>
        </row>
        <row r="378">
          <cell r="A378" t="str">
            <v>Чебупели Курочка гриль ТМ Горячая штучка, 0,3 кг зам  ПОКОМ</v>
          </cell>
          <cell r="F378">
            <v>161</v>
          </cell>
        </row>
        <row r="379">
          <cell r="A379" t="str">
            <v>Чебупицца курочка по-итальянски Горячая штучка 0,25 кг зам  ПОКОМ</v>
          </cell>
          <cell r="D379">
            <v>979</v>
          </cell>
          <cell r="F379">
            <v>2213</v>
          </cell>
        </row>
        <row r="380">
          <cell r="A380" t="str">
            <v>Чебупицца Маргарита 0,2кг ТМ Горячая штучка ТС Foodgital  ПОКОМ</v>
          </cell>
          <cell r="D380">
            <v>4</v>
          </cell>
          <cell r="F380">
            <v>206</v>
          </cell>
        </row>
        <row r="381">
          <cell r="A381" t="str">
            <v>Чебупицца Пепперони ТМ Горячая штучка ТС Чебупицца 0.25кг зам  ПОКОМ</v>
          </cell>
          <cell r="D381">
            <v>617</v>
          </cell>
          <cell r="F381">
            <v>2560</v>
          </cell>
        </row>
        <row r="382">
          <cell r="A382" t="str">
            <v>Чебупицца со вкусом 4 сыра 0,2кг ТМ Горячая штучка ТС Foodgital  ПОКОМ</v>
          </cell>
          <cell r="D382">
            <v>1</v>
          </cell>
          <cell r="F382">
            <v>135</v>
          </cell>
        </row>
        <row r="383">
          <cell r="A383" t="str">
            <v>Чебуреки сочные ВЕС ТМ Зареченские  ПОКОМ</v>
          </cell>
          <cell r="D383">
            <v>5</v>
          </cell>
          <cell r="F383">
            <v>545</v>
          </cell>
        </row>
        <row r="384">
          <cell r="A384" t="str">
            <v>Шпикачки Русские (черева) (в ср.защ.атм.) "Высокий вкус"  СПК</v>
          </cell>
          <cell r="D384">
            <v>6.8</v>
          </cell>
          <cell r="F384">
            <v>6.8</v>
          </cell>
        </row>
        <row r="385">
          <cell r="A385" t="str">
            <v>Юбилейная с/к 0,235 кг.шт.  СПК</v>
          </cell>
          <cell r="D385">
            <v>118</v>
          </cell>
          <cell r="F385">
            <v>118</v>
          </cell>
        </row>
        <row r="386">
          <cell r="A386" t="str">
            <v>Итого</v>
          </cell>
          <cell r="D386">
            <v>52033.184000000001</v>
          </cell>
          <cell r="F386">
            <v>134004.97200000001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07.01.2026 - 07.01.2026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247.178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240.286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379.57299999999998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959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4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964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121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390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21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21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59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107.69499999999999</v>
          </cell>
        </row>
        <row r="23">
          <cell r="A23" t="str">
            <v xml:space="preserve"> 201  Ветчина Нежная ТМ Особый рецепт, (2,5кг), ПОКОМ</v>
          </cell>
          <cell r="D23">
            <v>918.74400000000003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105.82599999999999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-1.4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D26">
            <v>0.372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158.024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50.488999999999997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61.226999999999997</v>
          </cell>
        </row>
        <row r="30">
          <cell r="A30" t="str">
            <v xml:space="preserve"> 240  Колбаса Салями охотничья, ВЕС. ПОКОМ</v>
          </cell>
          <cell r="D30">
            <v>0.374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71.540000000000006</v>
          </cell>
        </row>
        <row r="32">
          <cell r="A32" t="str">
            <v xml:space="preserve"> 247  Сардельки Нежные, ВЕС.  ПОКОМ</v>
          </cell>
          <cell r="D32">
            <v>13.951000000000001</v>
          </cell>
        </row>
        <row r="33">
          <cell r="A33" t="str">
            <v xml:space="preserve"> 248  Сардельки Сочные ТМ Особый рецепт,   ПОКОМ</v>
          </cell>
          <cell r="D33">
            <v>20.89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290.33300000000003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0.996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9.9580000000000002</v>
          </cell>
        </row>
        <row r="37">
          <cell r="A37" t="str">
            <v xml:space="preserve"> 263  Шпикачки Стародворские, ВЕС.  ПОКОМ</v>
          </cell>
          <cell r="D37">
            <v>140.70400000000001</v>
          </cell>
        </row>
        <row r="38">
          <cell r="A38" t="str">
            <v xml:space="preserve"> 265  Колбаса Балыкбургская, ВЕС, ТМ Баварушка  ПОКОМ</v>
          </cell>
          <cell r="D38">
            <v>-1.8080000000000001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D39">
            <v>-0.88800000000000001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231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561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845</v>
          </cell>
        </row>
        <row r="43">
          <cell r="A43" t="str">
            <v xml:space="preserve"> 278  Сосиски Сочинки с сочным окороком, МГС 0.4кг,   ПОКОМ</v>
          </cell>
          <cell r="D43">
            <v>8</v>
          </cell>
        </row>
        <row r="44">
          <cell r="A44" t="str">
            <v xml:space="preserve"> 283  Сосиски Сочинки, ВЕС, ТМ Стародворье ПОКОМ</v>
          </cell>
          <cell r="D44">
            <v>150.25299999999999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275</v>
          </cell>
        </row>
        <row r="46">
          <cell r="A46" t="str">
            <v xml:space="preserve"> 291  Сосиски Молокуши миникушай ТМ Вязанка, 0.33кг, ПОКОМ</v>
          </cell>
          <cell r="D46">
            <v>16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176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35.561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135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317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20.646000000000001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47.470999999999997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175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384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191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124.378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227.75899999999999</v>
          </cell>
        </row>
        <row r="58">
          <cell r="A58" t="str">
            <v xml:space="preserve"> 316  Колбаса Нежная ТМ Зареченские ВЕС  ПОКОМ</v>
          </cell>
          <cell r="D58">
            <v>11.499000000000001</v>
          </cell>
        </row>
        <row r="59">
          <cell r="A59" t="str">
            <v xml:space="preserve"> 318  Сосиски Датские ТМ Зареченские, ВЕС  ПОКОМ</v>
          </cell>
          <cell r="D59">
            <v>583.37199999999996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910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1008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427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10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23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214.608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199</v>
          </cell>
        </row>
        <row r="67">
          <cell r="A67" t="str">
            <v xml:space="preserve"> 335  Колбаса Сливушка ТМ Вязанка. ВЕС.  ПОКОМ </v>
          </cell>
          <cell r="D67">
            <v>37.479999999999997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107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557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540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91.459000000000003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8.7780000000000005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206.55600000000001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25.358000000000001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15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79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103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59.231000000000002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254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243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144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118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119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48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1020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1514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114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69.662999999999997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58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18.716999999999999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81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56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96.427000000000007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838.21900000000005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1551.606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1656.963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D97">
            <v>6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32.503</v>
          </cell>
        </row>
        <row r="99">
          <cell r="A99" t="str">
            <v xml:space="preserve"> 467  Колбаса Филейная 0,5кг ТМ Особый рецепт  ПОКОМ</v>
          </cell>
          <cell r="D99">
            <v>26</v>
          </cell>
        </row>
        <row r="100">
          <cell r="A100" t="str">
            <v xml:space="preserve"> 478  Сардельки Зареченские ВЕС ТМ Зареченские  ПОКОМ</v>
          </cell>
          <cell r="D100">
            <v>-1.17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284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89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142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95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30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90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128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158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246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92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59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32</v>
          </cell>
        </row>
        <row r="113">
          <cell r="A113" t="str">
            <v xml:space="preserve"> 530  Окорок Хамон выдержанный нарезка 0,055кг ТМ Стародворье  ПОКОМ</v>
          </cell>
          <cell r="D113">
            <v>5</v>
          </cell>
        </row>
        <row r="114">
          <cell r="A114" t="str">
            <v xml:space="preserve"> 544  Сосиски Мясные для гриля ТС Ядрена копоть 0,3 кг  ПОКОМ</v>
          </cell>
          <cell r="D114">
            <v>-4</v>
          </cell>
        </row>
        <row r="115">
          <cell r="A115" t="str">
            <v xml:space="preserve"> 546  Колбаса Чесночная 0,4 кг срез ТМ Стародворье  ПОКОМ</v>
          </cell>
          <cell r="D115">
            <v>-22</v>
          </cell>
        </row>
        <row r="116">
          <cell r="A116" t="str">
            <v xml:space="preserve"> 549  Колбаса Докторская ТМ Особый рецепт в оболочке полиамид.ВЕС  ПОКОМ</v>
          </cell>
          <cell r="D116">
            <v>504.76499999999999</v>
          </cell>
        </row>
        <row r="117">
          <cell r="A117" t="str">
            <v xml:space="preserve"> 551  Колбаса Сливушка ТМ Вязанка в модифицированной газовой среде 0,11 кг нарезка  ПОКОМ</v>
          </cell>
          <cell r="D117">
            <v>22</v>
          </cell>
        </row>
        <row r="118">
          <cell r="A118" t="str">
            <v xml:space="preserve"> 552  Ветчина Сливушка с индейкой ТМ Вязанка в модифицированной газовой среде 0,1 кг нарезка  ПОКОМ</v>
          </cell>
          <cell r="D118">
            <v>22</v>
          </cell>
        </row>
        <row r="119">
          <cell r="A119" t="str">
            <v xml:space="preserve"> 553  Ассорти колбас Мясорубская коллекция: Сервелат Делюкс, С балыком 0,08 кг нарезка  ПОКОМ</v>
          </cell>
          <cell r="D119">
            <v>8</v>
          </cell>
        </row>
        <row r="120">
          <cell r="A120" t="str">
            <v xml:space="preserve"> 554  Колбаса Сервелат Мясорубский ТМ Стародворье в упаковке скин 0,08 кг нарезка  ПОКОМ</v>
          </cell>
          <cell r="D120">
            <v>9</v>
          </cell>
        </row>
        <row r="121">
          <cell r="A121" t="str">
            <v xml:space="preserve"> 556  Колбаса Сервелат Ореховый ТМ Вязанка в оболочке фиброуз в вакуумной упаковке, ВЕС  ПОКОМ</v>
          </cell>
          <cell r="D121">
            <v>49.174999999999997</v>
          </cell>
        </row>
        <row r="122">
          <cell r="A122" t="str">
            <v xml:space="preserve"> 557  Колбаса Сервелат Финский ТМ Вязанка в оболочке фиброуз в вакуумной упаковке, ВЕС  ПОКОМ</v>
          </cell>
          <cell r="D122">
            <v>39.633000000000003</v>
          </cell>
        </row>
        <row r="123">
          <cell r="A123" t="str">
            <v xml:space="preserve"> 558  Колбаса Балыковая НОВАЯ ВЕС Вязанка фиброуз в/у ПОКОМ</v>
          </cell>
          <cell r="D123">
            <v>38.451999999999998</v>
          </cell>
        </row>
        <row r="124">
          <cell r="A124" t="str">
            <v>3215 ВЕТЧ.МЯСНАЯ Папа может п/о 0.4кг 8шт.    ОСТАНКИНО</v>
          </cell>
          <cell r="D124">
            <v>164</v>
          </cell>
        </row>
        <row r="125">
          <cell r="A125" t="str">
            <v>3684 ПРЕСИЖН с/к в/у 1/250 8шт.   ОСТАНКИНО</v>
          </cell>
          <cell r="D125">
            <v>20</v>
          </cell>
        </row>
        <row r="126">
          <cell r="A126" t="str">
            <v>3986 Ароматная с/к в/у 1/250 ОСТАНКИНО</v>
          </cell>
          <cell r="D126">
            <v>112</v>
          </cell>
        </row>
        <row r="127">
          <cell r="A127" t="str">
            <v>4063 МЯСНАЯ Папа может вар п/о_Л   ОСТАНКИНО</v>
          </cell>
          <cell r="D127">
            <v>407.387</v>
          </cell>
        </row>
        <row r="128">
          <cell r="A128" t="str">
            <v>4117 ЭКСТРА Папа может с/к в/у_Л   ОСТАНКИНО</v>
          </cell>
          <cell r="D128">
            <v>20.213000000000001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22.788</v>
          </cell>
        </row>
        <row r="130">
          <cell r="A130" t="str">
            <v>4813 ФИЛЕЙНАЯ Папа может вар п/о_Л   ОСТАНКИНО</v>
          </cell>
          <cell r="D130">
            <v>143.37700000000001</v>
          </cell>
        </row>
        <row r="131">
          <cell r="A131" t="str">
            <v>4993 САЛЯМИ ИТАЛЬЯНСКАЯ с/к в/у 1/250*8_120c ОСТАНКИНО</v>
          </cell>
          <cell r="D131">
            <v>78</v>
          </cell>
        </row>
        <row r="132">
          <cell r="A132" t="str">
            <v>5246 ДОКТОРСКАЯ ПРЕМИУМ вар б/о мгс_30с ОСТАНКИНО</v>
          </cell>
          <cell r="D132">
            <v>23.791</v>
          </cell>
        </row>
        <row r="133">
          <cell r="A133" t="str">
            <v>5247 РУССКАЯ ПРЕМИУМ вар б/о мгс_30с ОСТАНКИНО</v>
          </cell>
          <cell r="D133">
            <v>2.9649999999999999</v>
          </cell>
        </row>
        <row r="134">
          <cell r="A134" t="str">
            <v>5483 ЭКСТРА Папа может с/к в/у 1/250 8шт.   ОСТАНКИНО</v>
          </cell>
          <cell r="D134">
            <v>173</v>
          </cell>
        </row>
        <row r="135">
          <cell r="A135" t="str">
            <v>5544 Сервелат Финский в/к в/у_45с НОВАЯ ОСТАНКИНО</v>
          </cell>
          <cell r="D135">
            <v>194.25899999999999</v>
          </cell>
        </row>
        <row r="136">
          <cell r="A136" t="str">
            <v>5679 САЛЯМИ ИТАЛЬЯНСКАЯ с/к в/у 1/150_60с ОСТАНКИНО</v>
          </cell>
          <cell r="D136">
            <v>107</v>
          </cell>
        </row>
        <row r="137">
          <cell r="A137" t="str">
            <v>5708 ПОСОЛЬСКАЯ Папа может с/к в/у ОСТАНКИНО</v>
          </cell>
          <cell r="D137">
            <v>12.263999999999999</v>
          </cell>
        </row>
        <row r="138">
          <cell r="A138" t="str">
            <v>5851 ЭКСТРА Папа может вар п/о   ОСТАНКИНО</v>
          </cell>
          <cell r="D138">
            <v>54.777000000000001</v>
          </cell>
        </row>
        <row r="139">
          <cell r="A139" t="str">
            <v>5931 ОХОТНИЧЬЯ Папа может с/к в/у 1/220 8шт.   ОСТАНКИНО</v>
          </cell>
          <cell r="D139">
            <v>282</v>
          </cell>
        </row>
        <row r="140">
          <cell r="A140" t="str">
            <v>6004 РАГУ СВИНОЕ 1кг 8шт.зам_120с ОСТАНКИНО</v>
          </cell>
          <cell r="D140">
            <v>16</v>
          </cell>
        </row>
        <row r="141">
          <cell r="A141" t="str">
            <v>6168 БЛИНЧ.С МЯСОМ пл.1/350 зам  ОСТАНКИНО</v>
          </cell>
          <cell r="D141">
            <v>9</v>
          </cell>
        </row>
        <row r="142">
          <cell r="A142" t="str">
            <v>6202 БЛИНЧ.КРУГЛЫЕ С ТВОРОГОМ ПМ 1/300 зам.  ОСТАНКИНО</v>
          </cell>
          <cell r="D142">
            <v>2</v>
          </cell>
        </row>
        <row r="143">
          <cell r="A143" t="str">
            <v>6209 БЛИНЧ.С КУРИНЫМ МЯСОМ пл.1/350 зам.  ОСТАНКИНО</v>
          </cell>
          <cell r="D143">
            <v>3</v>
          </cell>
        </row>
        <row r="144">
          <cell r="A144" t="str">
            <v>6220 ГОВЯЖЬЯ Папа может вар п/о  ОСТАНКИНО</v>
          </cell>
          <cell r="D144">
            <v>5.34</v>
          </cell>
        </row>
        <row r="145">
          <cell r="A145" t="str">
            <v>6221 НЕАПОЛИТАНСКИЙ ДУЭТ с/к с/н мгс 1/90  ОСТАНКИНО</v>
          </cell>
          <cell r="D145">
            <v>153</v>
          </cell>
        </row>
        <row r="146">
          <cell r="A146" t="str">
            <v>6228 МЯСНОЕ АССОРТИ к/з с/н мгс 1/90 10шт.  ОСТАНКИНО</v>
          </cell>
          <cell r="D146">
            <v>257</v>
          </cell>
        </row>
        <row r="147">
          <cell r="A147" t="str">
            <v>6247 ДОМАШНЯЯ Папа может вар п/о 0,4кг 8шт.  ОСТАНКИНО</v>
          </cell>
          <cell r="D147">
            <v>49</v>
          </cell>
        </row>
        <row r="148">
          <cell r="A148" t="str">
            <v>6268 ГОВЯЖЬЯ Папа может вар п/о 0,4кг 8 шт.  ОСТАНКИНО</v>
          </cell>
          <cell r="D148">
            <v>171</v>
          </cell>
        </row>
        <row r="149">
          <cell r="A149" t="str">
            <v>6279 КОРЕЙКА ПО-ОСТ.к/в в/с с/н в/у 1/150_45с  ОСТАНКИНО</v>
          </cell>
          <cell r="D149">
            <v>185</v>
          </cell>
        </row>
        <row r="150">
          <cell r="A150" t="str">
            <v>6303 МЯСНЫЕ Папа может сос п/о мгс 1.5*3  ОСТАНКИНО</v>
          </cell>
          <cell r="D150">
            <v>50.923000000000002</v>
          </cell>
        </row>
        <row r="151">
          <cell r="A151" t="str">
            <v>6324 ДОКТОРСКАЯ ГОСТ вар п/о 0.4кг 8шт.  ОСТАНКИНО</v>
          </cell>
          <cell r="D151">
            <v>19</v>
          </cell>
        </row>
        <row r="152">
          <cell r="A152" t="str">
            <v>6325 ДОКТОРСКАЯ ПРЕМИУМ вар п/о 0.4кг 8шт.  ОСТАНКИНО</v>
          </cell>
          <cell r="D152">
            <v>432</v>
          </cell>
        </row>
        <row r="153">
          <cell r="A153" t="str">
            <v>6333 МЯСНАЯ Папа может вар п/о 0.4кг 8шт.  ОСТАНКИНО</v>
          </cell>
          <cell r="D153">
            <v>972</v>
          </cell>
        </row>
        <row r="154">
          <cell r="A154" t="str">
            <v>6340 ДОМАШНИЙ РЕЦЕПТ Коровино 0.5кг 8шт.  ОСТАНКИНО</v>
          </cell>
          <cell r="D154">
            <v>54</v>
          </cell>
        </row>
        <row r="155">
          <cell r="A155" t="str">
            <v>6353 ЭКСТРА Папа может вар п/о 0.4кг 8шт.  ОСТАНКИНО</v>
          </cell>
          <cell r="D155">
            <v>321</v>
          </cell>
        </row>
        <row r="156">
          <cell r="A156" t="str">
            <v>6392 ФИЛЕЙНАЯ Папа может вар п/о 0.4кг. ОСТАНКИНО</v>
          </cell>
          <cell r="D156">
            <v>543</v>
          </cell>
        </row>
        <row r="157">
          <cell r="A157" t="str">
            <v>6448 СВИНИНА МАДЕРА с/к с/н в/у 1/100 10шт.   ОСТАНКИНО</v>
          </cell>
          <cell r="D157">
            <v>-2</v>
          </cell>
        </row>
        <row r="158">
          <cell r="A158" t="str">
            <v>6453 ЭКСТРА Папа может с/к с/н в/у 1/100 14шт.   ОСТАНКИНО</v>
          </cell>
          <cell r="D158">
            <v>370</v>
          </cell>
        </row>
        <row r="159">
          <cell r="A159" t="str">
            <v>6454 АРОМАТНАЯ с/к с/н в/у 1/100 10шт.  ОСТАНКИНО</v>
          </cell>
          <cell r="D159">
            <v>381</v>
          </cell>
        </row>
        <row r="160">
          <cell r="A160" t="str">
            <v>6459 СЕРВЕЛАТ ШВЕЙЦАРСК. в/к с/н в/у 1/100*10  ОСТАНКИНО</v>
          </cell>
          <cell r="D160">
            <v>253</v>
          </cell>
        </row>
        <row r="161">
          <cell r="A161" t="str">
            <v>6470 ВЕТЧ.МРАМОРНАЯ в/у_45с  ОСТАНКИНО</v>
          </cell>
          <cell r="D161">
            <v>2.3610000000000002</v>
          </cell>
        </row>
        <row r="162">
          <cell r="A162" t="str">
            <v>6495 ВЕТЧ.МРАМОРНАЯ в/у срез 0.3кг 6шт_45с  ОСТАНКИНО</v>
          </cell>
          <cell r="D162">
            <v>71</v>
          </cell>
        </row>
        <row r="163">
          <cell r="A163" t="str">
            <v>6527 ШПИКАЧКИ СОЧНЫЕ ПМ сар б/о мгс 1*3 45с ОСТАНКИНО</v>
          </cell>
          <cell r="D163">
            <v>61.421999999999997</v>
          </cell>
        </row>
        <row r="164">
          <cell r="A164" t="str">
            <v>6609 С ГОВЯДИНОЙ ПМ сар б/о мгс 0.4кг_45с ОСТАНКИНО</v>
          </cell>
          <cell r="D164">
            <v>-3</v>
          </cell>
        </row>
        <row r="165">
          <cell r="A165" t="str">
            <v>6616 МОЛОЧНЫЕ КЛАССИЧЕСКИЕ сос п/о в/у 0.3кг  ОСТАНКИНО</v>
          </cell>
          <cell r="D165">
            <v>343</v>
          </cell>
        </row>
        <row r="166">
          <cell r="A166" t="str">
            <v>6697 СЕРВЕЛАТ ФИНСКИЙ ПМ в/к в/у 0,35кг 8шт.  ОСТАНКИНО</v>
          </cell>
          <cell r="D166">
            <v>665</v>
          </cell>
        </row>
        <row r="167">
          <cell r="A167" t="str">
            <v>6713 СОЧНЫЙ ГРИЛЬ ПМ сос п/о мгс 0.41кг 8шт.  ОСТАНКИНО</v>
          </cell>
          <cell r="D167">
            <v>262</v>
          </cell>
        </row>
        <row r="168">
          <cell r="A168" t="str">
            <v>6724 МОЛОЧНЫЕ ПМ сос п/о мгс 0.41кг 10шт.  ОСТАНКИНО</v>
          </cell>
          <cell r="D168">
            <v>163</v>
          </cell>
        </row>
        <row r="169">
          <cell r="A169" t="str">
            <v>6765 РУБЛЕНЫЕ сос ц/о мгс 0.36кг 6шт.  ОСТАНКИНО</v>
          </cell>
          <cell r="D169">
            <v>120</v>
          </cell>
        </row>
        <row r="170">
          <cell r="A170" t="str">
            <v>6785 ВЕНСКАЯ САЛЯМИ п/к в/у 0.33кг 8шт.  ОСТАНКИНО</v>
          </cell>
          <cell r="D170">
            <v>26</v>
          </cell>
        </row>
        <row r="171">
          <cell r="A171" t="str">
            <v>6787 СЕРВЕЛАТ КРЕМЛЕВСКИЙ в/к в/у 0,33кг 8шт.  ОСТАНКИНО</v>
          </cell>
          <cell r="D171">
            <v>29</v>
          </cell>
        </row>
        <row r="172">
          <cell r="A172" t="str">
            <v>6793 БАЛЫКОВАЯ в/к в/у 0,33кг 8шт.  ОСТАНКИНО</v>
          </cell>
          <cell r="D172">
            <v>52</v>
          </cell>
        </row>
        <row r="173">
          <cell r="A173" t="str">
            <v>6797 С ИНДЕЙКОЙ Папа может вар п/о 0,4кг 8шт.  ОСТАНКИНО</v>
          </cell>
          <cell r="D173">
            <v>80</v>
          </cell>
        </row>
        <row r="174">
          <cell r="A174" t="str">
            <v>6819 БЛИНЧ.КРУГЛЫЕ С САД.ЯБЛОК. пл.1/300 зам.  ОСТАНКИНО</v>
          </cell>
          <cell r="D174">
            <v>1</v>
          </cell>
        </row>
        <row r="175">
          <cell r="A175" t="str">
            <v>6829 МОЛОЧНЫЕ КЛАССИЧЕСКИЕ сос п/о мгс 2*4_С  ОСТАНКИНО</v>
          </cell>
          <cell r="D175">
            <v>123.645</v>
          </cell>
        </row>
        <row r="176">
          <cell r="A176" t="str">
            <v>6832 АССОРТИ СЫРОКОПЧЕНЫХ КОЛБАС Коровино в/у  ОСТАНКИНО</v>
          </cell>
          <cell r="D176">
            <v>2.198</v>
          </cell>
        </row>
        <row r="177">
          <cell r="A177" t="str">
            <v>6837 ФИЛЕЙНЫЕ Папа Может сос ц/о мгс 0.4кг  ОСТАНКИНО</v>
          </cell>
          <cell r="D177">
            <v>157</v>
          </cell>
        </row>
        <row r="178">
          <cell r="A178" t="str">
            <v>6842 ДЫМОВИЦА ИЗ ОКОРОКА к/в мл/к в/у 0,3кг  ОСТАНКИНО</v>
          </cell>
          <cell r="D178">
            <v>-10</v>
          </cell>
        </row>
        <row r="179">
          <cell r="A179" t="str">
            <v>6861 ДОМАШНИЙ РЕЦЕПТ Коровино вар п/о  ОСТАНКИНО</v>
          </cell>
          <cell r="D179">
            <v>148.32300000000001</v>
          </cell>
        </row>
        <row r="180">
          <cell r="A180" t="str">
            <v>6866 ВЕТЧ.НЕЖНАЯ Коровино п/о_Маяк  ОСТАНКИНО</v>
          </cell>
          <cell r="D180">
            <v>26.145</v>
          </cell>
        </row>
        <row r="181">
          <cell r="A181" t="str">
            <v>7001 КЛАССИЧЕСКИЕ Папа может сар б/о мгс 1*3  ОСТАНКИНО</v>
          </cell>
          <cell r="D181">
            <v>35.664000000000001</v>
          </cell>
        </row>
        <row r="182">
          <cell r="A182" t="str">
            <v>7040 С ИНДЕЙКОЙ ПМ сос ц/о в/у 1/270 8шт.  ОСТАНКИНО</v>
          </cell>
          <cell r="D182">
            <v>36</v>
          </cell>
        </row>
        <row r="183">
          <cell r="A183" t="str">
            <v>7059 ШПИКАЧКИ СОЧНЫЕ С БЕК. п/о мгс 0.3кг_60с  ОСТАНКИНО</v>
          </cell>
          <cell r="D183">
            <v>67</v>
          </cell>
        </row>
        <row r="184">
          <cell r="A184" t="str">
            <v>7066 СОЧНЫЕ ПМ сос п/о мгс 0.41кг 10шт_50с  ОСТАНКИНО</v>
          </cell>
          <cell r="D184">
            <v>1139</v>
          </cell>
        </row>
        <row r="185">
          <cell r="A185" t="str">
            <v>7070 СОЧНЫЕ ПМ сос п/о мгс 1.5*4_А_50с  ОСТАНКИНО</v>
          </cell>
          <cell r="D185">
            <v>697.01300000000003</v>
          </cell>
        </row>
        <row r="186">
          <cell r="A186" t="str">
            <v>7073 МОЛОЧ.ПРЕМИУМ ПМ сос п/о в/у 1/350_50с  ОСТАНКИНО</v>
          </cell>
          <cell r="D186">
            <v>340</v>
          </cell>
        </row>
        <row r="187">
          <cell r="A187" t="str">
            <v>7075 МОЛОЧ.ПРЕМИУМ ПМ сос п/о мгс 1.5*4_О_50с  ОСТАНКИНО</v>
          </cell>
          <cell r="D187">
            <v>21.577999999999999</v>
          </cell>
        </row>
        <row r="188">
          <cell r="A188" t="str">
            <v>7077 МЯСНЫЕ С ГОВЯД.ПМ сос п/о мгс 0.4кг_50с  ОСТАНКИНО</v>
          </cell>
          <cell r="D188">
            <v>-3</v>
          </cell>
        </row>
        <row r="189">
          <cell r="A189" t="str">
            <v>7080 СЛИВОЧНЫЕ ПМ сос п/о мгс 0.41кг 10шт. 50с  ОСТАНКИНО</v>
          </cell>
          <cell r="D189">
            <v>628</v>
          </cell>
        </row>
        <row r="190">
          <cell r="A190" t="str">
            <v>7082 СЛИВОЧНЫЕ ПМ сос п/о мгс 1.5*4_50с  ОСТАНКИНО</v>
          </cell>
          <cell r="D190">
            <v>46.244</v>
          </cell>
        </row>
        <row r="191">
          <cell r="A191" t="str">
            <v>7087 ШПИК С ЧЕСНОК.И ПЕРЦЕМ к/в в/у 0.3кг_50с  ОСТАНКИНО</v>
          </cell>
          <cell r="D191">
            <v>84</v>
          </cell>
        </row>
        <row r="192">
          <cell r="A192" t="str">
            <v>7090 СВИНИНА ПО-ДОМ. к/в мл/к в/у 0.3кг_50с  ОСТАНКИНО</v>
          </cell>
          <cell r="D192">
            <v>101</v>
          </cell>
        </row>
        <row r="193">
          <cell r="A193" t="str">
            <v>7092 БЕКОН Папа может с/к с/н в/у 1/140_50с  ОСТАНКИНО</v>
          </cell>
          <cell r="D193">
            <v>253</v>
          </cell>
        </row>
        <row r="194">
          <cell r="A194" t="str">
            <v>7147 САЛЬЧИЧОН Останкино с/к в/у 1/220 8шт.  ОСТАНКИНО</v>
          </cell>
          <cell r="D194">
            <v>4</v>
          </cell>
        </row>
        <row r="195">
          <cell r="A195" t="str">
            <v>7149 БАЛЫКОВАЯ Коровино п/к в/у 0.84кг_50с  ОСТАНКИНО</v>
          </cell>
          <cell r="D195">
            <v>3</v>
          </cell>
        </row>
        <row r="196">
          <cell r="A196" t="str">
            <v>7154 СЕРВЕЛАТ ЗЕРНИСТЫЙ ПМ в/к в/у 0.35кг_50с  ОСТАНКИНО</v>
          </cell>
          <cell r="D196">
            <v>546</v>
          </cell>
        </row>
        <row r="197">
          <cell r="A197" t="str">
            <v>7157 СЕРВЕЛАТ ЗЕРНИСНЫЙ ПМ в/к в/у_50с  ОСТАНКИНО</v>
          </cell>
          <cell r="D197">
            <v>21.643000000000001</v>
          </cell>
        </row>
        <row r="198">
          <cell r="A198" t="str">
            <v>7166 СЕРВЕЛТ ОХОТНИЧИЙ ПМ в/к в/у_50с  ОСТАНКИНО</v>
          </cell>
          <cell r="D198">
            <v>65.664000000000001</v>
          </cell>
        </row>
        <row r="199">
          <cell r="A199" t="str">
            <v>7169 СЕРВЕЛАТ ОХОТНИЧИЙ ПМ в/к в/у 0.35кг_50с  ОСТАНКИНО</v>
          </cell>
          <cell r="D199">
            <v>656</v>
          </cell>
        </row>
        <row r="200">
          <cell r="A200" t="str">
            <v>7187 ГРУДИНКА ПРЕМИУМ к/в мл/к в/у 0,3кг_50с ОСТАНКИНО</v>
          </cell>
          <cell r="D200">
            <v>202</v>
          </cell>
        </row>
        <row r="201">
          <cell r="A201" t="str">
            <v>7227 САЛЯМИ ФИНСКАЯ Папа может с/к в/у 1/180  ОСТАНКИНО</v>
          </cell>
          <cell r="D201">
            <v>14</v>
          </cell>
        </row>
        <row r="202">
          <cell r="A202" t="str">
            <v>7231 КЛАССИЧЕСКАЯ ПМ вар п/о 0,3кг 8шт_209к ОСТАНКИНО</v>
          </cell>
          <cell r="D202">
            <v>294</v>
          </cell>
        </row>
        <row r="203">
          <cell r="A203" t="str">
            <v>7232 БОЯNСКАЯ ПМ п/к в/у 0,28кг 8шт_209к ОСТАНКИНО</v>
          </cell>
          <cell r="D203">
            <v>264</v>
          </cell>
        </row>
        <row r="204">
          <cell r="A204" t="str">
            <v>7235 ВЕТЧ.КЛАССИЧЕСКАЯ ПМ п/о 0,35кг 8шт_209к ОСТАНКИНО</v>
          </cell>
          <cell r="D204">
            <v>-1</v>
          </cell>
        </row>
        <row r="205">
          <cell r="A205" t="str">
            <v>7236 СЕРВЕЛАТ КАРЕЛЬСКИЙ в/к в/у 0,28кг_209к ОСТАНКИНО</v>
          </cell>
          <cell r="D205">
            <v>529</v>
          </cell>
        </row>
        <row r="206">
          <cell r="A206" t="str">
            <v>7241 САЛЯМИ Папа может п/к в/у 0,28кг_209к ОСТАНКИНО</v>
          </cell>
          <cell r="D206">
            <v>220</v>
          </cell>
        </row>
        <row r="207">
          <cell r="A207" t="str">
            <v>7245 ВЕТЧ.ФИЛЕЙНАЯ ПМ п/о 0,4кг 8шт ОСТАНКИНО</v>
          </cell>
          <cell r="D207">
            <v>25</v>
          </cell>
        </row>
        <row r="208">
          <cell r="A208" t="str">
            <v>7255 МЯСНЫЕ С ГОВЯД. ПМ сос п/о мгс 0,4кг 6шт.  ОСТАНКИНО</v>
          </cell>
          <cell r="D208">
            <v>386</v>
          </cell>
        </row>
        <row r="209">
          <cell r="A209" t="str">
            <v>7271 МЯСНЫЕ С ГОВЯДИНОЙ ПМ сос п/о мгс 1.5*4 ВЕС  ОСТАНКИНО</v>
          </cell>
          <cell r="D209">
            <v>30.927</v>
          </cell>
        </row>
        <row r="210">
          <cell r="A210" t="str">
            <v>7284 ДЛЯ ДЕТЕЙ сос п/о мгс 0,33кг 6шт  ОСТАНКИНО</v>
          </cell>
          <cell r="D210">
            <v>33</v>
          </cell>
        </row>
        <row r="211">
          <cell r="A211" t="str">
            <v>7317 ПРЕСИЖН с/к дек.спец. мгс 0,54кг  ОСТАНКИНО</v>
          </cell>
          <cell r="D211">
            <v>4</v>
          </cell>
        </row>
        <row r="212">
          <cell r="A212" t="str">
            <v>7332 БОЯРСКАЯ ПМ п/к в/у 0.28кг_СНГ  ОСТАНКИНО</v>
          </cell>
          <cell r="D212">
            <v>11</v>
          </cell>
        </row>
        <row r="213">
          <cell r="A213" t="str">
            <v>7333 СЕРВЕЛАТ ОХОТНИЧИЙ ПМ в/к в/у 0.28кг_СНГ  ОСТАНКИНО</v>
          </cell>
          <cell r="D213">
            <v>18</v>
          </cell>
        </row>
        <row r="214">
          <cell r="A214" t="str">
            <v>7343 СЕЙЧАС СЕЗОН ПМ вар п/о 0,4кг  ОСТАНКИНО</v>
          </cell>
          <cell r="D214">
            <v>385</v>
          </cell>
        </row>
        <row r="215">
          <cell r="A215" t="str">
            <v>7364 ЧОРИЗО Останкино с/к в/у 1/220 8шт.  ОСТАНКИНО</v>
          </cell>
          <cell r="D215">
            <v>3</v>
          </cell>
        </row>
        <row r="216">
          <cell r="A216" t="str">
            <v>7377 ВЕТЧ.С ИНДЕЙКОЙ ПМ в/у срез 0,3кг 6шт.  ОСТАНКИНО</v>
          </cell>
          <cell r="D216">
            <v>50</v>
          </cell>
        </row>
        <row r="217">
          <cell r="A217" t="str">
            <v>7382 САЛЯМИ МЕЛКОЗЕРНЕНАЯ с/к в/у 1/120 8шт.  ОСТАНКИНО</v>
          </cell>
          <cell r="D217">
            <v>476</v>
          </cell>
        </row>
        <row r="218">
          <cell r="A218" t="str">
            <v>7383 САН-РЕМО Останкино с/в в/у 1/220 8шт.  ОСТАНКИНО</v>
          </cell>
          <cell r="D218">
            <v>2</v>
          </cell>
        </row>
        <row r="219">
          <cell r="A219" t="str">
            <v>8950 Масло сливочное ПАПА МОЖЕТ 72,5%, фас. в фольгу, 180гр  ОСТАНКИНО</v>
          </cell>
          <cell r="D219">
            <v>12</v>
          </cell>
        </row>
        <row r="220">
          <cell r="A220" t="str">
            <v>8967 Масло "Папа может" 82,5% 180гр  ОСТАНКИНО</v>
          </cell>
          <cell r="D220">
            <v>10</v>
          </cell>
        </row>
        <row r="221">
          <cell r="A221" t="str">
            <v>БЛИНЧ.КРУГЛЫЕ С ГРУШЕЙ пл.1/420 зам.   ОСТАНКИНО</v>
          </cell>
          <cell r="D221">
            <v>2</v>
          </cell>
        </row>
        <row r="222">
          <cell r="A222" t="str">
            <v>БОНУС МОЛОЧНЫЕ КЛАССИЧЕСКИЕ сос п/о в/у 0.3кг (6084)  ОСТАНКИНО</v>
          </cell>
          <cell r="D222">
            <v>1</v>
          </cell>
        </row>
        <row r="223">
          <cell r="A223" t="str">
            <v>БОНУС МОЛОЧНЫЕ КЛАССИЧЕСКИЕ сос п/о мгс 2*4_С (4980)  ОСТАНКИНО</v>
          </cell>
          <cell r="D223">
            <v>2.0920000000000001</v>
          </cell>
        </row>
        <row r="224">
          <cell r="A224" t="str">
            <v>БОНУС СОЧНЫЕ Папа может сос п/о мгс 1.5*4 (6954)  ОСТАНКИНО</v>
          </cell>
          <cell r="D224">
            <v>44.631</v>
          </cell>
        </row>
        <row r="225">
          <cell r="A225" t="str">
            <v>БОНУС СОЧНЫЕ сос п/о мгс 0.41кг_UZ (6087)  ОСТАНКИНО</v>
          </cell>
          <cell r="D225">
            <v>9</v>
          </cell>
        </row>
        <row r="226">
          <cell r="A226" t="str">
            <v>БОНУС_334  Паштет Любительский ТМ Стародворье ламистер 0,1 кг  ПОКОМ</v>
          </cell>
          <cell r="D226">
            <v>51</v>
          </cell>
        </row>
        <row r="227">
          <cell r="A227" t="str">
            <v>Готовые бельмеши сочные с мясом ТМ Горячая штучка 0,3кг зам  ПОКОМ</v>
          </cell>
          <cell r="D227">
            <v>121</v>
          </cell>
        </row>
        <row r="228">
          <cell r="A228" t="str">
            <v>Готовые чебупели острые с мясом 0,24кг ТМ Горячая штучка  ПОКОМ</v>
          </cell>
          <cell r="D228">
            <v>163</v>
          </cell>
        </row>
        <row r="229">
          <cell r="A229" t="str">
            <v>Готовые чебупели с ветчиной и сыром ТМ Горячая штучка флоу-пак 0,24 кг.  ПОКОМ</v>
          </cell>
          <cell r="D229">
            <v>532</v>
          </cell>
        </row>
        <row r="230">
          <cell r="A230" t="str">
            <v>Готовые чебупели сочные с мясом ТМ Горячая штучка  0,3кг зам  ПОКОМ</v>
          </cell>
          <cell r="D230">
            <v>2</v>
          </cell>
        </row>
        <row r="231">
          <cell r="A231" t="str">
            <v>Готовые чебупели сочные с мясом ТМ Горячая штучка флоу-пак 0,24 кг  ПОКОМ</v>
          </cell>
          <cell r="D231">
            <v>497</v>
          </cell>
        </row>
        <row r="232">
          <cell r="A232" t="str">
            <v>Готовые чебуреки с мясом ТМ Горячая штучка 0,09 кг флоу-пак ПОКОМ</v>
          </cell>
          <cell r="D232">
            <v>49</v>
          </cell>
        </row>
        <row r="233">
          <cell r="A233" t="str">
            <v>Докторская вареная в/с 0,47 кг шт.  СПК</v>
          </cell>
          <cell r="D233">
            <v>2</v>
          </cell>
        </row>
        <row r="234">
          <cell r="A234" t="str">
            <v>ЖАР-ладушки с мясом 0,2кг ТМ Стародворье  ПОКОМ</v>
          </cell>
          <cell r="D234">
            <v>103</v>
          </cell>
        </row>
        <row r="235">
          <cell r="A235" t="str">
            <v>Жареные вареники с картофелем и беконом ТМ Стародворье 0,2 кг  ПОКОМ</v>
          </cell>
          <cell r="D235">
            <v>50</v>
          </cell>
        </row>
        <row r="236">
          <cell r="A236" t="str">
            <v>Классическая вареная 400 гр.шт.  СПК</v>
          </cell>
          <cell r="D236">
            <v>3</v>
          </cell>
        </row>
        <row r="237">
          <cell r="A237" t="str">
            <v>Колбаски ПодПивасики оригинальные с/к 0,10 кг.шт. термофор.пак.  СПК</v>
          </cell>
          <cell r="D237">
            <v>26</v>
          </cell>
        </row>
        <row r="238">
          <cell r="A238" t="str">
            <v>Колбаски ПодПивасики острые с/к 0,10 кг.шт. термофор.пак.  СПК</v>
          </cell>
          <cell r="D238">
            <v>25</v>
          </cell>
        </row>
        <row r="239">
          <cell r="A239" t="str">
            <v>Колбаски ПодПивасики с сыром с/к 100 гр.шт. (в ср.защ.атм.)  СПК</v>
          </cell>
          <cell r="D239">
            <v>10</v>
          </cell>
        </row>
        <row r="240">
          <cell r="A240" t="str">
            <v>Круггетсы с сырным соусом ТМ Горячая штучка 0,25 кг зам  ПОКОМ</v>
          </cell>
          <cell r="D240">
            <v>3</v>
          </cell>
        </row>
        <row r="241">
          <cell r="A241" t="str">
            <v>Круггетсы с сырным соусом ТМ Горячая штучка ТС Круггетсы флоу-пак 0,2 кг  ПОКОМ</v>
          </cell>
          <cell r="D241">
            <v>215</v>
          </cell>
        </row>
        <row r="242">
          <cell r="A242" t="str">
            <v>Круггетсы сочные ТМ Горячая штучка ТС Круггетсы 0,25 кг зам  ПОКОМ</v>
          </cell>
          <cell r="D242">
            <v>3</v>
          </cell>
        </row>
        <row r="243">
          <cell r="A243" t="str">
            <v>Круггетсы сочные ТМ Горячая штучка ТС Круггетсы флоу-пак 0,2 кг.  ПОКОМ</v>
          </cell>
          <cell r="D243">
            <v>251</v>
          </cell>
        </row>
        <row r="244">
          <cell r="A244" t="str">
            <v>Ливерная Печеночная 250 гр.шт.  СПК</v>
          </cell>
          <cell r="D244">
            <v>8</v>
          </cell>
        </row>
        <row r="245">
          <cell r="A245" t="str">
            <v>Мини-пицца с ветчиной и сыром ТМ Зареченские ВЕС,  ПОКОМ</v>
          </cell>
          <cell r="D245">
            <v>15</v>
          </cell>
        </row>
        <row r="246">
          <cell r="A246" t="str">
            <v>Мини-сосиски в тесте 3,7кг ВЕС заморож. ТМ Зареченские  ПОКОМ</v>
          </cell>
          <cell r="D246">
            <v>55.5</v>
          </cell>
        </row>
        <row r="247">
          <cell r="A247" t="str">
            <v>Мини-чебуречки с мясом ВЕС 5,5кг ТМ Зареченские  ПОКОМ</v>
          </cell>
          <cell r="D247">
            <v>16.5</v>
          </cell>
        </row>
        <row r="248">
          <cell r="A248" t="str">
            <v>Мини-шарики с курочкой и сыром ТМ Зареченские ВЕС  ПОКОМ</v>
          </cell>
          <cell r="D248">
            <v>111</v>
          </cell>
        </row>
        <row r="249">
          <cell r="A249" t="str">
            <v>Наггетсы из печи 0,25кг ТМ Вязанка ТС Няняггетсы Сливушки замор.  ПОКОМ</v>
          </cell>
          <cell r="D249">
            <v>594</v>
          </cell>
        </row>
        <row r="250">
          <cell r="A250" t="str">
            <v>Наггетсы Нагетосы Сочная курочка ТМ Горячая штучка 0,25 кг зам  ПОКОМ</v>
          </cell>
          <cell r="D250">
            <v>436</v>
          </cell>
        </row>
        <row r="251">
          <cell r="A251" t="str">
            <v>Наггетсы с индейкой 0,25кг ТМ Вязанка ТС Няняггетсы Сливушки НД2 замор.  ПОКОМ</v>
          </cell>
          <cell r="D251">
            <v>574</v>
          </cell>
        </row>
        <row r="252">
          <cell r="A252" t="str">
            <v>Наггетсы с куриным филе и сыром ТМ Вязанка 0,25 кг ПОКОМ</v>
          </cell>
          <cell r="D252">
            <v>518</v>
          </cell>
        </row>
        <row r="253">
          <cell r="A253" t="str">
            <v>Наггетсы Хрустящие ТМ Зареченские. ВЕС ПОКОМ</v>
          </cell>
          <cell r="D253">
            <v>348</v>
          </cell>
        </row>
        <row r="254">
          <cell r="A254" t="str">
            <v>Наггетсы Хрустящие ТМ Стародворье с сочной курочкой 0,23 кг  ПОКОМ</v>
          </cell>
          <cell r="D254">
            <v>162</v>
          </cell>
        </row>
        <row r="255">
          <cell r="A255" t="str">
            <v>Оригинальная с перцем с/к  СПК</v>
          </cell>
          <cell r="D255">
            <v>-0.59</v>
          </cell>
        </row>
        <row r="256">
          <cell r="A256" t="str">
            <v>Пекерсы с индейкой в сливочном соусе ТМ Горячая штучка 0,25 кг зам  ПОКОМ</v>
          </cell>
          <cell r="D256">
            <v>91</v>
          </cell>
        </row>
        <row r="257">
          <cell r="A257" t="str">
            <v>Пельмени Grandmeni с говядиной и свининой 0,7кг ТМ Горячая штучка  ПОКОМ</v>
          </cell>
          <cell r="D257">
            <v>64</v>
          </cell>
        </row>
        <row r="258">
          <cell r="A258" t="str">
            <v>Пельмени Бигбули #МЕГАВКУСИЩЕ с сочной грудинкой ТМ Горячая штучка 0,7 кг. ПОКОМ</v>
          </cell>
          <cell r="D258">
            <v>182</v>
          </cell>
        </row>
        <row r="259">
          <cell r="A259" t="str">
            <v>Пельмени Бигбули с мясом ТМ Горячая штучка. флоу-пак сфера 0,4 кг. ПОКОМ</v>
          </cell>
          <cell r="D259">
            <v>39</v>
          </cell>
        </row>
        <row r="260">
          <cell r="A260" t="str">
            <v>Пельмени Бигбули с мясом ТМ Горячая штучка. флоу-пак сфера 0,7 кг ПОКОМ</v>
          </cell>
          <cell r="D260">
            <v>280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D261">
            <v>359</v>
          </cell>
        </row>
        <row r="262">
          <cell r="A262" t="str">
            <v>Пельмени Бульмени мини с мясом и cыром ТМ Горячая штучка ТС Бульмени ГШ флоу-пак сфера 0,4 кг  ПОКОМ</v>
          </cell>
          <cell r="D262">
            <v>34</v>
          </cell>
        </row>
        <row r="263">
          <cell r="A263" t="str">
            <v>Пельмени Бульмени мини с мясом и оливковым маслом 0,7 кг ТМ Горячая штучка  ПОКОМ</v>
          </cell>
          <cell r="D263">
            <v>386</v>
          </cell>
        </row>
        <row r="264">
          <cell r="A264" t="str">
            <v>Пельмени Бульмени Нейробуст с мясом ТМ Горячая штучка ТС Бульмени ГШ сфера флоу-пак 0,6 кг.  ПОКОМ</v>
          </cell>
          <cell r="D264">
            <v>11</v>
          </cell>
        </row>
        <row r="265">
          <cell r="A265" t="str">
            <v>Пельмени Бульмени с говядиной и свининой Наваристые 5кг Горячая штучка ВЕС  ПОКОМ</v>
          </cell>
          <cell r="D265">
            <v>545</v>
          </cell>
        </row>
        <row r="266">
          <cell r="A266" t="str">
            <v>Пельмени Бульмени с говядиной и свининой СЕВЕРНАЯ КОЛЛЕКЦИЯ 0,7кг ТМ Горячая штучка сфера  ПОКОМ</v>
          </cell>
          <cell r="D266">
            <v>192</v>
          </cell>
        </row>
        <row r="267">
          <cell r="A267" t="str">
            <v>Пельмени Бульмени с говядиной и свининой ТМ Горячая штучка. флоу-пак сфера 0,4 кг ПОКОМ</v>
          </cell>
          <cell r="D267">
            <v>328</v>
          </cell>
        </row>
        <row r="268">
          <cell r="A268" t="str">
            <v>Пельмени Бульмени с говядиной и свининой ТМ Горячая штучка. флоу-пак сфера 0,7 кг ПОКОМ</v>
          </cell>
          <cell r="D268">
            <v>662</v>
          </cell>
        </row>
        <row r="269">
          <cell r="A269" t="str">
            <v>Пельмени Бульмени со сливочным маслом ТМ Горячая штучка. флоу-пак сфера 0,4 кг. ПОКОМ</v>
          </cell>
          <cell r="D269">
            <v>354</v>
          </cell>
        </row>
        <row r="270">
          <cell r="A270" t="str">
            <v>Пельмени Бульмени со сливочным маслом ТМ Горячая штучка.флоу-пак сфера 0,7 кг. ПОКОМ</v>
          </cell>
          <cell r="D270">
            <v>674</v>
          </cell>
        </row>
        <row r="271">
          <cell r="A271" t="str">
            <v>Пельмени Бульмени хрустящие с мясом 0,22 кг ТМ Горячая штучка  ПОКОМ</v>
          </cell>
          <cell r="D271">
            <v>51</v>
          </cell>
        </row>
        <row r="272">
          <cell r="A272" t="str">
            <v>Пельмени Добросельские со свининой и говядиной ТМ Стародворье флоу-пак клас. форма 0,65 кг.  ПОКОМ</v>
          </cell>
          <cell r="D272">
            <v>11</v>
          </cell>
        </row>
        <row r="273">
          <cell r="A273" t="str">
            <v>Пельмени Мясные с говядиной ТМ Стародворье сфера флоу-пак 1 кг  ПОКОМ</v>
          </cell>
          <cell r="D273">
            <v>153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D274">
            <v>198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D275">
            <v>135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D276">
            <v>166</v>
          </cell>
        </row>
        <row r="277">
          <cell r="A277" t="str">
            <v>Пельмени Сочные сфера 0,8 кг ТМ Стародворье  ПОКОМ</v>
          </cell>
          <cell r="D277">
            <v>44</v>
          </cell>
        </row>
        <row r="278">
          <cell r="A278" t="str">
            <v>Пирожки с мясом 3,7кг ВЕС ТМ Зареченские  ПОКОМ</v>
          </cell>
          <cell r="D278">
            <v>7.4</v>
          </cell>
        </row>
        <row r="279">
          <cell r="A279" t="str">
            <v>Сардельки "Докторские" (черева) ( в ср.защ.атм.) 1.0 кг. "Высокий вкус"  СПК</v>
          </cell>
          <cell r="D279">
            <v>3.4209999999999998</v>
          </cell>
        </row>
        <row r="280">
          <cell r="A280" t="str">
            <v>Сардельки из говядины (черева) (в ср.защ.атм.) "Высокий вкус"  СПК</v>
          </cell>
          <cell r="D280">
            <v>3.9969999999999999</v>
          </cell>
        </row>
        <row r="281">
          <cell r="A281" t="str">
            <v>Сочный мегачебурек ТМ Зареченские ВЕС ПОКОМ</v>
          </cell>
          <cell r="D281">
            <v>31.36</v>
          </cell>
        </row>
        <row r="282">
          <cell r="A282" t="str">
            <v>Фестивальная пора с/к 100 гр.шт.нар. (лоток с ср.защ.атм.)  СПК</v>
          </cell>
          <cell r="D282">
            <v>11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101</v>
          </cell>
        </row>
        <row r="284">
          <cell r="A284" t="str">
            <v>Хотстеры с сыром 0,25кг ТМ Горячая штучка  ПОКОМ</v>
          </cell>
          <cell r="D284">
            <v>211</v>
          </cell>
        </row>
        <row r="285">
          <cell r="A285" t="str">
            <v>Хотстеры ТМ Горячая штучка ТС Хотстеры 0,25 кг зам  ПОКОМ</v>
          </cell>
          <cell r="D285">
            <v>646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219</v>
          </cell>
        </row>
        <row r="287">
          <cell r="A287" t="str">
            <v>Хрустящие крылышки ТМ Горячая штучка 0,3 кг зам  ПОКОМ</v>
          </cell>
          <cell r="D287">
            <v>271</v>
          </cell>
        </row>
        <row r="288">
          <cell r="A288" t="str">
            <v>Чебупели Курочка гриль ТМ Горячая штучка, 0,3 кг зам  ПОКОМ</v>
          </cell>
          <cell r="D288">
            <v>63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661</v>
          </cell>
        </row>
        <row r="290">
          <cell r="A290" t="str">
            <v>Чебупицца Маргарита 0,2кг ТМ Горячая штучка ТС Foodgital  ПОКОМ</v>
          </cell>
          <cell r="D290">
            <v>96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1030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80</v>
          </cell>
        </row>
        <row r="293">
          <cell r="A293" t="str">
            <v>Чебуреки сочные ВЕС ТМ Зареченские  ПОКОМ</v>
          </cell>
          <cell r="D293">
            <v>355</v>
          </cell>
        </row>
        <row r="294">
          <cell r="A294" t="str">
            <v>Шпикачки Русские (черева) (в ср.защ.атм.) "Высокий вкус"  СПК</v>
          </cell>
          <cell r="D294">
            <v>5.9610000000000003</v>
          </cell>
        </row>
        <row r="295">
          <cell r="A295" t="str">
            <v>Юбилейная с/к 0,235 кг.шт.  СПК</v>
          </cell>
          <cell r="D295">
            <v>-1</v>
          </cell>
        </row>
        <row r="296">
          <cell r="A296" t="str">
            <v>Итого</v>
          </cell>
          <cell r="D296">
            <v>55335.608999999997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01.01.2026 - 07.01.2026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1800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60</v>
          </cell>
        </row>
        <row r="9">
          <cell r="A9" t="str">
            <v xml:space="preserve"> 272  Колбаса Сервелат Филедворский, фиброуз, в/у 0,35 кг срез,  ПОКОМ</v>
          </cell>
          <cell r="D9">
            <v>1002</v>
          </cell>
        </row>
        <row r="10">
          <cell r="A10" t="str">
            <v xml:space="preserve"> 273  Сосиски Сочинки с сочной грудинкой, МГС 0.4кг,   ПОКОМ</v>
          </cell>
          <cell r="D10">
            <v>102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D11">
            <v>1050</v>
          </cell>
        </row>
        <row r="12">
          <cell r="A12" t="str">
            <v xml:space="preserve"> 342 Сосиски Сочинки Молочные ТМ Стародворье 0,4 кг ПОКОМ</v>
          </cell>
          <cell r="D12">
            <v>252</v>
          </cell>
        </row>
        <row r="13">
          <cell r="A13" t="str">
            <v xml:space="preserve"> 410  Сосиски Баварские с сыром ТМ Стародворье 0,35 кг. ПОКОМ</v>
          </cell>
          <cell r="D13">
            <v>402</v>
          </cell>
        </row>
        <row r="14">
          <cell r="A14" t="str">
            <v xml:space="preserve"> 474  Колбаса Молочная 0,4кг ТМ Зареченские  ПОКОМ</v>
          </cell>
          <cell r="D14">
            <v>700</v>
          </cell>
        </row>
        <row r="15">
          <cell r="A15" t="str">
            <v xml:space="preserve"> 495  Колбаса Сочинка по-европейски с сочной грудинкой 0,3кг ТМ Стародворье  ПОКОМ</v>
          </cell>
          <cell r="D15">
            <v>282</v>
          </cell>
        </row>
        <row r="16">
          <cell r="A16" t="str">
            <v xml:space="preserve"> 497  Колбаса Сочинка зернистая с сочной грудинкой 0,3кг ТМ Стародворье  ПОКОМ</v>
          </cell>
          <cell r="D16">
            <v>120</v>
          </cell>
        </row>
        <row r="17">
          <cell r="A17" t="str">
            <v>Итого</v>
          </cell>
          <cell r="D17">
            <v>5770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O131"/>
  <sheetViews>
    <sheetView tabSelected="1" workbookViewId="0">
      <pane xSplit="2" ySplit="6" topLeftCell="C103" activePane="bottomRight" state="frozen"/>
      <selection pane="topRight" activeCell="C1" sqref="C1"/>
      <selection pane="bottomLeft" activeCell="A7" sqref="A7"/>
      <selection pane="bottomRight" activeCell="X132" sqref="X132"/>
    </sheetView>
  </sheetViews>
  <sheetFormatPr defaultColWidth="10.5" defaultRowHeight="11.45" customHeight="1" outlineLevelRow="1" x14ac:dyDescent="0.2"/>
  <cols>
    <col min="1" max="1" width="66.6640625" style="1" customWidth="1"/>
    <col min="2" max="2" width="4.3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6.6640625" style="5" bestFit="1" customWidth="1"/>
    <col min="11" max="11" width="6.33203125" style="5" bestFit="1" customWidth="1"/>
    <col min="12" max="12" width="6.5" style="5" bestFit="1" customWidth="1"/>
    <col min="13" max="19" width="1.33203125" style="5" customWidth="1"/>
    <col min="20" max="20" width="6.1640625" style="5" bestFit="1" customWidth="1"/>
    <col min="21" max="21" width="1.1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8.33203125" style="5" bestFit="1" customWidth="1"/>
    <col min="26" max="26" width="5.83203125" style="5" customWidth="1"/>
    <col min="27" max="28" width="1.1640625" style="5" customWidth="1"/>
    <col min="29" max="29" width="6" style="5" bestFit="1" customWidth="1"/>
    <col min="30" max="34" width="6.6640625" style="5" bestFit="1" customWidth="1"/>
    <col min="35" max="35" width="7.1640625" style="5" customWidth="1"/>
    <col min="36" max="36" width="5.5" style="5" bestFit="1" customWidth="1"/>
    <col min="37" max="37" width="6.6640625" style="5" bestFit="1" customWidth="1"/>
    <col min="38" max="38" width="8" style="5" bestFit="1" customWidth="1"/>
    <col min="39" max="40" width="1.332031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  <c r="AL2" s="12" t="s">
        <v>160</v>
      </c>
    </row>
    <row r="3" spans="1:41" s="1" customFormat="1" ht="9.9499999999999993" customHeight="1" x14ac:dyDescent="0.2">
      <c r="AC3" s="18"/>
      <c r="AK3" s="12" t="s">
        <v>161</v>
      </c>
      <c r="AL3" s="12" t="s">
        <v>162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135</v>
      </c>
      <c r="H4" s="10" t="s">
        <v>136</v>
      </c>
      <c r="I4" s="9" t="s">
        <v>137</v>
      </c>
      <c r="J4" s="9" t="s">
        <v>138</v>
      </c>
      <c r="K4" s="9" t="s">
        <v>139</v>
      </c>
      <c r="L4" s="9" t="s">
        <v>140</v>
      </c>
      <c r="M4" s="9" t="s">
        <v>140</v>
      </c>
      <c r="N4" s="9" t="s">
        <v>140</v>
      </c>
      <c r="O4" s="9" t="s">
        <v>140</v>
      </c>
      <c r="P4" s="9" t="s">
        <v>140</v>
      </c>
      <c r="Q4" s="9" t="s">
        <v>140</v>
      </c>
      <c r="R4" s="9" t="s">
        <v>140</v>
      </c>
      <c r="S4" s="11" t="s">
        <v>140</v>
      </c>
      <c r="T4" s="9" t="s">
        <v>141</v>
      </c>
      <c r="U4" s="11" t="s">
        <v>140</v>
      </c>
      <c r="V4" s="11" t="s">
        <v>140</v>
      </c>
      <c r="W4" s="9" t="s">
        <v>137</v>
      </c>
      <c r="X4" s="11" t="s">
        <v>140</v>
      </c>
      <c r="Y4" s="9" t="s">
        <v>142</v>
      </c>
      <c r="Z4" s="11" t="s">
        <v>143</v>
      </c>
      <c r="AA4" s="9" t="s">
        <v>144</v>
      </c>
      <c r="AB4" s="9" t="s">
        <v>145</v>
      </c>
      <c r="AC4" s="9" t="s">
        <v>146</v>
      </c>
      <c r="AD4" s="9" t="s">
        <v>137</v>
      </c>
      <c r="AE4" s="9" t="s">
        <v>137</v>
      </c>
      <c r="AF4" s="9" t="s">
        <v>137</v>
      </c>
      <c r="AG4" s="9" t="s">
        <v>137</v>
      </c>
      <c r="AH4" s="9" t="s">
        <v>147</v>
      </c>
      <c r="AI4" s="9" t="s">
        <v>148</v>
      </c>
      <c r="AJ4" s="11" t="s">
        <v>149</v>
      </c>
      <c r="AK4" s="11" t="s">
        <v>149</v>
      </c>
      <c r="AL4" s="11" t="s">
        <v>149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152</v>
      </c>
      <c r="T5" s="15" t="s">
        <v>153</v>
      </c>
      <c r="V5" s="15" t="s">
        <v>153</v>
      </c>
      <c r="X5" s="15" t="s">
        <v>154</v>
      </c>
      <c r="AC5" s="21" t="s">
        <v>159</v>
      </c>
      <c r="AD5" s="5" t="s">
        <v>155</v>
      </c>
      <c r="AE5" s="5" t="s">
        <v>156</v>
      </c>
      <c r="AF5" s="5" t="s">
        <v>157</v>
      </c>
      <c r="AG5" s="5" t="s">
        <v>158</v>
      </c>
      <c r="AH5" s="15" t="s">
        <v>159</v>
      </c>
      <c r="AJ5" s="15" t="s">
        <v>141</v>
      </c>
      <c r="AK5" s="15" t="s">
        <v>153</v>
      </c>
      <c r="AL5" s="15" t="s">
        <v>154</v>
      </c>
    </row>
    <row r="6" spans="1:41" ht="11.1" customHeight="1" x14ac:dyDescent="0.2">
      <c r="A6" s="6"/>
      <c r="B6" s="6"/>
      <c r="C6" s="3"/>
      <c r="D6" s="3"/>
      <c r="E6" s="13">
        <f>SUM(E7:E156)</f>
        <v>57239.143000000004</v>
      </c>
      <c r="F6" s="13">
        <f>SUM(F7:F156)</f>
        <v>108625.33899999999</v>
      </c>
      <c r="J6" s="13">
        <f>SUM(J7:J156)</f>
        <v>64035.596000000005</v>
      </c>
      <c r="K6" s="13">
        <f t="shared" ref="K6:X6" si="0">SUM(K7:K156)</f>
        <v>-6796.4530000000013</v>
      </c>
      <c r="L6" s="13">
        <f t="shared" si="0"/>
        <v>28490</v>
      </c>
      <c r="M6" s="13">
        <f t="shared" si="0"/>
        <v>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4962</v>
      </c>
      <c r="U6" s="13">
        <f t="shared" si="0"/>
        <v>0</v>
      </c>
      <c r="V6" s="13">
        <f t="shared" si="0"/>
        <v>27880</v>
      </c>
      <c r="W6" s="13">
        <f t="shared" si="0"/>
        <v>28619.571500000002</v>
      </c>
      <c r="X6" s="13">
        <f t="shared" si="0"/>
        <v>28900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5770</v>
      </c>
      <c r="AD6" s="13">
        <f t="shared" ref="AD6" si="4">SUM(AD7:AD156)</f>
        <v>25279.704999999998</v>
      </c>
      <c r="AE6" s="13">
        <f t="shared" ref="AE6" si="5">SUM(AE7:AE156)</f>
        <v>24952.614399999991</v>
      </c>
      <c r="AF6" s="13">
        <f t="shared" ref="AF6" si="6">SUM(AF7:AF156)</f>
        <v>25404.426599999995</v>
      </c>
      <c r="AG6" s="13">
        <f t="shared" ref="AG6" si="7">SUM(AG7:AG156)</f>
        <v>34397.555</v>
      </c>
      <c r="AH6" s="13">
        <f t="shared" ref="AH6" si="8">SUM(AH7:AH156)</f>
        <v>25545.884000000002</v>
      </c>
      <c r="AI6" s="13"/>
      <c r="AJ6" s="13">
        <f t="shared" ref="AJ6" si="9">SUM(AJ7:AJ156)</f>
        <v>2072.6999999999998</v>
      </c>
      <c r="AK6" s="13">
        <f t="shared" ref="AK6" si="10">SUM(AK7:AK156)</f>
        <v>15233.5</v>
      </c>
      <c r="AL6" s="13">
        <f t="shared" ref="AL6" si="11">SUM(AL7:AL156)</f>
        <v>17009.400000000001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41.692</v>
      </c>
      <c r="D7" s="8">
        <v>887.31600000000003</v>
      </c>
      <c r="E7" s="8">
        <v>461.887</v>
      </c>
      <c r="F7" s="8">
        <v>452.19799999999998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481.63499999999999</v>
      </c>
      <c r="K7" s="14">
        <f>E7-J7</f>
        <v>-19.74799999999999</v>
      </c>
      <c r="L7" s="14">
        <f>VLOOKUP(A:A,[1]TDSheet!$A:$X,24,0)</f>
        <v>270</v>
      </c>
      <c r="M7" s="14"/>
      <c r="N7" s="14"/>
      <c r="O7" s="14"/>
      <c r="P7" s="14"/>
      <c r="Q7" s="14"/>
      <c r="R7" s="14"/>
      <c r="S7" s="14"/>
      <c r="T7" s="14"/>
      <c r="U7" s="14"/>
      <c r="V7" s="16">
        <v>300</v>
      </c>
      <c r="W7" s="14">
        <f>E7/2</f>
        <v>230.9435</v>
      </c>
      <c r="X7" s="16">
        <v>250</v>
      </c>
      <c r="Y7" s="19">
        <f>(F7+L7+V7+X7)/AF7</f>
        <v>9.4960700450097395</v>
      </c>
      <c r="Z7" s="17">
        <f>(F7+L7+V7+X7)/W7</f>
        <v>5.5086980148824276</v>
      </c>
      <c r="AA7" s="14"/>
      <c r="AB7" s="14"/>
      <c r="AC7" s="14">
        <v>0</v>
      </c>
      <c r="AD7" s="14">
        <f>VLOOKUP(A:A,[1]TDSheet!$A:$AD,30,0)</f>
        <v>117.14380000000001</v>
      </c>
      <c r="AE7" s="14">
        <f>VLOOKUP(A:A,[1]TDSheet!$A:$AE,31,0)</f>
        <v>132.06139999999999</v>
      </c>
      <c r="AF7" s="14">
        <f>VLOOKUP(A:A,[1]TDSheet!$A:$AF,32,0)</f>
        <v>133.971</v>
      </c>
      <c r="AG7" s="14">
        <f>VLOOKUP(A:A,[1]TDSheet!$A:$AG,33,0)</f>
        <v>208.64659999999998</v>
      </c>
      <c r="AH7" s="14">
        <f>VLOOKUP(A:A,[3]TDSheet!$A:$D,4,0)</f>
        <v>247.178</v>
      </c>
      <c r="AI7" s="14" t="str">
        <f>VLOOKUP(A:A,[1]TDSheet!$A:$AI,35,0)</f>
        <v>проддек-ян</v>
      </c>
      <c r="AJ7" s="14">
        <f>T7*H7</f>
        <v>0</v>
      </c>
      <c r="AK7" s="14">
        <f>V7*H7</f>
        <v>300</v>
      </c>
      <c r="AL7" s="14">
        <f>X7*H7</f>
        <v>250</v>
      </c>
      <c r="AM7" s="14"/>
      <c r="AN7" s="14"/>
      <c r="AO7" s="14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470.12299999999999</v>
      </c>
      <c r="D8" s="8">
        <v>1100.635</v>
      </c>
      <c r="E8" s="8">
        <v>555.06500000000005</v>
      </c>
      <c r="F8" s="8">
        <v>1010.303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562.87300000000005</v>
      </c>
      <c r="K8" s="14">
        <f t="shared" ref="K8:K71" si="12">E8-J8</f>
        <v>-7.8079999999999927</v>
      </c>
      <c r="L8" s="14">
        <f>VLOOKUP(A:A,[1]TDSheet!$A:$X,24,0)</f>
        <v>200</v>
      </c>
      <c r="M8" s="14"/>
      <c r="N8" s="14"/>
      <c r="O8" s="14"/>
      <c r="P8" s="14"/>
      <c r="Q8" s="14"/>
      <c r="R8" s="14"/>
      <c r="S8" s="14"/>
      <c r="T8" s="14"/>
      <c r="U8" s="14"/>
      <c r="V8" s="16">
        <v>300</v>
      </c>
      <c r="W8" s="14">
        <f t="shared" ref="W8:W71" si="13">E8/2</f>
        <v>277.53250000000003</v>
      </c>
      <c r="X8" s="16">
        <v>300</v>
      </c>
      <c r="Y8" s="19">
        <f t="shared" ref="Y8:Y71" si="14">(F8+L8+V8+X8)/AF8</f>
        <v>7.040233058823163</v>
      </c>
      <c r="Z8" s="17">
        <f t="shared" ref="Z8:Z71" si="15">(F8+L8+V8+X8)/W8</f>
        <v>6.5228504769711648</v>
      </c>
      <c r="AA8" s="14"/>
      <c r="AB8" s="14"/>
      <c r="AC8" s="14">
        <v>0</v>
      </c>
      <c r="AD8" s="14">
        <f>VLOOKUP(A:A,[1]TDSheet!$A:$AD,30,0)</f>
        <v>300.27120000000002</v>
      </c>
      <c r="AE8" s="14">
        <f>VLOOKUP(A:A,[1]TDSheet!$A:$AE,31,0)</f>
        <v>273.18359999999996</v>
      </c>
      <c r="AF8" s="14">
        <f>VLOOKUP(A:A,[1]TDSheet!$A:$AF,32,0)</f>
        <v>257.13679999999999</v>
      </c>
      <c r="AG8" s="14">
        <f>VLOOKUP(A:A,[1]TDSheet!$A:$AG,33,0)</f>
        <v>262.524</v>
      </c>
      <c r="AH8" s="14">
        <f>VLOOKUP(A:A,[3]TDSheet!$A:$D,4,0)</f>
        <v>240.286</v>
      </c>
      <c r="AI8" s="14" t="str">
        <f>VLOOKUP(A:A,[1]TDSheet!$A:$AI,35,0)</f>
        <v>жц</v>
      </c>
      <c r="AJ8" s="14">
        <f t="shared" ref="AJ8:AJ71" si="16">T8*H8</f>
        <v>0</v>
      </c>
      <c r="AK8" s="14">
        <f t="shared" ref="AK8:AK71" si="17">V8*H8</f>
        <v>300</v>
      </c>
      <c r="AL8" s="14">
        <f t="shared" ref="AL8:AL71" si="18">X8*H8</f>
        <v>300</v>
      </c>
      <c r="AM8" s="14"/>
      <c r="AN8" s="14"/>
      <c r="AO8" s="14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472.22800000000001</v>
      </c>
      <c r="D9" s="8">
        <v>1856.376</v>
      </c>
      <c r="E9" s="8">
        <v>803.928</v>
      </c>
      <c r="F9" s="8">
        <v>1521.9639999999999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797.23400000000004</v>
      </c>
      <c r="K9" s="14">
        <f t="shared" si="12"/>
        <v>6.69399999999996</v>
      </c>
      <c r="L9" s="14">
        <f>VLOOKUP(A:A,[1]TDSheet!$A:$X,24,0)</f>
        <v>400</v>
      </c>
      <c r="M9" s="14"/>
      <c r="N9" s="14"/>
      <c r="O9" s="14"/>
      <c r="P9" s="14"/>
      <c r="Q9" s="14"/>
      <c r="R9" s="14"/>
      <c r="S9" s="14"/>
      <c r="T9" s="14"/>
      <c r="U9" s="14"/>
      <c r="V9" s="16">
        <v>200</v>
      </c>
      <c r="W9" s="14">
        <f t="shared" si="13"/>
        <v>401.964</v>
      </c>
      <c r="X9" s="16">
        <v>400</v>
      </c>
      <c r="Y9" s="19">
        <f t="shared" si="14"/>
        <v>7.3642456971692507</v>
      </c>
      <c r="Z9" s="17">
        <f t="shared" si="15"/>
        <v>6.2741041486302258</v>
      </c>
      <c r="AA9" s="14"/>
      <c r="AB9" s="14"/>
      <c r="AC9" s="14">
        <v>0</v>
      </c>
      <c r="AD9" s="14">
        <f>VLOOKUP(A:A,[1]TDSheet!$A:$AD,30,0)</f>
        <v>331.27879999999999</v>
      </c>
      <c r="AE9" s="14">
        <f>VLOOKUP(A:A,[1]TDSheet!$A:$AE,31,0)</f>
        <v>350.58460000000002</v>
      </c>
      <c r="AF9" s="14">
        <f>VLOOKUP(A:A,[1]TDSheet!$A:$AF,32,0)</f>
        <v>342.4606</v>
      </c>
      <c r="AG9" s="14">
        <f>VLOOKUP(A:A,[1]TDSheet!$A:$AG,33,0)</f>
        <v>423.59820000000002</v>
      </c>
      <c r="AH9" s="14">
        <f>VLOOKUP(A:A,[3]TDSheet!$A:$D,4,0)</f>
        <v>379.57299999999998</v>
      </c>
      <c r="AI9" s="14">
        <f>VLOOKUP(A:A,[1]TDSheet!$A:$AI,35,0)</f>
        <v>0</v>
      </c>
      <c r="AJ9" s="14">
        <f t="shared" si="16"/>
        <v>0</v>
      </c>
      <c r="AK9" s="14">
        <f t="shared" si="17"/>
        <v>200</v>
      </c>
      <c r="AL9" s="14">
        <f t="shared" si="18"/>
        <v>400</v>
      </c>
      <c r="AM9" s="14"/>
      <c r="AN9" s="14"/>
      <c r="AO9" s="14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79</v>
      </c>
      <c r="D10" s="8">
        <v>4527</v>
      </c>
      <c r="E10" s="8">
        <v>1731</v>
      </c>
      <c r="F10" s="8">
        <v>998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3605</v>
      </c>
      <c r="K10" s="14">
        <f t="shared" si="12"/>
        <v>-1874</v>
      </c>
      <c r="L10" s="14">
        <f>VLOOKUP(A:A,[1]TDSheet!$A:$X,24,0)</f>
        <v>1200</v>
      </c>
      <c r="M10" s="14"/>
      <c r="N10" s="14"/>
      <c r="O10" s="14"/>
      <c r="P10" s="14"/>
      <c r="Q10" s="14"/>
      <c r="R10" s="14"/>
      <c r="S10" s="14"/>
      <c r="T10" s="14">
        <v>190</v>
      </c>
      <c r="U10" s="14"/>
      <c r="V10" s="16">
        <v>1000</v>
      </c>
      <c r="W10" s="14">
        <f t="shared" si="13"/>
        <v>865.5</v>
      </c>
      <c r="X10" s="16">
        <v>1000</v>
      </c>
      <c r="Y10" s="19">
        <f t="shared" si="14"/>
        <v>7.0060080106809073</v>
      </c>
      <c r="Z10" s="17">
        <f t="shared" si="15"/>
        <v>4.8503755054881568</v>
      </c>
      <c r="AA10" s="14"/>
      <c r="AB10" s="14"/>
      <c r="AC10" s="14">
        <f>VLOOKUP(A:A,[4]TDSheet!$A:$D,4,0)</f>
        <v>1800</v>
      </c>
      <c r="AD10" s="14">
        <f>VLOOKUP(A:A,[1]TDSheet!$A:$AD,30,0)</f>
        <v>486.4</v>
      </c>
      <c r="AE10" s="14">
        <f>VLOOKUP(A:A,[1]TDSheet!$A:$AE,31,0)</f>
        <v>572.79999999999995</v>
      </c>
      <c r="AF10" s="14">
        <f>VLOOKUP(A:A,[1]TDSheet!$A:$AF,32,0)</f>
        <v>599.20000000000005</v>
      </c>
      <c r="AG10" s="14">
        <f>VLOOKUP(A:A,[1]TDSheet!$A:$AG,33,0)</f>
        <v>922.6</v>
      </c>
      <c r="AH10" s="14">
        <f>VLOOKUP(A:A,[3]TDSheet!$A:$D,4,0)</f>
        <v>725</v>
      </c>
      <c r="AI10" s="14" t="str">
        <f>VLOOKUP(A:A,[1]TDSheet!$A:$AI,35,0)</f>
        <v>ябдек-ян</v>
      </c>
      <c r="AJ10" s="14">
        <f t="shared" si="16"/>
        <v>76</v>
      </c>
      <c r="AK10" s="14">
        <f t="shared" si="17"/>
        <v>400</v>
      </c>
      <c r="AL10" s="14">
        <f t="shared" si="18"/>
        <v>400</v>
      </c>
      <c r="AM10" s="14"/>
      <c r="AN10" s="14"/>
      <c r="AO10" s="14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618</v>
      </c>
      <c r="D11" s="8">
        <v>4287</v>
      </c>
      <c r="E11" s="8">
        <v>1701</v>
      </c>
      <c r="F11" s="8">
        <v>3135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1757</v>
      </c>
      <c r="K11" s="14">
        <f t="shared" si="12"/>
        <v>-56</v>
      </c>
      <c r="L11" s="14">
        <f>VLOOKUP(A:A,[1]TDSheet!$A:$X,24,0)</f>
        <v>1300</v>
      </c>
      <c r="M11" s="14"/>
      <c r="N11" s="14"/>
      <c r="O11" s="14"/>
      <c r="P11" s="14"/>
      <c r="Q11" s="14"/>
      <c r="R11" s="14"/>
      <c r="S11" s="14"/>
      <c r="T11" s="14">
        <v>264</v>
      </c>
      <c r="U11" s="14"/>
      <c r="V11" s="16">
        <v>800</v>
      </c>
      <c r="W11" s="14">
        <f t="shared" si="13"/>
        <v>850.5</v>
      </c>
      <c r="X11" s="16">
        <v>1000</v>
      </c>
      <c r="Y11" s="19">
        <f t="shared" si="14"/>
        <v>6.8186789151356084</v>
      </c>
      <c r="Z11" s="17">
        <f t="shared" si="15"/>
        <v>7.3309817754262196</v>
      </c>
      <c r="AA11" s="14"/>
      <c r="AB11" s="14"/>
      <c r="AC11" s="14">
        <f>VLOOKUP(A:A,[4]TDSheet!$A:$D,4,0)</f>
        <v>60</v>
      </c>
      <c r="AD11" s="14">
        <f>VLOOKUP(A:A,[1]TDSheet!$A:$AD,30,0)</f>
        <v>840.6</v>
      </c>
      <c r="AE11" s="14">
        <f>VLOOKUP(A:A,[1]TDSheet!$A:$AE,31,0)</f>
        <v>893.2</v>
      </c>
      <c r="AF11" s="14">
        <f>VLOOKUP(A:A,[1]TDSheet!$A:$AF,32,0)</f>
        <v>914.4</v>
      </c>
      <c r="AG11" s="14">
        <f>VLOOKUP(A:A,[1]TDSheet!$A:$AG,33,0)</f>
        <v>1030.4000000000001</v>
      </c>
      <c r="AH11" s="14">
        <f>VLOOKUP(A:A,[3]TDSheet!$A:$D,4,0)</f>
        <v>959</v>
      </c>
      <c r="AI11" s="14" t="str">
        <f>VLOOKUP(A:A,[1]TDSheet!$A:$AI,35,0)</f>
        <v>проддек-ян</v>
      </c>
      <c r="AJ11" s="14">
        <f t="shared" si="16"/>
        <v>118.8</v>
      </c>
      <c r="AK11" s="14">
        <f t="shared" si="17"/>
        <v>360</v>
      </c>
      <c r="AL11" s="14">
        <f t="shared" si="18"/>
        <v>450</v>
      </c>
      <c r="AM11" s="14"/>
      <c r="AN11" s="14"/>
      <c r="AO11" s="14"/>
    </row>
    <row r="12" spans="1:41" s="1" customFormat="1" ht="21.95" customHeight="1" outlineLevel="1" x14ac:dyDescent="0.2">
      <c r="A12" s="7" t="s">
        <v>117</v>
      </c>
      <c r="B12" s="7" t="s">
        <v>12</v>
      </c>
      <c r="C12" s="8">
        <v>46</v>
      </c>
      <c r="D12" s="8">
        <v>1</v>
      </c>
      <c r="E12" s="8">
        <v>19</v>
      </c>
      <c r="F12" s="8">
        <v>27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4">
        <f>VLOOKUP(A:A,[2]TDSheet!$A:$F,6,0)</f>
        <v>29</v>
      </c>
      <c r="K12" s="14">
        <f t="shared" si="12"/>
        <v>-10</v>
      </c>
      <c r="L12" s="14">
        <f>VLOOKUP(A:A,[1]TDSheet!$A:$X,24,0)</f>
        <v>0</v>
      </c>
      <c r="M12" s="14"/>
      <c r="N12" s="14"/>
      <c r="O12" s="14"/>
      <c r="P12" s="14"/>
      <c r="Q12" s="14"/>
      <c r="R12" s="14"/>
      <c r="S12" s="14"/>
      <c r="T12" s="14"/>
      <c r="U12" s="14"/>
      <c r="V12" s="16"/>
      <c r="W12" s="14">
        <f t="shared" si="13"/>
        <v>9.5</v>
      </c>
      <c r="X12" s="16"/>
      <c r="Y12" s="19" t="e">
        <f t="shared" si="14"/>
        <v>#DIV/0!</v>
      </c>
      <c r="Z12" s="17">
        <f t="shared" si="15"/>
        <v>2.8421052631578947</v>
      </c>
      <c r="AA12" s="14"/>
      <c r="AB12" s="14"/>
      <c r="AC12" s="14">
        <v>0</v>
      </c>
      <c r="AD12" s="14">
        <f>VLOOKUP(A:A,[1]TDSheet!$A:$AD,30,0)</f>
        <v>0</v>
      </c>
      <c r="AE12" s="14">
        <f>VLOOKUP(A:A,[1]TDSheet!$A:$AE,31,0)</f>
        <v>0</v>
      </c>
      <c r="AF12" s="14">
        <f>VLOOKUP(A:A,[1]TDSheet!$A:$AF,32,0)</f>
        <v>0</v>
      </c>
      <c r="AG12" s="14">
        <f>VLOOKUP(A:A,[1]TDSheet!$A:$AG,33,0)</f>
        <v>0</v>
      </c>
      <c r="AH12" s="14">
        <f>VLOOKUP(A:A,[3]TDSheet!$A:$D,4,0)</f>
        <v>4</v>
      </c>
      <c r="AI12" s="14" t="e">
        <f>VLOOKUP(A:A,[1]TDSheet!$A:$AI,35,0)</f>
        <v>#N/A</v>
      </c>
      <c r="AJ12" s="14">
        <f t="shared" si="16"/>
        <v>0</v>
      </c>
      <c r="AK12" s="14">
        <f t="shared" si="17"/>
        <v>0</v>
      </c>
      <c r="AL12" s="14">
        <f t="shared" si="18"/>
        <v>0</v>
      </c>
      <c r="AM12" s="14"/>
      <c r="AN12" s="14"/>
      <c r="AO12" s="14"/>
    </row>
    <row r="13" spans="1:41" s="1" customFormat="1" ht="11.1" customHeight="1" outlineLevel="1" x14ac:dyDescent="0.2">
      <c r="A13" s="7" t="s">
        <v>15</v>
      </c>
      <c r="B13" s="7" t="s">
        <v>12</v>
      </c>
      <c r="C13" s="8">
        <v>967</v>
      </c>
      <c r="D13" s="8">
        <v>3745</v>
      </c>
      <c r="E13" s="8">
        <v>1797</v>
      </c>
      <c r="F13" s="8">
        <v>2890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4">
        <f>VLOOKUP(A:A,[2]TDSheet!$A:$F,6,0)</f>
        <v>1822</v>
      </c>
      <c r="K13" s="14">
        <f t="shared" si="12"/>
        <v>-25</v>
      </c>
      <c r="L13" s="14">
        <f>VLOOKUP(A:A,[1]TDSheet!$A:$X,24,0)</f>
        <v>800</v>
      </c>
      <c r="M13" s="14"/>
      <c r="N13" s="14"/>
      <c r="O13" s="14"/>
      <c r="P13" s="14"/>
      <c r="Q13" s="14"/>
      <c r="R13" s="14"/>
      <c r="S13" s="14"/>
      <c r="T13" s="14">
        <v>900</v>
      </c>
      <c r="U13" s="14"/>
      <c r="V13" s="16">
        <v>800</v>
      </c>
      <c r="W13" s="14">
        <f t="shared" si="13"/>
        <v>898.5</v>
      </c>
      <c r="X13" s="16">
        <v>1000</v>
      </c>
      <c r="Y13" s="19">
        <f t="shared" si="14"/>
        <v>8.4826946847960443</v>
      </c>
      <c r="Z13" s="17">
        <f t="shared" si="15"/>
        <v>6.1101836393989979</v>
      </c>
      <c r="AA13" s="14"/>
      <c r="AB13" s="14"/>
      <c r="AC13" s="14">
        <v>0</v>
      </c>
      <c r="AD13" s="14">
        <f>VLOOKUP(A:A,[1]TDSheet!$A:$AD,30,0)</f>
        <v>706</v>
      </c>
      <c r="AE13" s="14">
        <f>VLOOKUP(A:A,[1]TDSheet!$A:$AE,31,0)</f>
        <v>680.8</v>
      </c>
      <c r="AF13" s="14">
        <f>VLOOKUP(A:A,[1]TDSheet!$A:$AF,32,0)</f>
        <v>647.20000000000005</v>
      </c>
      <c r="AG13" s="14">
        <f>VLOOKUP(A:A,[1]TDSheet!$A:$AG,33,0)</f>
        <v>990.2</v>
      </c>
      <c r="AH13" s="14">
        <f>VLOOKUP(A:A,[3]TDSheet!$A:$D,4,0)</f>
        <v>964</v>
      </c>
      <c r="AI13" s="14" t="str">
        <f>VLOOKUP(A:A,[1]TDSheet!$A:$AI,35,0)</f>
        <v>проддек-ян</v>
      </c>
      <c r="AJ13" s="14">
        <f t="shared" si="16"/>
        <v>405</v>
      </c>
      <c r="AK13" s="14">
        <f t="shared" si="17"/>
        <v>360</v>
      </c>
      <c r="AL13" s="14">
        <f t="shared" si="18"/>
        <v>450</v>
      </c>
      <c r="AM13" s="14"/>
      <c r="AN13" s="14"/>
      <c r="AO13" s="14"/>
    </row>
    <row r="14" spans="1:41" s="1" customFormat="1" ht="11.1" customHeight="1" outlineLevel="1" x14ac:dyDescent="0.2">
      <c r="A14" s="7" t="s">
        <v>16</v>
      </c>
      <c r="B14" s="7" t="s">
        <v>12</v>
      </c>
      <c r="C14" s="8">
        <v>164</v>
      </c>
      <c r="D14" s="8">
        <v>80</v>
      </c>
      <c r="E14" s="8">
        <v>36</v>
      </c>
      <c r="F14" s="8">
        <v>208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4">
        <f>VLOOKUP(A:A,[2]TDSheet!$A:$F,6,0)</f>
        <v>36</v>
      </c>
      <c r="K14" s="14">
        <f t="shared" si="12"/>
        <v>0</v>
      </c>
      <c r="L14" s="14">
        <f>VLOOKUP(A:A,[1]TDSheet!$A:$X,24,0)</f>
        <v>0</v>
      </c>
      <c r="M14" s="14"/>
      <c r="N14" s="14"/>
      <c r="O14" s="14"/>
      <c r="P14" s="14"/>
      <c r="Q14" s="14"/>
      <c r="R14" s="14"/>
      <c r="S14" s="14"/>
      <c r="T14" s="14"/>
      <c r="U14" s="14"/>
      <c r="V14" s="16"/>
      <c r="W14" s="14">
        <f t="shared" si="13"/>
        <v>18</v>
      </c>
      <c r="X14" s="16"/>
      <c r="Y14" s="19">
        <f t="shared" si="14"/>
        <v>15.072463768115941</v>
      </c>
      <c r="Z14" s="17">
        <f t="shared" si="15"/>
        <v>11.555555555555555</v>
      </c>
      <c r="AA14" s="14"/>
      <c r="AB14" s="14"/>
      <c r="AC14" s="14">
        <v>0</v>
      </c>
      <c r="AD14" s="14">
        <f>VLOOKUP(A:A,[1]TDSheet!$A:$AD,30,0)</f>
        <v>14.8</v>
      </c>
      <c r="AE14" s="14">
        <f>VLOOKUP(A:A,[1]TDSheet!$A:$AE,31,0)</f>
        <v>16</v>
      </c>
      <c r="AF14" s="14">
        <f>VLOOKUP(A:A,[1]TDSheet!$A:$AF,32,0)</f>
        <v>13.8</v>
      </c>
      <c r="AG14" s="14">
        <f>VLOOKUP(A:A,[1]TDSheet!$A:$AG,33,0)</f>
        <v>20.6</v>
      </c>
      <c r="AH14" s="14">
        <f>VLOOKUP(A:A,[3]TDSheet!$A:$D,4,0)</f>
        <v>14</v>
      </c>
      <c r="AI14" s="14" t="str">
        <f>VLOOKUP(A:A,[1]TDSheet!$A:$AI,35,0)</f>
        <v>увел</v>
      </c>
      <c r="AJ14" s="14">
        <f t="shared" si="16"/>
        <v>0</v>
      </c>
      <c r="AK14" s="14">
        <f t="shared" si="17"/>
        <v>0</v>
      </c>
      <c r="AL14" s="14">
        <f t="shared" si="18"/>
        <v>0</v>
      </c>
      <c r="AM14" s="14"/>
      <c r="AN14" s="14"/>
      <c r="AO14" s="14"/>
    </row>
    <row r="15" spans="1:41" s="1" customFormat="1" ht="21.95" customHeight="1" outlineLevel="1" x14ac:dyDescent="0.2">
      <c r="A15" s="7" t="s">
        <v>17</v>
      </c>
      <c r="B15" s="7" t="s">
        <v>12</v>
      </c>
      <c r="C15" s="8">
        <v>698</v>
      </c>
      <c r="D15" s="8">
        <v>210</v>
      </c>
      <c r="E15" s="8">
        <v>229</v>
      </c>
      <c r="F15" s="8">
        <v>679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4">
        <f>VLOOKUP(A:A,[2]TDSheet!$A:$F,6,0)</f>
        <v>230</v>
      </c>
      <c r="K15" s="14">
        <f t="shared" si="12"/>
        <v>-1</v>
      </c>
      <c r="L15" s="14">
        <f>VLOOKUP(A:A,[1]TDSheet!$A:$X,24,0)</f>
        <v>100</v>
      </c>
      <c r="M15" s="14"/>
      <c r="N15" s="14"/>
      <c r="O15" s="14"/>
      <c r="P15" s="14"/>
      <c r="Q15" s="14"/>
      <c r="R15" s="14"/>
      <c r="S15" s="14"/>
      <c r="T15" s="14"/>
      <c r="U15" s="14"/>
      <c r="V15" s="16"/>
      <c r="W15" s="14">
        <f t="shared" si="13"/>
        <v>114.5</v>
      </c>
      <c r="X15" s="16">
        <v>500</v>
      </c>
      <c r="Y15" s="19">
        <f t="shared" si="14"/>
        <v>12.441634241245136</v>
      </c>
      <c r="Z15" s="17">
        <f t="shared" si="15"/>
        <v>11.170305676855895</v>
      </c>
      <c r="AA15" s="14"/>
      <c r="AB15" s="14"/>
      <c r="AC15" s="14">
        <v>0</v>
      </c>
      <c r="AD15" s="14">
        <f>VLOOKUP(A:A,[1]TDSheet!$A:$AD,30,0)</f>
        <v>69</v>
      </c>
      <c r="AE15" s="14">
        <f>VLOOKUP(A:A,[1]TDSheet!$A:$AE,31,0)</f>
        <v>65.2</v>
      </c>
      <c r="AF15" s="14">
        <f>VLOOKUP(A:A,[1]TDSheet!$A:$AF,32,0)</f>
        <v>102.8</v>
      </c>
      <c r="AG15" s="14">
        <f>VLOOKUP(A:A,[1]TDSheet!$A:$AG,33,0)</f>
        <v>147</v>
      </c>
      <c r="AH15" s="14">
        <f>VLOOKUP(A:A,[3]TDSheet!$A:$D,4,0)</f>
        <v>121</v>
      </c>
      <c r="AI15" s="14">
        <f>VLOOKUP(A:A,[1]TDSheet!$A:$AI,35,0)</f>
        <v>0</v>
      </c>
      <c r="AJ15" s="14">
        <f t="shared" si="16"/>
        <v>0</v>
      </c>
      <c r="AK15" s="14">
        <f t="shared" si="17"/>
        <v>0</v>
      </c>
      <c r="AL15" s="14">
        <f t="shared" si="18"/>
        <v>85</v>
      </c>
      <c r="AM15" s="14"/>
      <c r="AN15" s="14"/>
      <c r="AO15" s="14"/>
    </row>
    <row r="16" spans="1:41" s="1" customFormat="1" ht="11.1" customHeight="1" outlineLevel="1" x14ac:dyDescent="0.2">
      <c r="A16" s="7" t="s">
        <v>18</v>
      </c>
      <c r="B16" s="7" t="s">
        <v>12</v>
      </c>
      <c r="C16" s="8">
        <v>280</v>
      </c>
      <c r="D16" s="8">
        <v>252</v>
      </c>
      <c r="E16" s="8">
        <v>125</v>
      </c>
      <c r="F16" s="8">
        <v>407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4">
        <f>VLOOKUP(A:A,[2]TDSheet!$A:$F,6,0)</f>
        <v>126</v>
      </c>
      <c r="K16" s="14">
        <f t="shared" si="12"/>
        <v>-1</v>
      </c>
      <c r="L16" s="14">
        <f>VLOOKUP(A:A,[1]TDSheet!$A:$X,24,0)</f>
        <v>0</v>
      </c>
      <c r="M16" s="14"/>
      <c r="N16" s="14"/>
      <c r="O16" s="14"/>
      <c r="P16" s="14"/>
      <c r="Q16" s="14"/>
      <c r="R16" s="14"/>
      <c r="S16" s="14"/>
      <c r="T16" s="14"/>
      <c r="U16" s="14"/>
      <c r="V16" s="16"/>
      <c r="W16" s="14">
        <f t="shared" si="13"/>
        <v>62.5</v>
      </c>
      <c r="X16" s="16">
        <v>70</v>
      </c>
      <c r="Y16" s="19">
        <f t="shared" si="14"/>
        <v>7.0147058823529411</v>
      </c>
      <c r="Z16" s="17">
        <f t="shared" si="15"/>
        <v>7.6319999999999997</v>
      </c>
      <c r="AA16" s="14"/>
      <c r="AB16" s="14"/>
      <c r="AC16" s="14">
        <v>0</v>
      </c>
      <c r="AD16" s="14">
        <f>VLOOKUP(A:A,[1]TDSheet!$A:$AD,30,0)</f>
        <v>77</v>
      </c>
      <c r="AE16" s="14">
        <f>VLOOKUP(A:A,[1]TDSheet!$A:$AE,31,0)</f>
        <v>68.2</v>
      </c>
      <c r="AF16" s="14">
        <f>VLOOKUP(A:A,[1]TDSheet!$A:$AF,32,0)</f>
        <v>68</v>
      </c>
      <c r="AG16" s="14">
        <f>VLOOKUP(A:A,[1]TDSheet!$A:$AG,33,0)</f>
        <v>92.2</v>
      </c>
      <c r="AH16" s="14">
        <f>VLOOKUP(A:A,[3]TDSheet!$A:$D,4,0)</f>
        <v>46</v>
      </c>
      <c r="AI16" s="14">
        <f>VLOOKUP(A:A,[1]TDSheet!$A:$AI,35,0)</f>
        <v>0</v>
      </c>
      <c r="AJ16" s="14">
        <f t="shared" si="16"/>
        <v>0</v>
      </c>
      <c r="AK16" s="14">
        <f t="shared" si="17"/>
        <v>0</v>
      </c>
      <c r="AL16" s="14">
        <f t="shared" si="18"/>
        <v>21</v>
      </c>
      <c r="AM16" s="14"/>
      <c r="AN16" s="14"/>
      <c r="AO16" s="14"/>
    </row>
    <row r="17" spans="1:41" s="1" customFormat="1" ht="11.1" customHeight="1" outlineLevel="1" x14ac:dyDescent="0.2">
      <c r="A17" s="7" t="s">
        <v>19</v>
      </c>
      <c r="B17" s="7" t="s">
        <v>12</v>
      </c>
      <c r="C17" s="8">
        <v>4</v>
      </c>
      <c r="D17" s="8"/>
      <c r="E17" s="8">
        <v>0</v>
      </c>
      <c r="F17" s="8">
        <v>4</v>
      </c>
      <c r="G17" s="1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4">
        <v>0</v>
      </c>
      <c r="K17" s="14">
        <f t="shared" si="12"/>
        <v>0</v>
      </c>
      <c r="L17" s="14">
        <f>VLOOKUP(A:A,[1]TDSheet!$A:$X,24,0)</f>
        <v>0</v>
      </c>
      <c r="M17" s="14"/>
      <c r="N17" s="14"/>
      <c r="O17" s="14"/>
      <c r="P17" s="14"/>
      <c r="Q17" s="14"/>
      <c r="R17" s="14"/>
      <c r="S17" s="14"/>
      <c r="T17" s="14"/>
      <c r="U17" s="14"/>
      <c r="V17" s="16"/>
      <c r="W17" s="14">
        <f t="shared" si="13"/>
        <v>0</v>
      </c>
      <c r="X17" s="16"/>
      <c r="Y17" s="19" t="e">
        <f t="shared" si="14"/>
        <v>#DIV/0!</v>
      </c>
      <c r="Z17" s="17" t="e">
        <f t="shared" si="15"/>
        <v>#DIV/0!</v>
      </c>
      <c r="AA17" s="14"/>
      <c r="AB17" s="14"/>
      <c r="AC17" s="14">
        <v>0</v>
      </c>
      <c r="AD17" s="14">
        <f>VLOOKUP(A:A,[1]TDSheet!$A:$AD,30,0)</f>
        <v>0</v>
      </c>
      <c r="AE17" s="14">
        <f>VLOOKUP(A:A,[1]TDSheet!$A:$AE,31,0)</f>
        <v>0</v>
      </c>
      <c r="AF17" s="14">
        <f>VLOOKUP(A:A,[1]TDSheet!$A:$AF,32,0)</f>
        <v>0</v>
      </c>
      <c r="AG17" s="14">
        <f>VLOOKUP(A:A,[1]TDSheet!$A:$AG,33,0)</f>
        <v>0</v>
      </c>
      <c r="AH17" s="14">
        <v>0</v>
      </c>
      <c r="AI17" s="14" t="e">
        <f>VLOOKUP(A:A,[1]TDSheet!$A:$AI,35,0)</f>
        <v>#N/A</v>
      </c>
      <c r="AJ17" s="14">
        <f t="shared" si="16"/>
        <v>0</v>
      </c>
      <c r="AK17" s="14">
        <f t="shared" si="17"/>
        <v>0</v>
      </c>
      <c r="AL17" s="14">
        <f t="shared" si="18"/>
        <v>0</v>
      </c>
      <c r="AM17" s="14"/>
      <c r="AN17" s="14"/>
      <c r="AO17" s="14"/>
    </row>
    <row r="18" spans="1:41" s="1" customFormat="1" ht="11.1" customHeight="1" outlineLevel="1" x14ac:dyDescent="0.2">
      <c r="A18" s="7" t="s">
        <v>20</v>
      </c>
      <c r="B18" s="7" t="s">
        <v>12</v>
      </c>
      <c r="C18" s="8">
        <v>68</v>
      </c>
      <c r="D18" s="8"/>
      <c r="E18" s="8">
        <v>0</v>
      </c>
      <c r="F18" s="8">
        <v>68</v>
      </c>
      <c r="G18" s="1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4">
        <f>VLOOKUP(A:A,[2]TDSheet!$A:$F,6,0)</f>
        <v>2</v>
      </c>
      <c r="K18" s="14">
        <f t="shared" si="12"/>
        <v>-2</v>
      </c>
      <c r="L18" s="14">
        <f>VLOOKUP(A:A,[1]TDSheet!$A:$X,24,0)</f>
        <v>0</v>
      </c>
      <c r="M18" s="14"/>
      <c r="N18" s="14"/>
      <c r="O18" s="14"/>
      <c r="P18" s="14"/>
      <c r="Q18" s="14"/>
      <c r="R18" s="14"/>
      <c r="S18" s="14"/>
      <c r="T18" s="14"/>
      <c r="U18" s="14"/>
      <c r="V18" s="16"/>
      <c r="W18" s="14">
        <f t="shared" si="13"/>
        <v>0</v>
      </c>
      <c r="X18" s="16"/>
      <c r="Y18" s="19" t="e">
        <f t="shared" si="14"/>
        <v>#DIV/0!</v>
      </c>
      <c r="Z18" s="17" t="e">
        <f t="shared" si="15"/>
        <v>#DIV/0!</v>
      </c>
      <c r="AA18" s="14"/>
      <c r="AB18" s="14"/>
      <c r="AC18" s="14">
        <v>0</v>
      </c>
      <c r="AD18" s="14">
        <f>VLOOKUP(A:A,[1]TDSheet!$A:$AD,30,0)</f>
        <v>0</v>
      </c>
      <c r="AE18" s="14">
        <f>VLOOKUP(A:A,[1]TDSheet!$A:$AE,31,0)</f>
        <v>0</v>
      </c>
      <c r="AF18" s="14">
        <f>VLOOKUP(A:A,[1]TDSheet!$A:$AF,32,0)</f>
        <v>0</v>
      </c>
      <c r="AG18" s="14">
        <f>VLOOKUP(A:A,[1]TDSheet!$A:$AG,33,0)</f>
        <v>3.2</v>
      </c>
      <c r="AH18" s="14">
        <v>0</v>
      </c>
      <c r="AI18" s="14" t="e">
        <f>VLOOKUP(A:A,[1]TDSheet!$A:$AI,35,0)</f>
        <v>#N/A</v>
      </c>
      <c r="AJ18" s="14">
        <f t="shared" si="16"/>
        <v>0</v>
      </c>
      <c r="AK18" s="14">
        <f t="shared" si="17"/>
        <v>0</v>
      </c>
      <c r="AL18" s="14">
        <f t="shared" si="18"/>
        <v>0</v>
      </c>
      <c r="AM18" s="14"/>
      <c r="AN18" s="14"/>
      <c r="AO18" s="14"/>
    </row>
    <row r="19" spans="1:41" s="1" customFormat="1" ht="11.1" customHeight="1" outlineLevel="1" x14ac:dyDescent="0.2">
      <c r="A19" s="7" t="s">
        <v>21</v>
      </c>
      <c r="B19" s="7" t="s">
        <v>12</v>
      </c>
      <c r="C19" s="8">
        <v>1013</v>
      </c>
      <c r="D19" s="8">
        <v>919</v>
      </c>
      <c r="E19" s="8">
        <v>853</v>
      </c>
      <c r="F19" s="8">
        <v>1060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4">
        <f>VLOOKUP(A:A,[2]TDSheet!$A:$F,6,0)</f>
        <v>883</v>
      </c>
      <c r="K19" s="14">
        <f t="shared" si="12"/>
        <v>-30</v>
      </c>
      <c r="L19" s="14">
        <f>VLOOKUP(A:A,[1]TDSheet!$A:$X,24,0)</f>
        <v>600</v>
      </c>
      <c r="M19" s="14"/>
      <c r="N19" s="14"/>
      <c r="O19" s="14"/>
      <c r="P19" s="14"/>
      <c r="Q19" s="14"/>
      <c r="R19" s="14"/>
      <c r="S19" s="14"/>
      <c r="T19" s="14">
        <v>120</v>
      </c>
      <c r="U19" s="14"/>
      <c r="V19" s="16">
        <v>600</v>
      </c>
      <c r="W19" s="14">
        <f t="shared" si="13"/>
        <v>426.5</v>
      </c>
      <c r="X19" s="16">
        <v>1000</v>
      </c>
      <c r="Y19" s="19">
        <f t="shared" si="14"/>
        <v>8.5970464135021096</v>
      </c>
      <c r="Z19" s="17">
        <f t="shared" si="15"/>
        <v>7.6436107854630713</v>
      </c>
      <c r="AA19" s="14"/>
      <c r="AB19" s="14"/>
      <c r="AC19" s="14">
        <v>0</v>
      </c>
      <c r="AD19" s="14">
        <f>VLOOKUP(A:A,[1]TDSheet!$A:$AD,30,0)</f>
        <v>290.60000000000002</v>
      </c>
      <c r="AE19" s="14">
        <f>VLOOKUP(A:A,[1]TDSheet!$A:$AE,31,0)</f>
        <v>285</v>
      </c>
      <c r="AF19" s="14">
        <f>VLOOKUP(A:A,[1]TDSheet!$A:$AF,32,0)</f>
        <v>379.2</v>
      </c>
      <c r="AG19" s="14">
        <f>VLOOKUP(A:A,[1]TDSheet!$A:$AG,33,0)</f>
        <v>563.79999999999995</v>
      </c>
      <c r="AH19" s="14">
        <f>VLOOKUP(A:A,[3]TDSheet!$A:$D,4,0)</f>
        <v>390</v>
      </c>
      <c r="AI19" s="14">
        <f>VLOOKUP(A:A,[1]TDSheet!$A:$AI,35,0)</f>
        <v>0</v>
      </c>
      <c r="AJ19" s="14">
        <f t="shared" si="16"/>
        <v>20.400000000000002</v>
      </c>
      <c r="AK19" s="14">
        <f t="shared" si="17"/>
        <v>102.00000000000001</v>
      </c>
      <c r="AL19" s="14">
        <f t="shared" si="18"/>
        <v>170</v>
      </c>
      <c r="AM19" s="14"/>
      <c r="AN19" s="14"/>
      <c r="AO19" s="14"/>
    </row>
    <row r="20" spans="1:41" s="1" customFormat="1" ht="21.95" customHeight="1" outlineLevel="1" x14ac:dyDescent="0.2">
      <c r="A20" s="7" t="s">
        <v>22</v>
      </c>
      <c r="B20" s="7" t="s">
        <v>12</v>
      </c>
      <c r="C20" s="8">
        <v>155</v>
      </c>
      <c r="D20" s="8">
        <v>428</v>
      </c>
      <c r="E20" s="8">
        <v>121</v>
      </c>
      <c r="F20" s="8">
        <v>460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123</v>
      </c>
      <c r="K20" s="14">
        <f t="shared" si="12"/>
        <v>-2</v>
      </c>
      <c r="L20" s="14">
        <f>VLOOKUP(A:A,[1]TDSheet!$A:$X,24,0)</f>
        <v>70</v>
      </c>
      <c r="M20" s="14"/>
      <c r="N20" s="14"/>
      <c r="O20" s="14"/>
      <c r="P20" s="14"/>
      <c r="Q20" s="14"/>
      <c r="R20" s="14"/>
      <c r="S20" s="14"/>
      <c r="T20" s="14"/>
      <c r="U20" s="14"/>
      <c r="V20" s="16"/>
      <c r="W20" s="14">
        <f t="shared" si="13"/>
        <v>60.5</v>
      </c>
      <c r="X20" s="16">
        <v>50</v>
      </c>
      <c r="Y20" s="19">
        <f t="shared" si="14"/>
        <v>8.4057971014492754</v>
      </c>
      <c r="Z20" s="17">
        <f t="shared" si="15"/>
        <v>9.5867768595041323</v>
      </c>
      <c r="AA20" s="14"/>
      <c r="AB20" s="14"/>
      <c r="AC20" s="14">
        <v>0</v>
      </c>
      <c r="AD20" s="14">
        <f>VLOOKUP(A:A,[1]TDSheet!$A:$AD,30,0)</f>
        <v>69.400000000000006</v>
      </c>
      <c r="AE20" s="14">
        <f>VLOOKUP(A:A,[1]TDSheet!$A:$AE,31,0)</f>
        <v>58.8</v>
      </c>
      <c r="AF20" s="14">
        <f>VLOOKUP(A:A,[1]TDSheet!$A:$AF,32,0)</f>
        <v>69</v>
      </c>
      <c r="AG20" s="14">
        <f>VLOOKUP(A:A,[1]TDSheet!$A:$AG,33,0)</f>
        <v>100.4</v>
      </c>
      <c r="AH20" s="14">
        <f>VLOOKUP(A:A,[3]TDSheet!$A:$D,4,0)</f>
        <v>32</v>
      </c>
      <c r="AI20" s="14" t="str">
        <f>VLOOKUP(A:A,[1]TDSheet!$A:$AI,35,0)</f>
        <v>окнч</v>
      </c>
      <c r="AJ20" s="14">
        <f t="shared" si="16"/>
        <v>0</v>
      </c>
      <c r="AK20" s="14">
        <f t="shared" si="17"/>
        <v>0</v>
      </c>
      <c r="AL20" s="14">
        <f t="shared" si="18"/>
        <v>17.5</v>
      </c>
      <c r="AM20" s="14"/>
      <c r="AN20" s="14"/>
      <c r="AO20" s="14"/>
    </row>
    <row r="21" spans="1:41" s="1" customFormat="1" ht="21.95" customHeight="1" outlineLevel="1" x14ac:dyDescent="0.2">
      <c r="A21" s="7" t="s">
        <v>23</v>
      </c>
      <c r="B21" s="7" t="s">
        <v>12</v>
      </c>
      <c r="C21" s="8">
        <v>55</v>
      </c>
      <c r="D21" s="8">
        <v>162</v>
      </c>
      <c r="E21" s="8">
        <v>49</v>
      </c>
      <c r="F21" s="8">
        <v>168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4">
        <f>VLOOKUP(A:A,[2]TDSheet!$A:$F,6,0)</f>
        <v>49</v>
      </c>
      <c r="K21" s="14">
        <f t="shared" si="12"/>
        <v>0</v>
      </c>
      <c r="L21" s="14">
        <f>VLOOKUP(A:A,[1]TDSheet!$A:$X,24,0)</f>
        <v>40</v>
      </c>
      <c r="M21" s="14"/>
      <c r="N21" s="14"/>
      <c r="O21" s="14"/>
      <c r="P21" s="14"/>
      <c r="Q21" s="14"/>
      <c r="R21" s="14"/>
      <c r="S21" s="14"/>
      <c r="T21" s="14"/>
      <c r="U21" s="14"/>
      <c r="V21" s="16"/>
      <c r="W21" s="14">
        <f t="shared" si="13"/>
        <v>24.5</v>
      </c>
      <c r="X21" s="16"/>
      <c r="Y21" s="19">
        <f t="shared" si="14"/>
        <v>7.0748299319727899</v>
      </c>
      <c r="Z21" s="17">
        <f t="shared" si="15"/>
        <v>8.4897959183673475</v>
      </c>
      <c r="AA21" s="14"/>
      <c r="AB21" s="14"/>
      <c r="AC21" s="14">
        <v>0</v>
      </c>
      <c r="AD21" s="14">
        <f>VLOOKUP(A:A,[1]TDSheet!$A:$AD,30,0)</f>
        <v>20.8</v>
      </c>
      <c r="AE21" s="14">
        <f>VLOOKUP(A:A,[1]TDSheet!$A:$AE,31,0)</f>
        <v>21.4</v>
      </c>
      <c r="AF21" s="14">
        <f>VLOOKUP(A:A,[1]TDSheet!$A:$AF,32,0)</f>
        <v>29.4</v>
      </c>
      <c r="AG21" s="14">
        <f>VLOOKUP(A:A,[1]TDSheet!$A:$AG,33,0)</f>
        <v>36.4</v>
      </c>
      <c r="AH21" s="14">
        <f>VLOOKUP(A:A,[3]TDSheet!$A:$D,4,0)</f>
        <v>21</v>
      </c>
      <c r="AI21" s="14">
        <f>VLOOKUP(A:A,[1]TDSheet!$A:$AI,35,0)</f>
        <v>0</v>
      </c>
      <c r="AJ21" s="14">
        <f t="shared" si="16"/>
        <v>0</v>
      </c>
      <c r="AK21" s="14">
        <f t="shared" si="17"/>
        <v>0</v>
      </c>
      <c r="AL21" s="14">
        <f t="shared" si="18"/>
        <v>0</v>
      </c>
      <c r="AM21" s="14"/>
      <c r="AN21" s="14"/>
      <c r="AO21" s="14"/>
    </row>
    <row r="22" spans="1:41" s="1" customFormat="1" ht="21.95" customHeight="1" outlineLevel="1" x14ac:dyDescent="0.2">
      <c r="A22" s="7" t="s">
        <v>24</v>
      </c>
      <c r="B22" s="7" t="s">
        <v>12</v>
      </c>
      <c r="C22" s="8">
        <v>44</v>
      </c>
      <c r="D22" s="8">
        <v>170</v>
      </c>
      <c r="E22" s="8">
        <v>49</v>
      </c>
      <c r="F22" s="8">
        <v>157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4">
        <f>VLOOKUP(A:A,[2]TDSheet!$A:$F,6,0)</f>
        <v>61</v>
      </c>
      <c r="K22" s="14">
        <f t="shared" si="12"/>
        <v>-12</v>
      </c>
      <c r="L22" s="14">
        <f>VLOOKUP(A:A,[1]TDSheet!$A:$X,24,0)</f>
        <v>40</v>
      </c>
      <c r="M22" s="14"/>
      <c r="N22" s="14"/>
      <c r="O22" s="14"/>
      <c r="P22" s="14"/>
      <c r="Q22" s="14"/>
      <c r="R22" s="14"/>
      <c r="S22" s="14"/>
      <c r="T22" s="14"/>
      <c r="U22" s="14"/>
      <c r="V22" s="16"/>
      <c r="W22" s="14">
        <f t="shared" si="13"/>
        <v>24.5</v>
      </c>
      <c r="X22" s="16"/>
      <c r="Y22" s="19">
        <f t="shared" si="14"/>
        <v>8.5652173913043477</v>
      </c>
      <c r="Z22" s="17">
        <f t="shared" si="15"/>
        <v>8.0408163265306118</v>
      </c>
      <c r="AA22" s="14"/>
      <c r="AB22" s="14"/>
      <c r="AC22" s="14">
        <v>0</v>
      </c>
      <c r="AD22" s="14">
        <f>VLOOKUP(A:A,[1]TDSheet!$A:$AD,30,0)</f>
        <v>42</v>
      </c>
      <c r="AE22" s="14">
        <f>VLOOKUP(A:A,[1]TDSheet!$A:$AE,31,0)</f>
        <v>24.4</v>
      </c>
      <c r="AF22" s="14">
        <f>VLOOKUP(A:A,[1]TDSheet!$A:$AF,32,0)</f>
        <v>23</v>
      </c>
      <c r="AG22" s="14">
        <f>VLOOKUP(A:A,[1]TDSheet!$A:$AG,33,0)</f>
        <v>37</v>
      </c>
      <c r="AH22" s="14">
        <f>VLOOKUP(A:A,[3]TDSheet!$A:$D,4,0)</f>
        <v>21</v>
      </c>
      <c r="AI22" s="14" t="str">
        <f>VLOOKUP(A:A,[1]TDSheet!$A:$AI,35,0)</f>
        <v>оконч</v>
      </c>
      <c r="AJ22" s="14">
        <f t="shared" si="16"/>
        <v>0</v>
      </c>
      <c r="AK22" s="14">
        <f t="shared" si="17"/>
        <v>0</v>
      </c>
      <c r="AL22" s="14">
        <f t="shared" si="18"/>
        <v>0</v>
      </c>
      <c r="AM22" s="14"/>
      <c r="AN22" s="14"/>
      <c r="AO22" s="14"/>
    </row>
    <row r="23" spans="1:41" s="1" customFormat="1" ht="21.95" customHeight="1" outlineLevel="1" x14ac:dyDescent="0.2">
      <c r="A23" s="7" t="s">
        <v>25</v>
      </c>
      <c r="B23" s="7" t="s">
        <v>12</v>
      </c>
      <c r="C23" s="8">
        <v>186</v>
      </c>
      <c r="D23" s="8">
        <v>702</v>
      </c>
      <c r="E23" s="8">
        <v>208</v>
      </c>
      <c r="F23" s="8">
        <v>680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4">
        <f>VLOOKUP(A:A,[2]TDSheet!$A:$F,6,0)</f>
        <v>210</v>
      </c>
      <c r="K23" s="14">
        <f t="shared" si="12"/>
        <v>-2</v>
      </c>
      <c r="L23" s="14">
        <f>VLOOKUP(A:A,[1]TDSheet!$A:$X,24,0)</f>
        <v>150</v>
      </c>
      <c r="M23" s="14"/>
      <c r="N23" s="14"/>
      <c r="O23" s="14"/>
      <c r="P23" s="14"/>
      <c r="Q23" s="14"/>
      <c r="R23" s="14"/>
      <c r="S23" s="14"/>
      <c r="T23" s="14"/>
      <c r="U23" s="14"/>
      <c r="V23" s="16"/>
      <c r="W23" s="14">
        <f t="shared" si="13"/>
        <v>104</v>
      </c>
      <c r="X23" s="16">
        <v>120</v>
      </c>
      <c r="Y23" s="19">
        <f t="shared" si="14"/>
        <v>7.3529411764705888</v>
      </c>
      <c r="Z23" s="17">
        <f t="shared" si="15"/>
        <v>9.134615384615385</v>
      </c>
      <c r="AA23" s="14"/>
      <c r="AB23" s="14"/>
      <c r="AC23" s="14">
        <v>0</v>
      </c>
      <c r="AD23" s="14">
        <f>VLOOKUP(A:A,[1]TDSheet!$A:$AD,30,0)</f>
        <v>122.6</v>
      </c>
      <c r="AE23" s="14">
        <f>VLOOKUP(A:A,[1]TDSheet!$A:$AE,31,0)</f>
        <v>121.2</v>
      </c>
      <c r="AF23" s="14">
        <f>VLOOKUP(A:A,[1]TDSheet!$A:$AF,32,0)</f>
        <v>129.19999999999999</v>
      </c>
      <c r="AG23" s="14">
        <f>VLOOKUP(A:A,[1]TDSheet!$A:$AG,33,0)</f>
        <v>187.6</v>
      </c>
      <c r="AH23" s="14">
        <f>VLOOKUP(A:A,[3]TDSheet!$A:$D,4,0)</f>
        <v>59</v>
      </c>
      <c r="AI23" s="14" t="str">
        <f>VLOOKUP(A:A,[1]TDSheet!$A:$AI,35,0)</f>
        <v>проддек-ян</v>
      </c>
      <c r="AJ23" s="14">
        <f t="shared" si="16"/>
        <v>0</v>
      </c>
      <c r="AK23" s="14">
        <f t="shared" si="17"/>
        <v>0</v>
      </c>
      <c r="AL23" s="14">
        <f t="shared" si="18"/>
        <v>42</v>
      </c>
      <c r="AM23" s="14"/>
      <c r="AN23" s="14"/>
      <c r="AO23" s="14"/>
    </row>
    <row r="24" spans="1:41" s="1" customFormat="1" ht="11.1" customHeight="1" outlineLevel="1" x14ac:dyDescent="0.2">
      <c r="A24" s="7" t="s">
        <v>26</v>
      </c>
      <c r="B24" s="7" t="s">
        <v>8</v>
      </c>
      <c r="C24" s="8">
        <v>424.19799999999998</v>
      </c>
      <c r="D24" s="8">
        <v>595.17899999999997</v>
      </c>
      <c r="E24" s="8">
        <v>294.41399999999999</v>
      </c>
      <c r="F24" s="8">
        <v>718.76900000000001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291.04599999999999</v>
      </c>
      <c r="K24" s="14">
        <f t="shared" si="12"/>
        <v>3.367999999999995</v>
      </c>
      <c r="L24" s="14">
        <f>VLOOKUP(A:A,[1]TDSheet!$A:$X,24,0)</f>
        <v>100</v>
      </c>
      <c r="M24" s="14"/>
      <c r="N24" s="14"/>
      <c r="O24" s="14"/>
      <c r="P24" s="14"/>
      <c r="Q24" s="14"/>
      <c r="R24" s="14"/>
      <c r="S24" s="14"/>
      <c r="T24" s="14"/>
      <c r="U24" s="14"/>
      <c r="V24" s="16">
        <v>100</v>
      </c>
      <c r="W24" s="14">
        <f t="shared" si="13"/>
        <v>147.20699999999999</v>
      </c>
      <c r="X24" s="16">
        <v>100</v>
      </c>
      <c r="Y24" s="19">
        <f t="shared" si="14"/>
        <v>7.7973738551946559</v>
      </c>
      <c r="Z24" s="17">
        <f t="shared" si="15"/>
        <v>6.9206559470677345</v>
      </c>
      <c r="AA24" s="14"/>
      <c r="AB24" s="14"/>
      <c r="AC24" s="14">
        <v>0</v>
      </c>
      <c r="AD24" s="14">
        <f>VLOOKUP(A:A,[1]TDSheet!$A:$AD,30,0)</f>
        <v>114.099</v>
      </c>
      <c r="AE24" s="14">
        <f>VLOOKUP(A:A,[1]TDSheet!$A:$AE,31,0)</f>
        <v>150.761</v>
      </c>
      <c r="AF24" s="14">
        <f>VLOOKUP(A:A,[1]TDSheet!$A:$AF,32,0)</f>
        <v>130.65540000000001</v>
      </c>
      <c r="AG24" s="14">
        <f>VLOOKUP(A:A,[1]TDSheet!$A:$AG,33,0)</f>
        <v>207.97220000000002</v>
      </c>
      <c r="AH24" s="14">
        <f>VLOOKUP(A:A,[3]TDSheet!$A:$D,4,0)</f>
        <v>107.69499999999999</v>
      </c>
      <c r="AI24" s="14">
        <f>VLOOKUP(A:A,[1]TDSheet!$A:$AI,35,0)</f>
        <v>0</v>
      </c>
      <c r="AJ24" s="14">
        <f t="shared" si="16"/>
        <v>0</v>
      </c>
      <c r="AK24" s="14">
        <f t="shared" si="17"/>
        <v>100</v>
      </c>
      <c r="AL24" s="14">
        <f t="shared" si="18"/>
        <v>100</v>
      </c>
      <c r="AM24" s="14"/>
      <c r="AN24" s="14"/>
      <c r="AO24" s="14"/>
    </row>
    <row r="25" spans="1:41" s="1" customFormat="1" ht="11.1" customHeight="1" outlineLevel="1" x14ac:dyDescent="0.2">
      <c r="A25" s="7" t="s">
        <v>27</v>
      </c>
      <c r="B25" s="7" t="s">
        <v>8</v>
      </c>
      <c r="C25" s="8">
        <v>372.51400000000001</v>
      </c>
      <c r="D25" s="8">
        <v>7735.3990000000003</v>
      </c>
      <c r="E25" s="8">
        <v>2212.7730000000001</v>
      </c>
      <c r="F25" s="8">
        <v>5892.6149999999998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4">
        <f>VLOOKUP(A:A,[2]TDSheet!$A:$F,6,0)</f>
        <v>2232.29</v>
      </c>
      <c r="K25" s="14">
        <f t="shared" si="12"/>
        <v>-19.516999999999825</v>
      </c>
      <c r="L25" s="14">
        <f>VLOOKUP(A:A,[1]TDSheet!$A:$X,24,0)</f>
        <v>1800</v>
      </c>
      <c r="M25" s="14"/>
      <c r="N25" s="14"/>
      <c r="O25" s="14"/>
      <c r="P25" s="14"/>
      <c r="Q25" s="14"/>
      <c r="R25" s="14"/>
      <c r="S25" s="14"/>
      <c r="T25" s="14"/>
      <c r="U25" s="14"/>
      <c r="V25" s="16">
        <v>500</v>
      </c>
      <c r="W25" s="14">
        <f t="shared" si="13"/>
        <v>1106.3865000000001</v>
      </c>
      <c r="X25" s="16">
        <v>1000</v>
      </c>
      <c r="Y25" s="19">
        <f t="shared" si="14"/>
        <v>7.8329923812373856</v>
      </c>
      <c r="Z25" s="17">
        <f t="shared" si="15"/>
        <v>8.3086832675561375</v>
      </c>
      <c r="AA25" s="14"/>
      <c r="AB25" s="14"/>
      <c r="AC25" s="14">
        <v>0</v>
      </c>
      <c r="AD25" s="14">
        <f>VLOOKUP(A:A,[1]TDSheet!$A:$AD,30,0)</f>
        <v>1120.8812</v>
      </c>
      <c r="AE25" s="14">
        <f>VLOOKUP(A:A,[1]TDSheet!$A:$AE,31,0)</f>
        <v>1186.6727999999998</v>
      </c>
      <c r="AF25" s="14">
        <f>VLOOKUP(A:A,[1]TDSheet!$A:$AF,32,0)</f>
        <v>1173.5764000000001</v>
      </c>
      <c r="AG25" s="14">
        <f>VLOOKUP(A:A,[1]TDSheet!$A:$AG,33,0)</f>
        <v>1803.1950000000002</v>
      </c>
      <c r="AH25" s="14">
        <f>VLOOKUP(A:A,[3]TDSheet!$A:$D,4,0)</f>
        <v>918.74400000000003</v>
      </c>
      <c r="AI25" s="14" t="str">
        <f>VLOOKUP(A:A,[1]TDSheet!$A:$AI,35,0)</f>
        <v>проддек-ян</v>
      </c>
      <c r="AJ25" s="14">
        <f t="shared" si="16"/>
        <v>0</v>
      </c>
      <c r="AK25" s="14">
        <f t="shared" si="17"/>
        <v>500</v>
      </c>
      <c r="AL25" s="14">
        <f t="shared" si="18"/>
        <v>1000</v>
      </c>
      <c r="AM25" s="14"/>
      <c r="AN25" s="14"/>
      <c r="AO25" s="14"/>
    </row>
    <row r="26" spans="1:41" s="1" customFormat="1" ht="11.1" customHeight="1" outlineLevel="1" x14ac:dyDescent="0.2">
      <c r="A26" s="7" t="s">
        <v>28</v>
      </c>
      <c r="B26" s="7" t="s">
        <v>8</v>
      </c>
      <c r="C26" s="8">
        <v>205.90799999999999</v>
      </c>
      <c r="D26" s="8">
        <v>314.01799999999997</v>
      </c>
      <c r="E26" s="8">
        <v>243.32900000000001</v>
      </c>
      <c r="F26" s="8">
        <v>268.67899999999997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4">
        <f>VLOOKUP(A:A,[2]TDSheet!$A:$F,6,0)</f>
        <v>250.18</v>
      </c>
      <c r="K26" s="14">
        <f t="shared" si="12"/>
        <v>-6.8509999999999991</v>
      </c>
      <c r="L26" s="14">
        <f>VLOOKUP(A:A,[1]TDSheet!$A:$X,24,0)</f>
        <v>100</v>
      </c>
      <c r="M26" s="14"/>
      <c r="N26" s="14"/>
      <c r="O26" s="14"/>
      <c r="P26" s="14"/>
      <c r="Q26" s="14"/>
      <c r="R26" s="14"/>
      <c r="S26" s="14"/>
      <c r="T26" s="14"/>
      <c r="U26" s="14"/>
      <c r="V26" s="16">
        <v>150</v>
      </c>
      <c r="W26" s="14">
        <f t="shared" si="13"/>
        <v>121.6645</v>
      </c>
      <c r="X26" s="16">
        <v>150</v>
      </c>
      <c r="Y26" s="19">
        <f t="shared" si="14"/>
        <v>10.932701362911033</v>
      </c>
      <c r="Z26" s="17">
        <f t="shared" si="15"/>
        <v>5.496089656391141</v>
      </c>
      <c r="AA26" s="14"/>
      <c r="AB26" s="14"/>
      <c r="AC26" s="14">
        <v>0</v>
      </c>
      <c r="AD26" s="14">
        <f>VLOOKUP(A:A,[1]TDSheet!$A:$AD,30,0)</f>
        <v>54.423199999999994</v>
      </c>
      <c r="AE26" s="14">
        <f>VLOOKUP(A:A,[1]TDSheet!$A:$AE,31,0)</f>
        <v>88.0488</v>
      </c>
      <c r="AF26" s="14">
        <f>VLOOKUP(A:A,[1]TDSheet!$A:$AF,32,0)</f>
        <v>61.163199999999996</v>
      </c>
      <c r="AG26" s="14">
        <f>VLOOKUP(A:A,[1]TDSheet!$A:$AG,33,0)</f>
        <v>113.8644</v>
      </c>
      <c r="AH26" s="14">
        <f>VLOOKUP(A:A,[3]TDSheet!$A:$D,4,0)</f>
        <v>105.82599999999999</v>
      </c>
      <c r="AI26" s="14" t="str">
        <f>VLOOKUP(A:A,[1]TDSheet!$A:$AI,35,0)</f>
        <v>2дн непр</v>
      </c>
      <c r="AJ26" s="14">
        <f t="shared" si="16"/>
        <v>0</v>
      </c>
      <c r="AK26" s="14">
        <f t="shared" si="17"/>
        <v>150</v>
      </c>
      <c r="AL26" s="14">
        <f t="shared" si="18"/>
        <v>150</v>
      </c>
      <c r="AM26" s="14"/>
      <c r="AN26" s="14"/>
      <c r="AO26" s="14"/>
    </row>
    <row r="27" spans="1:41" s="1" customFormat="1" ht="21.95" customHeight="1" outlineLevel="1" x14ac:dyDescent="0.2">
      <c r="A27" s="22" t="s">
        <v>29</v>
      </c>
      <c r="B27" s="7" t="s">
        <v>8</v>
      </c>
      <c r="C27" s="8">
        <v>19.271999999999998</v>
      </c>
      <c r="D27" s="8"/>
      <c r="E27" s="8">
        <v>0.372</v>
      </c>
      <c r="F27" s="8">
        <v>18.899999999999999</v>
      </c>
      <c r="G27" s="1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4">
        <f>VLOOKUP(A:A,[2]TDSheet!$A:$F,6,0)</f>
        <v>0.4</v>
      </c>
      <c r="K27" s="14">
        <f t="shared" si="12"/>
        <v>-2.8000000000000025E-2</v>
      </c>
      <c r="L27" s="14">
        <f>VLOOKUP(A:A,[1]TDSheet!$A:$X,24,0)</f>
        <v>0</v>
      </c>
      <c r="M27" s="14"/>
      <c r="N27" s="14"/>
      <c r="O27" s="14"/>
      <c r="P27" s="14"/>
      <c r="Q27" s="14"/>
      <c r="R27" s="14"/>
      <c r="S27" s="14"/>
      <c r="T27" s="14"/>
      <c r="U27" s="14"/>
      <c r="V27" s="16"/>
      <c r="W27" s="14">
        <f t="shared" si="13"/>
        <v>0.186</v>
      </c>
      <c r="X27" s="16"/>
      <c r="Y27" s="19" t="e">
        <f t="shared" si="14"/>
        <v>#DIV/0!</v>
      </c>
      <c r="Z27" s="17">
        <f t="shared" si="15"/>
        <v>101.61290322580645</v>
      </c>
      <c r="AA27" s="14"/>
      <c r="AB27" s="14"/>
      <c r="AC27" s="14">
        <v>0</v>
      </c>
      <c r="AD27" s="14">
        <f>VLOOKUP(A:A,[1]TDSheet!$A:$AD,30,0)</f>
        <v>0</v>
      </c>
      <c r="AE27" s="14">
        <f>VLOOKUP(A:A,[1]TDSheet!$A:$AE,31,0)</f>
        <v>0</v>
      </c>
      <c r="AF27" s="14">
        <f>VLOOKUP(A:A,[1]TDSheet!$A:$AF,32,0)</f>
        <v>0</v>
      </c>
      <c r="AG27" s="14">
        <f>VLOOKUP(A:A,[1]TDSheet!$A:$AG,33,0)</f>
        <v>0</v>
      </c>
      <c r="AH27" s="14">
        <f>VLOOKUP(A:A,[3]TDSheet!$A:$D,4,0)</f>
        <v>0.372</v>
      </c>
      <c r="AI27" s="23" t="s">
        <v>163</v>
      </c>
      <c r="AJ27" s="14">
        <f t="shared" si="16"/>
        <v>0</v>
      </c>
      <c r="AK27" s="14">
        <f t="shared" si="17"/>
        <v>0</v>
      </c>
      <c r="AL27" s="14">
        <f t="shared" si="18"/>
        <v>0</v>
      </c>
      <c r="AM27" s="14"/>
      <c r="AN27" s="14"/>
      <c r="AO27" s="14"/>
    </row>
    <row r="28" spans="1:41" s="1" customFormat="1" ht="11.1" customHeight="1" outlineLevel="1" x14ac:dyDescent="0.2">
      <c r="A28" s="7" t="s">
        <v>30</v>
      </c>
      <c r="B28" s="7" t="s">
        <v>8</v>
      </c>
      <c r="C28" s="8">
        <v>151.11799999999999</v>
      </c>
      <c r="D28" s="8">
        <v>670.26199999999994</v>
      </c>
      <c r="E28" s="8">
        <v>318.49299999999999</v>
      </c>
      <c r="F28" s="8">
        <v>497.61099999999999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4">
        <f>VLOOKUP(A:A,[2]TDSheet!$A:$F,6,0)</f>
        <v>320.66199999999998</v>
      </c>
      <c r="K28" s="14">
        <f t="shared" si="12"/>
        <v>-2.1689999999999827</v>
      </c>
      <c r="L28" s="14">
        <f>VLOOKUP(A:A,[1]TDSheet!$A:$X,24,0)</f>
        <v>250</v>
      </c>
      <c r="M28" s="14"/>
      <c r="N28" s="14"/>
      <c r="O28" s="14"/>
      <c r="P28" s="14"/>
      <c r="Q28" s="14"/>
      <c r="R28" s="14"/>
      <c r="S28" s="14"/>
      <c r="T28" s="14"/>
      <c r="U28" s="14"/>
      <c r="V28" s="16">
        <v>100</v>
      </c>
      <c r="W28" s="14">
        <f t="shared" si="13"/>
        <v>159.2465</v>
      </c>
      <c r="X28" s="16">
        <v>150</v>
      </c>
      <c r="Y28" s="19">
        <f t="shared" si="14"/>
        <v>7.282055362281179</v>
      </c>
      <c r="Z28" s="17">
        <f t="shared" si="15"/>
        <v>6.2645709638830365</v>
      </c>
      <c r="AA28" s="14"/>
      <c r="AB28" s="14"/>
      <c r="AC28" s="14">
        <v>0</v>
      </c>
      <c r="AD28" s="14">
        <f>VLOOKUP(A:A,[1]TDSheet!$A:$AD,30,0)</f>
        <v>128.01519999999999</v>
      </c>
      <c r="AE28" s="14">
        <f>VLOOKUP(A:A,[1]TDSheet!$A:$AE,31,0)</f>
        <v>165.38720000000001</v>
      </c>
      <c r="AF28" s="14">
        <f>VLOOKUP(A:A,[1]TDSheet!$A:$AF,32,0)</f>
        <v>136.9958</v>
      </c>
      <c r="AG28" s="14">
        <f>VLOOKUP(A:A,[1]TDSheet!$A:$AG,33,0)</f>
        <v>211.07859999999999</v>
      </c>
      <c r="AH28" s="14">
        <f>VLOOKUP(A:A,[3]TDSheet!$A:$D,4,0)</f>
        <v>158.024</v>
      </c>
      <c r="AI28" s="14">
        <f>VLOOKUP(A:A,[1]TDSheet!$A:$AI,35,0)</f>
        <v>0</v>
      </c>
      <c r="AJ28" s="14">
        <f t="shared" si="16"/>
        <v>0</v>
      </c>
      <c r="AK28" s="14">
        <f t="shared" si="17"/>
        <v>100</v>
      </c>
      <c r="AL28" s="14">
        <f t="shared" si="18"/>
        <v>150</v>
      </c>
      <c r="AM28" s="14"/>
      <c r="AN28" s="14"/>
      <c r="AO28" s="14"/>
    </row>
    <row r="29" spans="1:41" s="1" customFormat="1" ht="11.1" customHeight="1" outlineLevel="1" x14ac:dyDescent="0.2">
      <c r="A29" s="7" t="s">
        <v>31</v>
      </c>
      <c r="B29" s="7" t="s">
        <v>8</v>
      </c>
      <c r="C29" s="8">
        <v>27.268000000000001</v>
      </c>
      <c r="D29" s="8">
        <v>212.809</v>
      </c>
      <c r="E29" s="8">
        <v>102.735</v>
      </c>
      <c r="F29" s="8">
        <v>136.428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4">
        <f>VLOOKUP(A:A,[2]TDSheet!$A:$F,6,0)</f>
        <v>101.575</v>
      </c>
      <c r="K29" s="14">
        <f t="shared" si="12"/>
        <v>1.1599999999999966</v>
      </c>
      <c r="L29" s="14">
        <f>VLOOKUP(A:A,[1]TDSheet!$A:$X,24,0)</f>
        <v>50</v>
      </c>
      <c r="M29" s="14"/>
      <c r="N29" s="14"/>
      <c r="O29" s="14"/>
      <c r="P29" s="14"/>
      <c r="Q29" s="14"/>
      <c r="R29" s="14"/>
      <c r="S29" s="14"/>
      <c r="T29" s="14"/>
      <c r="U29" s="14"/>
      <c r="V29" s="16">
        <v>70</v>
      </c>
      <c r="W29" s="14">
        <f t="shared" si="13"/>
        <v>51.3675</v>
      </c>
      <c r="X29" s="16">
        <v>60</v>
      </c>
      <c r="Y29" s="19">
        <f t="shared" si="14"/>
        <v>8.8120885363870283</v>
      </c>
      <c r="Z29" s="17">
        <f t="shared" si="15"/>
        <v>6.1600817637611334</v>
      </c>
      <c r="AA29" s="14"/>
      <c r="AB29" s="14"/>
      <c r="AC29" s="14">
        <v>0</v>
      </c>
      <c r="AD29" s="14">
        <f>VLOOKUP(A:A,[1]TDSheet!$A:$AD,30,0)</f>
        <v>38.140799999999999</v>
      </c>
      <c r="AE29" s="14">
        <f>VLOOKUP(A:A,[1]TDSheet!$A:$AE,31,0)</f>
        <v>52.771400000000007</v>
      </c>
      <c r="AF29" s="14">
        <f>VLOOKUP(A:A,[1]TDSheet!$A:$AF,32,0)</f>
        <v>35.9084</v>
      </c>
      <c r="AG29" s="14">
        <f>VLOOKUP(A:A,[1]TDSheet!$A:$AG,33,0)</f>
        <v>59.824800000000003</v>
      </c>
      <c r="AH29" s="14">
        <f>VLOOKUP(A:A,[3]TDSheet!$A:$D,4,0)</f>
        <v>50.488999999999997</v>
      </c>
      <c r="AI29" s="14">
        <f>VLOOKUP(A:A,[1]TDSheet!$A:$AI,35,0)</f>
        <v>0</v>
      </c>
      <c r="AJ29" s="14">
        <f t="shared" si="16"/>
        <v>0</v>
      </c>
      <c r="AK29" s="14">
        <f t="shared" si="17"/>
        <v>70</v>
      </c>
      <c r="AL29" s="14">
        <f t="shared" si="18"/>
        <v>60</v>
      </c>
      <c r="AM29" s="14"/>
      <c r="AN29" s="14"/>
      <c r="AO29" s="14"/>
    </row>
    <row r="30" spans="1:41" s="1" customFormat="1" ht="21.95" customHeight="1" outlineLevel="1" x14ac:dyDescent="0.2">
      <c r="A30" s="7" t="s">
        <v>32</v>
      </c>
      <c r="B30" s="7" t="s">
        <v>8</v>
      </c>
      <c r="C30" s="8">
        <v>233.608</v>
      </c>
      <c r="D30" s="8">
        <v>206.24299999999999</v>
      </c>
      <c r="E30" s="8">
        <v>152.43</v>
      </c>
      <c r="F30" s="8">
        <v>286.54700000000003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4">
        <f>VLOOKUP(A:A,[2]TDSheet!$A:$F,6,0)</f>
        <v>148.952</v>
      </c>
      <c r="K30" s="14">
        <f t="shared" si="12"/>
        <v>3.4780000000000086</v>
      </c>
      <c r="L30" s="14">
        <f>VLOOKUP(A:A,[1]TDSheet!$A:$X,24,0)</f>
        <v>70</v>
      </c>
      <c r="M30" s="14"/>
      <c r="N30" s="14"/>
      <c r="O30" s="14"/>
      <c r="P30" s="14"/>
      <c r="Q30" s="14"/>
      <c r="R30" s="14"/>
      <c r="S30" s="14"/>
      <c r="T30" s="14"/>
      <c r="U30" s="14"/>
      <c r="V30" s="16">
        <v>120</v>
      </c>
      <c r="W30" s="14">
        <f t="shared" si="13"/>
        <v>76.215000000000003</v>
      </c>
      <c r="X30" s="16">
        <v>100</v>
      </c>
      <c r="Y30" s="19">
        <f t="shared" si="14"/>
        <v>8.0677693351804436</v>
      </c>
      <c r="Z30" s="17">
        <f t="shared" si="15"/>
        <v>7.5647444728727944</v>
      </c>
      <c r="AA30" s="14"/>
      <c r="AB30" s="14"/>
      <c r="AC30" s="14">
        <v>0</v>
      </c>
      <c r="AD30" s="14">
        <f>VLOOKUP(A:A,[1]TDSheet!$A:$AD,30,0)</f>
        <v>84.236599999999996</v>
      </c>
      <c r="AE30" s="14">
        <f>VLOOKUP(A:A,[1]TDSheet!$A:$AE,31,0)</f>
        <v>89.378</v>
      </c>
      <c r="AF30" s="14">
        <f>VLOOKUP(A:A,[1]TDSheet!$A:$AF,32,0)</f>
        <v>71.462999999999994</v>
      </c>
      <c r="AG30" s="14">
        <f>VLOOKUP(A:A,[1]TDSheet!$A:$AG,33,0)</f>
        <v>115.19980000000001</v>
      </c>
      <c r="AH30" s="14">
        <f>VLOOKUP(A:A,[3]TDSheet!$A:$D,4,0)</f>
        <v>61.226999999999997</v>
      </c>
      <c r="AI30" s="14" t="str">
        <f>VLOOKUP(A:A,[1]TDSheet!$A:$AI,35,0)</f>
        <v>жц</v>
      </c>
      <c r="AJ30" s="14">
        <f t="shared" si="16"/>
        <v>0</v>
      </c>
      <c r="AK30" s="14">
        <f t="shared" si="17"/>
        <v>120</v>
      </c>
      <c r="AL30" s="14">
        <f t="shared" si="18"/>
        <v>100</v>
      </c>
      <c r="AM30" s="14"/>
      <c r="AN30" s="14"/>
      <c r="AO30" s="14"/>
    </row>
    <row r="31" spans="1:41" s="1" customFormat="1" ht="11.1" customHeight="1" outlineLevel="1" x14ac:dyDescent="0.2">
      <c r="A31" s="22" t="s">
        <v>33</v>
      </c>
      <c r="B31" s="7" t="s">
        <v>8</v>
      </c>
      <c r="C31" s="8">
        <v>22.431000000000001</v>
      </c>
      <c r="D31" s="8"/>
      <c r="E31" s="8">
        <v>0.374</v>
      </c>
      <c r="F31" s="8">
        <v>22.056999999999999</v>
      </c>
      <c r="G31" s="1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4">
        <f>VLOOKUP(A:A,[2]TDSheet!$A:$F,6,0)</f>
        <v>0.4</v>
      </c>
      <c r="K31" s="14">
        <f t="shared" si="12"/>
        <v>-2.6000000000000023E-2</v>
      </c>
      <c r="L31" s="14">
        <f>VLOOKUP(A:A,[1]TDSheet!$A:$X,24,0)</f>
        <v>0</v>
      </c>
      <c r="M31" s="14"/>
      <c r="N31" s="14"/>
      <c r="O31" s="14"/>
      <c r="P31" s="14"/>
      <c r="Q31" s="14"/>
      <c r="R31" s="14"/>
      <c r="S31" s="14"/>
      <c r="T31" s="14"/>
      <c r="U31" s="14"/>
      <c r="V31" s="16"/>
      <c r="W31" s="14">
        <f t="shared" si="13"/>
        <v>0.187</v>
      </c>
      <c r="X31" s="16"/>
      <c r="Y31" s="19" t="e">
        <f t="shared" si="14"/>
        <v>#DIV/0!</v>
      </c>
      <c r="Z31" s="17">
        <f t="shared" si="15"/>
        <v>117.951871657754</v>
      </c>
      <c r="AA31" s="14"/>
      <c r="AB31" s="14"/>
      <c r="AC31" s="14">
        <v>0</v>
      </c>
      <c r="AD31" s="14">
        <f>VLOOKUP(A:A,[1]TDSheet!$A:$AD,30,0)</f>
        <v>0</v>
      </c>
      <c r="AE31" s="14">
        <f>VLOOKUP(A:A,[1]TDSheet!$A:$AE,31,0)</f>
        <v>0</v>
      </c>
      <c r="AF31" s="14">
        <f>VLOOKUP(A:A,[1]TDSheet!$A:$AF,32,0)</f>
        <v>0</v>
      </c>
      <c r="AG31" s="14">
        <f>VLOOKUP(A:A,[1]TDSheet!$A:$AG,33,0)</f>
        <v>0</v>
      </c>
      <c r="AH31" s="14">
        <f>VLOOKUP(A:A,[3]TDSheet!$A:$D,4,0)</f>
        <v>0.374</v>
      </c>
      <c r="AI31" s="23" t="s">
        <v>163</v>
      </c>
      <c r="AJ31" s="14">
        <f t="shared" si="16"/>
        <v>0</v>
      </c>
      <c r="AK31" s="14">
        <f t="shared" si="17"/>
        <v>0</v>
      </c>
      <c r="AL31" s="14">
        <f t="shared" si="18"/>
        <v>0</v>
      </c>
      <c r="AM31" s="14"/>
      <c r="AN31" s="14"/>
      <c r="AO31" s="14"/>
    </row>
    <row r="32" spans="1:41" s="1" customFormat="1" ht="11.1" customHeight="1" outlineLevel="1" x14ac:dyDescent="0.2">
      <c r="A32" s="7" t="s">
        <v>34</v>
      </c>
      <c r="B32" s="7" t="s">
        <v>8</v>
      </c>
      <c r="C32" s="8">
        <v>289.89699999999999</v>
      </c>
      <c r="D32" s="8">
        <v>305.39400000000001</v>
      </c>
      <c r="E32" s="8">
        <v>175.80099999999999</v>
      </c>
      <c r="F32" s="8">
        <v>419.49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4">
        <f>VLOOKUP(A:A,[2]TDSheet!$A:$F,6,0)</f>
        <v>170.97900000000001</v>
      </c>
      <c r="K32" s="14">
        <f t="shared" si="12"/>
        <v>4.8219999999999743</v>
      </c>
      <c r="L32" s="14">
        <f>VLOOKUP(A:A,[1]TDSheet!$A:$X,24,0)</f>
        <v>50</v>
      </c>
      <c r="M32" s="14"/>
      <c r="N32" s="14"/>
      <c r="O32" s="14"/>
      <c r="P32" s="14"/>
      <c r="Q32" s="14"/>
      <c r="R32" s="14"/>
      <c r="S32" s="14"/>
      <c r="T32" s="14"/>
      <c r="U32" s="14"/>
      <c r="V32" s="16">
        <v>30</v>
      </c>
      <c r="W32" s="14">
        <f t="shared" si="13"/>
        <v>87.900499999999994</v>
      </c>
      <c r="X32" s="16">
        <v>100</v>
      </c>
      <c r="Y32" s="19">
        <f t="shared" si="14"/>
        <v>7.411010757579878</v>
      </c>
      <c r="Z32" s="17">
        <f t="shared" si="15"/>
        <v>6.820097724131263</v>
      </c>
      <c r="AA32" s="14"/>
      <c r="AB32" s="14"/>
      <c r="AC32" s="14">
        <v>0</v>
      </c>
      <c r="AD32" s="14">
        <f>VLOOKUP(A:A,[1]TDSheet!$A:$AD,30,0)</f>
        <v>81.914400000000001</v>
      </c>
      <c r="AE32" s="14">
        <f>VLOOKUP(A:A,[1]TDSheet!$A:$AE,31,0)</f>
        <v>86.447599999999994</v>
      </c>
      <c r="AF32" s="14">
        <f>VLOOKUP(A:A,[1]TDSheet!$A:$AF,32,0)</f>
        <v>80.891800000000003</v>
      </c>
      <c r="AG32" s="14">
        <f>VLOOKUP(A:A,[1]TDSheet!$A:$AG,33,0)</f>
        <v>137.86340000000001</v>
      </c>
      <c r="AH32" s="14">
        <f>VLOOKUP(A:A,[3]TDSheet!$A:$D,4,0)</f>
        <v>71.540000000000006</v>
      </c>
      <c r="AI32" s="14">
        <f>VLOOKUP(A:A,[1]TDSheet!$A:$AI,35,0)</f>
        <v>0</v>
      </c>
      <c r="AJ32" s="14">
        <f t="shared" si="16"/>
        <v>0</v>
      </c>
      <c r="AK32" s="14">
        <f t="shared" si="17"/>
        <v>30</v>
      </c>
      <c r="AL32" s="14">
        <f t="shared" si="18"/>
        <v>100</v>
      </c>
      <c r="AM32" s="14"/>
      <c r="AN32" s="14"/>
      <c r="AO32" s="14"/>
    </row>
    <row r="33" spans="1:41" s="1" customFormat="1" ht="11.1" customHeight="1" outlineLevel="1" x14ac:dyDescent="0.2">
      <c r="A33" s="7" t="s">
        <v>35</v>
      </c>
      <c r="B33" s="7" t="s">
        <v>8</v>
      </c>
      <c r="C33" s="8">
        <v>60.02</v>
      </c>
      <c r="D33" s="8">
        <v>98.144999999999996</v>
      </c>
      <c r="E33" s="8">
        <v>63.484999999999999</v>
      </c>
      <c r="F33" s="8">
        <v>94.68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65.62</v>
      </c>
      <c r="K33" s="14">
        <f t="shared" si="12"/>
        <v>-2.1350000000000051</v>
      </c>
      <c r="L33" s="14">
        <f>VLOOKUP(A:A,[1]TDSheet!$A:$X,24,0)</f>
        <v>30</v>
      </c>
      <c r="M33" s="14"/>
      <c r="N33" s="14"/>
      <c r="O33" s="14"/>
      <c r="P33" s="14"/>
      <c r="Q33" s="14"/>
      <c r="R33" s="14"/>
      <c r="S33" s="14"/>
      <c r="T33" s="14"/>
      <c r="U33" s="14"/>
      <c r="V33" s="16">
        <v>20</v>
      </c>
      <c r="W33" s="14">
        <f t="shared" si="13"/>
        <v>31.7425</v>
      </c>
      <c r="X33" s="16">
        <v>20</v>
      </c>
      <c r="Y33" s="19">
        <f t="shared" si="14"/>
        <v>7.5308450021493183</v>
      </c>
      <c r="Z33" s="17">
        <f t="shared" si="15"/>
        <v>5.1879971646845711</v>
      </c>
      <c r="AA33" s="14"/>
      <c r="AB33" s="14"/>
      <c r="AC33" s="14">
        <v>0</v>
      </c>
      <c r="AD33" s="14">
        <f>VLOOKUP(A:A,[1]TDSheet!$A:$AD,30,0)</f>
        <v>21.4802</v>
      </c>
      <c r="AE33" s="14">
        <f>VLOOKUP(A:A,[1]TDSheet!$A:$AE,31,0)</f>
        <v>18.440999999999999</v>
      </c>
      <c r="AF33" s="14">
        <f>VLOOKUP(A:A,[1]TDSheet!$A:$AF,32,0)</f>
        <v>21.8674</v>
      </c>
      <c r="AG33" s="14">
        <f>VLOOKUP(A:A,[1]TDSheet!$A:$AG,33,0)</f>
        <v>23.006399999999999</v>
      </c>
      <c r="AH33" s="14">
        <f>VLOOKUP(A:A,[3]TDSheet!$A:$D,4,0)</f>
        <v>13.951000000000001</v>
      </c>
      <c r="AI33" s="14">
        <f>VLOOKUP(A:A,[1]TDSheet!$A:$AI,35,0)</f>
        <v>0</v>
      </c>
      <c r="AJ33" s="14">
        <f t="shared" si="16"/>
        <v>0</v>
      </c>
      <c r="AK33" s="14">
        <f t="shared" si="17"/>
        <v>20</v>
      </c>
      <c r="AL33" s="14">
        <f t="shared" si="18"/>
        <v>20</v>
      </c>
      <c r="AM33" s="14"/>
      <c r="AN33" s="14"/>
      <c r="AO33" s="14"/>
    </row>
    <row r="34" spans="1:41" s="1" customFormat="1" ht="11.1" customHeight="1" outlineLevel="1" x14ac:dyDescent="0.2">
      <c r="A34" s="7" t="s">
        <v>36</v>
      </c>
      <c r="B34" s="7" t="s">
        <v>8</v>
      </c>
      <c r="C34" s="8">
        <v>19.201000000000001</v>
      </c>
      <c r="D34" s="8">
        <v>185.50299999999999</v>
      </c>
      <c r="E34" s="8">
        <v>50.715000000000003</v>
      </c>
      <c r="F34" s="8">
        <v>153.989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4">
        <f>VLOOKUP(A:A,[2]TDSheet!$A:$F,6,0)</f>
        <v>50.7</v>
      </c>
      <c r="K34" s="14">
        <f t="shared" si="12"/>
        <v>1.5000000000000568E-2</v>
      </c>
      <c r="L34" s="14">
        <f>VLOOKUP(A:A,[1]TDSheet!$A:$X,24,0)</f>
        <v>30</v>
      </c>
      <c r="M34" s="14"/>
      <c r="N34" s="14"/>
      <c r="O34" s="14"/>
      <c r="P34" s="14"/>
      <c r="Q34" s="14"/>
      <c r="R34" s="14"/>
      <c r="S34" s="14"/>
      <c r="T34" s="14"/>
      <c r="U34" s="14"/>
      <c r="V34" s="16"/>
      <c r="W34" s="14">
        <f t="shared" si="13"/>
        <v>25.357500000000002</v>
      </c>
      <c r="X34" s="16">
        <v>30</v>
      </c>
      <c r="Y34" s="19">
        <f t="shared" si="14"/>
        <v>6.9083084750577886</v>
      </c>
      <c r="Z34" s="17">
        <f t="shared" si="15"/>
        <v>8.4388839593808527</v>
      </c>
      <c r="AA34" s="14"/>
      <c r="AB34" s="14"/>
      <c r="AC34" s="14">
        <v>0</v>
      </c>
      <c r="AD34" s="14">
        <f>VLOOKUP(A:A,[1]TDSheet!$A:$AD,30,0)</f>
        <v>30.839199999999998</v>
      </c>
      <c r="AE34" s="14">
        <f>VLOOKUP(A:A,[1]TDSheet!$A:$AE,31,0)</f>
        <v>28.170800000000003</v>
      </c>
      <c r="AF34" s="14">
        <f>VLOOKUP(A:A,[1]TDSheet!$A:$AF,32,0)</f>
        <v>30.975599999999996</v>
      </c>
      <c r="AG34" s="14">
        <f>VLOOKUP(A:A,[1]TDSheet!$A:$AG,33,0)</f>
        <v>41.822800000000001</v>
      </c>
      <c r="AH34" s="14">
        <f>VLOOKUP(A:A,[3]TDSheet!$A:$D,4,0)</f>
        <v>20.89</v>
      </c>
      <c r="AI34" s="14" t="str">
        <f>VLOOKUP(A:A,[1]TDSheet!$A:$AI,35,0)</f>
        <v>увел</v>
      </c>
      <c r="AJ34" s="14">
        <f t="shared" si="16"/>
        <v>0</v>
      </c>
      <c r="AK34" s="14">
        <f t="shared" si="17"/>
        <v>0</v>
      </c>
      <c r="AL34" s="14">
        <f t="shared" si="18"/>
        <v>30</v>
      </c>
      <c r="AM34" s="14"/>
      <c r="AN34" s="14"/>
      <c r="AO34" s="14"/>
    </row>
    <row r="35" spans="1:41" s="1" customFormat="1" ht="11.1" customHeight="1" outlineLevel="1" x14ac:dyDescent="0.2">
      <c r="A35" s="7" t="s">
        <v>37</v>
      </c>
      <c r="B35" s="7" t="s">
        <v>8</v>
      </c>
      <c r="C35" s="8">
        <v>514.11699999999996</v>
      </c>
      <c r="D35" s="8">
        <v>1351.87</v>
      </c>
      <c r="E35" s="8">
        <v>706.63099999999997</v>
      </c>
      <c r="F35" s="8">
        <v>1150.0229999999999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4">
        <f>VLOOKUP(A:A,[2]TDSheet!$A:$F,6,0)</f>
        <v>711.52700000000004</v>
      </c>
      <c r="K35" s="14">
        <f t="shared" si="12"/>
        <v>-4.8960000000000719</v>
      </c>
      <c r="L35" s="14">
        <f>VLOOKUP(A:A,[1]TDSheet!$A:$X,24,0)</f>
        <v>300</v>
      </c>
      <c r="M35" s="14"/>
      <c r="N35" s="14"/>
      <c r="O35" s="14"/>
      <c r="P35" s="14"/>
      <c r="Q35" s="14"/>
      <c r="R35" s="14"/>
      <c r="S35" s="14"/>
      <c r="T35" s="14"/>
      <c r="U35" s="14"/>
      <c r="V35" s="16">
        <v>300</v>
      </c>
      <c r="W35" s="14">
        <f t="shared" si="13"/>
        <v>353.31549999999999</v>
      </c>
      <c r="X35" s="16">
        <v>450</v>
      </c>
      <c r="Y35" s="19">
        <f t="shared" si="14"/>
        <v>6.7348893622310122</v>
      </c>
      <c r="Z35" s="17">
        <f t="shared" si="15"/>
        <v>6.2267944655697249</v>
      </c>
      <c r="AA35" s="14"/>
      <c r="AB35" s="14"/>
      <c r="AC35" s="14">
        <v>0</v>
      </c>
      <c r="AD35" s="14">
        <f>VLOOKUP(A:A,[1]TDSheet!$A:$AD,30,0)</f>
        <v>364.33580000000001</v>
      </c>
      <c r="AE35" s="14">
        <f>VLOOKUP(A:A,[1]TDSheet!$A:$AE,31,0)</f>
        <v>334.79160000000002</v>
      </c>
      <c r="AF35" s="14">
        <f>VLOOKUP(A:A,[1]TDSheet!$A:$AF,32,0)</f>
        <v>326.66060000000004</v>
      </c>
      <c r="AG35" s="14">
        <f>VLOOKUP(A:A,[1]TDSheet!$A:$AG,33,0)</f>
        <v>355.68400000000003</v>
      </c>
      <c r="AH35" s="14">
        <f>VLOOKUP(A:A,[3]TDSheet!$A:$D,4,0)</f>
        <v>290.33300000000003</v>
      </c>
      <c r="AI35" s="14" t="str">
        <f>VLOOKUP(A:A,[1]TDSheet!$A:$AI,35,0)</f>
        <v>оконч</v>
      </c>
      <c r="AJ35" s="14">
        <f t="shared" si="16"/>
        <v>0</v>
      </c>
      <c r="AK35" s="14">
        <f t="shared" si="17"/>
        <v>300</v>
      </c>
      <c r="AL35" s="14">
        <f t="shared" si="18"/>
        <v>450</v>
      </c>
      <c r="AM35" s="14"/>
      <c r="AN35" s="14"/>
      <c r="AO35" s="14"/>
    </row>
    <row r="36" spans="1:41" s="1" customFormat="1" ht="21.95" customHeight="1" outlineLevel="1" x14ac:dyDescent="0.2">
      <c r="A36" s="22" t="s">
        <v>38</v>
      </c>
      <c r="B36" s="7" t="s">
        <v>8</v>
      </c>
      <c r="C36" s="8">
        <v>137.58699999999999</v>
      </c>
      <c r="D36" s="8">
        <v>53.381999999999998</v>
      </c>
      <c r="E36" s="8">
        <v>22.507000000000001</v>
      </c>
      <c r="F36" s="8">
        <v>166.97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4">
        <f>VLOOKUP(A:A,[2]TDSheet!$A:$F,6,0)</f>
        <v>22.4</v>
      </c>
      <c r="K36" s="14">
        <f t="shared" si="12"/>
        <v>0.10700000000000287</v>
      </c>
      <c r="L36" s="14">
        <f>VLOOKUP(A:A,[1]TDSheet!$A:$X,24,0)</f>
        <v>0</v>
      </c>
      <c r="M36" s="14"/>
      <c r="N36" s="14"/>
      <c r="O36" s="14"/>
      <c r="P36" s="14"/>
      <c r="Q36" s="14"/>
      <c r="R36" s="14"/>
      <c r="S36" s="14"/>
      <c r="T36" s="14"/>
      <c r="U36" s="14"/>
      <c r="V36" s="16"/>
      <c r="W36" s="14">
        <f t="shared" si="13"/>
        <v>11.253500000000001</v>
      </c>
      <c r="X36" s="16"/>
      <c r="Y36" s="19">
        <f t="shared" si="14"/>
        <v>6.3977102044569785</v>
      </c>
      <c r="Z36" s="17">
        <f t="shared" si="15"/>
        <v>14.837161771893188</v>
      </c>
      <c r="AA36" s="14"/>
      <c r="AB36" s="14"/>
      <c r="AC36" s="14">
        <v>0</v>
      </c>
      <c r="AD36" s="14">
        <f>VLOOKUP(A:A,[1]TDSheet!$A:$AD,30,0)</f>
        <v>19.1998</v>
      </c>
      <c r="AE36" s="14">
        <f>VLOOKUP(A:A,[1]TDSheet!$A:$AE,31,0)</f>
        <v>19.645</v>
      </c>
      <c r="AF36" s="14">
        <f>VLOOKUP(A:A,[1]TDSheet!$A:$AF,32,0)</f>
        <v>26.098399999999998</v>
      </c>
      <c r="AG36" s="14">
        <f>VLOOKUP(A:A,[1]TDSheet!$A:$AG,33,0)</f>
        <v>18.698799999999999</v>
      </c>
      <c r="AH36" s="14">
        <f>VLOOKUP(A:A,[3]TDSheet!$A:$D,4,0)</f>
        <v>0.996</v>
      </c>
      <c r="AI36" s="23" t="str">
        <f>VLOOKUP(A:A,[1]TDSheet!$A:$AI,35,0)</f>
        <v>увел</v>
      </c>
      <c r="AJ36" s="14">
        <f t="shared" si="16"/>
        <v>0</v>
      </c>
      <c r="AK36" s="14">
        <f t="shared" si="17"/>
        <v>0</v>
      </c>
      <c r="AL36" s="14">
        <f t="shared" si="18"/>
        <v>0</v>
      </c>
      <c r="AM36" s="14"/>
      <c r="AN36" s="14"/>
      <c r="AO36" s="14"/>
    </row>
    <row r="37" spans="1:41" s="1" customFormat="1" ht="11.1" customHeight="1" outlineLevel="1" x14ac:dyDescent="0.2">
      <c r="A37" s="22" t="s">
        <v>39</v>
      </c>
      <c r="B37" s="7" t="s">
        <v>8</v>
      </c>
      <c r="C37" s="8">
        <v>83.903999999999996</v>
      </c>
      <c r="D37" s="8">
        <v>89.183999999999997</v>
      </c>
      <c r="E37" s="8">
        <v>14.666</v>
      </c>
      <c r="F37" s="8">
        <v>158.422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4">
        <f>VLOOKUP(A:A,[2]TDSheet!$A:$F,6,0)</f>
        <v>13.5</v>
      </c>
      <c r="K37" s="14">
        <f t="shared" si="12"/>
        <v>1.1660000000000004</v>
      </c>
      <c r="L37" s="14">
        <f>VLOOKUP(A:A,[1]TDSheet!$A:$X,24,0)</f>
        <v>30</v>
      </c>
      <c r="M37" s="14"/>
      <c r="N37" s="14"/>
      <c r="O37" s="14"/>
      <c r="P37" s="14"/>
      <c r="Q37" s="14"/>
      <c r="R37" s="14"/>
      <c r="S37" s="14"/>
      <c r="T37" s="14"/>
      <c r="U37" s="14"/>
      <c r="V37" s="16"/>
      <c r="W37" s="14">
        <f t="shared" si="13"/>
        <v>7.3330000000000002</v>
      </c>
      <c r="X37" s="16"/>
      <c r="Y37" s="19">
        <f t="shared" si="14"/>
        <v>7.1982732273838632</v>
      </c>
      <c r="Z37" s="17">
        <f t="shared" si="15"/>
        <v>25.695077048956769</v>
      </c>
      <c r="AA37" s="14"/>
      <c r="AB37" s="14"/>
      <c r="AC37" s="14">
        <v>0</v>
      </c>
      <c r="AD37" s="14">
        <f>VLOOKUP(A:A,[1]TDSheet!$A:$AD,30,0)</f>
        <v>24.002800000000001</v>
      </c>
      <c r="AE37" s="14">
        <f>VLOOKUP(A:A,[1]TDSheet!$A:$AE,31,0)</f>
        <v>16.987200000000001</v>
      </c>
      <c r="AF37" s="14">
        <f>VLOOKUP(A:A,[1]TDSheet!$A:$AF,32,0)</f>
        <v>26.175999999999998</v>
      </c>
      <c r="AG37" s="14">
        <f>VLOOKUP(A:A,[1]TDSheet!$A:$AG,33,0)</f>
        <v>21.5246</v>
      </c>
      <c r="AH37" s="14">
        <f>VLOOKUP(A:A,[3]TDSheet!$A:$D,4,0)</f>
        <v>9.9580000000000002</v>
      </c>
      <c r="AI37" s="23" t="s">
        <v>163</v>
      </c>
      <c r="AJ37" s="14">
        <f t="shared" si="16"/>
        <v>0</v>
      </c>
      <c r="AK37" s="14">
        <f t="shared" si="17"/>
        <v>0</v>
      </c>
      <c r="AL37" s="14">
        <f t="shared" si="18"/>
        <v>0</v>
      </c>
      <c r="AM37" s="14"/>
      <c r="AN37" s="14"/>
      <c r="AO37" s="14"/>
    </row>
    <row r="38" spans="1:41" s="1" customFormat="1" ht="11.1" customHeight="1" outlineLevel="1" x14ac:dyDescent="0.2">
      <c r="A38" s="7" t="s">
        <v>40</v>
      </c>
      <c r="B38" s="7" t="s">
        <v>8</v>
      </c>
      <c r="C38" s="8">
        <v>416.17200000000003</v>
      </c>
      <c r="D38" s="8">
        <v>567.77800000000002</v>
      </c>
      <c r="E38" s="8">
        <v>371.11700000000002</v>
      </c>
      <c r="F38" s="8">
        <v>611.34900000000005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4">
        <f>VLOOKUP(A:A,[2]TDSheet!$A:$F,6,0)</f>
        <v>346.72</v>
      </c>
      <c r="K38" s="14">
        <f t="shared" si="12"/>
        <v>24.396999999999991</v>
      </c>
      <c r="L38" s="14">
        <f>VLOOKUP(A:A,[1]TDSheet!$A:$X,24,0)</f>
        <v>100</v>
      </c>
      <c r="M38" s="14"/>
      <c r="N38" s="14"/>
      <c r="O38" s="14"/>
      <c r="P38" s="14"/>
      <c r="Q38" s="14"/>
      <c r="R38" s="14"/>
      <c r="S38" s="14"/>
      <c r="T38" s="14"/>
      <c r="U38" s="14"/>
      <c r="V38" s="16">
        <v>300</v>
      </c>
      <c r="W38" s="14">
        <f t="shared" si="13"/>
        <v>185.55850000000001</v>
      </c>
      <c r="X38" s="16">
        <v>250</v>
      </c>
      <c r="Y38" s="19">
        <f t="shared" si="14"/>
        <v>6.35415973997973</v>
      </c>
      <c r="Z38" s="17">
        <f t="shared" si="15"/>
        <v>6.7975813557449545</v>
      </c>
      <c r="AA38" s="14"/>
      <c r="AB38" s="14"/>
      <c r="AC38" s="14">
        <v>0</v>
      </c>
      <c r="AD38" s="14">
        <f>VLOOKUP(A:A,[1]TDSheet!$A:$AD,30,0)</f>
        <v>239.15120000000002</v>
      </c>
      <c r="AE38" s="14">
        <f>VLOOKUP(A:A,[1]TDSheet!$A:$AE,31,0)</f>
        <v>219.10579999999999</v>
      </c>
      <c r="AF38" s="14">
        <f>VLOOKUP(A:A,[1]TDSheet!$A:$AF,32,0)</f>
        <v>198.5076</v>
      </c>
      <c r="AG38" s="14">
        <f>VLOOKUP(A:A,[1]TDSheet!$A:$AG,33,0)</f>
        <v>174.524</v>
      </c>
      <c r="AH38" s="14">
        <f>VLOOKUP(A:A,[3]TDSheet!$A:$D,4,0)</f>
        <v>140.70400000000001</v>
      </c>
      <c r="AI38" s="14" t="str">
        <f>VLOOKUP(A:A,[1]TDSheet!$A:$AI,35,0)</f>
        <v>жц</v>
      </c>
      <c r="AJ38" s="14">
        <f t="shared" si="16"/>
        <v>0</v>
      </c>
      <c r="AK38" s="14">
        <f t="shared" si="17"/>
        <v>300</v>
      </c>
      <c r="AL38" s="14">
        <f t="shared" si="18"/>
        <v>250</v>
      </c>
      <c r="AM38" s="14"/>
      <c r="AN38" s="14"/>
      <c r="AO38" s="14"/>
    </row>
    <row r="39" spans="1:41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</v>
      </c>
      <c r="F39" s="8">
        <v>0.92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4">
        <f>VLOOKUP(A:A,[2]TDSheet!$A:$F,6,0)</f>
        <v>0.9</v>
      </c>
      <c r="K39" s="14">
        <f t="shared" si="12"/>
        <v>-0.9</v>
      </c>
      <c r="L39" s="14">
        <f>VLOOKUP(A:A,[1]TDSheet!$A:$X,24,0)</f>
        <v>0</v>
      </c>
      <c r="M39" s="14"/>
      <c r="N39" s="14"/>
      <c r="O39" s="14"/>
      <c r="P39" s="14"/>
      <c r="Q39" s="14"/>
      <c r="R39" s="14"/>
      <c r="S39" s="14"/>
      <c r="T39" s="14"/>
      <c r="U39" s="14"/>
      <c r="V39" s="16"/>
      <c r="W39" s="14">
        <f t="shared" si="13"/>
        <v>0</v>
      </c>
      <c r="X39" s="16"/>
      <c r="Y39" s="19">
        <f t="shared" si="14"/>
        <v>1.6684802321363801</v>
      </c>
      <c r="Z39" s="17" t="e">
        <f t="shared" si="15"/>
        <v>#DIV/0!</v>
      </c>
      <c r="AA39" s="14"/>
      <c r="AB39" s="14"/>
      <c r="AC39" s="14">
        <v>0</v>
      </c>
      <c r="AD39" s="14">
        <f>VLOOKUP(A:A,[1]TDSheet!$A:$AD,30,0)</f>
        <v>1.0891999999999999</v>
      </c>
      <c r="AE39" s="14">
        <f>VLOOKUP(A:A,[1]TDSheet!$A:$AE,31,0)</f>
        <v>0.36659999999999998</v>
      </c>
      <c r="AF39" s="14">
        <f>VLOOKUP(A:A,[1]TDSheet!$A:$AF,32,0)</f>
        <v>0.5514</v>
      </c>
      <c r="AG39" s="14">
        <f>VLOOKUP(A:A,[1]TDSheet!$A:$AG,33,0)</f>
        <v>4.1146000000000003</v>
      </c>
      <c r="AH39" s="14">
        <f>VLOOKUP(A:A,[3]TDSheet!$A:$D,4,0)</f>
        <v>-1.8080000000000001</v>
      </c>
      <c r="AI39" s="14" t="str">
        <f>VLOOKUP(A:A,[1]TDSheet!$A:$AI,35,0)</f>
        <v>увел</v>
      </c>
      <c r="AJ39" s="14">
        <f t="shared" si="16"/>
        <v>0</v>
      </c>
      <c r="AK39" s="14">
        <f t="shared" si="17"/>
        <v>0</v>
      </c>
      <c r="AL39" s="14">
        <f t="shared" si="18"/>
        <v>0</v>
      </c>
      <c r="AM39" s="14"/>
      <c r="AN39" s="14"/>
      <c r="AO39" s="14"/>
    </row>
    <row r="40" spans="1:41" s="1" customFormat="1" ht="11.1" customHeight="1" outlineLevel="1" x14ac:dyDescent="0.2">
      <c r="A40" s="7" t="s">
        <v>42</v>
      </c>
      <c r="B40" s="7" t="s">
        <v>12</v>
      </c>
      <c r="C40" s="8">
        <v>329</v>
      </c>
      <c r="D40" s="8">
        <v>2976</v>
      </c>
      <c r="E40" s="8">
        <v>565</v>
      </c>
      <c r="F40" s="8">
        <v>1732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4">
        <f>VLOOKUP(A:A,[2]TDSheet!$A:$F,6,0)</f>
        <v>1571</v>
      </c>
      <c r="K40" s="14">
        <f t="shared" si="12"/>
        <v>-1006</v>
      </c>
      <c r="L40" s="14">
        <f>VLOOKUP(A:A,[1]TDSheet!$A:$X,24,0)</f>
        <v>400</v>
      </c>
      <c r="M40" s="14"/>
      <c r="N40" s="14"/>
      <c r="O40" s="14"/>
      <c r="P40" s="14"/>
      <c r="Q40" s="14"/>
      <c r="R40" s="14"/>
      <c r="S40" s="14"/>
      <c r="T40" s="14"/>
      <c r="U40" s="14"/>
      <c r="V40" s="16">
        <v>300</v>
      </c>
      <c r="W40" s="14">
        <f t="shared" si="13"/>
        <v>282.5</v>
      </c>
      <c r="X40" s="16">
        <v>300</v>
      </c>
      <c r="Y40" s="19">
        <f t="shared" si="14"/>
        <v>7.3401397098334229</v>
      </c>
      <c r="Z40" s="17">
        <f t="shared" si="15"/>
        <v>9.6707964601769909</v>
      </c>
      <c r="AA40" s="14"/>
      <c r="AB40" s="14"/>
      <c r="AC40" s="14">
        <f>VLOOKUP(A:A,[4]TDSheet!$A:$D,4,0)</f>
        <v>1002</v>
      </c>
      <c r="AD40" s="14">
        <f>VLOOKUP(A:A,[1]TDSheet!$A:$AD,30,0)</f>
        <v>360.6</v>
      </c>
      <c r="AE40" s="14">
        <f>VLOOKUP(A:A,[1]TDSheet!$A:$AE,31,0)</f>
        <v>336.4</v>
      </c>
      <c r="AF40" s="14">
        <f>VLOOKUP(A:A,[1]TDSheet!$A:$AF,32,0)</f>
        <v>372.2</v>
      </c>
      <c r="AG40" s="14">
        <f>VLOOKUP(A:A,[1]TDSheet!$A:$AG,33,0)</f>
        <v>512.6</v>
      </c>
      <c r="AH40" s="14">
        <f>VLOOKUP(A:A,[3]TDSheet!$A:$D,4,0)</f>
        <v>231</v>
      </c>
      <c r="AI40" s="14" t="str">
        <f>VLOOKUP(A:A,[1]TDSheet!$A:$AI,35,0)</f>
        <v>оконч</v>
      </c>
      <c r="AJ40" s="14">
        <f t="shared" si="16"/>
        <v>0</v>
      </c>
      <c r="AK40" s="14">
        <f t="shared" si="17"/>
        <v>105</v>
      </c>
      <c r="AL40" s="14">
        <f t="shared" si="18"/>
        <v>105</v>
      </c>
      <c r="AM40" s="14"/>
      <c r="AN40" s="14"/>
      <c r="AO40" s="14"/>
    </row>
    <row r="41" spans="1:41" s="1" customFormat="1" ht="11.1" customHeight="1" outlineLevel="1" x14ac:dyDescent="0.2">
      <c r="A41" s="7" t="s">
        <v>43</v>
      </c>
      <c r="B41" s="7" t="s">
        <v>12</v>
      </c>
      <c r="C41" s="8">
        <v>754</v>
      </c>
      <c r="D41" s="8">
        <v>2441</v>
      </c>
      <c r="E41" s="8">
        <v>1148</v>
      </c>
      <c r="F41" s="8">
        <v>1916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4">
        <f>VLOOKUP(A:A,[2]TDSheet!$A:$F,6,0)</f>
        <v>1291</v>
      </c>
      <c r="K41" s="14">
        <f t="shared" si="12"/>
        <v>-143</v>
      </c>
      <c r="L41" s="14">
        <f>VLOOKUP(A:A,[1]TDSheet!$A:$X,24,0)</f>
        <v>600</v>
      </c>
      <c r="M41" s="14"/>
      <c r="N41" s="14"/>
      <c r="O41" s="14"/>
      <c r="P41" s="14"/>
      <c r="Q41" s="14"/>
      <c r="R41" s="14"/>
      <c r="S41" s="14"/>
      <c r="T41" s="14">
        <v>402</v>
      </c>
      <c r="U41" s="14"/>
      <c r="V41" s="16">
        <v>1000</v>
      </c>
      <c r="W41" s="14">
        <f t="shared" si="13"/>
        <v>574</v>
      </c>
      <c r="X41" s="16">
        <v>700</v>
      </c>
      <c r="Y41" s="19">
        <f t="shared" si="14"/>
        <v>6.9662921348314599</v>
      </c>
      <c r="Z41" s="17">
        <f t="shared" si="15"/>
        <v>7.3449477351916377</v>
      </c>
      <c r="AA41" s="14"/>
      <c r="AB41" s="14"/>
      <c r="AC41" s="14">
        <f>VLOOKUP(A:A,[4]TDSheet!$A:$D,4,0)</f>
        <v>102</v>
      </c>
      <c r="AD41" s="14">
        <f>VLOOKUP(A:A,[1]TDSheet!$A:$AD,30,0)</f>
        <v>651.4</v>
      </c>
      <c r="AE41" s="14">
        <f>VLOOKUP(A:A,[1]TDSheet!$A:$AE,31,0)</f>
        <v>616</v>
      </c>
      <c r="AF41" s="14">
        <f>VLOOKUP(A:A,[1]TDSheet!$A:$AF,32,0)</f>
        <v>605.20000000000005</v>
      </c>
      <c r="AG41" s="14">
        <f>VLOOKUP(A:A,[1]TDSheet!$A:$AG,33,0)</f>
        <v>646.6</v>
      </c>
      <c r="AH41" s="14">
        <f>VLOOKUP(A:A,[3]TDSheet!$A:$D,4,0)</f>
        <v>561</v>
      </c>
      <c r="AI41" s="14">
        <f>VLOOKUP(A:A,[1]TDSheet!$A:$AI,35,0)</f>
        <v>0</v>
      </c>
      <c r="AJ41" s="14">
        <f t="shared" si="16"/>
        <v>160.80000000000001</v>
      </c>
      <c r="AK41" s="14">
        <f t="shared" si="17"/>
        <v>400</v>
      </c>
      <c r="AL41" s="14">
        <f t="shared" si="18"/>
        <v>280</v>
      </c>
      <c r="AM41" s="14"/>
      <c r="AN41" s="14"/>
      <c r="AO41" s="14"/>
    </row>
    <row r="42" spans="1:41" s="1" customFormat="1" ht="11.1" customHeight="1" outlineLevel="1" x14ac:dyDescent="0.2">
      <c r="A42" s="7" t="s">
        <v>44</v>
      </c>
      <c r="B42" s="7" t="s">
        <v>12</v>
      </c>
      <c r="C42" s="8">
        <v>161</v>
      </c>
      <c r="D42" s="8">
        <v>4501</v>
      </c>
      <c r="E42" s="8">
        <v>1824</v>
      </c>
      <c r="F42" s="8">
        <v>1737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4">
        <f>VLOOKUP(A:A,[2]TDSheet!$A:$F,6,0)</f>
        <v>2942</v>
      </c>
      <c r="K42" s="14">
        <f t="shared" si="12"/>
        <v>-1118</v>
      </c>
      <c r="L42" s="14">
        <f>VLOOKUP(A:A,[1]TDSheet!$A:$X,24,0)</f>
        <v>1200</v>
      </c>
      <c r="M42" s="14"/>
      <c r="N42" s="14"/>
      <c r="O42" s="14"/>
      <c r="P42" s="14"/>
      <c r="Q42" s="14"/>
      <c r="R42" s="14"/>
      <c r="S42" s="14"/>
      <c r="T42" s="14">
        <v>750</v>
      </c>
      <c r="U42" s="14"/>
      <c r="V42" s="16">
        <v>1200</v>
      </c>
      <c r="W42" s="14">
        <f t="shared" si="13"/>
        <v>912</v>
      </c>
      <c r="X42" s="16">
        <v>1000</v>
      </c>
      <c r="Y42" s="19">
        <f t="shared" si="14"/>
        <v>8.3338741077222593</v>
      </c>
      <c r="Z42" s="17">
        <f t="shared" si="15"/>
        <v>5.6326754385964914</v>
      </c>
      <c r="AA42" s="14"/>
      <c r="AB42" s="14"/>
      <c r="AC42" s="14">
        <f>VLOOKUP(A:A,[4]TDSheet!$A:$D,4,0)</f>
        <v>1050</v>
      </c>
      <c r="AD42" s="14">
        <f>VLOOKUP(A:A,[1]TDSheet!$A:$AD,30,0)</f>
        <v>774</v>
      </c>
      <c r="AE42" s="14">
        <f>VLOOKUP(A:A,[1]TDSheet!$A:$AE,31,0)</f>
        <v>585.6</v>
      </c>
      <c r="AF42" s="14">
        <f>VLOOKUP(A:A,[1]TDSheet!$A:$AF,32,0)</f>
        <v>616.4</v>
      </c>
      <c r="AG42" s="14">
        <f>VLOOKUP(A:A,[1]TDSheet!$A:$AG,33,0)</f>
        <v>929.2</v>
      </c>
      <c r="AH42" s="14">
        <f>VLOOKUP(A:A,[3]TDSheet!$A:$D,4,0)</f>
        <v>845</v>
      </c>
      <c r="AI42" s="14" t="str">
        <f>VLOOKUP(A:A,[1]TDSheet!$A:$AI,35,0)</f>
        <v>оконч</v>
      </c>
      <c r="AJ42" s="14">
        <f t="shared" si="16"/>
        <v>337.5</v>
      </c>
      <c r="AK42" s="14">
        <f t="shared" si="17"/>
        <v>540</v>
      </c>
      <c r="AL42" s="14">
        <f t="shared" si="18"/>
        <v>450</v>
      </c>
      <c r="AM42" s="14"/>
      <c r="AN42" s="14"/>
      <c r="AO42" s="14"/>
    </row>
    <row r="43" spans="1:41" s="1" customFormat="1" ht="11.1" customHeight="1" outlineLevel="1" x14ac:dyDescent="0.2">
      <c r="A43" s="22" t="s">
        <v>45</v>
      </c>
      <c r="B43" s="7" t="s">
        <v>12</v>
      </c>
      <c r="C43" s="8">
        <v>19</v>
      </c>
      <c r="D43" s="8"/>
      <c r="E43" s="8">
        <v>10</v>
      </c>
      <c r="F43" s="8">
        <v>9</v>
      </c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4">
        <f>VLOOKUP(A:A,[2]TDSheet!$A:$F,6,0)</f>
        <v>20</v>
      </c>
      <c r="K43" s="14">
        <f t="shared" si="12"/>
        <v>-10</v>
      </c>
      <c r="L43" s="14">
        <f>VLOOKUP(A:A,[1]TDSheet!$A:$X,24,0)</f>
        <v>0</v>
      </c>
      <c r="M43" s="14"/>
      <c r="N43" s="14"/>
      <c r="O43" s="14"/>
      <c r="P43" s="14"/>
      <c r="Q43" s="14"/>
      <c r="R43" s="14"/>
      <c r="S43" s="14"/>
      <c r="T43" s="14"/>
      <c r="U43" s="14"/>
      <c r="V43" s="16"/>
      <c r="W43" s="14">
        <f t="shared" si="13"/>
        <v>5</v>
      </c>
      <c r="X43" s="16"/>
      <c r="Y43" s="19" t="e">
        <f t="shared" si="14"/>
        <v>#DIV/0!</v>
      </c>
      <c r="Z43" s="17">
        <f t="shared" si="15"/>
        <v>1.8</v>
      </c>
      <c r="AA43" s="14"/>
      <c r="AB43" s="14"/>
      <c r="AC43" s="14">
        <v>0</v>
      </c>
      <c r="AD43" s="14">
        <f>VLOOKUP(A:A,[1]TDSheet!$A:$AD,30,0)</f>
        <v>0</v>
      </c>
      <c r="AE43" s="14">
        <f>VLOOKUP(A:A,[1]TDSheet!$A:$AE,31,0)</f>
        <v>0</v>
      </c>
      <c r="AF43" s="14">
        <f>VLOOKUP(A:A,[1]TDSheet!$A:$AF,32,0)</f>
        <v>0</v>
      </c>
      <c r="AG43" s="14">
        <f>VLOOKUP(A:A,[1]TDSheet!$A:$AG,33,0)</f>
        <v>10.4</v>
      </c>
      <c r="AH43" s="14">
        <f>VLOOKUP(A:A,[3]TDSheet!$A:$D,4,0)</f>
        <v>8</v>
      </c>
      <c r="AI43" s="23" t="s">
        <v>163</v>
      </c>
      <c r="AJ43" s="14">
        <f t="shared" si="16"/>
        <v>0</v>
      </c>
      <c r="AK43" s="14">
        <f t="shared" si="17"/>
        <v>0</v>
      </c>
      <c r="AL43" s="14">
        <f t="shared" si="18"/>
        <v>0</v>
      </c>
      <c r="AM43" s="14"/>
      <c r="AN43" s="14"/>
      <c r="AO43" s="14"/>
    </row>
    <row r="44" spans="1:41" s="1" customFormat="1" ht="11.1" customHeight="1" outlineLevel="1" x14ac:dyDescent="0.2">
      <c r="A44" s="22" t="s">
        <v>46</v>
      </c>
      <c r="B44" s="7" t="s">
        <v>12</v>
      </c>
      <c r="C44" s="8">
        <v>99</v>
      </c>
      <c r="D44" s="8"/>
      <c r="E44" s="8">
        <v>0</v>
      </c>
      <c r="F44" s="8">
        <v>99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4">
        <f>VLOOKUP(A:A,[2]TDSheet!$A:$F,6,0)</f>
        <v>6</v>
      </c>
      <c r="K44" s="14">
        <f t="shared" si="12"/>
        <v>-6</v>
      </c>
      <c r="L44" s="14">
        <f>VLOOKUP(A:A,[1]TDSheet!$A:$X,24,0)</f>
        <v>0</v>
      </c>
      <c r="M44" s="14"/>
      <c r="N44" s="14"/>
      <c r="O44" s="14"/>
      <c r="P44" s="14"/>
      <c r="Q44" s="14"/>
      <c r="R44" s="14"/>
      <c r="S44" s="14"/>
      <c r="T44" s="14"/>
      <c r="U44" s="14"/>
      <c r="V44" s="16"/>
      <c r="W44" s="14">
        <f t="shared" si="13"/>
        <v>0</v>
      </c>
      <c r="X44" s="16"/>
      <c r="Y44" s="19" t="e">
        <f t="shared" si="14"/>
        <v>#DIV/0!</v>
      </c>
      <c r="Z44" s="17" t="e">
        <f t="shared" si="15"/>
        <v>#DIV/0!</v>
      </c>
      <c r="AA44" s="14"/>
      <c r="AB44" s="14"/>
      <c r="AC44" s="14">
        <v>0</v>
      </c>
      <c r="AD44" s="14">
        <f>VLOOKUP(A:A,[1]TDSheet!$A:$AD,30,0)</f>
        <v>0</v>
      </c>
      <c r="AE44" s="14">
        <f>VLOOKUP(A:A,[1]TDSheet!$A:$AE,31,0)</f>
        <v>0</v>
      </c>
      <c r="AF44" s="14">
        <f>VLOOKUP(A:A,[1]TDSheet!$A:$AF,32,0)</f>
        <v>0</v>
      </c>
      <c r="AG44" s="14">
        <f>VLOOKUP(A:A,[1]TDSheet!$A:$AG,33,0)</f>
        <v>0</v>
      </c>
      <c r="AH44" s="14">
        <v>0</v>
      </c>
      <c r="AI44" s="23" t="s">
        <v>163</v>
      </c>
      <c r="AJ44" s="14">
        <f t="shared" si="16"/>
        <v>0</v>
      </c>
      <c r="AK44" s="14">
        <f t="shared" si="17"/>
        <v>0</v>
      </c>
      <c r="AL44" s="14">
        <f t="shared" si="18"/>
        <v>0</v>
      </c>
      <c r="AM44" s="14"/>
      <c r="AN44" s="14"/>
      <c r="AO44" s="14"/>
    </row>
    <row r="45" spans="1:41" s="1" customFormat="1" ht="11.1" customHeight="1" outlineLevel="1" x14ac:dyDescent="0.2">
      <c r="A45" s="7" t="s">
        <v>47</v>
      </c>
      <c r="B45" s="7" t="s">
        <v>8</v>
      </c>
      <c r="C45" s="8">
        <v>250.328</v>
      </c>
      <c r="D45" s="8">
        <v>293.53399999999999</v>
      </c>
      <c r="E45" s="8">
        <v>259.846</v>
      </c>
      <c r="F45" s="8">
        <v>282.60000000000002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4">
        <f>VLOOKUP(A:A,[2]TDSheet!$A:$F,6,0)</f>
        <v>252.20500000000001</v>
      </c>
      <c r="K45" s="14">
        <f t="shared" si="12"/>
        <v>7.6409999999999911</v>
      </c>
      <c r="L45" s="14">
        <f>VLOOKUP(A:A,[1]TDSheet!$A:$X,24,0)</f>
        <v>50</v>
      </c>
      <c r="M45" s="14"/>
      <c r="N45" s="14"/>
      <c r="O45" s="14"/>
      <c r="P45" s="14"/>
      <c r="Q45" s="14"/>
      <c r="R45" s="14"/>
      <c r="S45" s="14"/>
      <c r="T45" s="14"/>
      <c r="U45" s="14"/>
      <c r="V45" s="16">
        <v>200</v>
      </c>
      <c r="W45" s="14">
        <f t="shared" si="13"/>
        <v>129.923</v>
      </c>
      <c r="X45" s="16">
        <v>150</v>
      </c>
      <c r="Y45" s="19">
        <f t="shared" si="14"/>
        <v>6.9427210258872165</v>
      </c>
      <c r="Z45" s="17">
        <f t="shared" si="15"/>
        <v>5.2538811449858764</v>
      </c>
      <c r="AA45" s="14"/>
      <c r="AB45" s="14"/>
      <c r="AC45" s="14">
        <v>0</v>
      </c>
      <c r="AD45" s="14">
        <f>VLOOKUP(A:A,[1]TDSheet!$A:$AD,30,0)</f>
        <v>123.4212</v>
      </c>
      <c r="AE45" s="14">
        <f>VLOOKUP(A:A,[1]TDSheet!$A:$AE,31,0)</f>
        <v>107.28279999999999</v>
      </c>
      <c r="AF45" s="14">
        <f>VLOOKUP(A:A,[1]TDSheet!$A:$AF,32,0)</f>
        <v>98.318799999999996</v>
      </c>
      <c r="AG45" s="14">
        <f>VLOOKUP(A:A,[1]TDSheet!$A:$AG,33,0)</f>
        <v>105.9096</v>
      </c>
      <c r="AH45" s="14">
        <f>VLOOKUP(A:A,[3]TDSheet!$A:$D,4,0)</f>
        <v>150.25299999999999</v>
      </c>
      <c r="AI45" s="14">
        <f>VLOOKUP(A:A,[1]TDSheet!$A:$AI,35,0)</f>
        <v>0</v>
      </c>
      <c r="AJ45" s="14">
        <f t="shared" si="16"/>
        <v>0</v>
      </c>
      <c r="AK45" s="14">
        <f t="shared" si="17"/>
        <v>200</v>
      </c>
      <c r="AL45" s="14">
        <f t="shared" si="18"/>
        <v>150</v>
      </c>
      <c r="AM45" s="14"/>
      <c r="AN45" s="14"/>
      <c r="AO45" s="14"/>
    </row>
    <row r="46" spans="1:41" s="1" customFormat="1" ht="11.1" customHeight="1" outlineLevel="1" x14ac:dyDescent="0.2">
      <c r="A46" s="7" t="s">
        <v>48</v>
      </c>
      <c r="B46" s="7" t="s">
        <v>12</v>
      </c>
      <c r="C46" s="8">
        <v>3979</v>
      </c>
      <c r="D46" s="8">
        <v>26</v>
      </c>
      <c r="E46" s="8">
        <v>539</v>
      </c>
      <c r="F46" s="8">
        <v>3440</v>
      </c>
      <c r="G46" s="1">
        <f>VLOOKUP(A:A,[1]TDSheet!$A:$G,7,0)</f>
        <v>0</v>
      </c>
      <c r="H46" s="1">
        <f>VLOOKUP(A:A,[1]TDSheet!$A:$H,8,0)</f>
        <v>0.1</v>
      </c>
      <c r="I46" s="1">
        <f>VLOOKUP(A:A,[1]TDSheet!$A:$I,9,0)</f>
        <v>730</v>
      </c>
      <c r="J46" s="14">
        <f>VLOOKUP(A:A,[2]TDSheet!$A:$F,6,0)</f>
        <v>574</v>
      </c>
      <c r="K46" s="14">
        <f t="shared" si="12"/>
        <v>-35</v>
      </c>
      <c r="L46" s="14">
        <f>VLOOKUP(A:A,[1]TDSheet!$A:$X,24,0)</f>
        <v>0</v>
      </c>
      <c r="M46" s="14"/>
      <c r="N46" s="14"/>
      <c r="O46" s="14"/>
      <c r="P46" s="14"/>
      <c r="Q46" s="14"/>
      <c r="R46" s="14"/>
      <c r="S46" s="14"/>
      <c r="T46" s="14"/>
      <c r="U46" s="14"/>
      <c r="V46" s="16"/>
      <c r="W46" s="14">
        <f t="shared" si="13"/>
        <v>269.5</v>
      </c>
      <c r="X46" s="16"/>
      <c r="Y46" s="19">
        <f t="shared" si="14"/>
        <v>17.586912065439673</v>
      </c>
      <c r="Z46" s="17">
        <f t="shared" si="15"/>
        <v>12.764378478664193</v>
      </c>
      <c r="AA46" s="14"/>
      <c r="AB46" s="14"/>
      <c r="AC46" s="14">
        <v>0</v>
      </c>
      <c r="AD46" s="14">
        <f>VLOOKUP(A:A,[1]TDSheet!$A:$AD,30,0)</f>
        <v>231.2</v>
      </c>
      <c r="AE46" s="14">
        <f>VLOOKUP(A:A,[1]TDSheet!$A:$AE,31,0)</f>
        <v>187.6</v>
      </c>
      <c r="AF46" s="14">
        <f>VLOOKUP(A:A,[1]TDSheet!$A:$AF,32,0)</f>
        <v>195.6</v>
      </c>
      <c r="AG46" s="14">
        <f>VLOOKUP(A:A,[1]TDSheet!$A:$AG,33,0)</f>
        <v>192.8</v>
      </c>
      <c r="AH46" s="14">
        <f>VLOOKUP(A:A,[3]TDSheet!$A:$D,4,0)</f>
        <v>275</v>
      </c>
      <c r="AI46" s="14">
        <f>VLOOKUP(A:A,[1]TDSheet!$A:$AI,35,0)</f>
        <v>0</v>
      </c>
      <c r="AJ46" s="14">
        <f t="shared" si="16"/>
        <v>0</v>
      </c>
      <c r="AK46" s="14">
        <f t="shared" si="17"/>
        <v>0</v>
      </c>
      <c r="AL46" s="14">
        <f t="shared" si="18"/>
        <v>0</v>
      </c>
      <c r="AM46" s="14"/>
      <c r="AN46" s="14"/>
      <c r="AO46" s="14"/>
    </row>
    <row r="47" spans="1:41" s="1" customFormat="1" ht="11.1" customHeight="1" outlineLevel="1" x14ac:dyDescent="0.2">
      <c r="A47" s="22" t="s">
        <v>118</v>
      </c>
      <c r="B47" s="7" t="s">
        <v>12</v>
      </c>
      <c r="C47" s="8">
        <v>100</v>
      </c>
      <c r="D47" s="8">
        <v>5</v>
      </c>
      <c r="E47" s="8">
        <v>49</v>
      </c>
      <c r="F47" s="8">
        <v>51</v>
      </c>
      <c r="G47" s="1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4">
        <f>VLOOKUP(A:A,[2]TDSheet!$A:$F,6,0)</f>
        <v>64</v>
      </c>
      <c r="K47" s="14">
        <f t="shared" si="12"/>
        <v>-15</v>
      </c>
      <c r="L47" s="14">
        <f>VLOOKUP(A:A,[1]TDSheet!$A:$X,24,0)</f>
        <v>0</v>
      </c>
      <c r="M47" s="14"/>
      <c r="N47" s="14"/>
      <c r="O47" s="14"/>
      <c r="P47" s="14"/>
      <c r="Q47" s="14"/>
      <c r="R47" s="14"/>
      <c r="S47" s="14"/>
      <c r="T47" s="14"/>
      <c r="U47" s="14"/>
      <c r="V47" s="16"/>
      <c r="W47" s="14">
        <f t="shared" si="13"/>
        <v>24.5</v>
      </c>
      <c r="X47" s="16"/>
      <c r="Y47" s="19" t="e">
        <f t="shared" si="14"/>
        <v>#DIV/0!</v>
      </c>
      <c r="Z47" s="17">
        <f t="shared" si="15"/>
        <v>2.0816326530612246</v>
      </c>
      <c r="AA47" s="14"/>
      <c r="AB47" s="14"/>
      <c r="AC47" s="14">
        <v>0</v>
      </c>
      <c r="AD47" s="14">
        <f>VLOOKUP(A:A,[1]TDSheet!$A:$AD,30,0)</f>
        <v>0</v>
      </c>
      <c r="AE47" s="14">
        <f>VLOOKUP(A:A,[1]TDSheet!$A:$AE,31,0)</f>
        <v>0</v>
      </c>
      <c r="AF47" s="14">
        <f>VLOOKUP(A:A,[1]TDSheet!$A:$AF,32,0)</f>
        <v>0</v>
      </c>
      <c r="AG47" s="14">
        <f>VLOOKUP(A:A,[1]TDSheet!$A:$AG,33,0)</f>
        <v>0</v>
      </c>
      <c r="AH47" s="14">
        <f>VLOOKUP(A:A,[3]TDSheet!$A:$D,4,0)</f>
        <v>16</v>
      </c>
      <c r="AI47" s="23" t="s">
        <v>163</v>
      </c>
      <c r="AJ47" s="14">
        <f t="shared" si="16"/>
        <v>0</v>
      </c>
      <c r="AK47" s="14">
        <f t="shared" si="17"/>
        <v>0</v>
      </c>
      <c r="AL47" s="14">
        <f t="shared" si="18"/>
        <v>0</v>
      </c>
      <c r="AM47" s="14"/>
      <c r="AN47" s="14"/>
      <c r="AO47" s="14"/>
    </row>
    <row r="48" spans="1:41" s="1" customFormat="1" ht="21.95" customHeight="1" outlineLevel="1" x14ac:dyDescent="0.2">
      <c r="A48" s="7" t="s">
        <v>49</v>
      </c>
      <c r="B48" s="7" t="s">
        <v>12</v>
      </c>
      <c r="C48" s="8">
        <v>243</v>
      </c>
      <c r="D48" s="8">
        <v>1025</v>
      </c>
      <c r="E48" s="8">
        <v>471</v>
      </c>
      <c r="F48" s="8">
        <v>792</v>
      </c>
      <c r="G48" s="1">
        <f>VLOOKUP(A:A,[1]TDSheet!$A:$G,7,0)</f>
        <v>0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484</v>
      </c>
      <c r="K48" s="14">
        <f t="shared" si="12"/>
        <v>-13</v>
      </c>
      <c r="L48" s="14">
        <f>VLOOKUP(A:A,[1]TDSheet!$A:$X,24,0)</f>
        <v>300</v>
      </c>
      <c r="M48" s="14"/>
      <c r="N48" s="14"/>
      <c r="O48" s="14"/>
      <c r="P48" s="14"/>
      <c r="Q48" s="14"/>
      <c r="R48" s="14"/>
      <c r="S48" s="14"/>
      <c r="T48" s="14"/>
      <c r="U48" s="14"/>
      <c r="V48" s="16">
        <v>200</v>
      </c>
      <c r="W48" s="14">
        <f t="shared" si="13"/>
        <v>235.5</v>
      </c>
      <c r="X48" s="16">
        <v>200</v>
      </c>
      <c r="Y48" s="19">
        <f t="shared" si="14"/>
        <v>7.0377358490566042</v>
      </c>
      <c r="Z48" s="17">
        <f t="shared" si="15"/>
        <v>6.3354564755838645</v>
      </c>
      <c r="AA48" s="14"/>
      <c r="AB48" s="14"/>
      <c r="AC48" s="14">
        <v>0</v>
      </c>
      <c r="AD48" s="14">
        <f>VLOOKUP(A:A,[1]TDSheet!$A:$AD,30,0)</f>
        <v>245.2</v>
      </c>
      <c r="AE48" s="14">
        <f>VLOOKUP(A:A,[1]TDSheet!$A:$AE,31,0)</f>
        <v>206</v>
      </c>
      <c r="AF48" s="14">
        <f>VLOOKUP(A:A,[1]TDSheet!$A:$AF,32,0)</f>
        <v>212</v>
      </c>
      <c r="AG48" s="14">
        <f>VLOOKUP(A:A,[1]TDSheet!$A:$AG,33,0)</f>
        <v>280.2</v>
      </c>
      <c r="AH48" s="14">
        <f>VLOOKUP(A:A,[3]TDSheet!$A:$D,4,0)</f>
        <v>176</v>
      </c>
      <c r="AI48" s="14">
        <f>VLOOKUP(A:A,[1]TDSheet!$A:$AI,35,0)</f>
        <v>0</v>
      </c>
      <c r="AJ48" s="14">
        <f t="shared" si="16"/>
        <v>0</v>
      </c>
      <c r="AK48" s="14">
        <f t="shared" si="17"/>
        <v>70</v>
      </c>
      <c r="AL48" s="14">
        <f t="shared" si="18"/>
        <v>70</v>
      </c>
      <c r="AM48" s="14"/>
      <c r="AN48" s="14"/>
      <c r="AO48" s="14"/>
    </row>
    <row r="49" spans="1:41" s="1" customFormat="1" ht="11.1" customHeight="1" outlineLevel="1" x14ac:dyDescent="0.2">
      <c r="A49" s="7" t="s">
        <v>50</v>
      </c>
      <c r="B49" s="7" t="s">
        <v>8</v>
      </c>
      <c r="C49" s="8">
        <v>34.542999999999999</v>
      </c>
      <c r="D49" s="8">
        <v>269.69900000000001</v>
      </c>
      <c r="E49" s="8">
        <v>97.058000000000007</v>
      </c>
      <c r="F49" s="8">
        <v>207.184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4">
        <f>VLOOKUP(A:A,[2]TDSheet!$A:$F,6,0)</f>
        <v>101.16</v>
      </c>
      <c r="K49" s="14">
        <f t="shared" si="12"/>
        <v>-4.1019999999999897</v>
      </c>
      <c r="L49" s="14">
        <f>VLOOKUP(A:A,[1]TDSheet!$A:$X,24,0)</f>
        <v>80</v>
      </c>
      <c r="M49" s="14"/>
      <c r="N49" s="14"/>
      <c r="O49" s="14"/>
      <c r="P49" s="14"/>
      <c r="Q49" s="14"/>
      <c r="R49" s="14"/>
      <c r="S49" s="14"/>
      <c r="T49" s="14"/>
      <c r="U49" s="14"/>
      <c r="V49" s="16"/>
      <c r="W49" s="14">
        <f t="shared" si="13"/>
        <v>48.529000000000003</v>
      </c>
      <c r="X49" s="16">
        <v>50</v>
      </c>
      <c r="Y49" s="19">
        <f t="shared" si="14"/>
        <v>7.3857045227539553</v>
      </c>
      <c r="Z49" s="17">
        <f t="shared" si="15"/>
        <v>6.9480928929093935</v>
      </c>
      <c r="AA49" s="14"/>
      <c r="AB49" s="14"/>
      <c r="AC49" s="14">
        <v>0</v>
      </c>
      <c r="AD49" s="14">
        <f>VLOOKUP(A:A,[1]TDSheet!$A:$AD,30,0)</f>
        <v>48.555999999999997</v>
      </c>
      <c r="AE49" s="14">
        <f>VLOOKUP(A:A,[1]TDSheet!$A:$AE,31,0)</f>
        <v>41.4724</v>
      </c>
      <c r="AF49" s="14">
        <f>VLOOKUP(A:A,[1]TDSheet!$A:$AF,32,0)</f>
        <v>45.653599999999997</v>
      </c>
      <c r="AG49" s="14">
        <f>VLOOKUP(A:A,[1]TDSheet!$A:$AG,33,0)</f>
        <v>79.4816</v>
      </c>
      <c r="AH49" s="14">
        <f>VLOOKUP(A:A,[3]TDSheet!$A:$D,4,0)</f>
        <v>35.561</v>
      </c>
      <c r="AI49" s="14">
        <f>VLOOKUP(A:A,[1]TDSheet!$A:$AI,35,0)</f>
        <v>0</v>
      </c>
      <c r="AJ49" s="14">
        <f t="shared" si="16"/>
        <v>0</v>
      </c>
      <c r="AK49" s="14">
        <f t="shared" si="17"/>
        <v>0</v>
      </c>
      <c r="AL49" s="14">
        <f t="shared" si="18"/>
        <v>50</v>
      </c>
      <c r="AM49" s="14"/>
      <c r="AN49" s="14"/>
      <c r="AO49" s="14"/>
    </row>
    <row r="50" spans="1:41" s="1" customFormat="1" ht="11.1" customHeight="1" outlineLevel="1" x14ac:dyDescent="0.2">
      <c r="A50" s="22" t="s">
        <v>51</v>
      </c>
      <c r="B50" s="7" t="s">
        <v>12</v>
      </c>
      <c r="C50" s="8">
        <v>45</v>
      </c>
      <c r="D50" s="8"/>
      <c r="E50" s="8">
        <v>0</v>
      </c>
      <c r="F50" s="8">
        <v>45</v>
      </c>
      <c r="G50" s="1" t="str">
        <f>VLOOKUP(A:A,[1]TDSheet!$A:$G,7,0)</f>
        <v>сч</v>
      </c>
      <c r="H50" s="1">
        <f>VLOOKUP(A:A,[1]TDSheet!$A:$H,8,0)</f>
        <v>0</v>
      </c>
      <c r="I50" s="1" t="e">
        <f>VLOOKUP(A:A,[1]TDSheet!$A:$I,9,0)</f>
        <v>#N/A</v>
      </c>
      <c r="J50" s="14">
        <f>VLOOKUP(A:A,[2]TDSheet!$A:$F,6,0)</f>
        <v>36</v>
      </c>
      <c r="K50" s="14">
        <f t="shared" si="12"/>
        <v>-36</v>
      </c>
      <c r="L50" s="14">
        <f>VLOOKUP(A:A,[1]TDSheet!$A:$X,24,0)</f>
        <v>0</v>
      </c>
      <c r="M50" s="14"/>
      <c r="N50" s="14"/>
      <c r="O50" s="14"/>
      <c r="P50" s="14"/>
      <c r="Q50" s="14"/>
      <c r="R50" s="14"/>
      <c r="S50" s="14"/>
      <c r="T50" s="14"/>
      <c r="U50" s="14"/>
      <c r="V50" s="16"/>
      <c r="W50" s="14">
        <f t="shared" si="13"/>
        <v>0</v>
      </c>
      <c r="X50" s="16"/>
      <c r="Y50" s="19" t="e">
        <f t="shared" si="14"/>
        <v>#DIV/0!</v>
      </c>
      <c r="Z50" s="17" t="e">
        <f t="shared" si="15"/>
        <v>#DIV/0!</v>
      </c>
      <c r="AA50" s="14"/>
      <c r="AB50" s="14"/>
      <c r="AC50" s="14">
        <v>0</v>
      </c>
      <c r="AD50" s="14">
        <f>VLOOKUP(A:A,[1]TDSheet!$A:$AD,30,0)</f>
        <v>0</v>
      </c>
      <c r="AE50" s="14">
        <f>VLOOKUP(A:A,[1]TDSheet!$A:$AE,31,0)</f>
        <v>0</v>
      </c>
      <c r="AF50" s="14">
        <f>VLOOKUP(A:A,[1]TDSheet!$A:$AF,32,0)</f>
        <v>0</v>
      </c>
      <c r="AG50" s="14">
        <f>VLOOKUP(A:A,[1]TDSheet!$A:$AG,33,0)</f>
        <v>0</v>
      </c>
      <c r="AH50" s="14">
        <v>0</v>
      </c>
      <c r="AI50" s="23" t="s">
        <v>163</v>
      </c>
      <c r="AJ50" s="14">
        <f t="shared" si="16"/>
        <v>0</v>
      </c>
      <c r="AK50" s="14">
        <f t="shared" si="17"/>
        <v>0</v>
      </c>
      <c r="AL50" s="14">
        <f t="shared" si="18"/>
        <v>0</v>
      </c>
      <c r="AM50" s="14"/>
      <c r="AN50" s="14"/>
      <c r="AO50" s="14"/>
    </row>
    <row r="51" spans="1:41" s="1" customFormat="1" ht="11.1" customHeight="1" outlineLevel="1" x14ac:dyDescent="0.2">
      <c r="A51" s="7" t="s">
        <v>52</v>
      </c>
      <c r="B51" s="7" t="s">
        <v>12</v>
      </c>
      <c r="C51" s="8">
        <v>353</v>
      </c>
      <c r="D51" s="8">
        <v>656</v>
      </c>
      <c r="E51" s="8">
        <v>318</v>
      </c>
      <c r="F51" s="8">
        <v>689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4">
        <f>VLOOKUP(A:A,[2]TDSheet!$A:$F,6,0)</f>
        <v>320</v>
      </c>
      <c r="K51" s="14">
        <f t="shared" si="12"/>
        <v>-2</v>
      </c>
      <c r="L51" s="14">
        <f>VLOOKUP(A:A,[1]TDSheet!$A:$X,24,0)</f>
        <v>100</v>
      </c>
      <c r="M51" s="14"/>
      <c r="N51" s="14"/>
      <c r="O51" s="14"/>
      <c r="P51" s="14"/>
      <c r="Q51" s="14"/>
      <c r="R51" s="14"/>
      <c r="S51" s="14"/>
      <c r="T51" s="14"/>
      <c r="U51" s="14"/>
      <c r="V51" s="16">
        <v>200</v>
      </c>
      <c r="W51" s="14">
        <f t="shared" si="13"/>
        <v>159</v>
      </c>
      <c r="X51" s="16">
        <v>200</v>
      </c>
      <c r="Y51" s="19">
        <f t="shared" si="14"/>
        <v>6.297669491525423</v>
      </c>
      <c r="Z51" s="17">
        <f t="shared" si="15"/>
        <v>7.4779874213836477</v>
      </c>
      <c r="AA51" s="14"/>
      <c r="AB51" s="14"/>
      <c r="AC51" s="14">
        <v>0</v>
      </c>
      <c r="AD51" s="14">
        <f>VLOOKUP(A:A,[1]TDSheet!$A:$AD,30,0)</f>
        <v>193.4</v>
      </c>
      <c r="AE51" s="14">
        <f>VLOOKUP(A:A,[1]TDSheet!$A:$AE,31,0)</f>
        <v>204.6</v>
      </c>
      <c r="AF51" s="14">
        <f>VLOOKUP(A:A,[1]TDSheet!$A:$AF,32,0)</f>
        <v>188.8</v>
      </c>
      <c r="AG51" s="14">
        <f>VLOOKUP(A:A,[1]TDSheet!$A:$AG,33,0)</f>
        <v>213.2</v>
      </c>
      <c r="AH51" s="14">
        <f>VLOOKUP(A:A,[3]TDSheet!$A:$D,4,0)</f>
        <v>135</v>
      </c>
      <c r="AI51" s="14">
        <f>VLOOKUP(A:A,[1]TDSheet!$A:$AI,35,0)</f>
        <v>0</v>
      </c>
      <c r="AJ51" s="14">
        <f t="shared" si="16"/>
        <v>0</v>
      </c>
      <c r="AK51" s="14">
        <f t="shared" si="17"/>
        <v>80</v>
      </c>
      <c r="AL51" s="14">
        <f t="shared" si="18"/>
        <v>80</v>
      </c>
      <c r="AM51" s="14"/>
      <c r="AN51" s="14"/>
      <c r="AO51" s="14"/>
    </row>
    <row r="52" spans="1:41" s="1" customFormat="1" ht="11.1" customHeight="1" outlineLevel="1" x14ac:dyDescent="0.2">
      <c r="A52" s="7" t="s">
        <v>53</v>
      </c>
      <c r="B52" s="7" t="s">
        <v>12</v>
      </c>
      <c r="C52" s="8">
        <v>263</v>
      </c>
      <c r="D52" s="8">
        <v>1356</v>
      </c>
      <c r="E52" s="8">
        <v>664</v>
      </c>
      <c r="F52" s="8">
        <v>955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40</v>
      </c>
      <c r="J52" s="14">
        <f>VLOOKUP(A:A,[2]TDSheet!$A:$F,6,0)</f>
        <v>662</v>
      </c>
      <c r="K52" s="14">
        <f t="shared" si="12"/>
        <v>2</v>
      </c>
      <c r="L52" s="14">
        <f>VLOOKUP(A:A,[1]TDSheet!$A:$X,24,0)</f>
        <v>300</v>
      </c>
      <c r="M52" s="14"/>
      <c r="N52" s="14"/>
      <c r="O52" s="14"/>
      <c r="P52" s="14"/>
      <c r="Q52" s="14"/>
      <c r="R52" s="14"/>
      <c r="S52" s="14"/>
      <c r="T52" s="14"/>
      <c r="U52" s="14"/>
      <c r="V52" s="16">
        <v>400</v>
      </c>
      <c r="W52" s="14">
        <f t="shared" si="13"/>
        <v>332</v>
      </c>
      <c r="X52" s="16">
        <v>400</v>
      </c>
      <c r="Y52" s="19">
        <f t="shared" si="14"/>
        <v>6.9425675675675675</v>
      </c>
      <c r="Z52" s="17">
        <f t="shared" si="15"/>
        <v>6.1897590361445785</v>
      </c>
      <c r="AA52" s="14"/>
      <c r="AB52" s="14"/>
      <c r="AC52" s="14">
        <v>0</v>
      </c>
      <c r="AD52" s="14">
        <f>VLOOKUP(A:A,[1]TDSheet!$A:$AD,30,0)</f>
        <v>326.2</v>
      </c>
      <c r="AE52" s="14">
        <f>VLOOKUP(A:A,[1]TDSheet!$A:$AE,31,0)</f>
        <v>345.6</v>
      </c>
      <c r="AF52" s="14">
        <f>VLOOKUP(A:A,[1]TDSheet!$A:$AF,32,0)</f>
        <v>296</v>
      </c>
      <c r="AG52" s="14">
        <f>VLOOKUP(A:A,[1]TDSheet!$A:$AG,33,0)</f>
        <v>379.2</v>
      </c>
      <c r="AH52" s="14">
        <f>VLOOKUP(A:A,[3]TDSheet!$A:$D,4,0)</f>
        <v>317</v>
      </c>
      <c r="AI52" s="14">
        <f>VLOOKUP(A:A,[1]TDSheet!$A:$AI,35,0)</f>
        <v>0</v>
      </c>
      <c r="AJ52" s="14">
        <f t="shared" si="16"/>
        <v>0</v>
      </c>
      <c r="AK52" s="14">
        <f t="shared" si="17"/>
        <v>160</v>
      </c>
      <c r="AL52" s="14">
        <f t="shared" si="18"/>
        <v>160</v>
      </c>
      <c r="AM52" s="14"/>
      <c r="AN52" s="14"/>
      <c r="AO52" s="14"/>
    </row>
    <row r="53" spans="1:41" s="1" customFormat="1" ht="21.95" customHeight="1" outlineLevel="1" x14ac:dyDescent="0.2">
      <c r="A53" s="7" t="s">
        <v>54</v>
      </c>
      <c r="B53" s="7" t="s">
        <v>8</v>
      </c>
      <c r="C53" s="8">
        <v>3.633</v>
      </c>
      <c r="D53" s="8">
        <v>217.01300000000001</v>
      </c>
      <c r="E53" s="8">
        <v>61.054000000000002</v>
      </c>
      <c r="F53" s="8">
        <v>147.935</v>
      </c>
      <c r="G53" s="1" t="str">
        <f>VLOOKUP(A:A,[1]TDSheet!$A:$G,7,0)</f>
        <v>лид, я</v>
      </c>
      <c r="H53" s="1">
        <f>VLOOKUP(A:A,[1]TDSheet!$A:$H,8,0)</f>
        <v>1</v>
      </c>
      <c r="I53" s="1">
        <f>VLOOKUP(A:A,[1]TDSheet!$A:$I,9,0)</f>
        <v>40</v>
      </c>
      <c r="J53" s="14">
        <f>VLOOKUP(A:A,[2]TDSheet!$A:$F,6,0)</f>
        <v>76.349999999999994</v>
      </c>
      <c r="K53" s="14">
        <f t="shared" si="12"/>
        <v>-15.295999999999992</v>
      </c>
      <c r="L53" s="14">
        <f>VLOOKUP(A:A,[1]TDSheet!$A:$X,24,0)</f>
        <v>50</v>
      </c>
      <c r="M53" s="14"/>
      <c r="N53" s="14"/>
      <c r="O53" s="14"/>
      <c r="P53" s="14"/>
      <c r="Q53" s="14"/>
      <c r="R53" s="14"/>
      <c r="S53" s="14"/>
      <c r="T53" s="14"/>
      <c r="U53" s="14"/>
      <c r="V53" s="16">
        <v>30</v>
      </c>
      <c r="W53" s="14">
        <f t="shared" si="13"/>
        <v>30.527000000000001</v>
      </c>
      <c r="X53" s="16">
        <v>30</v>
      </c>
      <c r="Y53" s="19">
        <f t="shared" si="14"/>
        <v>7.4884451463808341</v>
      </c>
      <c r="Z53" s="17">
        <f t="shared" si="15"/>
        <v>8.44940544436073</v>
      </c>
      <c r="AA53" s="14"/>
      <c r="AB53" s="14"/>
      <c r="AC53" s="14">
        <v>0</v>
      </c>
      <c r="AD53" s="14">
        <f>VLOOKUP(A:A,[1]TDSheet!$A:$AD,30,0)</f>
        <v>32.434800000000003</v>
      </c>
      <c r="AE53" s="14">
        <f>VLOOKUP(A:A,[1]TDSheet!$A:$AE,31,0)</f>
        <v>29.039200000000001</v>
      </c>
      <c r="AF53" s="14">
        <f>VLOOKUP(A:A,[1]TDSheet!$A:$AF,32,0)</f>
        <v>34.444400000000002</v>
      </c>
      <c r="AG53" s="14">
        <f>VLOOKUP(A:A,[1]TDSheet!$A:$AG,33,0)</f>
        <v>52.5456</v>
      </c>
      <c r="AH53" s="14">
        <f>VLOOKUP(A:A,[3]TDSheet!$A:$D,4,0)</f>
        <v>20.646000000000001</v>
      </c>
      <c r="AI53" s="14">
        <f>VLOOKUP(A:A,[1]TDSheet!$A:$AI,35,0)</f>
        <v>0</v>
      </c>
      <c r="AJ53" s="14">
        <f t="shared" si="16"/>
        <v>0</v>
      </c>
      <c r="AK53" s="14">
        <f t="shared" si="17"/>
        <v>30</v>
      </c>
      <c r="AL53" s="14">
        <f t="shared" si="18"/>
        <v>30</v>
      </c>
      <c r="AM53" s="14"/>
      <c r="AN53" s="14"/>
      <c r="AO53" s="14"/>
    </row>
    <row r="54" spans="1:41" s="1" customFormat="1" ht="21.95" customHeight="1" outlineLevel="1" x14ac:dyDescent="0.2">
      <c r="A54" s="7" t="s">
        <v>55</v>
      </c>
      <c r="B54" s="7" t="s">
        <v>8</v>
      </c>
      <c r="C54" s="8">
        <v>11.523999999999999</v>
      </c>
      <c r="D54" s="8">
        <v>348.27600000000001</v>
      </c>
      <c r="E54" s="8">
        <v>131.03200000000001</v>
      </c>
      <c r="F54" s="8">
        <v>228.768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133.97</v>
      </c>
      <c r="K54" s="14">
        <f t="shared" si="12"/>
        <v>-2.9379999999999882</v>
      </c>
      <c r="L54" s="14">
        <f>VLOOKUP(A:A,[1]TDSheet!$A:$X,24,0)</f>
        <v>100</v>
      </c>
      <c r="M54" s="14"/>
      <c r="N54" s="14"/>
      <c r="O54" s="14"/>
      <c r="P54" s="14"/>
      <c r="Q54" s="14"/>
      <c r="R54" s="14"/>
      <c r="S54" s="14"/>
      <c r="T54" s="14"/>
      <c r="U54" s="14"/>
      <c r="V54" s="16">
        <v>100</v>
      </c>
      <c r="W54" s="14">
        <f t="shared" si="13"/>
        <v>65.516000000000005</v>
      </c>
      <c r="X54" s="16">
        <v>100</v>
      </c>
      <c r="Y54" s="19">
        <f t="shared" si="14"/>
        <v>6.3479684791325521</v>
      </c>
      <c r="Z54" s="17">
        <f t="shared" si="15"/>
        <v>8.0708223945295803</v>
      </c>
      <c r="AA54" s="14"/>
      <c r="AB54" s="14"/>
      <c r="AC54" s="14">
        <v>0</v>
      </c>
      <c r="AD54" s="14">
        <f>VLOOKUP(A:A,[1]TDSheet!$A:$AD,30,0)</f>
        <v>93.0214</v>
      </c>
      <c r="AE54" s="14">
        <f>VLOOKUP(A:A,[1]TDSheet!$A:$AE,31,0)</f>
        <v>76.961399999999998</v>
      </c>
      <c r="AF54" s="14">
        <f>VLOOKUP(A:A,[1]TDSheet!$A:$AF,32,0)</f>
        <v>83.297200000000004</v>
      </c>
      <c r="AG54" s="14">
        <f>VLOOKUP(A:A,[1]TDSheet!$A:$AG,33,0)</f>
        <v>136.81620000000001</v>
      </c>
      <c r="AH54" s="14">
        <f>VLOOKUP(A:A,[3]TDSheet!$A:$D,4,0)</f>
        <v>47.470999999999997</v>
      </c>
      <c r="AI54" s="14" t="str">
        <f>VLOOKUP(A:A,[1]TDSheet!$A:$AI,35,0)</f>
        <v>оконч вип</v>
      </c>
      <c r="AJ54" s="14">
        <f t="shared" si="16"/>
        <v>0</v>
      </c>
      <c r="AK54" s="14">
        <f t="shared" si="17"/>
        <v>100</v>
      </c>
      <c r="AL54" s="14">
        <f t="shared" si="18"/>
        <v>100</v>
      </c>
      <c r="AM54" s="14"/>
      <c r="AN54" s="14"/>
      <c r="AO54" s="14"/>
    </row>
    <row r="55" spans="1:41" s="1" customFormat="1" ht="21.95" customHeight="1" outlineLevel="1" x14ac:dyDescent="0.2">
      <c r="A55" s="7" t="s">
        <v>56</v>
      </c>
      <c r="B55" s="7" t="s">
        <v>12</v>
      </c>
      <c r="C55" s="8">
        <v>239</v>
      </c>
      <c r="D55" s="8">
        <v>1314</v>
      </c>
      <c r="E55" s="8">
        <v>537</v>
      </c>
      <c r="F55" s="8">
        <v>1010</v>
      </c>
      <c r="G55" s="1" t="str">
        <f>VLOOKUP(A:A,[1]TDSheet!$A:$G,7,0)</f>
        <v>лид, я</v>
      </c>
      <c r="H55" s="1">
        <f>VLOOKUP(A:A,[1]TDSheet!$A:$H,8,0)</f>
        <v>0.35</v>
      </c>
      <c r="I55" s="1">
        <f>VLOOKUP(A:A,[1]TDSheet!$A:$I,9,0)</f>
        <v>40</v>
      </c>
      <c r="J55" s="14">
        <f>VLOOKUP(A:A,[2]TDSheet!$A:$F,6,0)</f>
        <v>546</v>
      </c>
      <c r="K55" s="14">
        <f t="shared" si="12"/>
        <v>-9</v>
      </c>
      <c r="L55" s="14">
        <f>VLOOKUP(A:A,[1]TDSheet!$A:$X,24,0)</f>
        <v>250</v>
      </c>
      <c r="M55" s="14"/>
      <c r="N55" s="14"/>
      <c r="O55" s="14"/>
      <c r="P55" s="14"/>
      <c r="Q55" s="14"/>
      <c r="R55" s="14"/>
      <c r="S55" s="14"/>
      <c r="T55" s="14"/>
      <c r="U55" s="14"/>
      <c r="V55" s="16">
        <v>250</v>
      </c>
      <c r="W55" s="14">
        <f t="shared" si="13"/>
        <v>268.5</v>
      </c>
      <c r="X55" s="16">
        <v>300</v>
      </c>
      <c r="Y55" s="19">
        <f t="shared" si="14"/>
        <v>6.6446402349486053</v>
      </c>
      <c r="Z55" s="17">
        <f t="shared" si="15"/>
        <v>6.7411545623836124</v>
      </c>
      <c r="AA55" s="14"/>
      <c r="AB55" s="14"/>
      <c r="AC55" s="14">
        <v>0</v>
      </c>
      <c r="AD55" s="14">
        <f>VLOOKUP(A:A,[1]TDSheet!$A:$AD,30,0)</f>
        <v>284.2</v>
      </c>
      <c r="AE55" s="14">
        <f>VLOOKUP(A:A,[1]TDSheet!$A:$AE,31,0)</f>
        <v>255.8</v>
      </c>
      <c r="AF55" s="14">
        <f>VLOOKUP(A:A,[1]TDSheet!$A:$AF,32,0)</f>
        <v>272.39999999999998</v>
      </c>
      <c r="AG55" s="14">
        <f>VLOOKUP(A:A,[1]TDSheet!$A:$AG,33,0)</f>
        <v>346.2</v>
      </c>
      <c r="AH55" s="14">
        <f>VLOOKUP(A:A,[3]TDSheet!$A:$D,4,0)</f>
        <v>175</v>
      </c>
      <c r="AI55" s="14">
        <f>VLOOKUP(A:A,[1]TDSheet!$A:$AI,35,0)</f>
        <v>0</v>
      </c>
      <c r="AJ55" s="14">
        <f t="shared" si="16"/>
        <v>0</v>
      </c>
      <c r="AK55" s="14">
        <f t="shared" si="17"/>
        <v>87.5</v>
      </c>
      <c r="AL55" s="14">
        <f t="shared" si="18"/>
        <v>105</v>
      </c>
      <c r="AM55" s="14"/>
      <c r="AN55" s="14"/>
      <c r="AO55" s="14"/>
    </row>
    <row r="56" spans="1:41" s="1" customFormat="1" ht="21.95" customHeight="1" outlineLevel="1" x14ac:dyDescent="0.2">
      <c r="A56" s="7" t="s">
        <v>57</v>
      </c>
      <c r="B56" s="7" t="s">
        <v>12</v>
      </c>
      <c r="C56" s="8">
        <v>441</v>
      </c>
      <c r="D56" s="8">
        <v>1977</v>
      </c>
      <c r="E56" s="8">
        <v>836</v>
      </c>
      <c r="F56" s="8">
        <v>1573</v>
      </c>
      <c r="G56" s="1">
        <f>VLOOKUP(A:A,[1]TDSheet!$A:$G,7,0)</f>
        <v>0</v>
      </c>
      <c r="H56" s="1">
        <f>VLOOKUP(A:A,[1]TDSheet!$A:$H,8,0)</f>
        <v>0.35</v>
      </c>
      <c r="I56" s="1">
        <f>VLOOKUP(A:A,[1]TDSheet!$A:$I,9,0)</f>
        <v>40</v>
      </c>
      <c r="J56" s="14">
        <f>VLOOKUP(A:A,[2]TDSheet!$A:$F,6,0)</f>
        <v>848</v>
      </c>
      <c r="K56" s="14">
        <f t="shared" si="12"/>
        <v>-12</v>
      </c>
      <c r="L56" s="14">
        <f>VLOOKUP(A:A,[1]TDSheet!$A:$X,24,0)</f>
        <v>500</v>
      </c>
      <c r="M56" s="14"/>
      <c r="N56" s="14"/>
      <c r="O56" s="14"/>
      <c r="P56" s="14"/>
      <c r="Q56" s="14"/>
      <c r="R56" s="14"/>
      <c r="S56" s="14"/>
      <c r="T56" s="14"/>
      <c r="U56" s="14"/>
      <c r="V56" s="16">
        <v>500</v>
      </c>
      <c r="W56" s="14">
        <f t="shared" si="13"/>
        <v>418</v>
      </c>
      <c r="X56" s="16">
        <v>400</v>
      </c>
      <c r="Y56" s="19">
        <f t="shared" si="14"/>
        <v>7.081943782753692</v>
      </c>
      <c r="Z56" s="17">
        <f t="shared" si="15"/>
        <v>7.1124401913875595</v>
      </c>
      <c r="AA56" s="14"/>
      <c r="AB56" s="14"/>
      <c r="AC56" s="14">
        <v>0</v>
      </c>
      <c r="AD56" s="14">
        <f>VLOOKUP(A:A,[1]TDSheet!$A:$AD,30,0)</f>
        <v>484.6</v>
      </c>
      <c r="AE56" s="14">
        <f>VLOOKUP(A:A,[1]TDSheet!$A:$AE,31,0)</f>
        <v>432.4</v>
      </c>
      <c r="AF56" s="14">
        <f>VLOOKUP(A:A,[1]TDSheet!$A:$AF,32,0)</f>
        <v>419.8</v>
      </c>
      <c r="AG56" s="14">
        <f>VLOOKUP(A:A,[1]TDSheet!$A:$AG,33,0)</f>
        <v>613.20000000000005</v>
      </c>
      <c r="AH56" s="14">
        <f>VLOOKUP(A:A,[3]TDSheet!$A:$D,4,0)</f>
        <v>384</v>
      </c>
      <c r="AI56" s="14">
        <f>VLOOKUP(A:A,[1]TDSheet!$A:$AI,35,0)</f>
        <v>0</v>
      </c>
      <c r="AJ56" s="14">
        <f t="shared" si="16"/>
        <v>0</v>
      </c>
      <c r="AK56" s="14">
        <f t="shared" si="17"/>
        <v>175</v>
      </c>
      <c r="AL56" s="14">
        <f t="shared" si="18"/>
        <v>140</v>
      </c>
      <c r="AM56" s="14"/>
      <c r="AN56" s="14"/>
      <c r="AO56" s="14"/>
    </row>
    <row r="57" spans="1:41" s="1" customFormat="1" ht="11.1" customHeight="1" outlineLevel="1" x14ac:dyDescent="0.2">
      <c r="A57" s="7" t="s">
        <v>58</v>
      </c>
      <c r="B57" s="7" t="s">
        <v>12</v>
      </c>
      <c r="C57" s="8">
        <v>102</v>
      </c>
      <c r="D57" s="8">
        <v>846</v>
      </c>
      <c r="E57" s="8">
        <v>476</v>
      </c>
      <c r="F57" s="8">
        <v>460</v>
      </c>
      <c r="G57" s="1">
        <f>VLOOKUP(A:A,[1]TDSheet!$A:$G,7,0)</f>
        <v>0</v>
      </c>
      <c r="H57" s="1">
        <f>VLOOKUP(A:A,[1]TDSheet!$A:$H,8,0)</f>
        <v>0.4</v>
      </c>
      <c r="I57" s="1">
        <f>VLOOKUP(A:A,[1]TDSheet!$A:$I,9,0)</f>
        <v>35</v>
      </c>
      <c r="J57" s="14">
        <f>VLOOKUP(A:A,[2]TDSheet!$A:$F,6,0)</f>
        <v>498</v>
      </c>
      <c r="K57" s="14">
        <f t="shared" si="12"/>
        <v>-22</v>
      </c>
      <c r="L57" s="14">
        <f>VLOOKUP(A:A,[1]TDSheet!$A:$X,24,0)</f>
        <v>200</v>
      </c>
      <c r="M57" s="14"/>
      <c r="N57" s="14"/>
      <c r="O57" s="14"/>
      <c r="P57" s="14"/>
      <c r="Q57" s="14"/>
      <c r="R57" s="14"/>
      <c r="S57" s="14"/>
      <c r="T57" s="14"/>
      <c r="U57" s="14"/>
      <c r="V57" s="16">
        <v>300</v>
      </c>
      <c r="W57" s="14">
        <f t="shared" si="13"/>
        <v>238</v>
      </c>
      <c r="X57" s="16">
        <v>300</v>
      </c>
      <c r="Y57" s="19">
        <f t="shared" si="14"/>
        <v>5.7429352780309939</v>
      </c>
      <c r="Z57" s="17">
        <f t="shared" si="15"/>
        <v>5.2941176470588234</v>
      </c>
      <c r="AA57" s="14"/>
      <c r="AB57" s="14"/>
      <c r="AC57" s="14">
        <v>0</v>
      </c>
      <c r="AD57" s="14">
        <f>VLOOKUP(A:A,[1]TDSheet!$A:$AD,30,0)</f>
        <v>247.6</v>
      </c>
      <c r="AE57" s="14">
        <f>VLOOKUP(A:A,[1]TDSheet!$A:$AE,31,0)</f>
        <v>225.4</v>
      </c>
      <c r="AF57" s="14">
        <f>VLOOKUP(A:A,[1]TDSheet!$A:$AF,32,0)</f>
        <v>219.4</v>
      </c>
      <c r="AG57" s="14">
        <f>VLOOKUP(A:A,[1]TDSheet!$A:$AG,33,0)</f>
        <v>244.6</v>
      </c>
      <c r="AH57" s="14">
        <f>VLOOKUP(A:A,[3]TDSheet!$A:$D,4,0)</f>
        <v>191</v>
      </c>
      <c r="AI57" s="14">
        <f>VLOOKUP(A:A,[1]TDSheet!$A:$AI,35,0)</f>
        <v>0</v>
      </c>
      <c r="AJ57" s="14">
        <f t="shared" si="16"/>
        <v>0</v>
      </c>
      <c r="AK57" s="14">
        <f t="shared" si="17"/>
        <v>120</v>
      </c>
      <c r="AL57" s="14">
        <f t="shared" si="18"/>
        <v>120</v>
      </c>
      <c r="AM57" s="14"/>
      <c r="AN57" s="14"/>
      <c r="AO57" s="14"/>
    </row>
    <row r="58" spans="1:41" s="1" customFormat="1" ht="11.1" customHeight="1" outlineLevel="1" x14ac:dyDescent="0.2">
      <c r="A58" s="7" t="s">
        <v>59</v>
      </c>
      <c r="B58" s="7" t="s">
        <v>8</v>
      </c>
      <c r="C58" s="8">
        <v>479.31900000000002</v>
      </c>
      <c r="D58" s="8">
        <v>756.25300000000004</v>
      </c>
      <c r="E58" s="8">
        <v>344.04199999999997</v>
      </c>
      <c r="F58" s="8">
        <v>888.85299999999995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50</v>
      </c>
      <c r="J58" s="14">
        <f>VLOOKUP(A:A,[2]TDSheet!$A:$F,6,0)</f>
        <v>341.142</v>
      </c>
      <c r="K58" s="14">
        <f t="shared" si="12"/>
        <v>2.8999999999999773</v>
      </c>
      <c r="L58" s="14">
        <f>VLOOKUP(A:A,[1]TDSheet!$A:$X,24,0)</f>
        <v>200</v>
      </c>
      <c r="M58" s="14"/>
      <c r="N58" s="14"/>
      <c r="O58" s="14"/>
      <c r="P58" s="14"/>
      <c r="Q58" s="14"/>
      <c r="R58" s="14"/>
      <c r="S58" s="14"/>
      <c r="T58" s="14"/>
      <c r="U58" s="14"/>
      <c r="V58" s="16">
        <v>100</v>
      </c>
      <c r="W58" s="14">
        <f t="shared" si="13"/>
        <v>172.02099999999999</v>
      </c>
      <c r="X58" s="16">
        <v>120</v>
      </c>
      <c r="Y58" s="19">
        <f t="shared" si="14"/>
        <v>7.1939032380047845</v>
      </c>
      <c r="Z58" s="17">
        <f t="shared" si="15"/>
        <v>7.6086814981891759</v>
      </c>
      <c r="AA58" s="14"/>
      <c r="AB58" s="14"/>
      <c r="AC58" s="14">
        <v>0</v>
      </c>
      <c r="AD58" s="14">
        <f>VLOOKUP(A:A,[1]TDSheet!$A:$AD,30,0)</f>
        <v>177.4718</v>
      </c>
      <c r="AE58" s="14">
        <f>VLOOKUP(A:A,[1]TDSheet!$A:$AE,31,0)</f>
        <v>186.9632</v>
      </c>
      <c r="AF58" s="14">
        <f>VLOOKUP(A:A,[1]TDSheet!$A:$AF,32,0)</f>
        <v>181.9392</v>
      </c>
      <c r="AG58" s="14">
        <f>VLOOKUP(A:A,[1]TDSheet!$A:$AG,33,0)</f>
        <v>256.62</v>
      </c>
      <c r="AH58" s="14">
        <f>VLOOKUP(A:A,[3]TDSheet!$A:$D,4,0)</f>
        <v>124.378</v>
      </c>
      <c r="AI58" s="14" t="str">
        <f>VLOOKUP(A:A,[1]TDSheet!$A:$AI,35,0)</f>
        <v>жц</v>
      </c>
      <c r="AJ58" s="14">
        <f t="shared" si="16"/>
        <v>0</v>
      </c>
      <c r="AK58" s="14">
        <f t="shared" si="17"/>
        <v>100</v>
      </c>
      <c r="AL58" s="14">
        <f t="shared" si="18"/>
        <v>120</v>
      </c>
      <c r="AM58" s="14"/>
      <c r="AN58" s="14"/>
      <c r="AO58" s="14"/>
    </row>
    <row r="59" spans="1:41" s="1" customFormat="1" ht="11.1" customHeight="1" outlineLevel="1" x14ac:dyDescent="0.2">
      <c r="A59" s="7" t="s">
        <v>60</v>
      </c>
      <c r="B59" s="7" t="s">
        <v>8</v>
      </c>
      <c r="C59" s="8">
        <v>10.882999999999999</v>
      </c>
      <c r="D59" s="8">
        <v>816.22</v>
      </c>
      <c r="E59" s="8">
        <v>471.23899999999998</v>
      </c>
      <c r="F59" s="8">
        <v>350.43700000000001</v>
      </c>
      <c r="G59" s="1" t="str">
        <f>VLOOKUP(A:A,[1]TDSheet!$A:$G,7,0)</f>
        <v>н</v>
      </c>
      <c r="H59" s="1">
        <f>VLOOKUP(A:A,[1]TDSheet!$A:$H,8,0)</f>
        <v>1</v>
      </c>
      <c r="I59" s="1">
        <f>VLOOKUP(A:A,[1]TDSheet!$A:$I,9,0)</f>
        <v>50</v>
      </c>
      <c r="J59" s="14">
        <f>VLOOKUP(A:A,[2]TDSheet!$A:$F,6,0)</f>
        <v>474.12400000000002</v>
      </c>
      <c r="K59" s="14">
        <f t="shared" si="12"/>
        <v>-2.8850000000000477</v>
      </c>
      <c r="L59" s="14">
        <f>VLOOKUP(A:A,[1]TDSheet!$A:$X,24,0)</f>
        <v>300</v>
      </c>
      <c r="M59" s="14"/>
      <c r="N59" s="14"/>
      <c r="O59" s="14"/>
      <c r="P59" s="14"/>
      <c r="Q59" s="14"/>
      <c r="R59" s="14"/>
      <c r="S59" s="14"/>
      <c r="T59" s="14"/>
      <c r="U59" s="14"/>
      <c r="V59" s="16">
        <v>250</v>
      </c>
      <c r="W59" s="14">
        <f t="shared" si="13"/>
        <v>235.61949999999999</v>
      </c>
      <c r="X59" s="16">
        <v>250</v>
      </c>
      <c r="Y59" s="19">
        <f t="shared" si="14"/>
        <v>8.0869644069726725</v>
      </c>
      <c r="Z59" s="17">
        <f t="shared" si="15"/>
        <v>4.882605217310112</v>
      </c>
      <c r="AA59" s="14"/>
      <c r="AB59" s="14"/>
      <c r="AC59" s="14">
        <v>0</v>
      </c>
      <c r="AD59" s="14">
        <f>VLOOKUP(A:A,[1]TDSheet!$A:$AD,30,0)</f>
        <v>138.21420000000001</v>
      </c>
      <c r="AE59" s="14">
        <f>VLOOKUP(A:A,[1]TDSheet!$A:$AE,31,0)</f>
        <v>121.88040000000001</v>
      </c>
      <c r="AF59" s="14">
        <f>VLOOKUP(A:A,[1]TDSheet!$A:$AF,32,0)</f>
        <v>142.25820000000002</v>
      </c>
      <c r="AG59" s="14">
        <f>VLOOKUP(A:A,[1]TDSheet!$A:$AG,33,0)</f>
        <v>223.82919999999999</v>
      </c>
      <c r="AH59" s="14">
        <f>VLOOKUP(A:A,[3]TDSheet!$A:$D,4,0)</f>
        <v>227.75899999999999</v>
      </c>
      <c r="AI59" s="14">
        <f>VLOOKUP(A:A,[1]TDSheet!$A:$AI,35,0)</f>
        <v>0</v>
      </c>
      <c r="AJ59" s="14">
        <f t="shared" si="16"/>
        <v>0</v>
      </c>
      <c r="AK59" s="14">
        <f t="shared" si="17"/>
        <v>250</v>
      </c>
      <c r="AL59" s="14">
        <f t="shared" si="18"/>
        <v>250</v>
      </c>
      <c r="AM59" s="14"/>
      <c r="AN59" s="14"/>
      <c r="AO59" s="14"/>
    </row>
    <row r="60" spans="1:41" s="1" customFormat="1" ht="11.1" customHeight="1" outlineLevel="1" x14ac:dyDescent="0.2">
      <c r="A60" s="7" t="s">
        <v>61</v>
      </c>
      <c r="B60" s="7" t="s">
        <v>8</v>
      </c>
      <c r="C60" s="8">
        <v>82.483000000000004</v>
      </c>
      <c r="D60" s="8">
        <v>66.116</v>
      </c>
      <c r="E60" s="8">
        <v>55.378999999999998</v>
      </c>
      <c r="F60" s="8">
        <v>87.206999999999994</v>
      </c>
      <c r="G60" s="1" t="str">
        <f>VLOOKUP(A:A,[1]TDSheet!$A:$G,7,0)</f>
        <v>яблпром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74.3</v>
      </c>
      <c r="K60" s="14">
        <f t="shared" si="12"/>
        <v>-18.920999999999999</v>
      </c>
      <c r="L60" s="14">
        <f>VLOOKUP(A:A,[1]TDSheet!$A:$X,24,0)</f>
        <v>30</v>
      </c>
      <c r="M60" s="14"/>
      <c r="N60" s="14"/>
      <c r="O60" s="14"/>
      <c r="P60" s="14"/>
      <c r="Q60" s="14"/>
      <c r="R60" s="14"/>
      <c r="S60" s="14"/>
      <c r="T60" s="14"/>
      <c r="U60" s="14"/>
      <c r="V60" s="16">
        <v>50</v>
      </c>
      <c r="W60" s="14">
        <f t="shared" si="13"/>
        <v>27.689499999999999</v>
      </c>
      <c r="X60" s="16">
        <v>30</v>
      </c>
      <c r="Y60" s="19">
        <f t="shared" si="14"/>
        <v>7.4484631480348389</v>
      </c>
      <c r="Z60" s="17">
        <f t="shared" si="15"/>
        <v>7.1220859892739128</v>
      </c>
      <c r="AA60" s="14"/>
      <c r="AB60" s="14"/>
      <c r="AC60" s="14">
        <v>0</v>
      </c>
      <c r="AD60" s="14">
        <f>VLOOKUP(A:A,[1]TDSheet!$A:$AD,30,0)</f>
        <v>44.662599999999998</v>
      </c>
      <c r="AE60" s="14">
        <f>VLOOKUP(A:A,[1]TDSheet!$A:$AE,31,0)</f>
        <v>30.8918</v>
      </c>
      <c r="AF60" s="14">
        <f>VLOOKUP(A:A,[1]TDSheet!$A:$AF,32,0)</f>
        <v>26.476199999999999</v>
      </c>
      <c r="AG60" s="14">
        <f>VLOOKUP(A:A,[1]TDSheet!$A:$AG,33,0)</f>
        <v>102.7748</v>
      </c>
      <c r="AH60" s="14">
        <f>VLOOKUP(A:A,[3]TDSheet!$A:$D,4,0)</f>
        <v>11.499000000000001</v>
      </c>
      <c r="AI60" s="14" t="str">
        <f>VLOOKUP(A:A,[1]TDSheet!$A:$AI,35,0)</f>
        <v>Ларин0</v>
      </c>
      <c r="AJ60" s="14">
        <f t="shared" si="16"/>
        <v>0</v>
      </c>
      <c r="AK60" s="14">
        <f t="shared" si="17"/>
        <v>50</v>
      </c>
      <c r="AL60" s="14">
        <f t="shared" si="18"/>
        <v>30</v>
      </c>
      <c r="AM60" s="14"/>
      <c r="AN60" s="14"/>
      <c r="AO60" s="14"/>
    </row>
    <row r="61" spans="1:41" s="1" customFormat="1" ht="11.1" customHeight="1" outlineLevel="1" x14ac:dyDescent="0.2">
      <c r="A61" s="7" t="s">
        <v>62</v>
      </c>
      <c r="B61" s="7" t="s">
        <v>8</v>
      </c>
      <c r="C61" s="8">
        <v>0.77</v>
      </c>
      <c r="D61" s="8"/>
      <c r="E61" s="8">
        <v>0</v>
      </c>
      <c r="F61" s="8">
        <v>0.77</v>
      </c>
      <c r="G61" s="1" t="str">
        <f>VLOOKUP(A:A,[1]TDSheet!$A:$G,7,0)</f>
        <v>хз</v>
      </c>
      <c r="H61" s="1">
        <f>VLOOKUP(A:A,[1]TDSheet!$A:$H,8,0)</f>
        <v>0</v>
      </c>
      <c r="I61" s="1" t="e">
        <f>VLOOKUP(A:A,[1]TDSheet!$A:$I,9,0)</f>
        <v>#N/A</v>
      </c>
      <c r="J61" s="14">
        <v>0</v>
      </c>
      <c r="K61" s="14">
        <f t="shared" si="12"/>
        <v>0</v>
      </c>
      <c r="L61" s="14">
        <f>VLOOKUP(A:A,[1]TDSheet!$A:$X,24,0)</f>
        <v>0</v>
      </c>
      <c r="M61" s="14"/>
      <c r="N61" s="14"/>
      <c r="O61" s="14"/>
      <c r="P61" s="14"/>
      <c r="Q61" s="14"/>
      <c r="R61" s="14"/>
      <c r="S61" s="14"/>
      <c r="T61" s="14"/>
      <c r="U61" s="14"/>
      <c r="V61" s="16"/>
      <c r="W61" s="14">
        <f t="shared" si="13"/>
        <v>0</v>
      </c>
      <c r="X61" s="16"/>
      <c r="Y61" s="19" t="e">
        <f t="shared" si="14"/>
        <v>#DIV/0!</v>
      </c>
      <c r="Z61" s="17" t="e">
        <f t="shared" si="15"/>
        <v>#DIV/0!</v>
      </c>
      <c r="AA61" s="14"/>
      <c r="AB61" s="14"/>
      <c r="AC61" s="14">
        <v>0</v>
      </c>
      <c r="AD61" s="14">
        <f>VLOOKUP(A:A,[1]TDSheet!$A:$AD,30,0)</f>
        <v>0</v>
      </c>
      <c r="AE61" s="14">
        <f>VLOOKUP(A:A,[1]TDSheet!$A:$AE,31,0)</f>
        <v>0</v>
      </c>
      <c r="AF61" s="14">
        <f>VLOOKUP(A:A,[1]TDSheet!$A:$AF,32,0)</f>
        <v>0</v>
      </c>
      <c r="AG61" s="14">
        <f>VLOOKUP(A:A,[1]TDSheet!$A:$AG,33,0)</f>
        <v>8.7919999999999998</v>
      </c>
      <c r="AH61" s="14">
        <v>0</v>
      </c>
      <c r="AI61" s="14" t="e">
        <f>VLOOKUP(A:A,[1]TDSheet!$A:$AI,35,0)</f>
        <v>#N/A</v>
      </c>
      <c r="AJ61" s="14">
        <f t="shared" si="16"/>
        <v>0</v>
      </c>
      <c r="AK61" s="14">
        <f t="shared" si="17"/>
        <v>0</v>
      </c>
      <c r="AL61" s="14">
        <f t="shared" si="18"/>
        <v>0</v>
      </c>
      <c r="AM61" s="14"/>
      <c r="AN61" s="14"/>
      <c r="AO61" s="14"/>
    </row>
    <row r="62" spans="1:41" s="1" customFormat="1" ht="11.1" customHeight="1" outlineLevel="1" x14ac:dyDescent="0.2">
      <c r="A62" s="7" t="s">
        <v>63</v>
      </c>
      <c r="B62" s="7" t="s">
        <v>8</v>
      </c>
      <c r="C62" s="8">
        <v>1671.405</v>
      </c>
      <c r="D62" s="8">
        <v>4721.18</v>
      </c>
      <c r="E62" s="8">
        <v>1708.5239999999999</v>
      </c>
      <c r="F62" s="8">
        <v>4669.17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40</v>
      </c>
      <c r="J62" s="14">
        <f>VLOOKUP(A:A,[2]TDSheet!$A:$F,6,0)</f>
        <v>1677.9649999999999</v>
      </c>
      <c r="K62" s="14">
        <f t="shared" si="12"/>
        <v>30.558999999999969</v>
      </c>
      <c r="L62" s="14">
        <f>VLOOKUP(A:A,[1]TDSheet!$A:$X,24,0)</f>
        <v>900</v>
      </c>
      <c r="M62" s="14"/>
      <c r="N62" s="14"/>
      <c r="O62" s="14"/>
      <c r="P62" s="14"/>
      <c r="Q62" s="14"/>
      <c r="R62" s="14"/>
      <c r="S62" s="14"/>
      <c r="T62" s="14"/>
      <c r="U62" s="14"/>
      <c r="V62" s="16">
        <v>500</v>
      </c>
      <c r="W62" s="14">
        <f t="shared" si="13"/>
        <v>854.26199999999994</v>
      </c>
      <c r="X62" s="16">
        <v>1200</v>
      </c>
      <c r="Y62" s="19">
        <f t="shared" si="14"/>
        <v>6.567675288861631</v>
      </c>
      <c r="Z62" s="17">
        <f t="shared" si="15"/>
        <v>8.5092980841943113</v>
      </c>
      <c r="AA62" s="14"/>
      <c r="AB62" s="14"/>
      <c r="AC62" s="14">
        <v>0</v>
      </c>
      <c r="AD62" s="14">
        <f>VLOOKUP(A:A,[1]TDSheet!$A:$AD,30,0)</f>
        <v>999.38760000000002</v>
      </c>
      <c r="AE62" s="14">
        <f>VLOOKUP(A:A,[1]TDSheet!$A:$AE,31,0)</f>
        <v>1029.8522</v>
      </c>
      <c r="AF62" s="14">
        <f>VLOOKUP(A:A,[1]TDSheet!$A:$AF,32,0)</f>
        <v>1106.8102000000001</v>
      </c>
      <c r="AG62" s="14">
        <f>VLOOKUP(A:A,[1]TDSheet!$A:$AG,33,0)</f>
        <v>1284.4756</v>
      </c>
      <c r="AH62" s="14">
        <f>VLOOKUP(A:A,[3]TDSheet!$A:$D,4,0)</f>
        <v>583.37199999999996</v>
      </c>
      <c r="AI62" s="14" t="str">
        <f>VLOOKUP(A:A,[1]TDSheet!$A:$AI,35,0)</f>
        <v>проддек-ян</v>
      </c>
      <c r="AJ62" s="14">
        <f t="shared" si="16"/>
        <v>0</v>
      </c>
      <c r="AK62" s="14">
        <f t="shared" si="17"/>
        <v>500</v>
      </c>
      <c r="AL62" s="14">
        <f t="shared" si="18"/>
        <v>1200</v>
      </c>
      <c r="AM62" s="14"/>
      <c r="AN62" s="14"/>
      <c r="AO62" s="14"/>
    </row>
    <row r="63" spans="1:41" s="1" customFormat="1" ht="11.1" customHeight="1" outlineLevel="1" x14ac:dyDescent="0.2">
      <c r="A63" s="7" t="s">
        <v>64</v>
      </c>
      <c r="B63" s="7" t="s">
        <v>12</v>
      </c>
      <c r="C63" s="8">
        <v>193</v>
      </c>
      <c r="D63" s="8">
        <v>5229</v>
      </c>
      <c r="E63" s="8">
        <v>2098</v>
      </c>
      <c r="F63" s="8">
        <v>3295</v>
      </c>
      <c r="G63" s="1">
        <f>VLOOKUP(A:A,[1]TDSheet!$A:$G,7,0)</f>
        <v>0</v>
      </c>
      <c r="H63" s="1">
        <f>VLOOKUP(A:A,[1]TDSheet!$A:$H,8,0)</f>
        <v>0.45</v>
      </c>
      <c r="I63" s="1">
        <f>VLOOKUP(A:A,[1]TDSheet!$A:$I,9,0)</f>
        <v>50</v>
      </c>
      <c r="J63" s="14">
        <f>VLOOKUP(A:A,[2]TDSheet!$A:$F,6,0)</f>
        <v>2113</v>
      </c>
      <c r="K63" s="14">
        <f t="shared" si="12"/>
        <v>-15</v>
      </c>
      <c r="L63" s="14">
        <f>VLOOKUP(A:A,[1]TDSheet!$A:$X,24,0)</f>
        <v>1500</v>
      </c>
      <c r="M63" s="14"/>
      <c r="N63" s="14"/>
      <c r="O63" s="14"/>
      <c r="P63" s="14"/>
      <c r="Q63" s="14"/>
      <c r="R63" s="14"/>
      <c r="S63" s="14"/>
      <c r="T63" s="14">
        <v>1200</v>
      </c>
      <c r="U63" s="14"/>
      <c r="V63" s="16">
        <v>1000</v>
      </c>
      <c r="W63" s="14">
        <f t="shared" si="13"/>
        <v>1049</v>
      </c>
      <c r="X63" s="16">
        <v>1000</v>
      </c>
      <c r="Y63" s="19">
        <f t="shared" si="14"/>
        <v>8.5644063524073601</v>
      </c>
      <c r="Z63" s="17">
        <f t="shared" si="15"/>
        <v>6.4775977121067685</v>
      </c>
      <c r="AA63" s="14"/>
      <c r="AB63" s="14"/>
      <c r="AC63" s="14">
        <v>0</v>
      </c>
      <c r="AD63" s="14">
        <f>VLOOKUP(A:A,[1]TDSheet!$A:$AD,30,0)</f>
        <v>604.6</v>
      </c>
      <c r="AE63" s="14">
        <f>VLOOKUP(A:A,[1]TDSheet!$A:$AE,31,0)</f>
        <v>722</v>
      </c>
      <c r="AF63" s="14">
        <f>VLOOKUP(A:A,[1]TDSheet!$A:$AF,32,0)</f>
        <v>793.4</v>
      </c>
      <c r="AG63" s="14">
        <f>VLOOKUP(A:A,[1]TDSheet!$A:$AG,33,0)</f>
        <v>1228.2</v>
      </c>
      <c r="AH63" s="14">
        <f>VLOOKUP(A:A,[3]TDSheet!$A:$D,4,0)</f>
        <v>910</v>
      </c>
      <c r="AI63" s="14" t="str">
        <f>VLOOKUP(A:A,[1]TDSheet!$A:$AI,35,0)</f>
        <v>ябдек-ян</v>
      </c>
      <c r="AJ63" s="14">
        <f t="shared" si="16"/>
        <v>540</v>
      </c>
      <c r="AK63" s="14">
        <f t="shared" si="17"/>
        <v>450</v>
      </c>
      <c r="AL63" s="14">
        <f t="shared" si="18"/>
        <v>450</v>
      </c>
      <c r="AM63" s="14"/>
      <c r="AN63" s="14"/>
      <c r="AO63" s="14"/>
    </row>
    <row r="64" spans="1:41" s="1" customFormat="1" ht="11.1" customHeight="1" outlineLevel="1" x14ac:dyDescent="0.2">
      <c r="A64" s="7" t="s">
        <v>65</v>
      </c>
      <c r="B64" s="7" t="s">
        <v>12</v>
      </c>
      <c r="C64" s="8">
        <v>198</v>
      </c>
      <c r="D64" s="8">
        <v>5111</v>
      </c>
      <c r="E64" s="8">
        <v>2091</v>
      </c>
      <c r="F64" s="8">
        <v>3207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4">
        <f>VLOOKUP(A:A,[2]TDSheet!$A:$F,6,0)</f>
        <v>2100</v>
      </c>
      <c r="K64" s="14">
        <f t="shared" si="12"/>
        <v>-9</v>
      </c>
      <c r="L64" s="14">
        <f>VLOOKUP(A:A,[1]TDSheet!$A:$X,24,0)</f>
        <v>1500</v>
      </c>
      <c r="M64" s="14"/>
      <c r="N64" s="14"/>
      <c r="O64" s="14"/>
      <c r="P64" s="14"/>
      <c r="Q64" s="14"/>
      <c r="R64" s="14"/>
      <c r="S64" s="14"/>
      <c r="T64" s="14"/>
      <c r="U64" s="14"/>
      <c r="V64" s="16">
        <v>1000</v>
      </c>
      <c r="W64" s="14">
        <f t="shared" si="13"/>
        <v>1045.5</v>
      </c>
      <c r="X64" s="16">
        <v>1000</v>
      </c>
      <c r="Y64" s="19">
        <f t="shared" si="14"/>
        <v>7.7988372093023255</v>
      </c>
      <c r="Z64" s="17">
        <f t="shared" si="15"/>
        <v>6.4151123864179818</v>
      </c>
      <c r="AA64" s="14"/>
      <c r="AB64" s="14"/>
      <c r="AC64" s="14">
        <v>0</v>
      </c>
      <c r="AD64" s="14">
        <f>VLOOKUP(A:A,[1]TDSheet!$A:$AD,30,0)</f>
        <v>845.6</v>
      </c>
      <c r="AE64" s="14">
        <f>VLOOKUP(A:A,[1]TDSheet!$A:$AE,31,0)</f>
        <v>790.2</v>
      </c>
      <c r="AF64" s="14">
        <f>VLOOKUP(A:A,[1]TDSheet!$A:$AF,32,0)</f>
        <v>860</v>
      </c>
      <c r="AG64" s="14">
        <f>VLOOKUP(A:A,[1]TDSheet!$A:$AG,33,0)</f>
        <v>1201.5999999999999</v>
      </c>
      <c r="AH64" s="14">
        <f>VLOOKUP(A:A,[3]TDSheet!$A:$D,4,0)</f>
        <v>1008</v>
      </c>
      <c r="AI64" s="14" t="str">
        <f>VLOOKUP(A:A,[1]TDSheet!$A:$AI,35,0)</f>
        <v>жк</v>
      </c>
      <c r="AJ64" s="14">
        <f t="shared" si="16"/>
        <v>0</v>
      </c>
      <c r="AK64" s="14">
        <f t="shared" si="17"/>
        <v>450</v>
      </c>
      <c r="AL64" s="14">
        <f t="shared" si="18"/>
        <v>450</v>
      </c>
      <c r="AM64" s="14"/>
      <c r="AN64" s="14"/>
      <c r="AO64" s="14"/>
    </row>
    <row r="65" spans="1:41" s="1" customFormat="1" ht="11.1" customHeight="1" outlineLevel="1" x14ac:dyDescent="0.2">
      <c r="A65" s="7" t="s">
        <v>66</v>
      </c>
      <c r="B65" s="7" t="s">
        <v>12</v>
      </c>
      <c r="C65" s="8">
        <v>402</v>
      </c>
      <c r="D65" s="8">
        <v>1683</v>
      </c>
      <c r="E65" s="8">
        <v>904</v>
      </c>
      <c r="F65" s="8">
        <v>1160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4">
        <f>VLOOKUP(A:A,[2]TDSheet!$A:$F,6,0)</f>
        <v>921</v>
      </c>
      <c r="K65" s="14">
        <f t="shared" si="12"/>
        <v>-17</v>
      </c>
      <c r="L65" s="14">
        <f>VLOOKUP(A:A,[1]TDSheet!$A:$X,24,0)</f>
        <v>400</v>
      </c>
      <c r="M65" s="14"/>
      <c r="N65" s="14"/>
      <c r="O65" s="14"/>
      <c r="P65" s="14"/>
      <c r="Q65" s="14"/>
      <c r="R65" s="14"/>
      <c r="S65" s="14"/>
      <c r="T65" s="14"/>
      <c r="U65" s="14"/>
      <c r="V65" s="16">
        <v>500</v>
      </c>
      <c r="W65" s="14">
        <f t="shared" si="13"/>
        <v>452</v>
      </c>
      <c r="X65" s="16">
        <v>300</v>
      </c>
      <c r="Y65" s="19">
        <f t="shared" si="14"/>
        <v>8.0988332189430334</v>
      </c>
      <c r="Z65" s="17">
        <f t="shared" si="15"/>
        <v>5.221238938053097</v>
      </c>
      <c r="AA65" s="14"/>
      <c r="AB65" s="14"/>
      <c r="AC65" s="14">
        <v>0</v>
      </c>
      <c r="AD65" s="14">
        <f>VLOOKUP(A:A,[1]TDSheet!$A:$AD,30,0)</f>
        <v>326.60000000000002</v>
      </c>
      <c r="AE65" s="14">
        <f>VLOOKUP(A:A,[1]TDSheet!$A:$AE,31,0)</f>
        <v>309</v>
      </c>
      <c r="AF65" s="14">
        <f>VLOOKUP(A:A,[1]TDSheet!$A:$AF,32,0)</f>
        <v>291.39999999999998</v>
      </c>
      <c r="AG65" s="14">
        <f>VLOOKUP(A:A,[1]TDSheet!$A:$AG,33,0)</f>
        <v>496.8</v>
      </c>
      <c r="AH65" s="14">
        <f>VLOOKUP(A:A,[3]TDSheet!$A:$D,4,0)</f>
        <v>427</v>
      </c>
      <c r="AI65" s="14" t="str">
        <f>VLOOKUP(A:A,[1]TDSheet!$A:$AI,35,0)</f>
        <v>жц</v>
      </c>
      <c r="AJ65" s="14">
        <f t="shared" si="16"/>
        <v>0</v>
      </c>
      <c r="AK65" s="14">
        <f t="shared" si="17"/>
        <v>225</v>
      </c>
      <c r="AL65" s="14">
        <f t="shared" si="18"/>
        <v>135</v>
      </c>
      <c r="AM65" s="14"/>
      <c r="AN65" s="14"/>
      <c r="AO65" s="14"/>
    </row>
    <row r="66" spans="1:41" s="1" customFormat="1" ht="11.1" customHeight="1" outlineLevel="1" x14ac:dyDescent="0.2">
      <c r="A66" s="7" t="s">
        <v>67</v>
      </c>
      <c r="B66" s="7" t="s">
        <v>12</v>
      </c>
      <c r="C66" s="8">
        <v>314</v>
      </c>
      <c r="D66" s="8">
        <v>330</v>
      </c>
      <c r="E66" s="8">
        <v>105</v>
      </c>
      <c r="F66" s="8">
        <v>539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4">
        <f>VLOOKUP(A:A,[2]TDSheet!$A:$F,6,0)</f>
        <v>107</v>
      </c>
      <c r="K66" s="14">
        <f t="shared" si="12"/>
        <v>-2</v>
      </c>
      <c r="L66" s="14">
        <f>VLOOKUP(A:A,[1]TDSheet!$A:$X,24,0)</f>
        <v>0</v>
      </c>
      <c r="M66" s="14"/>
      <c r="N66" s="14"/>
      <c r="O66" s="14"/>
      <c r="P66" s="14"/>
      <c r="Q66" s="14"/>
      <c r="R66" s="14"/>
      <c r="S66" s="14"/>
      <c r="T66" s="14"/>
      <c r="U66" s="14"/>
      <c r="V66" s="16"/>
      <c r="W66" s="14">
        <f t="shared" si="13"/>
        <v>52.5</v>
      </c>
      <c r="X66" s="16"/>
      <c r="Y66" s="19">
        <f t="shared" si="14"/>
        <v>6.2674418604651159</v>
      </c>
      <c r="Z66" s="17">
        <f t="shared" si="15"/>
        <v>10.266666666666667</v>
      </c>
      <c r="AA66" s="14"/>
      <c r="AB66" s="14"/>
      <c r="AC66" s="14">
        <v>0</v>
      </c>
      <c r="AD66" s="14">
        <f>VLOOKUP(A:A,[1]TDSheet!$A:$AD,30,0)</f>
        <v>59.4</v>
      </c>
      <c r="AE66" s="14">
        <f>VLOOKUP(A:A,[1]TDSheet!$A:$AE,31,0)</f>
        <v>56.6</v>
      </c>
      <c r="AF66" s="14">
        <f>VLOOKUP(A:A,[1]TDSheet!$A:$AF,32,0)</f>
        <v>86</v>
      </c>
      <c r="AG66" s="14">
        <f>VLOOKUP(A:A,[1]TDSheet!$A:$AG,33,0)</f>
        <v>100.6</v>
      </c>
      <c r="AH66" s="14">
        <f>VLOOKUP(A:A,[3]TDSheet!$A:$D,4,0)</f>
        <v>10</v>
      </c>
      <c r="AI66" s="14">
        <f>VLOOKUP(A:A,[1]TDSheet!$A:$AI,35,0)</f>
        <v>0</v>
      </c>
      <c r="AJ66" s="14">
        <f t="shared" si="16"/>
        <v>0</v>
      </c>
      <c r="AK66" s="14">
        <f t="shared" si="17"/>
        <v>0</v>
      </c>
      <c r="AL66" s="14">
        <f t="shared" si="18"/>
        <v>0</v>
      </c>
      <c r="AM66" s="14"/>
      <c r="AN66" s="14"/>
      <c r="AO66" s="14"/>
    </row>
    <row r="67" spans="1:41" s="1" customFormat="1" ht="11.1" customHeight="1" outlineLevel="1" x14ac:dyDescent="0.2">
      <c r="A67" s="7" t="s">
        <v>68</v>
      </c>
      <c r="B67" s="7" t="s">
        <v>12</v>
      </c>
      <c r="C67" s="8">
        <v>201</v>
      </c>
      <c r="D67" s="8">
        <v>354</v>
      </c>
      <c r="E67" s="8">
        <v>101</v>
      </c>
      <c r="F67" s="8">
        <v>454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4">
        <f>VLOOKUP(A:A,[2]TDSheet!$A:$F,6,0)</f>
        <v>103</v>
      </c>
      <c r="K67" s="14">
        <f t="shared" si="12"/>
        <v>-2</v>
      </c>
      <c r="L67" s="14">
        <f>VLOOKUP(A:A,[1]TDSheet!$A:$X,24,0)</f>
        <v>0</v>
      </c>
      <c r="M67" s="14"/>
      <c r="N67" s="14"/>
      <c r="O67" s="14"/>
      <c r="P67" s="14"/>
      <c r="Q67" s="14"/>
      <c r="R67" s="14"/>
      <c r="S67" s="14"/>
      <c r="T67" s="14"/>
      <c r="U67" s="14"/>
      <c r="V67" s="16"/>
      <c r="W67" s="14">
        <f t="shared" si="13"/>
        <v>50.5</v>
      </c>
      <c r="X67" s="16">
        <v>30</v>
      </c>
      <c r="Y67" s="19">
        <f t="shared" si="14"/>
        <v>6.1734693877551017</v>
      </c>
      <c r="Z67" s="17">
        <f t="shared" si="15"/>
        <v>9.5841584158415838</v>
      </c>
      <c r="AA67" s="14"/>
      <c r="AB67" s="14"/>
      <c r="AC67" s="14">
        <v>0</v>
      </c>
      <c r="AD67" s="14">
        <f>VLOOKUP(A:A,[1]TDSheet!$A:$AD,30,0)</f>
        <v>56.2</v>
      </c>
      <c r="AE67" s="14">
        <f>VLOOKUP(A:A,[1]TDSheet!$A:$AE,31,0)</f>
        <v>54</v>
      </c>
      <c r="AF67" s="14">
        <f>VLOOKUP(A:A,[1]TDSheet!$A:$AF,32,0)</f>
        <v>78.400000000000006</v>
      </c>
      <c r="AG67" s="14">
        <f>VLOOKUP(A:A,[1]TDSheet!$A:$AG,33,0)</f>
        <v>86.6</v>
      </c>
      <c r="AH67" s="14">
        <f>VLOOKUP(A:A,[3]TDSheet!$A:$D,4,0)</f>
        <v>23</v>
      </c>
      <c r="AI67" s="14">
        <f>VLOOKUP(A:A,[1]TDSheet!$A:$AI,35,0)</f>
        <v>0</v>
      </c>
      <c r="AJ67" s="14">
        <f t="shared" si="16"/>
        <v>0</v>
      </c>
      <c r="AK67" s="14">
        <f t="shared" si="17"/>
        <v>0</v>
      </c>
      <c r="AL67" s="14">
        <f t="shared" si="18"/>
        <v>12</v>
      </c>
      <c r="AM67" s="14"/>
      <c r="AN67" s="14"/>
      <c r="AO67" s="14"/>
    </row>
    <row r="68" spans="1:41" s="1" customFormat="1" ht="11.1" customHeight="1" outlineLevel="1" x14ac:dyDescent="0.2">
      <c r="A68" s="7" t="s">
        <v>69</v>
      </c>
      <c r="B68" s="7" t="s">
        <v>8</v>
      </c>
      <c r="C68" s="8">
        <v>100.559</v>
      </c>
      <c r="D68" s="8">
        <v>1493.085</v>
      </c>
      <c r="E68" s="8">
        <v>565.947</v>
      </c>
      <c r="F68" s="8">
        <v>1018.268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50</v>
      </c>
      <c r="J68" s="14">
        <f>VLOOKUP(A:A,[2]TDSheet!$A:$F,6,0)</f>
        <v>577.67999999999995</v>
      </c>
      <c r="K68" s="14">
        <f t="shared" si="12"/>
        <v>-11.732999999999947</v>
      </c>
      <c r="L68" s="14">
        <f>VLOOKUP(A:A,[1]TDSheet!$A:$X,24,0)</f>
        <v>450</v>
      </c>
      <c r="M68" s="14"/>
      <c r="N68" s="14"/>
      <c r="O68" s="14"/>
      <c r="P68" s="14"/>
      <c r="Q68" s="14"/>
      <c r="R68" s="14"/>
      <c r="S68" s="14"/>
      <c r="T68" s="14"/>
      <c r="U68" s="14"/>
      <c r="V68" s="16">
        <v>200</v>
      </c>
      <c r="W68" s="14">
        <f t="shared" si="13"/>
        <v>282.9735</v>
      </c>
      <c r="X68" s="16">
        <v>200</v>
      </c>
      <c r="Y68" s="19">
        <f t="shared" si="14"/>
        <v>8.8357913614625581</v>
      </c>
      <c r="Z68" s="17">
        <f t="shared" si="15"/>
        <v>6.6022719441926538</v>
      </c>
      <c r="AA68" s="14"/>
      <c r="AB68" s="14"/>
      <c r="AC68" s="14">
        <v>0</v>
      </c>
      <c r="AD68" s="14">
        <f>VLOOKUP(A:A,[1]TDSheet!$A:$AD,30,0)</f>
        <v>179.63759999999999</v>
      </c>
      <c r="AE68" s="14">
        <f>VLOOKUP(A:A,[1]TDSheet!$A:$AE,31,0)</f>
        <v>190.4136</v>
      </c>
      <c r="AF68" s="14">
        <f>VLOOKUP(A:A,[1]TDSheet!$A:$AF,32,0)</f>
        <v>211.44319999999999</v>
      </c>
      <c r="AG68" s="14">
        <f>VLOOKUP(A:A,[1]TDSheet!$A:$AG,33,0)</f>
        <v>366.28699999999998</v>
      </c>
      <c r="AH68" s="14">
        <f>VLOOKUP(A:A,[3]TDSheet!$A:$D,4,0)</f>
        <v>214.608</v>
      </c>
      <c r="AI68" s="14">
        <f>VLOOKUP(A:A,[1]TDSheet!$A:$AI,35,0)</f>
        <v>0</v>
      </c>
      <c r="AJ68" s="14">
        <f t="shared" si="16"/>
        <v>0</v>
      </c>
      <c r="AK68" s="14">
        <f t="shared" si="17"/>
        <v>200</v>
      </c>
      <c r="AL68" s="14">
        <f t="shared" si="18"/>
        <v>200</v>
      </c>
      <c r="AM68" s="14"/>
      <c r="AN68" s="14"/>
      <c r="AO68" s="14"/>
    </row>
    <row r="69" spans="1:41" s="1" customFormat="1" ht="11.1" customHeight="1" outlineLevel="1" x14ac:dyDescent="0.2">
      <c r="A69" s="7" t="s">
        <v>70</v>
      </c>
      <c r="B69" s="7" t="s">
        <v>12</v>
      </c>
      <c r="C69" s="8">
        <v>2004</v>
      </c>
      <c r="D69" s="8">
        <v>10</v>
      </c>
      <c r="E69" s="20">
        <v>504</v>
      </c>
      <c r="F69" s="20">
        <v>1500</v>
      </c>
      <c r="G69" s="1">
        <f>VLOOKUP(A:A,[1]TDSheet!$A:$G,7,0)</f>
        <v>0</v>
      </c>
      <c r="H69" s="1">
        <f>VLOOKUP(A:A,[1]TDSheet!$A:$H,8,0)</f>
        <v>0.1</v>
      </c>
      <c r="I69" s="1">
        <f>VLOOKUP(A:A,[1]TDSheet!$A:$I,9,0)</f>
        <v>730</v>
      </c>
      <c r="J69" s="14">
        <f>VLOOKUP(A:A,[2]TDSheet!$A:$F,6,0)</f>
        <v>423</v>
      </c>
      <c r="K69" s="14">
        <f t="shared" si="12"/>
        <v>81</v>
      </c>
      <c r="L69" s="14">
        <f>VLOOKUP(A:A,[1]TDSheet!$A:$X,24,0)</f>
        <v>0</v>
      </c>
      <c r="M69" s="14"/>
      <c r="N69" s="14"/>
      <c r="O69" s="14"/>
      <c r="P69" s="14"/>
      <c r="Q69" s="14"/>
      <c r="R69" s="14"/>
      <c r="S69" s="14"/>
      <c r="T69" s="14"/>
      <c r="U69" s="14"/>
      <c r="V69" s="16">
        <v>1000</v>
      </c>
      <c r="W69" s="14">
        <f t="shared" si="13"/>
        <v>252</v>
      </c>
      <c r="X69" s="16"/>
      <c r="Y69" s="19">
        <f t="shared" si="14"/>
        <v>19.500780031201248</v>
      </c>
      <c r="Z69" s="17">
        <f t="shared" si="15"/>
        <v>9.9206349206349209</v>
      </c>
      <c r="AA69" s="14"/>
      <c r="AB69" s="14"/>
      <c r="AC69" s="14">
        <v>0</v>
      </c>
      <c r="AD69" s="14">
        <f>VLOOKUP(A:A,[1]TDSheet!$A:$AD,30,0)</f>
        <v>157.4</v>
      </c>
      <c r="AE69" s="14">
        <f>VLOOKUP(A:A,[1]TDSheet!$A:$AE,31,0)</f>
        <v>129.4</v>
      </c>
      <c r="AF69" s="14">
        <f>VLOOKUP(A:A,[1]TDSheet!$A:$AF,32,0)</f>
        <v>128.19999999999999</v>
      </c>
      <c r="AG69" s="14">
        <f>VLOOKUP(A:A,[1]TDSheet!$A:$AG,33,0)</f>
        <v>115</v>
      </c>
      <c r="AH69" s="14">
        <f>VLOOKUP(A:A,[3]TDSheet!$A:$D,4,0)</f>
        <v>199</v>
      </c>
      <c r="AI69" s="14">
        <f>VLOOKUP(A:A,[1]TDSheet!$A:$AI,35,0)</f>
        <v>0</v>
      </c>
      <c r="AJ69" s="14">
        <f t="shared" si="16"/>
        <v>0</v>
      </c>
      <c r="AK69" s="14">
        <f t="shared" si="17"/>
        <v>100</v>
      </c>
      <c r="AL69" s="14">
        <f t="shared" si="18"/>
        <v>0</v>
      </c>
      <c r="AM69" s="14"/>
      <c r="AN69" s="14"/>
      <c r="AO69" s="14"/>
    </row>
    <row r="70" spans="1:41" s="1" customFormat="1" ht="11.1" customHeight="1" outlineLevel="1" x14ac:dyDescent="0.2">
      <c r="A70" s="7" t="s">
        <v>71</v>
      </c>
      <c r="B70" s="7" t="s">
        <v>8</v>
      </c>
      <c r="C70" s="8">
        <v>6.7359999999999998</v>
      </c>
      <c r="D70" s="8">
        <v>269.13299999999998</v>
      </c>
      <c r="E70" s="8">
        <v>115.974</v>
      </c>
      <c r="F70" s="8">
        <v>159.89500000000001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50</v>
      </c>
      <c r="J70" s="14">
        <f>VLOOKUP(A:A,[2]TDSheet!$A:$F,6,0)</f>
        <v>146.58000000000001</v>
      </c>
      <c r="K70" s="14">
        <f t="shared" si="12"/>
        <v>-30.606000000000009</v>
      </c>
      <c r="L70" s="14">
        <f>VLOOKUP(A:A,[1]TDSheet!$A:$X,24,0)</f>
        <v>60</v>
      </c>
      <c r="M70" s="14"/>
      <c r="N70" s="14"/>
      <c r="O70" s="14"/>
      <c r="P70" s="14"/>
      <c r="Q70" s="14"/>
      <c r="R70" s="14"/>
      <c r="S70" s="14"/>
      <c r="T70" s="14"/>
      <c r="U70" s="14"/>
      <c r="V70" s="16">
        <v>50</v>
      </c>
      <c r="W70" s="14">
        <f t="shared" si="13"/>
        <v>57.987000000000002</v>
      </c>
      <c r="X70" s="16">
        <v>50</v>
      </c>
      <c r="Y70" s="19">
        <f t="shared" si="14"/>
        <v>7.1731769665440845</v>
      </c>
      <c r="Z70" s="17">
        <f t="shared" si="15"/>
        <v>5.5166675289288971</v>
      </c>
      <c r="AA70" s="14"/>
      <c r="AB70" s="14"/>
      <c r="AC70" s="14">
        <v>0</v>
      </c>
      <c r="AD70" s="14">
        <f>VLOOKUP(A:A,[1]TDSheet!$A:$AD,30,0)</f>
        <v>47.904199999999996</v>
      </c>
      <c r="AE70" s="14">
        <f>VLOOKUP(A:A,[1]TDSheet!$A:$AE,31,0)</f>
        <v>44.678800000000003</v>
      </c>
      <c r="AF70" s="14">
        <f>VLOOKUP(A:A,[1]TDSheet!$A:$AF,32,0)</f>
        <v>44.595999999999997</v>
      </c>
      <c r="AG70" s="14">
        <f>VLOOKUP(A:A,[1]TDSheet!$A:$AG,33,0)</f>
        <v>73.781199999999998</v>
      </c>
      <c r="AH70" s="14">
        <f>VLOOKUP(A:A,[3]TDSheet!$A:$D,4,0)</f>
        <v>37.479999999999997</v>
      </c>
      <c r="AI70" s="14">
        <f>VLOOKUP(A:A,[1]TDSheet!$A:$AI,35,0)</f>
        <v>0</v>
      </c>
      <c r="AJ70" s="14">
        <f t="shared" si="16"/>
        <v>0</v>
      </c>
      <c r="AK70" s="14">
        <f t="shared" si="17"/>
        <v>50</v>
      </c>
      <c r="AL70" s="14">
        <f t="shared" si="18"/>
        <v>50</v>
      </c>
      <c r="AM70" s="14"/>
      <c r="AN70" s="14"/>
      <c r="AO70" s="14"/>
    </row>
    <row r="71" spans="1:41" s="1" customFormat="1" ht="11.1" customHeight="1" outlineLevel="1" x14ac:dyDescent="0.2">
      <c r="A71" s="7" t="s">
        <v>119</v>
      </c>
      <c r="B71" s="7" t="s">
        <v>12</v>
      </c>
      <c r="C71" s="8">
        <v>575</v>
      </c>
      <c r="D71" s="8">
        <v>3</v>
      </c>
      <c r="E71" s="8">
        <v>229</v>
      </c>
      <c r="F71" s="8">
        <v>346</v>
      </c>
      <c r="G71" s="1" t="str">
        <f>VLOOKUP(A:A,[1]TDSheet!$A:$G,7,0)</f>
        <v>сч</v>
      </c>
      <c r="H71" s="1">
        <f>VLOOKUP(A:A,[1]TDSheet!$A:$H,8,0)</f>
        <v>0</v>
      </c>
      <c r="I71" s="1" t="e">
        <f>VLOOKUP(A:A,[1]TDSheet!$A:$I,9,0)</f>
        <v>#N/A</v>
      </c>
      <c r="J71" s="14">
        <f>VLOOKUP(A:A,[2]TDSheet!$A:$F,6,0)</f>
        <v>238</v>
      </c>
      <c r="K71" s="14">
        <f t="shared" si="12"/>
        <v>-9</v>
      </c>
      <c r="L71" s="14">
        <f>VLOOKUP(A:A,[1]TDSheet!$A:$X,24,0)</f>
        <v>0</v>
      </c>
      <c r="M71" s="14"/>
      <c r="N71" s="14"/>
      <c r="O71" s="14"/>
      <c r="P71" s="14"/>
      <c r="Q71" s="14"/>
      <c r="R71" s="14"/>
      <c r="S71" s="14"/>
      <c r="T71" s="14"/>
      <c r="U71" s="14"/>
      <c r="V71" s="16"/>
      <c r="W71" s="14">
        <f t="shared" si="13"/>
        <v>114.5</v>
      </c>
      <c r="X71" s="16"/>
      <c r="Y71" s="19" t="e">
        <f t="shared" si="14"/>
        <v>#DIV/0!</v>
      </c>
      <c r="Z71" s="17">
        <f t="shared" si="15"/>
        <v>3.0218340611353711</v>
      </c>
      <c r="AA71" s="14"/>
      <c r="AB71" s="14"/>
      <c r="AC71" s="14">
        <v>0</v>
      </c>
      <c r="AD71" s="14">
        <f>VLOOKUP(A:A,[1]TDSheet!$A:$AD,30,0)</f>
        <v>0</v>
      </c>
      <c r="AE71" s="14">
        <f>VLOOKUP(A:A,[1]TDSheet!$A:$AE,31,0)</f>
        <v>0</v>
      </c>
      <c r="AF71" s="14">
        <f>VLOOKUP(A:A,[1]TDSheet!$A:$AF,32,0)</f>
        <v>0</v>
      </c>
      <c r="AG71" s="14">
        <f>VLOOKUP(A:A,[1]TDSheet!$A:$AG,33,0)</f>
        <v>0</v>
      </c>
      <c r="AH71" s="14">
        <f>VLOOKUP(A:A,[3]TDSheet!$A:$D,4,0)</f>
        <v>107</v>
      </c>
      <c r="AI71" s="14" t="e">
        <f>VLOOKUP(A:A,[1]TDSheet!$A:$AI,35,0)</f>
        <v>#N/A</v>
      </c>
      <c r="AJ71" s="14">
        <f t="shared" si="16"/>
        <v>0</v>
      </c>
      <c r="AK71" s="14">
        <f t="shared" si="17"/>
        <v>0</v>
      </c>
      <c r="AL71" s="14">
        <f t="shared" si="18"/>
        <v>0</v>
      </c>
      <c r="AM71" s="14"/>
      <c r="AN71" s="14"/>
      <c r="AO71" s="14"/>
    </row>
    <row r="72" spans="1:41" s="1" customFormat="1" ht="11.1" customHeight="1" outlineLevel="1" x14ac:dyDescent="0.2">
      <c r="A72" s="7" t="s">
        <v>72</v>
      </c>
      <c r="B72" s="7" t="s">
        <v>12</v>
      </c>
      <c r="C72" s="8">
        <v>801</v>
      </c>
      <c r="D72" s="8">
        <v>2683</v>
      </c>
      <c r="E72" s="8">
        <v>1149</v>
      </c>
      <c r="F72" s="8">
        <v>2070</v>
      </c>
      <c r="G72" s="1">
        <f>VLOOKUP(A:A,[1]TDSheet!$A:$G,7,0)</f>
        <v>0</v>
      </c>
      <c r="H72" s="1">
        <f>VLOOKUP(A:A,[1]TDSheet!$A:$H,8,0)</f>
        <v>0.4</v>
      </c>
      <c r="I72" s="1">
        <f>VLOOKUP(A:A,[1]TDSheet!$A:$I,9,0)</f>
        <v>40</v>
      </c>
      <c r="J72" s="14">
        <f>VLOOKUP(A:A,[2]TDSheet!$A:$F,6,0)</f>
        <v>1413</v>
      </c>
      <c r="K72" s="14">
        <f t="shared" ref="K72:K130" si="19">E72-J72</f>
        <v>-264</v>
      </c>
      <c r="L72" s="14">
        <f>VLOOKUP(A:A,[1]TDSheet!$A:$X,24,0)</f>
        <v>300</v>
      </c>
      <c r="M72" s="14"/>
      <c r="N72" s="14"/>
      <c r="O72" s="14"/>
      <c r="P72" s="14"/>
      <c r="Q72" s="14"/>
      <c r="R72" s="14"/>
      <c r="S72" s="14"/>
      <c r="T72" s="14">
        <v>300</v>
      </c>
      <c r="U72" s="14"/>
      <c r="V72" s="16">
        <v>800</v>
      </c>
      <c r="W72" s="14">
        <f t="shared" ref="W72:W130" si="20">E72/2</f>
        <v>574.5</v>
      </c>
      <c r="X72" s="16">
        <v>800</v>
      </c>
      <c r="Y72" s="19">
        <f t="shared" ref="Y72:Y130" si="21">(F72+L72+V72+X72)/AF72</f>
        <v>6.7909681833732467</v>
      </c>
      <c r="Z72" s="17">
        <f t="shared" ref="Z72:Z130" si="22">(F72+L72+V72+X72)/W72</f>
        <v>6.9103568320278503</v>
      </c>
      <c r="AA72" s="14"/>
      <c r="AB72" s="14"/>
      <c r="AC72" s="14">
        <f>VLOOKUP(A:A,[4]TDSheet!$A:$D,4,0)</f>
        <v>252</v>
      </c>
      <c r="AD72" s="14">
        <f>VLOOKUP(A:A,[1]TDSheet!$A:$AD,30,0)</f>
        <v>593.4</v>
      </c>
      <c r="AE72" s="14">
        <f>VLOOKUP(A:A,[1]TDSheet!$A:$AE,31,0)</f>
        <v>567.79999999999995</v>
      </c>
      <c r="AF72" s="14">
        <f>VLOOKUP(A:A,[1]TDSheet!$A:$AF,32,0)</f>
        <v>584.6</v>
      </c>
      <c r="AG72" s="14">
        <f>VLOOKUP(A:A,[1]TDSheet!$A:$AG,33,0)</f>
        <v>672.8</v>
      </c>
      <c r="AH72" s="14">
        <f>VLOOKUP(A:A,[3]TDSheet!$A:$D,4,0)</f>
        <v>557</v>
      </c>
      <c r="AI72" s="14">
        <f>VLOOKUP(A:A,[1]TDSheet!$A:$AI,35,0)</f>
        <v>0</v>
      </c>
      <c r="AJ72" s="14">
        <f t="shared" ref="AJ72:AJ131" si="23">T72*H72</f>
        <v>120</v>
      </c>
      <c r="AK72" s="14">
        <f t="shared" ref="AK72:AK131" si="24">V72*H72</f>
        <v>320</v>
      </c>
      <c r="AL72" s="14">
        <f t="shared" ref="AL72:AL131" si="25">X72*H72</f>
        <v>320</v>
      </c>
      <c r="AM72" s="14"/>
      <c r="AN72" s="14"/>
      <c r="AO72" s="14"/>
    </row>
    <row r="73" spans="1:41" s="1" customFormat="1" ht="11.1" customHeight="1" outlineLevel="1" x14ac:dyDescent="0.2">
      <c r="A73" s="7" t="s">
        <v>73</v>
      </c>
      <c r="B73" s="7" t="s">
        <v>12</v>
      </c>
      <c r="C73" s="8">
        <v>674</v>
      </c>
      <c r="D73" s="8">
        <v>2025</v>
      </c>
      <c r="E73" s="8">
        <v>1062</v>
      </c>
      <c r="F73" s="8">
        <v>1622</v>
      </c>
      <c r="G73" s="1">
        <f>VLOOKUP(A:A,[1]TDSheet!$A:$G,7,0)</f>
        <v>0</v>
      </c>
      <c r="H73" s="1">
        <f>VLOOKUP(A:A,[1]TDSheet!$A:$H,8,0)</f>
        <v>0.4</v>
      </c>
      <c r="I73" s="1">
        <f>VLOOKUP(A:A,[1]TDSheet!$A:$I,9,0)</f>
        <v>40</v>
      </c>
      <c r="J73" s="14">
        <f>VLOOKUP(A:A,[2]TDSheet!$A:$F,6,0)</f>
        <v>1075</v>
      </c>
      <c r="K73" s="14">
        <f t="shared" si="19"/>
        <v>-13</v>
      </c>
      <c r="L73" s="14">
        <f>VLOOKUP(A:A,[1]TDSheet!$A:$X,24,0)</f>
        <v>300</v>
      </c>
      <c r="M73" s="14"/>
      <c r="N73" s="14"/>
      <c r="O73" s="14"/>
      <c r="P73" s="14"/>
      <c r="Q73" s="14"/>
      <c r="R73" s="14"/>
      <c r="S73" s="14"/>
      <c r="T73" s="14"/>
      <c r="U73" s="14"/>
      <c r="V73" s="16">
        <v>800</v>
      </c>
      <c r="W73" s="14">
        <f t="shared" si="20"/>
        <v>531</v>
      </c>
      <c r="X73" s="16">
        <v>700</v>
      </c>
      <c r="Y73" s="19">
        <f t="shared" si="21"/>
        <v>6.8742466854158293</v>
      </c>
      <c r="Z73" s="17">
        <f t="shared" si="22"/>
        <v>6.4444444444444446</v>
      </c>
      <c r="AA73" s="14"/>
      <c r="AB73" s="14"/>
      <c r="AC73" s="14">
        <v>0</v>
      </c>
      <c r="AD73" s="14">
        <f>VLOOKUP(A:A,[1]TDSheet!$A:$AD,30,0)</f>
        <v>493</v>
      </c>
      <c r="AE73" s="14">
        <f>VLOOKUP(A:A,[1]TDSheet!$A:$AE,31,0)</f>
        <v>469.4</v>
      </c>
      <c r="AF73" s="14">
        <f>VLOOKUP(A:A,[1]TDSheet!$A:$AF,32,0)</f>
        <v>497.8</v>
      </c>
      <c r="AG73" s="14">
        <f>VLOOKUP(A:A,[1]TDSheet!$A:$AG,33,0)</f>
        <v>559.6</v>
      </c>
      <c r="AH73" s="14">
        <f>VLOOKUP(A:A,[3]TDSheet!$A:$D,4,0)</f>
        <v>540</v>
      </c>
      <c r="AI73" s="14">
        <f>VLOOKUP(A:A,[1]TDSheet!$A:$AI,35,0)</f>
        <v>0</v>
      </c>
      <c r="AJ73" s="14">
        <f t="shared" si="23"/>
        <v>0</v>
      </c>
      <c r="AK73" s="14">
        <f t="shared" si="24"/>
        <v>320</v>
      </c>
      <c r="AL73" s="14">
        <f t="shared" si="25"/>
        <v>280</v>
      </c>
      <c r="AM73" s="14"/>
      <c r="AN73" s="14"/>
      <c r="AO73" s="14"/>
    </row>
    <row r="74" spans="1:41" s="1" customFormat="1" ht="21.95" customHeight="1" outlineLevel="1" x14ac:dyDescent="0.2">
      <c r="A74" s="7" t="s">
        <v>74</v>
      </c>
      <c r="B74" s="7" t="s">
        <v>8</v>
      </c>
      <c r="C74" s="8">
        <v>109.57</v>
      </c>
      <c r="D74" s="8">
        <v>523.03899999999999</v>
      </c>
      <c r="E74" s="8">
        <v>235.57499999999999</v>
      </c>
      <c r="F74" s="8">
        <v>396.12700000000001</v>
      </c>
      <c r="G74" s="1" t="str">
        <f>VLOOKUP(A:A,[1]TDSheet!$A:$G,7,0)</f>
        <v>ябл</v>
      </c>
      <c r="H74" s="1">
        <f>VLOOKUP(A:A,[1]TDSheet!$A:$H,8,0)</f>
        <v>1</v>
      </c>
      <c r="I74" s="1">
        <f>VLOOKUP(A:A,[1]TDSheet!$A:$I,9,0)</f>
        <v>40</v>
      </c>
      <c r="J74" s="14">
        <f>VLOOKUP(A:A,[2]TDSheet!$A:$F,6,0)</f>
        <v>223.85</v>
      </c>
      <c r="K74" s="14">
        <f t="shared" si="19"/>
        <v>11.724999999999994</v>
      </c>
      <c r="L74" s="14">
        <f>VLOOKUP(A:A,[1]TDSheet!$A:$X,24,0)</f>
        <v>130</v>
      </c>
      <c r="M74" s="14"/>
      <c r="N74" s="14"/>
      <c r="O74" s="14"/>
      <c r="P74" s="14"/>
      <c r="Q74" s="14"/>
      <c r="R74" s="14"/>
      <c r="S74" s="14"/>
      <c r="T74" s="14"/>
      <c r="U74" s="14"/>
      <c r="V74" s="16">
        <v>150</v>
      </c>
      <c r="W74" s="14">
        <f t="shared" si="20"/>
        <v>117.78749999999999</v>
      </c>
      <c r="X74" s="16">
        <v>90</v>
      </c>
      <c r="Y74" s="19">
        <f t="shared" si="21"/>
        <v>7.1187897461819505</v>
      </c>
      <c r="Z74" s="17">
        <f t="shared" si="22"/>
        <v>6.5043149739997874</v>
      </c>
      <c r="AA74" s="14"/>
      <c r="AB74" s="14"/>
      <c r="AC74" s="14">
        <v>0</v>
      </c>
      <c r="AD74" s="14">
        <f>VLOOKUP(A:A,[1]TDSheet!$A:$AD,30,0)</f>
        <v>113.84259999999999</v>
      </c>
      <c r="AE74" s="14">
        <f>VLOOKUP(A:A,[1]TDSheet!$A:$AE,31,0)</f>
        <v>97.102400000000003</v>
      </c>
      <c r="AF74" s="14">
        <f>VLOOKUP(A:A,[1]TDSheet!$A:$AF,32,0)</f>
        <v>107.62039999999999</v>
      </c>
      <c r="AG74" s="14">
        <f>VLOOKUP(A:A,[1]TDSheet!$A:$AG,33,0)</f>
        <v>160.5488</v>
      </c>
      <c r="AH74" s="14">
        <f>VLOOKUP(A:A,[3]TDSheet!$A:$D,4,0)</f>
        <v>91.459000000000003</v>
      </c>
      <c r="AI74" s="14" t="str">
        <f>VLOOKUP(A:A,[1]TDSheet!$A:$AI,35,0)</f>
        <v>вип</v>
      </c>
      <c r="AJ74" s="14">
        <f t="shared" si="23"/>
        <v>0</v>
      </c>
      <c r="AK74" s="14">
        <f t="shared" si="24"/>
        <v>150</v>
      </c>
      <c r="AL74" s="14">
        <f t="shared" si="25"/>
        <v>90</v>
      </c>
      <c r="AM74" s="14"/>
      <c r="AN74" s="14"/>
      <c r="AO74" s="14"/>
    </row>
    <row r="75" spans="1:41" s="1" customFormat="1" ht="11.1" customHeight="1" outlineLevel="1" x14ac:dyDescent="0.2">
      <c r="A75" s="7" t="s">
        <v>75</v>
      </c>
      <c r="B75" s="7" t="s">
        <v>8</v>
      </c>
      <c r="C75" s="8">
        <v>8.0129999999999999</v>
      </c>
      <c r="D75" s="8">
        <v>293.58199999999999</v>
      </c>
      <c r="E75" s="8">
        <v>70.381</v>
      </c>
      <c r="F75" s="8">
        <v>230.31200000000001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40</v>
      </c>
      <c r="J75" s="14">
        <f>VLOOKUP(A:A,[2]TDSheet!$A:$F,6,0)</f>
        <v>70.78</v>
      </c>
      <c r="K75" s="14">
        <f t="shared" si="19"/>
        <v>-0.39900000000000091</v>
      </c>
      <c r="L75" s="14">
        <f>VLOOKUP(A:A,[1]TDSheet!$A:$X,24,0)</f>
        <v>60</v>
      </c>
      <c r="M75" s="14"/>
      <c r="N75" s="14"/>
      <c r="O75" s="14"/>
      <c r="P75" s="14"/>
      <c r="Q75" s="14"/>
      <c r="R75" s="14"/>
      <c r="S75" s="14"/>
      <c r="T75" s="14"/>
      <c r="U75" s="14"/>
      <c r="V75" s="16"/>
      <c r="W75" s="14">
        <f t="shared" si="20"/>
        <v>35.1905</v>
      </c>
      <c r="X75" s="16">
        <v>30</v>
      </c>
      <c r="Y75" s="19">
        <f t="shared" si="21"/>
        <v>7.2574849214009625</v>
      </c>
      <c r="Z75" s="17">
        <f t="shared" si="22"/>
        <v>9.1022292948380965</v>
      </c>
      <c r="AA75" s="14"/>
      <c r="AB75" s="14"/>
      <c r="AC75" s="14">
        <v>0</v>
      </c>
      <c r="AD75" s="14">
        <f>VLOOKUP(A:A,[1]TDSheet!$A:$AD,30,0)</f>
        <v>44.610599999999998</v>
      </c>
      <c r="AE75" s="14">
        <f>VLOOKUP(A:A,[1]TDSheet!$A:$AE,31,0)</f>
        <v>39.742200000000004</v>
      </c>
      <c r="AF75" s="14">
        <f>VLOOKUP(A:A,[1]TDSheet!$A:$AF,32,0)</f>
        <v>44.135399999999997</v>
      </c>
      <c r="AG75" s="14">
        <f>VLOOKUP(A:A,[1]TDSheet!$A:$AG,33,0)</f>
        <v>75.297600000000003</v>
      </c>
      <c r="AH75" s="14">
        <f>VLOOKUP(A:A,[3]TDSheet!$A:$D,4,0)</f>
        <v>8.7780000000000005</v>
      </c>
      <c r="AI75" s="14">
        <f>VLOOKUP(A:A,[1]TDSheet!$A:$AI,35,0)</f>
        <v>0</v>
      </c>
      <c r="AJ75" s="14">
        <f t="shared" si="23"/>
        <v>0</v>
      </c>
      <c r="AK75" s="14">
        <f t="shared" si="24"/>
        <v>0</v>
      </c>
      <c r="AL75" s="14">
        <f t="shared" si="25"/>
        <v>30</v>
      </c>
      <c r="AM75" s="14"/>
      <c r="AN75" s="14"/>
      <c r="AO75" s="14"/>
    </row>
    <row r="76" spans="1:41" s="1" customFormat="1" ht="11.1" customHeight="1" outlineLevel="1" x14ac:dyDescent="0.2">
      <c r="A76" s="7" t="s">
        <v>76</v>
      </c>
      <c r="B76" s="7" t="s">
        <v>8</v>
      </c>
      <c r="C76" s="8">
        <v>261.423</v>
      </c>
      <c r="D76" s="8">
        <v>1975.6079999999999</v>
      </c>
      <c r="E76" s="8">
        <v>539.37099999999998</v>
      </c>
      <c r="F76" s="8">
        <v>1695.8440000000001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4">
        <f>VLOOKUP(A:A,[2]TDSheet!$A:$F,6,0)</f>
        <v>516.85199999999998</v>
      </c>
      <c r="K76" s="14">
        <f t="shared" si="19"/>
        <v>22.519000000000005</v>
      </c>
      <c r="L76" s="14">
        <f>VLOOKUP(A:A,[1]TDSheet!$A:$X,24,0)</f>
        <v>700</v>
      </c>
      <c r="M76" s="14"/>
      <c r="N76" s="14"/>
      <c r="O76" s="14"/>
      <c r="P76" s="14"/>
      <c r="Q76" s="14"/>
      <c r="R76" s="14"/>
      <c r="S76" s="14"/>
      <c r="T76" s="14"/>
      <c r="U76" s="14"/>
      <c r="V76" s="16">
        <v>200</v>
      </c>
      <c r="W76" s="14">
        <f t="shared" si="20"/>
        <v>269.68549999999999</v>
      </c>
      <c r="X76" s="16">
        <v>300</v>
      </c>
      <c r="Y76" s="19">
        <f t="shared" si="21"/>
        <v>6.3458591914729503</v>
      </c>
      <c r="Z76" s="17">
        <f t="shared" si="22"/>
        <v>10.737855761618627</v>
      </c>
      <c r="AA76" s="14"/>
      <c r="AB76" s="14"/>
      <c r="AC76" s="14">
        <v>0</v>
      </c>
      <c r="AD76" s="14">
        <f>VLOOKUP(A:A,[1]TDSheet!$A:$AD,30,0)</f>
        <v>402.38459999999998</v>
      </c>
      <c r="AE76" s="14">
        <f>VLOOKUP(A:A,[1]TDSheet!$A:$AE,31,0)</f>
        <v>382.58839999999998</v>
      </c>
      <c r="AF76" s="14">
        <f>VLOOKUP(A:A,[1]TDSheet!$A:$AF,32,0)</f>
        <v>456.33599999999996</v>
      </c>
      <c r="AG76" s="14">
        <f>VLOOKUP(A:A,[1]TDSheet!$A:$AG,33,0)</f>
        <v>569.84379999999999</v>
      </c>
      <c r="AH76" s="14">
        <f>VLOOKUP(A:A,[3]TDSheet!$A:$D,4,0)</f>
        <v>206.55600000000001</v>
      </c>
      <c r="AI76" s="14" t="str">
        <f>VLOOKUP(A:A,[1]TDSheet!$A:$AI,35,0)</f>
        <v>жц</v>
      </c>
      <c r="AJ76" s="14">
        <f t="shared" si="23"/>
        <v>0</v>
      </c>
      <c r="AK76" s="14">
        <f t="shared" si="24"/>
        <v>200</v>
      </c>
      <c r="AL76" s="14">
        <f t="shared" si="25"/>
        <v>300</v>
      </c>
      <c r="AM76" s="14"/>
      <c r="AN76" s="14"/>
      <c r="AO76" s="14"/>
    </row>
    <row r="77" spans="1:41" s="1" customFormat="1" ht="11.1" customHeight="1" outlineLevel="1" x14ac:dyDescent="0.2">
      <c r="A77" s="7" t="s">
        <v>77</v>
      </c>
      <c r="B77" s="7" t="s">
        <v>8</v>
      </c>
      <c r="C77" s="8">
        <v>27.314</v>
      </c>
      <c r="D77" s="8">
        <v>350.827</v>
      </c>
      <c r="E77" s="8">
        <v>97.295000000000002</v>
      </c>
      <c r="F77" s="8">
        <v>279.93700000000001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4">
        <f>VLOOKUP(A:A,[2]TDSheet!$A:$F,6,0)</f>
        <v>94.25</v>
      </c>
      <c r="K77" s="14">
        <f t="shared" si="19"/>
        <v>3.0450000000000017</v>
      </c>
      <c r="L77" s="14">
        <f>VLOOKUP(A:A,[1]TDSheet!$A:$X,24,0)</f>
        <v>90</v>
      </c>
      <c r="M77" s="14"/>
      <c r="N77" s="14"/>
      <c r="O77" s="14"/>
      <c r="P77" s="14"/>
      <c r="Q77" s="14"/>
      <c r="R77" s="14"/>
      <c r="S77" s="14"/>
      <c r="T77" s="14"/>
      <c r="U77" s="14"/>
      <c r="V77" s="16">
        <v>30</v>
      </c>
      <c r="W77" s="14">
        <f t="shared" si="20"/>
        <v>48.647500000000001</v>
      </c>
      <c r="X77" s="16">
        <v>60</v>
      </c>
      <c r="Y77" s="19">
        <f t="shared" si="21"/>
        <v>7.0468341591515671</v>
      </c>
      <c r="Z77" s="17">
        <f t="shared" si="22"/>
        <v>9.4544837864227347</v>
      </c>
      <c r="AA77" s="14"/>
      <c r="AB77" s="14"/>
      <c r="AC77" s="14">
        <v>0</v>
      </c>
      <c r="AD77" s="14">
        <f>VLOOKUP(A:A,[1]TDSheet!$A:$AD,30,0)</f>
        <v>60.1432</v>
      </c>
      <c r="AE77" s="14">
        <f>VLOOKUP(A:A,[1]TDSheet!$A:$AE,31,0)</f>
        <v>55.286000000000001</v>
      </c>
      <c r="AF77" s="14">
        <f>VLOOKUP(A:A,[1]TDSheet!$A:$AF,32,0)</f>
        <v>65.268600000000006</v>
      </c>
      <c r="AG77" s="14">
        <f>VLOOKUP(A:A,[1]TDSheet!$A:$AG,33,0)</f>
        <v>88.7624</v>
      </c>
      <c r="AH77" s="14">
        <f>VLOOKUP(A:A,[3]TDSheet!$A:$D,4,0)</f>
        <v>25.358000000000001</v>
      </c>
      <c r="AI77" s="14">
        <f>VLOOKUP(A:A,[1]TDSheet!$A:$AI,35,0)</f>
        <v>0</v>
      </c>
      <c r="AJ77" s="14">
        <f t="shared" si="23"/>
        <v>0</v>
      </c>
      <c r="AK77" s="14">
        <f t="shared" si="24"/>
        <v>30</v>
      </c>
      <c r="AL77" s="14">
        <f t="shared" si="25"/>
        <v>60</v>
      </c>
      <c r="AM77" s="14"/>
      <c r="AN77" s="14"/>
      <c r="AO77" s="14"/>
    </row>
    <row r="78" spans="1:41" s="1" customFormat="1" ht="11.1" customHeight="1" outlineLevel="1" x14ac:dyDescent="0.2">
      <c r="A78" s="7" t="s">
        <v>78</v>
      </c>
      <c r="B78" s="7" t="s">
        <v>12</v>
      </c>
      <c r="C78" s="8">
        <v>18</v>
      </c>
      <c r="D78" s="8">
        <v>152</v>
      </c>
      <c r="E78" s="8">
        <v>33</v>
      </c>
      <c r="F78" s="8">
        <v>137</v>
      </c>
      <c r="G78" s="1" t="str">
        <f>VLOOKUP(A:A,[1]TDSheet!$A:$G,7,0)</f>
        <v>дк</v>
      </c>
      <c r="H78" s="1">
        <f>VLOOKUP(A:A,[1]TDSheet!$A:$H,8,0)</f>
        <v>0.6</v>
      </c>
      <c r="I78" s="1">
        <f>VLOOKUP(A:A,[1]TDSheet!$A:$I,9,0)</f>
        <v>60</v>
      </c>
      <c r="J78" s="14">
        <f>VLOOKUP(A:A,[2]TDSheet!$A:$F,6,0)</f>
        <v>33</v>
      </c>
      <c r="K78" s="14">
        <f t="shared" si="19"/>
        <v>0</v>
      </c>
      <c r="L78" s="14">
        <f>VLOOKUP(A:A,[1]TDSheet!$A:$X,24,0)</f>
        <v>30</v>
      </c>
      <c r="M78" s="14"/>
      <c r="N78" s="14"/>
      <c r="O78" s="14"/>
      <c r="P78" s="14"/>
      <c r="Q78" s="14"/>
      <c r="R78" s="14"/>
      <c r="S78" s="14"/>
      <c r="T78" s="14"/>
      <c r="U78" s="14"/>
      <c r="V78" s="16"/>
      <c r="W78" s="14">
        <f t="shared" si="20"/>
        <v>16.5</v>
      </c>
      <c r="X78" s="16"/>
      <c r="Y78" s="19">
        <f t="shared" si="21"/>
        <v>6.7886178861788613</v>
      </c>
      <c r="Z78" s="17">
        <f t="shared" si="22"/>
        <v>10.121212121212121</v>
      </c>
      <c r="AA78" s="14"/>
      <c r="AB78" s="14"/>
      <c r="AC78" s="14">
        <v>0</v>
      </c>
      <c r="AD78" s="14">
        <f>VLOOKUP(A:A,[1]TDSheet!$A:$AD,30,0)</f>
        <v>22.6</v>
      </c>
      <c r="AE78" s="14">
        <f>VLOOKUP(A:A,[1]TDSheet!$A:$AE,31,0)</f>
        <v>19.399999999999999</v>
      </c>
      <c r="AF78" s="14">
        <f>VLOOKUP(A:A,[1]TDSheet!$A:$AF,32,0)</f>
        <v>24.6</v>
      </c>
      <c r="AG78" s="14">
        <f>VLOOKUP(A:A,[1]TDSheet!$A:$AG,33,0)</f>
        <v>32.200000000000003</v>
      </c>
      <c r="AH78" s="14">
        <f>VLOOKUP(A:A,[3]TDSheet!$A:$D,4,0)</f>
        <v>15</v>
      </c>
      <c r="AI78" s="14">
        <f>VLOOKUP(A:A,[1]TDSheet!$A:$AI,35,0)</f>
        <v>0</v>
      </c>
      <c r="AJ78" s="14">
        <f t="shared" si="23"/>
        <v>0</v>
      </c>
      <c r="AK78" s="14">
        <f t="shared" si="24"/>
        <v>0</v>
      </c>
      <c r="AL78" s="14">
        <f t="shared" si="25"/>
        <v>0</v>
      </c>
      <c r="AM78" s="14"/>
      <c r="AN78" s="14"/>
      <c r="AO78" s="14"/>
    </row>
    <row r="79" spans="1:41" s="1" customFormat="1" ht="11.1" customHeight="1" outlineLevel="1" x14ac:dyDescent="0.2">
      <c r="A79" s="7" t="s">
        <v>79</v>
      </c>
      <c r="B79" s="7" t="s">
        <v>12</v>
      </c>
      <c r="C79" s="8">
        <v>76</v>
      </c>
      <c r="D79" s="8">
        <v>393</v>
      </c>
      <c r="E79" s="8">
        <v>158</v>
      </c>
      <c r="F79" s="8">
        <v>310</v>
      </c>
      <c r="G79" s="1" t="str">
        <f>VLOOKUP(A:A,[1]TDSheet!$A:$G,7,0)</f>
        <v>ябл</v>
      </c>
      <c r="H79" s="1">
        <f>VLOOKUP(A:A,[1]TDSheet!$A:$H,8,0)</f>
        <v>0.6</v>
      </c>
      <c r="I79" s="1">
        <f>VLOOKUP(A:A,[1]TDSheet!$A:$I,9,0)</f>
        <v>60</v>
      </c>
      <c r="J79" s="14">
        <f>VLOOKUP(A:A,[2]TDSheet!$A:$F,6,0)</f>
        <v>152</v>
      </c>
      <c r="K79" s="14">
        <f t="shared" si="19"/>
        <v>6</v>
      </c>
      <c r="L79" s="14">
        <f>VLOOKUP(A:A,[1]TDSheet!$A:$X,24,0)</f>
        <v>100</v>
      </c>
      <c r="M79" s="14"/>
      <c r="N79" s="14"/>
      <c r="O79" s="14"/>
      <c r="P79" s="14"/>
      <c r="Q79" s="14"/>
      <c r="R79" s="14"/>
      <c r="S79" s="14"/>
      <c r="T79" s="14"/>
      <c r="U79" s="14"/>
      <c r="V79" s="16">
        <v>80</v>
      </c>
      <c r="W79" s="14">
        <f t="shared" si="20"/>
        <v>79</v>
      </c>
      <c r="X79" s="16">
        <v>80</v>
      </c>
      <c r="Y79" s="19">
        <f t="shared" si="21"/>
        <v>7.1608040201005032</v>
      </c>
      <c r="Z79" s="17">
        <f t="shared" si="22"/>
        <v>7.2151898734177218</v>
      </c>
      <c r="AA79" s="14"/>
      <c r="AB79" s="14"/>
      <c r="AC79" s="14">
        <v>0</v>
      </c>
      <c r="AD79" s="14">
        <f>VLOOKUP(A:A,[1]TDSheet!$A:$AD,30,0)</f>
        <v>72.400000000000006</v>
      </c>
      <c r="AE79" s="14">
        <f>VLOOKUP(A:A,[1]TDSheet!$A:$AE,31,0)</f>
        <v>66.599999999999994</v>
      </c>
      <c r="AF79" s="14">
        <f>VLOOKUP(A:A,[1]TDSheet!$A:$AF,32,0)</f>
        <v>79.599999999999994</v>
      </c>
      <c r="AG79" s="14">
        <f>VLOOKUP(A:A,[1]TDSheet!$A:$AG,33,0)</f>
        <v>101.8</v>
      </c>
      <c r="AH79" s="14">
        <f>VLOOKUP(A:A,[3]TDSheet!$A:$D,4,0)</f>
        <v>79</v>
      </c>
      <c r="AI79" s="14" t="str">
        <f>VLOOKUP(A:A,[1]TDSheet!$A:$AI,35,0)</f>
        <v>проддек-ян</v>
      </c>
      <c r="AJ79" s="14">
        <f t="shared" si="23"/>
        <v>0</v>
      </c>
      <c r="AK79" s="14">
        <f t="shared" si="24"/>
        <v>48</v>
      </c>
      <c r="AL79" s="14">
        <f t="shared" si="25"/>
        <v>48</v>
      </c>
      <c r="AM79" s="14"/>
      <c r="AN79" s="14"/>
      <c r="AO79" s="14"/>
    </row>
    <row r="80" spans="1:41" s="1" customFormat="1" ht="11.1" customHeight="1" outlineLevel="1" x14ac:dyDescent="0.2">
      <c r="A80" s="7" t="s">
        <v>80</v>
      </c>
      <c r="B80" s="7" t="s">
        <v>12</v>
      </c>
      <c r="C80" s="8">
        <v>106</v>
      </c>
      <c r="D80" s="8">
        <v>521</v>
      </c>
      <c r="E80" s="8">
        <v>204</v>
      </c>
      <c r="F80" s="8">
        <v>422</v>
      </c>
      <c r="G80" s="1" t="str">
        <f>VLOOKUP(A:A,[1]TDSheet!$A:$G,7,0)</f>
        <v>ябл</v>
      </c>
      <c r="H80" s="1">
        <f>VLOOKUP(A:A,[1]TDSheet!$A:$H,8,0)</f>
        <v>0.6</v>
      </c>
      <c r="I80" s="1">
        <f>VLOOKUP(A:A,[1]TDSheet!$A:$I,9,0)</f>
        <v>60</v>
      </c>
      <c r="J80" s="14">
        <f>VLOOKUP(A:A,[2]TDSheet!$A:$F,6,0)</f>
        <v>203</v>
      </c>
      <c r="K80" s="14">
        <f t="shared" si="19"/>
        <v>1</v>
      </c>
      <c r="L80" s="14">
        <f>VLOOKUP(A:A,[1]TDSheet!$A:$X,24,0)</f>
        <v>100</v>
      </c>
      <c r="M80" s="14"/>
      <c r="N80" s="14"/>
      <c r="O80" s="14"/>
      <c r="P80" s="14"/>
      <c r="Q80" s="14"/>
      <c r="R80" s="14"/>
      <c r="S80" s="14"/>
      <c r="T80" s="14"/>
      <c r="U80" s="14"/>
      <c r="V80" s="16">
        <v>100</v>
      </c>
      <c r="W80" s="14">
        <f t="shared" si="20"/>
        <v>102</v>
      </c>
      <c r="X80" s="16">
        <v>100</v>
      </c>
      <c r="Y80" s="19">
        <f t="shared" si="21"/>
        <v>7.1062992125984259</v>
      </c>
      <c r="Z80" s="17">
        <f t="shared" si="22"/>
        <v>7.0784313725490193</v>
      </c>
      <c r="AA80" s="14"/>
      <c r="AB80" s="14"/>
      <c r="AC80" s="14">
        <v>0</v>
      </c>
      <c r="AD80" s="14">
        <f>VLOOKUP(A:A,[1]TDSheet!$A:$AD,30,0)</f>
        <v>102.2</v>
      </c>
      <c r="AE80" s="14">
        <f>VLOOKUP(A:A,[1]TDSheet!$A:$AE,31,0)</f>
        <v>121.8</v>
      </c>
      <c r="AF80" s="14">
        <f>VLOOKUP(A:A,[1]TDSheet!$A:$AF,32,0)</f>
        <v>101.6</v>
      </c>
      <c r="AG80" s="14">
        <f>VLOOKUP(A:A,[1]TDSheet!$A:$AG,33,0)</f>
        <v>150.6</v>
      </c>
      <c r="AH80" s="14">
        <f>VLOOKUP(A:A,[3]TDSheet!$A:$D,4,0)</f>
        <v>103</v>
      </c>
      <c r="AI80" s="14" t="str">
        <f>VLOOKUP(A:A,[1]TDSheet!$A:$AI,35,0)</f>
        <v>проддек-ян</v>
      </c>
      <c r="AJ80" s="14">
        <f t="shared" si="23"/>
        <v>0</v>
      </c>
      <c r="AK80" s="14">
        <f t="shared" si="24"/>
        <v>60</v>
      </c>
      <c r="AL80" s="14">
        <f t="shared" si="25"/>
        <v>60</v>
      </c>
      <c r="AM80" s="14"/>
      <c r="AN80" s="14"/>
      <c r="AO80" s="14"/>
    </row>
    <row r="81" spans="1:41" s="1" customFormat="1" ht="11.1" customHeight="1" outlineLevel="1" x14ac:dyDescent="0.2">
      <c r="A81" s="7" t="s">
        <v>81</v>
      </c>
      <c r="B81" s="7" t="s">
        <v>8</v>
      </c>
      <c r="C81" s="8">
        <v>45.091999999999999</v>
      </c>
      <c r="D81" s="8">
        <v>161.68</v>
      </c>
      <c r="E81" s="8">
        <v>179.98599999999999</v>
      </c>
      <c r="F81" s="8">
        <v>26.786000000000001</v>
      </c>
      <c r="G81" s="1">
        <f>VLOOKUP(A:A,[1]TDSheet!$A:$G,7,0)</f>
        <v>0</v>
      </c>
      <c r="H81" s="1">
        <f>VLOOKUP(A:A,[1]TDSheet!$A:$H,8,0)</f>
        <v>1</v>
      </c>
      <c r="I81" s="1">
        <f>VLOOKUP(A:A,[1]TDSheet!$A:$I,9,0)</f>
        <v>30</v>
      </c>
      <c r="J81" s="14">
        <f>VLOOKUP(A:A,[2]TDSheet!$A:$F,6,0)</f>
        <v>209.05</v>
      </c>
      <c r="K81" s="14">
        <f t="shared" si="19"/>
        <v>-29.064000000000021</v>
      </c>
      <c r="L81" s="14">
        <f>VLOOKUP(A:A,[1]TDSheet!$A:$X,24,0)</f>
        <v>60</v>
      </c>
      <c r="M81" s="14"/>
      <c r="N81" s="14"/>
      <c r="O81" s="14"/>
      <c r="P81" s="14"/>
      <c r="Q81" s="14"/>
      <c r="R81" s="14"/>
      <c r="S81" s="14"/>
      <c r="T81" s="14"/>
      <c r="U81" s="14"/>
      <c r="V81" s="16">
        <v>120</v>
      </c>
      <c r="W81" s="14">
        <f t="shared" si="20"/>
        <v>89.992999999999995</v>
      </c>
      <c r="X81" s="16">
        <v>70</v>
      </c>
      <c r="Y81" s="19">
        <f t="shared" si="21"/>
        <v>7.1658321639940148</v>
      </c>
      <c r="Z81" s="17">
        <f t="shared" si="22"/>
        <v>3.0756392163834967</v>
      </c>
      <c r="AA81" s="14"/>
      <c r="AB81" s="14"/>
      <c r="AC81" s="14">
        <v>0</v>
      </c>
      <c r="AD81" s="14">
        <f>VLOOKUP(A:A,[1]TDSheet!$A:$AD,30,0)</f>
        <v>31.431400000000004</v>
      </c>
      <c r="AE81" s="14">
        <f>VLOOKUP(A:A,[1]TDSheet!$A:$AE,31,0)</f>
        <v>44.179199999999994</v>
      </c>
      <c r="AF81" s="14">
        <f>VLOOKUP(A:A,[1]TDSheet!$A:$AF,32,0)</f>
        <v>38.625799999999998</v>
      </c>
      <c r="AG81" s="14">
        <f>VLOOKUP(A:A,[1]TDSheet!$A:$AG,33,0)</f>
        <v>39.72</v>
      </c>
      <c r="AH81" s="14">
        <f>VLOOKUP(A:A,[3]TDSheet!$A:$D,4,0)</f>
        <v>59.231000000000002</v>
      </c>
      <c r="AI81" s="14" t="str">
        <f>VLOOKUP(A:A,[1]TDSheet!$A:$AI,35,0)</f>
        <v>увел</v>
      </c>
      <c r="AJ81" s="14">
        <f t="shared" si="23"/>
        <v>0</v>
      </c>
      <c r="AK81" s="14">
        <f t="shared" si="24"/>
        <v>120</v>
      </c>
      <c r="AL81" s="14">
        <f t="shared" si="25"/>
        <v>70</v>
      </c>
      <c r="AM81" s="14"/>
      <c r="AN81" s="14"/>
      <c r="AO81" s="14"/>
    </row>
    <row r="82" spans="1:41" s="1" customFormat="1" ht="11.1" customHeight="1" outlineLevel="1" x14ac:dyDescent="0.2">
      <c r="A82" s="7" t="s">
        <v>82</v>
      </c>
      <c r="B82" s="7" t="s">
        <v>12</v>
      </c>
      <c r="C82" s="8">
        <v>135</v>
      </c>
      <c r="D82" s="8">
        <v>881</v>
      </c>
      <c r="E82" s="8">
        <v>505</v>
      </c>
      <c r="F82" s="8">
        <v>510</v>
      </c>
      <c r="G82" s="1" t="str">
        <f>VLOOKUP(A:A,[1]TDSheet!$A:$G,7,0)</f>
        <v>ябл,дк</v>
      </c>
      <c r="H82" s="1">
        <f>VLOOKUP(A:A,[1]TDSheet!$A:$H,8,0)</f>
        <v>0.6</v>
      </c>
      <c r="I82" s="1">
        <f>VLOOKUP(A:A,[1]TDSheet!$A:$I,9,0)</f>
        <v>60</v>
      </c>
      <c r="J82" s="14">
        <f>VLOOKUP(A:A,[2]TDSheet!$A:$F,6,0)</f>
        <v>494</v>
      </c>
      <c r="K82" s="14">
        <f t="shared" si="19"/>
        <v>11</v>
      </c>
      <c r="L82" s="14">
        <f>VLOOKUP(A:A,[1]TDSheet!$A:$X,24,0)</f>
        <v>250</v>
      </c>
      <c r="M82" s="14"/>
      <c r="N82" s="14"/>
      <c r="O82" s="14"/>
      <c r="P82" s="14"/>
      <c r="Q82" s="14"/>
      <c r="R82" s="14"/>
      <c r="S82" s="14"/>
      <c r="T82" s="14"/>
      <c r="U82" s="14"/>
      <c r="V82" s="16">
        <v>300</v>
      </c>
      <c r="W82" s="14">
        <f t="shared" si="20"/>
        <v>252.5</v>
      </c>
      <c r="X82" s="16">
        <v>200</v>
      </c>
      <c r="Y82" s="19">
        <f t="shared" si="21"/>
        <v>7.9345088161209061</v>
      </c>
      <c r="Z82" s="17">
        <f t="shared" si="22"/>
        <v>4.9900990099009901</v>
      </c>
      <c r="AA82" s="14"/>
      <c r="AB82" s="14"/>
      <c r="AC82" s="14">
        <v>0</v>
      </c>
      <c r="AD82" s="14">
        <f>VLOOKUP(A:A,[1]TDSheet!$A:$AD,30,0)</f>
        <v>145.6</v>
      </c>
      <c r="AE82" s="14">
        <f>VLOOKUP(A:A,[1]TDSheet!$A:$AE,31,0)</f>
        <v>182.6</v>
      </c>
      <c r="AF82" s="14">
        <f>VLOOKUP(A:A,[1]TDSheet!$A:$AF,32,0)</f>
        <v>158.80000000000001</v>
      </c>
      <c r="AG82" s="14">
        <f>VLOOKUP(A:A,[1]TDSheet!$A:$AG,33,0)</f>
        <v>271.8</v>
      </c>
      <c r="AH82" s="14">
        <f>VLOOKUP(A:A,[3]TDSheet!$A:$D,4,0)</f>
        <v>254</v>
      </c>
      <c r="AI82" s="14" t="str">
        <f>VLOOKUP(A:A,[1]TDSheet!$A:$AI,35,0)</f>
        <v>проддек-ян</v>
      </c>
      <c r="AJ82" s="14">
        <f t="shared" si="23"/>
        <v>0</v>
      </c>
      <c r="AK82" s="14">
        <f t="shared" si="24"/>
        <v>180</v>
      </c>
      <c r="AL82" s="14">
        <f t="shared" si="25"/>
        <v>120</v>
      </c>
      <c r="AM82" s="14"/>
      <c r="AN82" s="14"/>
      <c r="AO82" s="14"/>
    </row>
    <row r="83" spans="1:41" s="1" customFormat="1" ht="11.1" customHeight="1" outlineLevel="1" x14ac:dyDescent="0.2">
      <c r="A83" s="7" t="s">
        <v>83</v>
      </c>
      <c r="B83" s="7" t="s">
        <v>12</v>
      </c>
      <c r="C83" s="8">
        <v>124</v>
      </c>
      <c r="D83" s="8">
        <v>976</v>
      </c>
      <c r="E83" s="8">
        <v>477</v>
      </c>
      <c r="F83" s="8">
        <v>623</v>
      </c>
      <c r="G83" s="1" t="str">
        <f>VLOOKUP(A:A,[1]TDSheet!$A:$G,7,0)</f>
        <v>ябл,дк</v>
      </c>
      <c r="H83" s="1">
        <f>VLOOKUP(A:A,[1]TDSheet!$A:$H,8,0)</f>
        <v>0.6</v>
      </c>
      <c r="I83" s="1">
        <f>VLOOKUP(A:A,[1]TDSheet!$A:$I,9,0)</f>
        <v>60</v>
      </c>
      <c r="J83" s="14">
        <f>VLOOKUP(A:A,[2]TDSheet!$A:$F,6,0)</f>
        <v>473</v>
      </c>
      <c r="K83" s="14">
        <f t="shared" si="19"/>
        <v>4</v>
      </c>
      <c r="L83" s="14">
        <f>VLOOKUP(A:A,[1]TDSheet!$A:$X,24,0)</f>
        <v>250</v>
      </c>
      <c r="M83" s="14"/>
      <c r="N83" s="14"/>
      <c r="O83" s="14"/>
      <c r="P83" s="14"/>
      <c r="Q83" s="14"/>
      <c r="R83" s="14"/>
      <c r="S83" s="14"/>
      <c r="T83" s="14"/>
      <c r="U83" s="14"/>
      <c r="V83" s="16">
        <v>350</v>
      </c>
      <c r="W83" s="14">
        <f t="shared" si="20"/>
        <v>238.5</v>
      </c>
      <c r="X83" s="16">
        <v>250</v>
      </c>
      <c r="Y83" s="19">
        <f t="shared" si="21"/>
        <v>6.9612476370510397</v>
      </c>
      <c r="Z83" s="17">
        <f t="shared" si="22"/>
        <v>6.1761006289308176</v>
      </c>
      <c r="AA83" s="14"/>
      <c r="AB83" s="14"/>
      <c r="AC83" s="14">
        <v>0</v>
      </c>
      <c r="AD83" s="14">
        <f>VLOOKUP(A:A,[1]TDSheet!$A:$AD,30,0)</f>
        <v>199</v>
      </c>
      <c r="AE83" s="14">
        <f>VLOOKUP(A:A,[1]TDSheet!$A:$AE,31,0)</f>
        <v>191.6</v>
      </c>
      <c r="AF83" s="14">
        <f>VLOOKUP(A:A,[1]TDSheet!$A:$AF,32,0)</f>
        <v>211.6</v>
      </c>
      <c r="AG83" s="14">
        <f>VLOOKUP(A:A,[1]TDSheet!$A:$AG,33,0)</f>
        <v>277.60000000000002</v>
      </c>
      <c r="AH83" s="14">
        <f>VLOOKUP(A:A,[3]TDSheet!$A:$D,4,0)</f>
        <v>243</v>
      </c>
      <c r="AI83" s="14" t="str">
        <f>VLOOKUP(A:A,[1]TDSheet!$A:$AI,35,0)</f>
        <v>оконч</v>
      </c>
      <c r="AJ83" s="14">
        <f t="shared" si="23"/>
        <v>0</v>
      </c>
      <c r="AK83" s="14">
        <f t="shared" si="24"/>
        <v>210</v>
      </c>
      <c r="AL83" s="14">
        <f t="shared" si="25"/>
        <v>150</v>
      </c>
      <c r="AM83" s="14"/>
      <c r="AN83" s="14"/>
      <c r="AO83" s="14"/>
    </row>
    <row r="84" spans="1:41" s="1" customFormat="1" ht="11.1" customHeight="1" outlineLevel="1" x14ac:dyDescent="0.2">
      <c r="A84" s="7" t="s">
        <v>84</v>
      </c>
      <c r="B84" s="7" t="s">
        <v>12</v>
      </c>
      <c r="C84" s="8">
        <v>403</v>
      </c>
      <c r="D84" s="8">
        <v>627</v>
      </c>
      <c r="E84" s="8">
        <v>351</v>
      </c>
      <c r="F84" s="8">
        <v>668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4">
        <f>VLOOKUP(A:A,[2]TDSheet!$A:$F,6,0)</f>
        <v>355</v>
      </c>
      <c r="K84" s="14">
        <f t="shared" si="19"/>
        <v>-4</v>
      </c>
      <c r="L84" s="14">
        <f>VLOOKUP(A:A,[1]TDSheet!$A:$X,24,0)</f>
        <v>150</v>
      </c>
      <c r="M84" s="14"/>
      <c r="N84" s="14"/>
      <c r="O84" s="14"/>
      <c r="P84" s="14"/>
      <c r="Q84" s="14"/>
      <c r="R84" s="14"/>
      <c r="S84" s="14"/>
      <c r="T84" s="14"/>
      <c r="U84" s="14"/>
      <c r="V84" s="16">
        <v>150</v>
      </c>
      <c r="W84" s="14">
        <f t="shared" si="20"/>
        <v>175.5</v>
      </c>
      <c r="X84" s="16">
        <v>120</v>
      </c>
      <c r="Y84" s="19">
        <f t="shared" si="21"/>
        <v>6.9476372924648793</v>
      </c>
      <c r="Z84" s="17">
        <f t="shared" si="22"/>
        <v>6.199430199430199</v>
      </c>
      <c r="AA84" s="14"/>
      <c r="AB84" s="14"/>
      <c r="AC84" s="14">
        <v>0</v>
      </c>
      <c r="AD84" s="14">
        <f>VLOOKUP(A:A,[1]TDSheet!$A:$AD,30,0)</f>
        <v>134.80000000000001</v>
      </c>
      <c r="AE84" s="14">
        <f>VLOOKUP(A:A,[1]TDSheet!$A:$AE,31,0)</f>
        <v>127.6</v>
      </c>
      <c r="AF84" s="14">
        <f>VLOOKUP(A:A,[1]TDSheet!$A:$AF,32,0)</f>
        <v>156.6</v>
      </c>
      <c r="AG84" s="14">
        <f>VLOOKUP(A:A,[1]TDSheet!$A:$AG,33,0)</f>
        <v>180</v>
      </c>
      <c r="AH84" s="14">
        <f>VLOOKUP(A:A,[3]TDSheet!$A:$D,4,0)</f>
        <v>144</v>
      </c>
      <c r="AI84" s="14">
        <f>VLOOKUP(A:A,[1]TDSheet!$A:$AI,35,0)</f>
        <v>0</v>
      </c>
      <c r="AJ84" s="14">
        <f t="shared" si="23"/>
        <v>0</v>
      </c>
      <c r="AK84" s="14">
        <f t="shared" si="24"/>
        <v>60</v>
      </c>
      <c r="AL84" s="14">
        <f t="shared" si="25"/>
        <v>48</v>
      </c>
      <c r="AM84" s="14"/>
      <c r="AN84" s="14"/>
      <c r="AO84" s="14"/>
    </row>
    <row r="85" spans="1:41" s="1" customFormat="1" ht="11.1" customHeight="1" outlineLevel="1" x14ac:dyDescent="0.2">
      <c r="A85" s="7" t="s">
        <v>85</v>
      </c>
      <c r="B85" s="7" t="s">
        <v>12</v>
      </c>
      <c r="C85" s="8">
        <v>462</v>
      </c>
      <c r="D85" s="8">
        <v>351</v>
      </c>
      <c r="E85" s="8">
        <v>331</v>
      </c>
      <c r="F85" s="8">
        <v>475</v>
      </c>
      <c r="G85" s="1">
        <f>VLOOKUP(A:A,[1]TDSheet!$A:$G,7,0)</f>
        <v>0</v>
      </c>
      <c r="H85" s="1">
        <f>VLOOKUP(A:A,[1]TDSheet!$A:$H,8,0)</f>
        <v>0.33</v>
      </c>
      <c r="I85" s="1">
        <f>VLOOKUP(A:A,[1]TDSheet!$A:$I,9,0)</f>
        <v>60</v>
      </c>
      <c r="J85" s="14">
        <f>VLOOKUP(A:A,[2]TDSheet!$A:$F,6,0)</f>
        <v>337</v>
      </c>
      <c r="K85" s="14">
        <f t="shared" si="19"/>
        <v>-6</v>
      </c>
      <c r="L85" s="14">
        <f>VLOOKUP(A:A,[1]TDSheet!$A:$X,24,0)</f>
        <v>0</v>
      </c>
      <c r="M85" s="14"/>
      <c r="N85" s="14"/>
      <c r="O85" s="14"/>
      <c r="P85" s="14"/>
      <c r="Q85" s="14"/>
      <c r="R85" s="14"/>
      <c r="S85" s="14"/>
      <c r="T85" s="14"/>
      <c r="U85" s="14"/>
      <c r="V85" s="16">
        <v>200</v>
      </c>
      <c r="W85" s="14">
        <f t="shared" si="20"/>
        <v>165.5</v>
      </c>
      <c r="X85" s="16">
        <v>150</v>
      </c>
      <c r="Y85" s="19">
        <f t="shared" si="21"/>
        <v>6.2977099236641223</v>
      </c>
      <c r="Z85" s="17">
        <f t="shared" si="22"/>
        <v>4.9848942598187307</v>
      </c>
      <c r="AA85" s="14"/>
      <c r="AB85" s="14"/>
      <c r="AC85" s="14">
        <v>0</v>
      </c>
      <c r="AD85" s="14">
        <f>VLOOKUP(A:A,[1]TDSheet!$A:$AD,30,0)</f>
        <v>131</v>
      </c>
      <c r="AE85" s="14">
        <f>VLOOKUP(A:A,[1]TDSheet!$A:$AE,31,0)</f>
        <v>130</v>
      </c>
      <c r="AF85" s="14">
        <f>VLOOKUP(A:A,[1]TDSheet!$A:$AF,32,0)</f>
        <v>131</v>
      </c>
      <c r="AG85" s="14">
        <f>VLOOKUP(A:A,[1]TDSheet!$A:$AG,33,0)</f>
        <v>137.19999999999999</v>
      </c>
      <c r="AH85" s="14">
        <f>VLOOKUP(A:A,[3]TDSheet!$A:$D,4,0)</f>
        <v>118</v>
      </c>
      <c r="AI85" s="14">
        <f>VLOOKUP(A:A,[1]TDSheet!$A:$AI,35,0)</f>
        <v>0</v>
      </c>
      <c r="AJ85" s="14">
        <f t="shared" si="23"/>
        <v>0</v>
      </c>
      <c r="AK85" s="14">
        <f t="shared" si="24"/>
        <v>66</v>
      </c>
      <c r="AL85" s="14">
        <f t="shared" si="25"/>
        <v>49.5</v>
      </c>
      <c r="AM85" s="14"/>
      <c r="AN85" s="14"/>
      <c r="AO85" s="14"/>
    </row>
    <row r="86" spans="1:41" s="1" customFormat="1" ht="21.95" customHeight="1" outlineLevel="1" x14ac:dyDescent="0.2">
      <c r="A86" s="7" t="s">
        <v>86</v>
      </c>
      <c r="B86" s="7" t="s">
        <v>12</v>
      </c>
      <c r="C86" s="8">
        <v>297</v>
      </c>
      <c r="D86" s="8">
        <v>543</v>
      </c>
      <c r="E86" s="8">
        <v>281</v>
      </c>
      <c r="F86" s="8">
        <v>552</v>
      </c>
      <c r="G86" s="1">
        <f>VLOOKUP(A:A,[1]TDSheet!$A:$G,7,0)</f>
        <v>0</v>
      </c>
      <c r="H86" s="1">
        <f>VLOOKUP(A:A,[1]TDSheet!$A:$H,8,0)</f>
        <v>0.35</v>
      </c>
      <c r="I86" s="1" t="e">
        <f>VLOOKUP(A:A,[1]TDSheet!$A:$I,9,0)</f>
        <v>#N/A</v>
      </c>
      <c r="J86" s="14">
        <f>VLOOKUP(A:A,[2]TDSheet!$A:$F,6,0)</f>
        <v>284</v>
      </c>
      <c r="K86" s="14">
        <f t="shared" si="19"/>
        <v>-3</v>
      </c>
      <c r="L86" s="14">
        <f>VLOOKUP(A:A,[1]TDSheet!$A:$X,24,0)</f>
        <v>50</v>
      </c>
      <c r="M86" s="14"/>
      <c r="N86" s="14"/>
      <c r="O86" s="14"/>
      <c r="P86" s="14"/>
      <c r="Q86" s="14"/>
      <c r="R86" s="14"/>
      <c r="S86" s="14"/>
      <c r="T86" s="14"/>
      <c r="U86" s="14"/>
      <c r="V86" s="16">
        <v>150</v>
      </c>
      <c r="W86" s="14">
        <f t="shared" si="20"/>
        <v>140.5</v>
      </c>
      <c r="X86" s="16">
        <v>100</v>
      </c>
      <c r="Y86" s="19">
        <f t="shared" si="21"/>
        <v>7.1959459459459456</v>
      </c>
      <c r="Z86" s="17">
        <f t="shared" si="22"/>
        <v>6.0640569395017794</v>
      </c>
      <c r="AA86" s="14"/>
      <c r="AB86" s="14"/>
      <c r="AC86" s="14">
        <v>0</v>
      </c>
      <c r="AD86" s="14">
        <f>VLOOKUP(A:A,[1]TDSheet!$A:$AD,30,0)</f>
        <v>138</v>
      </c>
      <c r="AE86" s="14">
        <f>VLOOKUP(A:A,[1]TDSheet!$A:$AE,31,0)</f>
        <v>135.4</v>
      </c>
      <c r="AF86" s="14">
        <f>VLOOKUP(A:A,[1]TDSheet!$A:$AF,32,0)</f>
        <v>118.4</v>
      </c>
      <c r="AG86" s="14">
        <f>VLOOKUP(A:A,[1]TDSheet!$A:$AG,33,0)</f>
        <v>131.4</v>
      </c>
      <c r="AH86" s="14">
        <f>VLOOKUP(A:A,[3]TDSheet!$A:$D,4,0)</f>
        <v>119</v>
      </c>
      <c r="AI86" s="14">
        <f>VLOOKUP(A:A,[1]TDSheet!$A:$AI,35,0)</f>
        <v>0</v>
      </c>
      <c r="AJ86" s="14">
        <f t="shared" si="23"/>
        <v>0</v>
      </c>
      <c r="AK86" s="14">
        <f t="shared" si="24"/>
        <v>52.5</v>
      </c>
      <c r="AL86" s="14">
        <f t="shared" si="25"/>
        <v>35</v>
      </c>
      <c r="AM86" s="14"/>
      <c r="AN86" s="14"/>
      <c r="AO86" s="14"/>
    </row>
    <row r="87" spans="1:41" s="1" customFormat="1" ht="11.1" customHeight="1" outlineLevel="1" x14ac:dyDescent="0.2">
      <c r="A87" s="7" t="s">
        <v>87</v>
      </c>
      <c r="B87" s="7" t="s">
        <v>12</v>
      </c>
      <c r="C87" s="8">
        <v>7</v>
      </c>
      <c r="D87" s="8">
        <v>324</v>
      </c>
      <c r="E87" s="8">
        <v>173</v>
      </c>
      <c r="F87" s="8">
        <v>158</v>
      </c>
      <c r="G87" s="1" t="str">
        <f>VLOOKUP(A:A,[1]TDSheet!$A:$G,7,0)</f>
        <v>ябл</v>
      </c>
      <c r="H87" s="1">
        <f>VLOOKUP(A:A,[1]TDSheet!$A:$H,8,0)</f>
        <v>0.33</v>
      </c>
      <c r="I87" s="1" t="e">
        <f>VLOOKUP(A:A,[1]TDSheet!$A:$I,9,0)</f>
        <v>#N/A</v>
      </c>
      <c r="J87" s="14">
        <f>VLOOKUP(A:A,[2]TDSheet!$A:$F,6,0)</f>
        <v>246</v>
      </c>
      <c r="K87" s="14">
        <f t="shared" si="19"/>
        <v>-73</v>
      </c>
      <c r="L87" s="14">
        <f>VLOOKUP(A:A,[1]TDSheet!$A:$X,24,0)</f>
        <v>100</v>
      </c>
      <c r="M87" s="14"/>
      <c r="N87" s="14"/>
      <c r="O87" s="14"/>
      <c r="P87" s="14"/>
      <c r="Q87" s="14"/>
      <c r="R87" s="14"/>
      <c r="S87" s="14"/>
      <c r="T87" s="14"/>
      <c r="U87" s="14"/>
      <c r="V87" s="16">
        <v>150</v>
      </c>
      <c r="W87" s="14">
        <f t="shared" si="20"/>
        <v>86.5</v>
      </c>
      <c r="X87" s="16">
        <v>80</v>
      </c>
      <c r="Y87" s="19">
        <f t="shared" si="21"/>
        <v>7.3053892215568865</v>
      </c>
      <c r="Z87" s="17">
        <f t="shared" si="22"/>
        <v>5.6416184971098264</v>
      </c>
      <c r="AA87" s="14"/>
      <c r="AB87" s="14"/>
      <c r="AC87" s="14">
        <v>0</v>
      </c>
      <c r="AD87" s="14">
        <f>VLOOKUP(A:A,[1]TDSheet!$A:$AD,30,0)</f>
        <v>61.2</v>
      </c>
      <c r="AE87" s="14">
        <f>VLOOKUP(A:A,[1]TDSheet!$A:$AE,31,0)</f>
        <v>80.599999999999994</v>
      </c>
      <c r="AF87" s="14">
        <f>VLOOKUP(A:A,[1]TDSheet!$A:$AF,32,0)</f>
        <v>66.8</v>
      </c>
      <c r="AG87" s="14">
        <f>VLOOKUP(A:A,[1]TDSheet!$A:$AG,33,0)</f>
        <v>103.6</v>
      </c>
      <c r="AH87" s="14">
        <f>VLOOKUP(A:A,[3]TDSheet!$A:$D,4,0)</f>
        <v>48</v>
      </c>
      <c r="AI87" s="14" t="str">
        <f>VLOOKUP(A:A,[1]TDSheet!$A:$AI,35,0)</f>
        <v>ябдек-ян</v>
      </c>
      <c r="AJ87" s="14">
        <f t="shared" si="23"/>
        <v>0</v>
      </c>
      <c r="AK87" s="14">
        <f t="shared" si="24"/>
        <v>49.5</v>
      </c>
      <c r="AL87" s="14">
        <f t="shared" si="25"/>
        <v>26.400000000000002</v>
      </c>
      <c r="AM87" s="14"/>
      <c r="AN87" s="14"/>
      <c r="AO87" s="14"/>
    </row>
    <row r="88" spans="1:41" s="1" customFormat="1" ht="11.1" customHeight="1" outlineLevel="1" x14ac:dyDescent="0.2">
      <c r="A88" s="7" t="s">
        <v>88</v>
      </c>
      <c r="B88" s="7" t="s">
        <v>12</v>
      </c>
      <c r="C88" s="8">
        <v>2184</v>
      </c>
      <c r="D88" s="8">
        <v>5590</v>
      </c>
      <c r="E88" s="8">
        <v>2075</v>
      </c>
      <c r="F88" s="8">
        <v>5269</v>
      </c>
      <c r="G88" s="1">
        <f>VLOOKUP(A:A,[1]TDSheet!$A:$G,7,0)</f>
        <v>0</v>
      </c>
      <c r="H88" s="1">
        <f>VLOOKUP(A:A,[1]TDSheet!$A:$H,8,0)</f>
        <v>0.35</v>
      </c>
      <c r="I88" s="1">
        <f>VLOOKUP(A:A,[1]TDSheet!$A:$I,9,0)</f>
        <v>40</v>
      </c>
      <c r="J88" s="14">
        <f>VLOOKUP(A:A,[2]TDSheet!$A:$F,6,0)</f>
        <v>2499</v>
      </c>
      <c r="K88" s="14">
        <f t="shared" si="19"/>
        <v>-424</v>
      </c>
      <c r="L88" s="14">
        <f>VLOOKUP(A:A,[1]TDSheet!$A:$X,24,0)</f>
        <v>600</v>
      </c>
      <c r="M88" s="14"/>
      <c r="N88" s="14"/>
      <c r="O88" s="14"/>
      <c r="P88" s="14"/>
      <c r="Q88" s="14"/>
      <c r="R88" s="14"/>
      <c r="S88" s="14"/>
      <c r="T88" s="14">
        <v>60</v>
      </c>
      <c r="U88" s="14"/>
      <c r="V88" s="16">
        <v>1500</v>
      </c>
      <c r="W88" s="14">
        <f t="shared" si="20"/>
        <v>1037.5</v>
      </c>
      <c r="X88" s="16">
        <v>1500</v>
      </c>
      <c r="Y88" s="19">
        <f t="shared" si="21"/>
        <v>7.019946176982744</v>
      </c>
      <c r="Z88" s="17">
        <f t="shared" si="22"/>
        <v>8.5484337349397599</v>
      </c>
      <c r="AA88" s="14"/>
      <c r="AB88" s="14"/>
      <c r="AC88" s="14">
        <f>VLOOKUP(A:A,[4]TDSheet!$A:$D,4,0)</f>
        <v>402</v>
      </c>
      <c r="AD88" s="14">
        <f>VLOOKUP(A:A,[1]TDSheet!$A:$AD,30,0)</f>
        <v>905</v>
      </c>
      <c r="AE88" s="14">
        <f>VLOOKUP(A:A,[1]TDSheet!$A:$AE,31,0)</f>
        <v>1216.5999999999999</v>
      </c>
      <c r="AF88" s="14">
        <f>VLOOKUP(A:A,[1]TDSheet!$A:$AF,32,0)</f>
        <v>1263.4000000000001</v>
      </c>
      <c r="AG88" s="14">
        <f>VLOOKUP(A:A,[1]TDSheet!$A:$AG,33,0)</f>
        <v>1409.6</v>
      </c>
      <c r="AH88" s="14">
        <f>VLOOKUP(A:A,[3]TDSheet!$A:$D,4,0)</f>
        <v>1020</v>
      </c>
      <c r="AI88" s="14" t="str">
        <f>VLOOKUP(A:A,[1]TDSheet!$A:$AI,35,0)</f>
        <v>жк,ябдек-ян</v>
      </c>
      <c r="AJ88" s="14">
        <f t="shared" si="23"/>
        <v>21</v>
      </c>
      <c r="AK88" s="14">
        <f t="shared" si="24"/>
        <v>525</v>
      </c>
      <c r="AL88" s="14">
        <f t="shared" si="25"/>
        <v>525</v>
      </c>
      <c r="AM88" s="14"/>
      <c r="AN88" s="14"/>
      <c r="AO88" s="14"/>
    </row>
    <row r="89" spans="1:41" s="1" customFormat="1" ht="11.1" customHeight="1" outlineLevel="1" x14ac:dyDescent="0.2">
      <c r="A89" s="7" t="s">
        <v>89</v>
      </c>
      <c r="B89" s="7" t="s">
        <v>12</v>
      </c>
      <c r="C89" s="8">
        <v>1787</v>
      </c>
      <c r="D89" s="8">
        <v>6631</v>
      </c>
      <c r="E89" s="8">
        <v>2936</v>
      </c>
      <c r="F89" s="8">
        <v>5457</v>
      </c>
      <c r="G89" s="1">
        <f>VLOOKUP(A:A,[1]TDSheet!$A:$G,7,0)</f>
        <v>0</v>
      </c>
      <c r="H89" s="1">
        <f>VLOOKUP(A:A,[1]TDSheet!$A:$H,8,0)</f>
        <v>0.35</v>
      </c>
      <c r="I89" s="1">
        <f>VLOOKUP(A:A,[1]TDSheet!$A:$I,9,0)</f>
        <v>45</v>
      </c>
      <c r="J89" s="14">
        <f>VLOOKUP(A:A,[2]TDSheet!$A:$F,6,0)</f>
        <v>2979</v>
      </c>
      <c r="K89" s="14">
        <f t="shared" si="19"/>
        <v>-43</v>
      </c>
      <c r="L89" s="14">
        <f>VLOOKUP(A:A,[1]TDSheet!$A:$X,24,0)</f>
        <v>1000</v>
      </c>
      <c r="M89" s="14"/>
      <c r="N89" s="14"/>
      <c r="O89" s="14"/>
      <c r="P89" s="14"/>
      <c r="Q89" s="14"/>
      <c r="R89" s="14"/>
      <c r="S89" s="14"/>
      <c r="T89" s="14"/>
      <c r="U89" s="14"/>
      <c r="V89" s="16">
        <v>1800</v>
      </c>
      <c r="W89" s="14">
        <f t="shared" si="20"/>
        <v>1468</v>
      </c>
      <c r="X89" s="16">
        <v>1800</v>
      </c>
      <c r="Y89" s="19">
        <f t="shared" si="21"/>
        <v>7.0132496513249647</v>
      </c>
      <c r="Z89" s="17">
        <f t="shared" si="22"/>
        <v>6.8508174386920979</v>
      </c>
      <c r="AA89" s="14"/>
      <c r="AB89" s="14"/>
      <c r="AC89" s="14">
        <v>0</v>
      </c>
      <c r="AD89" s="14">
        <f>VLOOKUP(A:A,[1]TDSheet!$A:$AD,30,0)</f>
        <v>1968</v>
      </c>
      <c r="AE89" s="14">
        <f>VLOOKUP(A:A,[1]TDSheet!$A:$AE,31,0)</f>
        <v>1455</v>
      </c>
      <c r="AF89" s="14">
        <f>VLOOKUP(A:A,[1]TDSheet!$A:$AF,32,0)</f>
        <v>1434</v>
      </c>
      <c r="AG89" s="14">
        <f>VLOOKUP(A:A,[1]TDSheet!$A:$AG,33,0)</f>
        <v>1616.6</v>
      </c>
      <c r="AH89" s="14">
        <f>VLOOKUP(A:A,[3]TDSheet!$A:$D,4,0)</f>
        <v>1514</v>
      </c>
      <c r="AI89" s="14" t="str">
        <f>VLOOKUP(A:A,[1]TDSheet!$A:$AI,35,0)</f>
        <v>жк, яоконч</v>
      </c>
      <c r="AJ89" s="14">
        <f t="shared" si="23"/>
        <v>0</v>
      </c>
      <c r="AK89" s="14">
        <f t="shared" si="24"/>
        <v>630</v>
      </c>
      <c r="AL89" s="14">
        <f t="shared" si="25"/>
        <v>630</v>
      </c>
      <c r="AM89" s="14"/>
      <c r="AN89" s="14"/>
      <c r="AO89" s="14"/>
    </row>
    <row r="90" spans="1:41" s="1" customFormat="1" ht="11.1" customHeight="1" outlineLevel="1" x14ac:dyDescent="0.2">
      <c r="A90" s="22" t="s">
        <v>120</v>
      </c>
      <c r="B90" s="7" t="s">
        <v>12</v>
      </c>
      <c r="C90" s="8">
        <v>55</v>
      </c>
      <c r="D90" s="8"/>
      <c r="E90" s="8">
        <v>0</v>
      </c>
      <c r="F90" s="8">
        <v>55</v>
      </c>
      <c r="G90" s="1" t="str">
        <f>VLOOKUP(A:A,[1]TDSheet!$A:$G,7,0)</f>
        <v>сч</v>
      </c>
      <c r="H90" s="1">
        <f>VLOOKUP(A:A,[1]TDSheet!$A:$H,8,0)</f>
        <v>0</v>
      </c>
      <c r="I90" s="1" t="e">
        <f>VLOOKUP(A:A,[1]TDSheet!$A:$I,9,0)</f>
        <v>#N/A</v>
      </c>
      <c r="J90" s="14">
        <v>0</v>
      </c>
      <c r="K90" s="14">
        <f t="shared" si="19"/>
        <v>0</v>
      </c>
      <c r="L90" s="14">
        <f>VLOOKUP(A:A,[1]TDSheet!$A:$X,24,0)</f>
        <v>0</v>
      </c>
      <c r="M90" s="14"/>
      <c r="N90" s="14"/>
      <c r="O90" s="14"/>
      <c r="P90" s="14"/>
      <c r="Q90" s="14"/>
      <c r="R90" s="14"/>
      <c r="S90" s="14"/>
      <c r="T90" s="14"/>
      <c r="U90" s="14"/>
      <c r="V90" s="16"/>
      <c r="W90" s="14">
        <f t="shared" si="20"/>
        <v>0</v>
      </c>
      <c r="X90" s="16"/>
      <c r="Y90" s="19" t="e">
        <f t="shared" si="21"/>
        <v>#DIV/0!</v>
      </c>
      <c r="Z90" s="17" t="e">
        <f t="shared" si="22"/>
        <v>#DIV/0!</v>
      </c>
      <c r="AA90" s="14"/>
      <c r="AB90" s="14"/>
      <c r="AC90" s="14">
        <v>0</v>
      </c>
      <c r="AD90" s="14">
        <f>VLOOKUP(A:A,[1]TDSheet!$A:$AD,30,0)</f>
        <v>0</v>
      </c>
      <c r="AE90" s="14">
        <f>VLOOKUP(A:A,[1]TDSheet!$A:$AE,31,0)</f>
        <v>0</v>
      </c>
      <c r="AF90" s="14">
        <f>VLOOKUP(A:A,[1]TDSheet!$A:$AF,32,0)</f>
        <v>0</v>
      </c>
      <c r="AG90" s="14">
        <f>VLOOKUP(A:A,[1]TDSheet!$A:$AG,33,0)</f>
        <v>0</v>
      </c>
      <c r="AH90" s="14">
        <v>0</v>
      </c>
      <c r="AI90" s="23" t="s">
        <v>163</v>
      </c>
      <c r="AJ90" s="14">
        <f t="shared" si="23"/>
        <v>0</v>
      </c>
      <c r="AK90" s="14">
        <f t="shared" si="24"/>
        <v>0</v>
      </c>
      <c r="AL90" s="14">
        <f t="shared" si="25"/>
        <v>0</v>
      </c>
      <c r="AM90" s="14"/>
      <c r="AN90" s="14"/>
      <c r="AO90" s="14"/>
    </row>
    <row r="91" spans="1:41" s="1" customFormat="1" ht="21.95" customHeight="1" outlineLevel="1" x14ac:dyDescent="0.2">
      <c r="A91" s="7" t="s">
        <v>90</v>
      </c>
      <c r="B91" s="7" t="s">
        <v>12</v>
      </c>
      <c r="C91" s="8">
        <v>114</v>
      </c>
      <c r="D91" s="8">
        <v>420</v>
      </c>
      <c r="E91" s="8">
        <v>274</v>
      </c>
      <c r="F91" s="8">
        <v>260</v>
      </c>
      <c r="G91" s="1">
        <f>VLOOKUP(A:A,[1]TDSheet!$A:$G,7,0)</f>
        <v>0</v>
      </c>
      <c r="H91" s="1">
        <f>VLOOKUP(A:A,[1]TDSheet!$A:$H,8,0)</f>
        <v>0.4</v>
      </c>
      <c r="I91" s="1" t="e">
        <f>VLOOKUP(A:A,[1]TDSheet!$A:$I,9,0)</f>
        <v>#N/A</v>
      </c>
      <c r="J91" s="14">
        <f>VLOOKUP(A:A,[2]TDSheet!$A:$F,6,0)</f>
        <v>282</v>
      </c>
      <c r="K91" s="14">
        <f t="shared" si="19"/>
        <v>-8</v>
      </c>
      <c r="L91" s="14">
        <f>VLOOKUP(A:A,[1]TDSheet!$A:$X,24,0)</f>
        <v>120</v>
      </c>
      <c r="M91" s="14"/>
      <c r="N91" s="14"/>
      <c r="O91" s="14"/>
      <c r="P91" s="14"/>
      <c r="Q91" s="14"/>
      <c r="R91" s="14"/>
      <c r="S91" s="14"/>
      <c r="T91" s="14"/>
      <c r="U91" s="14"/>
      <c r="V91" s="16">
        <v>160</v>
      </c>
      <c r="W91" s="14">
        <f t="shared" si="20"/>
        <v>137</v>
      </c>
      <c r="X91" s="16">
        <v>150</v>
      </c>
      <c r="Y91" s="19">
        <f t="shared" si="21"/>
        <v>7.8409090909090908</v>
      </c>
      <c r="Z91" s="17">
        <f t="shared" si="22"/>
        <v>5.0364963503649633</v>
      </c>
      <c r="AA91" s="14"/>
      <c r="AB91" s="14"/>
      <c r="AC91" s="14">
        <v>0</v>
      </c>
      <c r="AD91" s="14">
        <f>VLOOKUP(A:A,[1]TDSheet!$A:$AD,30,0)</f>
        <v>119.6</v>
      </c>
      <c r="AE91" s="14">
        <f>VLOOKUP(A:A,[1]TDSheet!$A:$AE,31,0)</f>
        <v>98.8</v>
      </c>
      <c r="AF91" s="14">
        <f>VLOOKUP(A:A,[1]TDSheet!$A:$AF,32,0)</f>
        <v>88</v>
      </c>
      <c r="AG91" s="14">
        <f>VLOOKUP(A:A,[1]TDSheet!$A:$AG,33,0)</f>
        <v>131.4</v>
      </c>
      <c r="AH91" s="14">
        <f>VLOOKUP(A:A,[3]TDSheet!$A:$D,4,0)</f>
        <v>114</v>
      </c>
      <c r="AI91" s="14">
        <f>VLOOKUP(A:A,[1]TDSheet!$A:$AI,35,0)</f>
        <v>0</v>
      </c>
      <c r="AJ91" s="14">
        <f t="shared" si="23"/>
        <v>0</v>
      </c>
      <c r="AK91" s="14">
        <f t="shared" si="24"/>
        <v>64</v>
      </c>
      <c r="AL91" s="14">
        <f t="shared" si="25"/>
        <v>60</v>
      </c>
      <c r="AM91" s="14"/>
      <c r="AN91" s="14"/>
      <c r="AO91" s="14"/>
    </row>
    <row r="92" spans="1:41" s="1" customFormat="1" ht="21.95" customHeight="1" outlineLevel="1" x14ac:dyDescent="0.2">
      <c r="A92" s="7" t="s">
        <v>91</v>
      </c>
      <c r="B92" s="7" t="s">
        <v>8</v>
      </c>
      <c r="C92" s="8">
        <v>119.907</v>
      </c>
      <c r="D92" s="8">
        <v>336.601</v>
      </c>
      <c r="E92" s="8">
        <v>141.465</v>
      </c>
      <c r="F92" s="8">
        <v>313.59399999999999</v>
      </c>
      <c r="G92" s="1" t="str">
        <f>VLOOKUP(A:A,[1]TDSheet!$A:$G,7,0)</f>
        <v>н</v>
      </c>
      <c r="H92" s="1">
        <f>VLOOKUP(A:A,[1]TDSheet!$A:$H,8,0)</f>
        <v>1</v>
      </c>
      <c r="I92" s="1" t="e">
        <f>VLOOKUP(A:A,[1]TDSheet!$A:$I,9,0)</f>
        <v>#N/A</v>
      </c>
      <c r="J92" s="14">
        <f>VLOOKUP(A:A,[2]TDSheet!$A:$F,6,0)</f>
        <v>134.25700000000001</v>
      </c>
      <c r="K92" s="14">
        <f t="shared" si="19"/>
        <v>7.2079999999999984</v>
      </c>
      <c r="L92" s="14">
        <f>VLOOKUP(A:A,[1]TDSheet!$A:$X,24,0)</f>
        <v>70</v>
      </c>
      <c r="M92" s="14"/>
      <c r="N92" s="14"/>
      <c r="O92" s="14"/>
      <c r="P92" s="14"/>
      <c r="Q92" s="14"/>
      <c r="R92" s="14"/>
      <c r="S92" s="14"/>
      <c r="T92" s="14"/>
      <c r="U92" s="14"/>
      <c r="V92" s="16">
        <v>60</v>
      </c>
      <c r="W92" s="14">
        <f t="shared" si="20"/>
        <v>70.732500000000002</v>
      </c>
      <c r="X92" s="16">
        <v>70</v>
      </c>
      <c r="Y92" s="19">
        <f t="shared" si="21"/>
        <v>7.1184199584199588</v>
      </c>
      <c r="Z92" s="17">
        <f t="shared" si="22"/>
        <v>7.2610751776057691</v>
      </c>
      <c r="AA92" s="14"/>
      <c r="AB92" s="14"/>
      <c r="AC92" s="14">
        <v>0</v>
      </c>
      <c r="AD92" s="14">
        <f>VLOOKUP(A:A,[1]TDSheet!$A:$AD,30,0)</f>
        <v>51.5182</v>
      </c>
      <c r="AE92" s="14">
        <f>VLOOKUP(A:A,[1]TDSheet!$A:$AE,31,0)</f>
        <v>51.5184</v>
      </c>
      <c r="AF92" s="14">
        <f>VLOOKUP(A:A,[1]TDSheet!$A:$AF,32,0)</f>
        <v>72.150000000000006</v>
      </c>
      <c r="AG92" s="14">
        <f>VLOOKUP(A:A,[1]TDSheet!$A:$AG,33,0)</f>
        <v>112.7886</v>
      </c>
      <c r="AH92" s="14">
        <f>VLOOKUP(A:A,[3]TDSheet!$A:$D,4,0)</f>
        <v>69.662999999999997</v>
      </c>
      <c r="AI92" s="14">
        <f>VLOOKUP(A:A,[1]TDSheet!$A:$AI,35,0)</f>
        <v>0</v>
      </c>
      <c r="AJ92" s="14">
        <f t="shared" si="23"/>
        <v>0</v>
      </c>
      <c r="AK92" s="14">
        <f t="shared" si="24"/>
        <v>60</v>
      </c>
      <c r="AL92" s="14">
        <f t="shared" si="25"/>
        <v>70</v>
      </c>
      <c r="AM92" s="14"/>
      <c r="AN92" s="14"/>
      <c r="AO92" s="14"/>
    </row>
    <row r="93" spans="1:41" s="1" customFormat="1" ht="21.95" customHeight="1" outlineLevel="1" x14ac:dyDescent="0.2">
      <c r="A93" s="7" t="s">
        <v>92</v>
      </c>
      <c r="B93" s="7" t="s">
        <v>12</v>
      </c>
      <c r="C93" s="8">
        <v>37</v>
      </c>
      <c r="D93" s="8">
        <v>296</v>
      </c>
      <c r="E93" s="8">
        <v>124</v>
      </c>
      <c r="F93" s="8">
        <v>203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4">
        <f>VLOOKUP(A:A,[2]TDSheet!$A:$F,6,0)</f>
        <v>130</v>
      </c>
      <c r="K93" s="14">
        <f t="shared" si="19"/>
        <v>-6</v>
      </c>
      <c r="L93" s="14">
        <f>VLOOKUP(A:A,[1]TDSheet!$A:$X,24,0)</f>
        <v>50</v>
      </c>
      <c r="M93" s="14"/>
      <c r="N93" s="14"/>
      <c r="O93" s="14"/>
      <c r="P93" s="14"/>
      <c r="Q93" s="14"/>
      <c r="R93" s="14"/>
      <c r="S93" s="14"/>
      <c r="T93" s="14"/>
      <c r="U93" s="14"/>
      <c r="V93" s="16">
        <v>100</v>
      </c>
      <c r="W93" s="14">
        <f t="shared" si="20"/>
        <v>62</v>
      </c>
      <c r="X93" s="16">
        <v>80</v>
      </c>
      <c r="Y93" s="19">
        <f t="shared" si="21"/>
        <v>7.6501766784452299</v>
      </c>
      <c r="Z93" s="17">
        <f t="shared" si="22"/>
        <v>6.9838709677419351</v>
      </c>
      <c r="AA93" s="14"/>
      <c r="AB93" s="14"/>
      <c r="AC93" s="14">
        <v>0</v>
      </c>
      <c r="AD93" s="14">
        <f>VLOOKUP(A:A,[1]TDSheet!$A:$AD,30,0)</f>
        <v>55</v>
      </c>
      <c r="AE93" s="14">
        <f>VLOOKUP(A:A,[1]TDSheet!$A:$AE,31,0)</f>
        <v>67.2</v>
      </c>
      <c r="AF93" s="14">
        <f>VLOOKUP(A:A,[1]TDSheet!$A:$AF,32,0)</f>
        <v>56.6</v>
      </c>
      <c r="AG93" s="14">
        <f>VLOOKUP(A:A,[1]TDSheet!$A:$AG,33,0)</f>
        <v>73.599999999999994</v>
      </c>
      <c r="AH93" s="14">
        <f>VLOOKUP(A:A,[3]TDSheet!$A:$D,4,0)</f>
        <v>58</v>
      </c>
      <c r="AI93" s="14" t="str">
        <f>VLOOKUP(A:A,[1]TDSheet!$A:$AI,35,0)</f>
        <v>ябдек-ян</v>
      </c>
      <c r="AJ93" s="14">
        <f t="shared" si="23"/>
        <v>0</v>
      </c>
      <c r="AK93" s="14">
        <f t="shared" si="24"/>
        <v>40</v>
      </c>
      <c r="AL93" s="14">
        <f t="shared" si="25"/>
        <v>32</v>
      </c>
      <c r="AM93" s="14"/>
      <c r="AN93" s="14"/>
      <c r="AO93" s="14"/>
    </row>
    <row r="94" spans="1:41" s="1" customFormat="1" ht="11.1" customHeight="1" outlineLevel="1" x14ac:dyDescent="0.2">
      <c r="A94" s="7" t="s">
        <v>93</v>
      </c>
      <c r="B94" s="7" t="s">
        <v>8</v>
      </c>
      <c r="C94" s="8">
        <v>14.395</v>
      </c>
      <c r="D94" s="8">
        <v>93.694999999999993</v>
      </c>
      <c r="E94" s="8">
        <v>33.076999999999998</v>
      </c>
      <c r="F94" s="8">
        <v>73.572000000000003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33.25</v>
      </c>
      <c r="K94" s="14">
        <f t="shared" si="19"/>
        <v>-0.17300000000000182</v>
      </c>
      <c r="L94" s="14">
        <f>VLOOKUP(A:A,[1]TDSheet!$A:$X,24,0)</f>
        <v>30</v>
      </c>
      <c r="M94" s="14"/>
      <c r="N94" s="14"/>
      <c r="O94" s="14"/>
      <c r="P94" s="14"/>
      <c r="Q94" s="14"/>
      <c r="R94" s="14"/>
      <c r="S94" s="14"/>
      <c r="T94" s="14"/>
      <c r="U94" s="14"/>
      <c r="V94" s="16"/>
      <c r="W94" s="14">
        <f t="shared" si="20"/>
        <v>16.538499999999999</v>
      </c>
      <c r="X94" s="16">
        <v>50</v>
      </c>
      <c r="Y94" s="19">
        <f t="shared" si="21"/>
        <v>8.8815119829739988</v>
      </c>
      <c r="Z94" s="17">
        <f t="shared" si="22"/>
        <v>9.2857272424947848</v>
      </c>
      <c r="AA94" s="14"/>
      <c r="AB94" s="14"/>
      <c r="AC94" s="14">
        <v>0</v>
      </c>
      <c r="AD94" s="14">
        <f>VLOOKUP(A:A,[1]TDSheet!$A:$AD,30,0)</f>
        <v>23.110199999999999</v>
      </c>
      <c r="AE94" s="14">
        <f>VLOOKUP(A:A,[1]TDSheet!$A:$AE,31,0)</f>
        <v>13.330400000000001</v>
      </c>
      <c r="AF94" s="14">
        <f>VLOOKUP(A:A,[1]TDSheet!$A:$AF,32,0)</f>
        <v>17.2912</v>
      </c>
      <c r="AG94" s="14">
        <f>VLOOKUP(A:A,[1]TDSheet!$A:$AG,33,0)</f>
        <v>22.133000000000003</v>
      </c>
      <c r="AH94" s="14">
        <f>VLOOKUP(A:A,[3]TDSheet!$A:$D,4,0)</f>
        <v>18.716999999999999</v>
      </c>
      <c r="AI94" s="14">
        <f>VLOOKUP(A:A,[1]TDSheet!$A:$AI,35,0)</f>
        <v>0</v>
      </c>
      <c r="AJ94" s="14">
        <f t="shared" si="23"/>
        <v>0</v>
      </c>
      <c r="AK94" s="14">
        <f t="shared" si="24"/>
        <v>0</v>
      </c>
      <c r="AL94" s="14">
        <f t="shared" si="25"/>
        <v>50</v>
      </c>
      <c r="AM94" s="14"/>
      <c r="AN94" s="14"/>
      <c r="AO94" s="14"/>
    </row>
    <row r="95" spans="1:41" s="1" customFormat="1" ht="21.95" customHeight="1" outlineLevel="1" x14ac:dyDescent="0.2">
      <c r="A95" s="7" t="s">
        <v>94</v>
      </c>
      <c r="B95" s="7" t="s">
        <v>12</v>
      </c>
      <c r="C95" s="8">
        <v>268</v>
      </c>
      <c r="D95" s="8">
        <v>464</v>
      </c>
      <c r="E95" s="8">
        <v>228</v>
      </c>
      <c r="F95" s="8">
        <v>502</v>
      </c>
      <c r="G95" s="1">
        <f>VLOOKUP(A:A,[1]TDSheet!$A:$G,7,0)</f>
        <v>0</v>
      </c>
      <c r="H95" s="1">
        <f>VLOOKUP(A:A,[1]TDSheet!$A:$H,8,0)</f>
        <v>0.2</v>
      </c>
      <c r="I95" s="1" t="e">
        <f>VLOOKUP(A:A,[1]TDSheet!$A:$I,9,0)</f>
        <v>#N/A</v>
      </c>
      <c r="J95" s="14">
        <f>VLOOKUP(A:A,[2]TDSheet!$A:$F,6,0)</f>
        <v>230</v>
      </c>
      <c r="K95" s="14">
        <f t="shared" si="19"/>
        <v>-2</v>
      </c>
      <c r="L95" s="14">
        <f>VLOOKUP(A:A,[1]TDSheet!$A:$X,24,0)</f>
        <v>100</v>
      </c>
      <c r="M95" s="14"/>
      <c r="N95" s="14"/>
      <c r="O95" s="14"/>
      <c r="P95" s="14"/>
      <c r="Q95" s="14"/>
      <c r="R95" s="14"/>
      <c r="S95" s="14"/>
      <c r="T95" s="14"/>
      <c r="U95" s="14"/>
      <c r="V95" s="16">
        <v>200</v>
      </c>
      <c r="W95" s="14">
        <f t="shared" si="20"/>
        <v>114</v>
      </c>
      <c r="X95" s="16">
        <v>200</v>
      </c>
      <c r="Y95" s="19">
        <f t="shared" si="21"/>
        <v>7.5225225225225234</v>
      </c>
      <c r="Z95" s="17">
        <f t="shared" si="22"/>
        <v>8.7894736842105257</v>
      </c>
      <c r="AA95" s="14"/>
      <c r="AB95" s="14"/>
      <c r="AC95" s="14">
        <v>0</v>
      </c>
      <c r="AD95" s="14">
        <f>VLOOKUP(A:A,[1]TDSheet!$A:$AD,30,0)</f>
        <v>128</v>
      </c>
      <c r="AE95" s="14">
        <f>VLOOKUP(A:A,[1]TDSheet!$A:$AE,31,0)</f>
        <v>105</v>
      </c>
      <c r="AF95" s="14">
        <f>VLOOKUP(A:A,[1]TDSheet!$A:$AF,32,0)</f>
        <v>133.19999999999999</v>
      </c>
      <c r="AG95" s="14">
        <f>VLOOKUP(A:A,[1]TDSheet!$A:$AG,33,0)</f>
        <v>141.4</v>
      </c>
      <c r="AH95" s="14">
        <f>VLOOKUP(A:A,[3]TDSheet!$A:$D,4,0)</f>
        <v>81</v>
      </c>
      <c r="AI95" s="14">
        <f>VLOOKUP(A:A,[1]TDSheet!$A:$AI,35,0)</f>
        <v>0</v>
      </c>
      <c r="AJ95" s="14">
        <f t="shared" si="23"/>
        <v>0</v>
      </c>
      <c r="AK95" s="14">
        <f t="shared" si="24"/>
        <v>40</v>
      </c>
      <c r="AL95" s="14">
        <f t="shared" si="25"/>
        <v>40</v>
      </c>
      <c r="AM95" s="14"/>
      <c r="AN95" s="14"/>
      <c r="AO95" s="14"/>
    </row>
    <row r="96" spans="1:41" s="1" customFormat="1" ht="11.1" customHeight="1" outlineLevel="1" x14ac:dyDescent="0.2">
      <c r="A96" s="7" t="s">
        <v>95</v>
      </c>
      <c r="B96" s="7" t="s">
        <v>12</v>
      </c>
      <c r="C96" s="8">
        <v>178</v>
      </c>
      <c r="D96" s="8">
        <v>165</v>
      </c>
      <c r="E96" s="8">
        <v>145</v>
      </c>
      <c r="F96" s="8">
        <v>177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194</v>
      </c>
      <c r="K96" s="14">
        <f t="shared" si="19"/>
        <v>-49</v>
      </c>
      <c r="L96" s="14">
        <f>VLOOKUP(A:A,[1]TDSheet!$A:$X,24,0)</f>
        <v>80</v>
      </c>
      <c r="M96" s="14"/>
      <c r="N96" s="14"/>
      <c r="O96" s="14"/>
      <c r="P96" s="14"/>
      <c r="Q96" s="14"/>
      <c r="R96" s="14"/>
      <c r="S96" s="14"/>
      <c r="T96" s="14"/>
      <c r="U96" s="14"/>
      <c r="V96" s="16">
        <v>150</v>
      </c>
      <c r="W96" s="14">
        <f t="shared" si="20"/>
        <v>72.5</v>
      </c>
      <c r="X96" s="16">
        <v>60</v>
      </c>
      <c r="Y96" s="19">
        <f t="shared" si="21"/>
        <v>7.6809210526315796</v>
      </c>
      <c r="Z96" s="17">
        <f t="shared" si="22"/>
        <v>6.4413793103448276</v>
      </c>
      <c r="AA96" s="14"/>
      <c r="AB96" s="14"/>
      <c r="AC96" s="14">
        <v>0</v>
      </c>
      <c r="AD96" s="14">
        <f>VLOOKUP(A:A,[1]TDSheet!$A:$AD,30,0)</f>
        <v>85.8</v>
      </c>
      <c r="AE96" s="14">
        <f>VLOOKUP(A:A,[1]TDSheet!$A:$AE,31,0)</f>
        <v>57.6</v>
      </c>
      <c r="AF96" s="14">
        <f>VLOOKUP(A:A,[1]TDSheet!$A:$AF,32,0)</f>
        <v>60.8</v>
      </c>
      <c r="AG96" s="14">
        <f>VLOOKUP(A:A,[1]TDSheet!$A:$AG,33,0)</f>
        <v>62.4</v>
      </c>
      <c r="AH96" s="14">
        <f>VLOOKUP(A:A,[3]TDSheet!$A:$D,4,0)</f>
        <v>56</v>
      </c>
      <c r="AI96" s="14">
        <f>VLOOKUP(A:A,[1]TDSheet!$A:$AI,35,0)</f>
        <v>0</v>
      </c>
      <c r="AJ96" s="14">
        <f t="shared" si="23"/>
        <v>0</v>
      </c>
      <c r="AK96" s="14">
        <f t="shared" si="24"/>
        <v>45</v>
      </c>
      <c r="AL96" s="14">
        <f t="shared" si="25"/>
        <v>18</v>
      </c>
      <c r="AM96" s="14"/>
      <c r="AN96" s="14"/>
      <c r="AO96" s="14"/>
    </row>
    <row r="97" spans="1:41" s="1" customFormat="1" ht="11.1" customHeight="1" outlineLevel="1" x14ac:dyDescent="0.2">
      <c r="A97" s="7" t="s">
        <v>96</v>
      </c>
      <c r="B97" s="7" t="s">
        <v>8</v>
      </c>
      <c r="C97" s="8">
        <v>86.44</v>
      </c>
      <c r="D97" s="8">
        <v>599.66099999999994</v>
      </c>
      <c r="E97" s="8">
        <v>204.346</v>
      </c>
      <c r="F97" s="8">
        <v>481.755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4">
        <f>VLOOKUP(A:A,[2]TDSheet!$A:$F,6,0)</f>
        <v>203.97300000000001</v>
      </c>
      <c r="K97" s="14">
        <f t="shared" si="19"/>
        <v>0.37299999999999045</v>
      </c>
      <c r="L97" s="14">
        <f>VLOOKUP(A:A,[1]TDSheet!$A:$X,24,0)</f>
        <v>200</v>
      </c>
      <c r="M97" s="14"/>
      <c r="N97" s="14"/>
      <c r="O97" s="14"/>
      <c r="P97" s="14"/>
      <c r="Q97" s="14"/>
      <c r="R97" s="14"/>
      <c r="S97" s="14"/>
      <c r="T97" s="14"/>
      <c r="U97" s="14"/>
      <c r="V97" s="16">
        <v>100</v>
      </c>
      <c r="W97" s="14">
        <f t="shared" si="20"/>
        <v>102.173</v>
      </c>
      <c r="X97" s="16">
        <v>100</v>
      </c>
      <c r="Y97" s="19">
        <f t="shared" si="21"/>
        <v>7.6635563566960014</v>
      </c>
      <c r="Z97" s="17">
        <f t="shared" si="22"/>
        <v>8.630019672516223</v>
      </c>
      <c r="AA97" s="14"/>
      <c r="AB97" s="14"/>
      <c r="AC97" s="14">
        <v>0</v>
      </c>
      <c r="AD97" s="14">
        <f>VLOOKUP(A:A,[1]TDSheet!$A:$AD,30,0)</f>
        <v>87.367199999999997</v>
      </c>
      <c r="AE97" s="14">
        <f>VLOOKUP(A:A,[1]TDSheet!$A:$AE,31,0)</f>
        <v>100.2654</v>
      </c>
      <c r="AF97" s="14">
        <f>VLOOKUP(A:A,[1]TDSheet!$A:$AF,32,0)</f>
        <v>115.05820000000001</v>
      </c>
      <c r="AG97" s="14">
        <f>VLOOKUP(A:A,[1]TDSheet!$A:$AG,33,0)</f>
        <v>151.6652</v>
      </c>
      <c r="AH97" s="14">
        <f>VLOOKUP(A:A,[3]TDSheet!$A:$D,4,0)</f>
        <v>96.427000000000007</v>
      </c>
      <c r="AI97" s="14">
        <f>VLOOKUP(A:A,[1]TDSheet!$A:$AI,35,0)</f>
        <v>0</v>
      </c>
      <c r="AJ97" s="14">
        <f t="shared" si="23"/>
        <v>0</v>
      </c>
      <c r="AK97" s="14">
        <f t="shared" si="24"/>
        <v>100</v>
      </c>
      <c r="AL97" s="14">
        <f t="shared" si="25"/>
        <v>100</v>
      </c>
      <c r="AM97" s="14"/>
      <c r="AN97" s="14"/>
      <c r="AO97" s="14"/>
    </row>
    <row r="98" spans="1:41" s="1" customFormat="1" ht="11.1" customHeight="1" outlineLevel="1" x14ac:dyDescent="0.2">
      <c r="A98" s="7" t="s">
        <v>97</v>
      </c>
      <c r="B98" s="7" t="s">
        <v>8</v>
      </c>
      <c r="C98" s="8">
        <v>1030.8320000000001</v>
      </c>
      <c r="D98" s="8">
        <v>3643.4580000000001</v>
      </c>
      <c r="E98" s="8">
        <v>1849.4179999999999</v>
      </c>
      <c r="F98" s="8">
        <v>2807.4740000000002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4">
        <f>VLOOKUP(A:A,[2]TDSheet!$A:$F,6,0)</f>
        <v>1884.624</v>
      </c>
      <c r="K98" s="14">
        <f t="shared" si="19"/>
        <v>-35.206000000000131</v>
      </c>
      <c r="L98" s="14">
        <f>VLOOKUP(A:A,[1]TDSheet!$A:$X,24,0)</f>
        <v>800</v>
      </c>
      <c r="M98" s="14"/>
      <c r="N98" s="14"/>
      <c r="O98" s="14"/>
      <c r="P98" s="14"/>
      <c r="Q98" s="14"/>
      <c r="R98" s="14"/>
      <c r="S98" s="14"/>
      <c r="T98" s="14"/>
      <c r="U98" s="14"/>
      <c r="V98" s="16">
        <v>1100</v>
      </c>
      <c r="W98" s="14">
        <f t="shared" si="20"/>
        <v>924.70899999999995</v>
      </c>
      <c r="X98" s="16">
        <v>1000</v>
      </c>
      <c r="Y98" s="19">
        <f t="shared" si="21"/>
        <v>6.9359129659569394</v>
      </c>
      <c r="Z98" s="17">
        <f t="shared" si="22"/>
        <v>6.1721838978532713</v>
      </c>
      <c r="AA98" s="14"/>
      <c r="AB98" s="14"/>
      <c r="AC98" s="14">
        <v>0</v>
      </c>
      <c r="AD98" s="14">
        <f>VLOOKUP(A:A,[1]TDSheet!$A:$AD,30,0)</f>
        <v>859.18759999999997</v>
      </c>
      <c r="AE98" s="14">
        <f>VLOOKUP(A:A,[1]TDSheet!$A:$AE,31,0)</f>
        <v>1041.681</v>
      </c>
      <c r="AF98" s="14">
        <f>VLOOKUP(A:A,[1]TDSheet!$A:$AF,32,0)</f>
        <v>822.88719999999989</v>
      </c>
      <c r="AG98" s="14">
        <f>VLOOKUP(A:A,[1]TDSheet!$A:$AG,33,0)</f>
        <v>1037.6032</v>
      </c>
      <c r="AH98" s="14">
        <f>VLOOKUP(A:A,[3]TDSheet!$A:$D,4,0)</f>
        <v>838.21900000000005</v>
      </c>
      <c r="AI98" s="14">
        <f>VLOOKUP(A:A,[1]TDSheet!$A:$AI,35,0)</f>
        <v>0</v>
      </c>
      <c r="AJ98" s="14">
        <f t="shared" si="23"/>
        <v>0</v>
      </c>
      <c r="AK98" s="14">
        <f t="shared" si="24"/>
        <v>1100</v>
      </c>
      <c r="AL98" s="14">
        <f t="shared" si="25"/>
        <v>1000</v>
      </c>
      <c r="AM98" s="14"/>
      <c r="AN98" s="14"/>
      <c r="AO98" s="14"/>
    </row>
    <row r="99" spans="1:41" s="1" customFormat="1" ht="11.1" customHeight="1" outlineLevel="1" x14ac:dyDescent="0.2">
      <c r="A99" s="7" t="s">
        <v>98</v>
      </c>
      <c r="B99" s="7" t="s">
        <v>8</v>
      </c>
      <c r="C99" s="8">
        <v>238.21600000000001</v>
      </c>
      <c r="D99" s="8">
        <v>11967.166999999999</v>
      </c>
      <c r="E99" s="8">
        <v>3638.143</v>
      </c>
      <c r="F99" s="8">
        <v>8544.8040000000001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4">
        <f>VLOOKUP(A:A,[2]TDSheet!$A:$F,6,0)</f>
        <v>3661.68</v>
      </c>
      <c r="K99" s="14">
        <f t="shared" si="19"/>
        <v>-23.536999999999807</v>
      </c>
      <c r="L99" s="14">
        <f>VLOOKUP(A:A,[1]TDSheet!$A:$X,24,0)</f>
        <v>1100</v>
      </c>
      <c r="M99" s="14"/>
      <c r="N99" s="14"/>
      <c r="O99" s="14"/>
      <c r="P99" s="14"/>
      <c r="Q99" s="14"/>
      <c r="R99" s="14"/>
      <c r="S99" s="14"/>
      <c r="T99" s="14"/>
      <c r="U99" s="14"/>
      <c r="V99" s="16">
        <v>1000</v>
      </c>
      <c r="W99" s="14">
        <f t="shared" si="20"/>
        <v>1819.0715</v>
      </c>
      <c r="X99" s="16">
        <v>1000</v>
      </c>
      <c r="Y99" s="19">
        <f t="shared" si="21"/>
        <v>7.9934831937018664</v>
      </c>
      <c r="Z99" s="17">
        <f t="shared" si="22"/>
        <v>6.4015097812263013</v>
      </c>
      <c r="AA99" s="14"/>
      <c r="AB99" s="14"/>
      <c r="AC99" s="14">
        <v>0</v>
      </c>
      <c r="AD99" s="14">
        <f>VLOOKUP(A:A,[1]TDSheet!$A:$AD,30,0)</f>
        <v>1302.1748000000002</v>
      </c>
      <c r="AE99" s="14">
        <f>VLOOKUP(A:A,[1]TDSheet!$A:$AE,31,0)</f>
        <v>1449.4908</v>
      </c>
      <c r="AF99" s="14">
        <f>VLOOKUP(A:A,[1]TDSheet!$A:$AF,32,0)</f>
        <v>1456.7872</v>
      </c>
      <c r="AG99" s="14">
        <f>VLOOKUP(A:A,[1]TDSheet!$A:$AG,33,0)</f>
        <v>2459.7380000000003</v>
      </c>
      <c r="AH99" s="14">
        <f>VLOOKUP(A:A,[3]TDSheet!$A:$D,4,0)</f>
        <v>1551.606</v>
      </c>
      <c r="AI99" s="14" t="str">
        <f>VLOOKUP(A:A,[1]TDSheet!$A:$AI,35,0)</f>
        <v>проддек-ян</v>
      </c>
      <c r="AJ99" s="14">
        <f t="shared" si="23"/>
        <v>0</v>
      </c>
      <c r="AK99" s="14">
        <f t="shared" si="24"/>
        <v>1000</v>
      </c>
      <c r="AL99" s="14">
        <f t="shared" si="25"/>
        <v>1000</v>
      </c>
      <c r="AM99" s="14"/>
      <c r="AN99" s="14"/>
      <c r="AO99" s="14"/>
    </row>
    <row r="100" spans="1:41" s="1" customFormat="1" ht="11.1" customHeight="1" outlineLevel="1" x14ac:dyDescent="0.2">
      <c r="A100" s="7" t="s">
        <v>99</v>
      </c>
      <c r="B100" s="7" t="s">
        <v>8</v>
      </c>
      <c r="C100" s="8">
        <v>198.19200000000001</v>
      </c>
      <c r="D100" s="8">
        <v>9489.4110000000001</v>
      </c>
      <c r="E100" s="8">
        <v>3579.68</v>
      </c>
      <c r="F100" s="8">
        <v>6100.2979999999998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4">
        <f>VLOOKUP(A:A,[2]TDSheet!$A:$F,6,0)</f>
        <v>3576.5259999999998</v>
      </c>
      <c r="K100" s="14">
        <f t="shared" si="19"/>
        <v>3.1539999999999964</v>
      </c>
      <c r="L100" s="14">
        <f>VLOOKUP(A:A,[1]TDSheet!$A:$X,24,0)</f>
        <v>1200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6">
        <v>1200</v>
      </c>
      <c r="W100" s="14">
        <f t="shared" si="20"/>
        <v>1789.84</v>
      </c>
      <c r="X100" s="16">
        <v>1100</v>
      </c>
      <c r="Y100" s="19">
        <f t="shared" si="21"/>
        <v>7.0619536258843159</v>
      </c>
      <c r="Z100" s="17">
        <f t="shared" si="22"/>
        <v>5.3637744155902203</v>
      </c>
      <c r="AA100" s="14"/>
      <c r="AB100" s="14"/>
      <c r="AC100" s="14">
        <v>0</v>
      </c>
      <c r="AD100" s="14">
        <f>VLOOKUP(A:A,[1]TDSheet!$A:$AD,30,0)</f>
        <v>1345.3812</v>
      </c>
      <c r="AE100" s="14">
        <f>VLOOKUP(A:A,[1]TDSheet!$A:$AE,31,0)</f>
        <v>1348.6866</v>
      </c>
      <c r="AF100" s="14">
        <f>VLOOKUP(A:A,[1]TDSheet!$A:$AF,32,0)</f>
        <v>1359.4394</v>
      </c>
      <c r="AG100" s="14">
        <f>VLOOKUP(A:A,[1]TDSheet!$A:$AG,33,0)</f>
        <v>2109.1264000000001</v>
      </c>
      <c r="AH100" s="14">
        <f>VLOOKUP(A:A,[3]TDSheet!$A:$D,4,0)</f>
        <v>1656.963</v>
      </c>
      <c r="AI100" s="14" t="str">
        <f>VLOOKUP(A:A,[1]TDSheet!$A:$AI,35,0)</f>
        <v>жк,ябдек-ян</v>
      </c>
      <c r="AJ100" s="14">
        <f t="shared" si="23"/>
        <v>0</v>
      </c>
      <c r="AK100" s="14">
        <f t="shared" si="24"/>
        <v>1200</v>
      </c>
      <c r="AL100" s="14">
        <f t="shared" si="25"/>
        <v>1100</v>
      </c>
      <c r="AM100" s="14"/>
      <c r="AN100" s="14"/>
      <c r="AO100" s="14"/>
    </row>
    <row r="101" spans="1:41" s="1" customFormat="1" ht="11.1" customHeight="1" outlineLevel="1" x14ac:dyDescent="0.2">
      <c r="A101" s="22" t="s">
        <v>121</v>
      </c>
      <c r="B101" s="7" t="s">
        <v>12</v>
      </c>
      <c r="C101" s="8">
        <v>65</v>
      </c>
      <c r="D101" s="8"/>
      <c r="E101" s="8">
        <v>7</v>
      </c>
      <c r="F101" s="8">
        <v>58</v>
      </c>
      <c r="G101" s="1" t="str">
        <f>VLOOKUP(A:A,[1]TDSheet!$A:$G,7,0)</f>
        <v>сч</v>
      </c>
      <c r="H101" s="1">
        <f>VLOOKUP(A:A,[1]TDSheet!$A:$H,8,0)</f>
        <v>0</v>
      </c>
      <c r="I101" s="1" t="e">
        <f>VLOOKUP(A:A,[1]TDSheet!$A:$I,9,0)</f>
        <v>#N/A</v>
      </c>
      <c r="J101" s="14">
        <f>VLOOKUP(A:A,[2]TDSheet!$A:$F,6,0)</f>
        <v>8</v>
      </c>
      <c r="K101" s="14">
        <f t="shared" si="19"/>
        <v>-1</v>
      </c>
      <c r="L101" s="14">
        <f>VLOOKUP(A:A,[1]TDSheet!$A:$X,24,0)</f>
        <v>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6"/>
      <c r="W101" s="14">
        <f t="shared" si="20"/>
        <v>3.5</v>
      </c>
      <c r="X101" s="16"/>
      <c r="Y101" s="19" t="e">
        <f t="shared" si="21"/>
        <v>#DIV/0!</v>
      </c>
      <c r="Z101" s="17">
        <f t="shared" si="22"/>
        <v>16.571428571428573</v>
      </c>
      <c r="AA101" s="14"/>
      <c r="AB101" s="14"/>
      <c r="AC101" s="14">
        <v>0</v>
      </c>
      <c r="AD101" s="14">
        <f>VLOOKUP(A:A,[1]TDSheet!$A:$AD,30,0)</f>
        <v>0</v>
      </c>
      <c r="AE101" s="14">
        <f>VLOOKUP(A:A,[1]TDSheet!$A:$AE,31,0)</f>
        <v>0</v>
      </c>
      <c r="AF101" s="14">
        <f>VLOOKUP(A:A,[1]TDSheet!$A:$AF,32,0)</f>
        <v>0</v>
      </c>
      <c r="AG101" s="14">
        <f>VLOOKUP(A:A,[1]TDSheet!$A:$AG,33,0)</f>
        <v>0</v>
      </c>
      <c r="AH101" s="14">
        <f>VLOOKUP(A:A,[3]TDSheet!$A:$D,4,0)</f>
        <v>6</v>
      </c>
      <c r="AI101" s="23" t="s">
        <v>163</v>
      </c>
      <c r="AJ101" s="14">
        <f t="shared" si="23"/>
        <v>0</v>
      </c>
      <c r="AK101" s="14">
        <f t="shared" si="24"/>
        <v>0</v>
      </c>
      <c r="AL101" s="14">
        <f t="shared" si="25"/>
        <v>0</v>
      </c>
      <c r="AM101" s="14"/>
      <c r="AN101" s="14"/>
      <c r="AO101" s="14"/>
    </row>
    <row r="102" spans="1:41" s="1" customFormat="1" ht="21.95" customHeight="1" outlineLevel="1" x14ac:dyDescent="0.2">
      <c r="A102" s="7" t="s">
        <v>100</v>
      </c>
      <c r="B102" s="7" t="s">
        <v>8</v>
      </c>
      <c r="C102" s="8">
        <v>54.177</v>
      </c>
      <c r="D102" s="8">
        <v>273.01600000000002</v>
      </c>
      <c r="E102" s="8">
        <v>70.938000000000002</v>
      </c>
      <c r="F102" s="8">
        <v>256.255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4">
        <f>VLOOKUP(A:A,[2]TDSheet!$A:$F,6,0)</f>
        <v>72.05</v>
      </c>
      <c r="K102" s="14">
        <f t="shared" si="19"/>
        <v>-1.1119999999999948</v>
      </c>
      <c r="L102" s="14">
        <f>VLOOKUP(A:A,[1]TDSheet!$A:$X,24,0)</f>
        <v>50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6"/>
      <c r="W102" s="14">
        <f t="shared" si="20"/>
        <v>35.469000000000001</v>
      </c>
      <c r="X102" s="16"/>
      <c r="Y102" s="19">
        <f t="shared" si="21"/>
        <v>8.4811686513431184</v>
      </c>
      <c r="Z102" s="17">
        <f t="shared" si="22"/>
        <v>8.6344413431447169</v>
      </c>
      <c r="AA102" s="14"/>
      <c r="AB102" s="14"/>
      <c r="AC102" s="14">
        <v>0</v>
      </c>
      <c r="AD102" s="14">
        <f>VLOOKUP(A:A,[1]TDSheet!$A:$AD,30,0)</f>
        <v>38.357399999999998</v>
      </c>
      <c r="AE102" s="14">
        <f>VLOOKUP(A:A,[1]TDSheet!$A:$AE,31,0)</f>
        <v>37.7012</v>
      </c>
      <c r="AF102" s="14">
        <f>VLOOKUP(A:A,[1]TDSheet!$A:$AF,32,0)</f>
        <v>36.11</v>
      </c>
      <c r="AG102" s="14">
        <f>VLOOKUP(A:A,[1]TDSheet!$A:$AG,33,0)</f>
        <v>63.814200000000007</v>
      </c>
      <c r="AH102" s="14">
        <f>VLOOKUP(A:A,[3]TDSheet!$A:$D,4,0)</f>
        <v>32.503</v>
      </c>
      <c r="AI102" s="14">
        <f>VLOOKUP(A:A,[1]TDSheet!$A:$AI,35,0)</f>
        <v>0</v>
      </c>
      <c r="AJ102" s="14">
        <f t="shared" si="23"/>
        <v>0</v>
      </c>
      <c r="AK102" s="14">
        <f t="shared" si="24"/>
        <v>0</v>
      </c>
      <c r="AL102" s="14">
        <f t="shared" si="25"/>
        <v>0</v>
      </c>
      <c r="AM102" s="14"/>
      <c r="AN102" s="14"/>
      <c r="AO102" s="14"/>
    </row>
    <row r="103" spans="1:41" s="1" customFormat="1" ht="21.95" customHeight="1" outlineLevel="1" x14ac:dyDescent="0.2">
      <c r="A103" s="22" t="s">
        <v>122</v>
      </c>
      <c r="B103" s="7" t="s">
        <v>12</v>
      </c>
      <c r="C103" s="8">
        <v>149</v>
      </c>
      <c r="D103" s="8"/>
      <c r="E103" s="8">
        <v>0</v>
      </c>
      <c r="F103" s="8">
        <v>149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4">
        <v>0</v>
      </c>
      <c r="K103" s="14">
        <f t="shared" si="19"/>
        <v>0</v>
      </c>
      <c r="L103" s="14">
        <f>VLOOKUP(A:A,[1]TDSheet!$A:$X,24,0)</f>
        <v>0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6"/>
      <c r="W103" s="14">
        <f t="shared" si="20"/>
        <v>0</v>
      </c>
      <c r="X103" s="16"/>
      <c r="Y103" s="19" t="e">
        <f t="shared" si="21"/>
        <v>#DIV/0!</v>
      </c>
      <c r="Z103" s="17" t="e">
        <f t="shared" si="22"/>
        <v>#DIV/0!</v>
      </c>
      <c r="AA103" s="14"/>
      <c r="AB103" s="14"/>
      <c r="AC103" s="14">
        <v>0</v>
      </c>
      <c r="AD103" s="14">
        <f>VLOOKUP(A:A,[1]TDSheet!$A:$AD,30,0)</f>
        <v>0</v>
      </c>
      <c r="AE103" s="14">
        <f>VLOOKUP(A:A,[1]TDSheet!$A:$AE,31,0)</f>
        <v>0</v>
      </c>
      <c r="AF103" s="14">
        <f>VLOOKUP(A:A,[1]TDSheet!$A:$AF,32,0)</f>
        <v>0</v>
      </c>
      <c r="AG103" s="14">
        <f>VLOOKUP(A:A,[1]TDSheet!$A:$AG,33,0)</f>
        <v>0</v>
      </c>
      <c r="AH103" s="14">
        <v>0</v>
      </c>
      <c r="AI103" s="23" t="s">
        <v>163</v>
      </c>
      <c r="AJ103" s="14">
        <f t="shared" si="23"/>
        <v>0</v>
      </c>
      <c r="AK103" s="14">
        <f t="shared" si="24"/>
        <v>0</v>
      </c>
      <c r="AL103" s="14">
        <f t="shared" si="25"/>
        <v>0</v>
      </c>
      <c r="AM103" s="14"/>
      <c r="AN103" s="14"/>
      <c r="AO103" s="14"/>
    </row>
    <row r="104" spans="1:41" s="1" customFormat="1" ht="11.1" customHeight="1" outlineLevel="1" x14ac:dyDescent="0.2">
      <c r="A104" s="7" t="s">
        <v>101</v>
      </c>
      <c r="B104" s="7" t="s">
        <v>12</v>
      </c>
      <c r="C104" s="8">
        <v>159</v>
      </c>
      <c r="D104" s="8">
        <v>121</v>
      </c>
      <c r="E104" s="8">
        <v>66</v>
      </c>
      <c r="F104" s="8">
        <v>213</v>
      </c>
      <c r="G104" s="1">
        <f>VLOOKUP(A:A,[1]TDSheet!$A:$G,7,0)</f>
        <v>0</v>
      </c>
      <c r="H104" s="1">
        <f>VLOOKUP(A:A,[1]TDSheet!$A:$H,8,0)</f>
        <v>0.5</v>
      </c>
      <c r="I104" s="1" t="e">
        <f>VLOOKUP(A:A,[1]TDSheet!$A:$I,9,0)</f>
        <v>#N/A</v>
      </c>
      <c r="J104" s="14">
        <f>VLOOKUP(A:A,[2]TDSheet!$A:$F,6,0)</f>
        <v>68</v>
      </c>
      <c r="K104" s="14">
        <f t="shared" si="19"/>
        <v>-2</v>
      </c>
      <c r="L104" s="14">
        <f>VLOOKUP(A:A,[1]TDSheet!$A:$X,24,0)</f>
        <v>20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6"/>
      <c r="W104" s="14">
        <f t="shared" si="20"/>
        <v>33</v>
      </c>
      <c r="X104" s="16"/>
      <c r="Y104" s="19">
        <f t="shared" si="21"/>
        <v>8.7593984962406015</v>
      </c>
      <c r="Z104" s="17">
        <f t="shared" si="22"/>
        <v>7.0606060606060606</v>
      </c>
      <c r="AA104" s="14"/>
      <c r="AB104" s="14"/>
      <c r="AC104" s="14">
        <v>0</v>
      </c>
      <c r="AD104" s="14">
        <f>VLOOKUP(A:A,[1]TDSheet!$A:$AD,30,0)</f>
        <v>27.6</v>
      </c>
      <c r="AE104" s="14">
        <f>VLOOKUP(A:A,[1]TDSheet!$A:$AE,31,0)</f>
        <v>24.2</v>
      </c>
      <c r="AF104" s="14">
        <f>VLOOKUP(A:A,[1]TDSheet!$A:$AF,32,0)</f>
        <v>26.6</v>
      </c>
      <c r="AG104" s="14">
        <f>VLOOKUP(A:A,[1]TDSheet!$A:$AG,33,0)</f>
        <v>41.8</v>
      </c>
      <c r="AH104" s="14">
        <f>VLOOKUP(A:A,[3]TDSheet!$A:$D,4,0)</f>
        <v>26</v>
      </c>
      <c r="AI104" s="14">
        <f>VLOOKUP(A:A,[1]TDSheet!$A:$AI,35,0)</f>
        <v>0</v>
      </c>
      <c r="AJ104" s="14">
        <f t="shared" si="23"/>
        <v>0</v>
      </c>
      <c r="AK104" s="14">
        <f t="shared" si="24"/>
        <v>0</v>
      </c>
      <c r="AL104" s="14">
        <f t="shared" si="25"/>
        <v>0</v>
      </c>
      <c r="AM104" s="14"/>
      <c r="AN104" s="14"/>
      <c r="AO104" s="14"/>
    </row>
    <row r="105" spans="1:41" s="1" customFormat="1" ht="21.95" customHeight="1" outlineLevel="1" x14ac:dyDescent="0.2">
      <c r="A105" s="22" t="s">
        <v>123</v>
      </c>
      <c r="B105" s="7" t="s">
        <v>8</v>
      </c>
      <c r="C105" s="8">
        <v>64.504999999999995</v>
      </c>
      <c r="D105" s="8"/>
      <c r="E105" s="8">
        <v>1.36</v>
      </c>
      <c r="F105" s="8">
        <v>63.145000000000003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4">
        <f>VLOOKUP(A:A,[2]TDSheet!$A:$F,6,0)</f>
        <v>2.1</v>
      </c>
      <c r="K105" s="14">
        <f t="shared" si="19"/>
        <v>-0.74</v>
      </c>
      <c r="L105" s="14">
        <f>VLOOKUP(A:A,[1]TDSheet!$A:$X,24,0)</f>
        <v>0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6"/>
      <c r="W105" s="14">
        <f t="shared" si="20"/>
        <v>0.68</v>
      </c>
      <c r="X105" s="16"/>
      <c r="Y105" s="19" t="e">
        <f t="shared" si="21"/>
        <v>#DIV/0!</v>
      </c>
      <c r="Z105" s="17">
        <f t="shared" si="22"/>
        <v>92.860294117647058</v>
      </c>
      <c r="AA105" s="14"/>
      <c r="AB105" s="14"/>
      <c r="AC105" s="14">
        <v>0</v>
      </c>
      <c r="AD105" s="14">
        <f>VLOOKUP(A:A,[1]TDSheet!$A:$AD,30,0)</f>
        <v>0</v>
      </c>
      <c r="AE105" s="14">
        <f>VLOOKUP(A:A,[1]TDSheet!$A:$AE,31,0)</f>
        <v>0</v>
      </c>
      <c r="AF105" s="14">
        <f>VLOOKUP(A:A,[1]TDSheet!$A:$AF,32,0)</f>
        <v>0</v>
      </c>
      <c r="AG105" s="14">
        <f>VLOOKUP(A:A,[1]TDSheet!$A:$AG,33,0)</f>
        <v>0</v>
      </c>
      <c r="AH105" s="14">
        <v>0</v>
      </c>
      <c r="AI105" s="23" t="s">
        <v>163</v>
      </c>
      <c r="AJ105" s="14">
        <f t="shared" si="23"/>
        <v>0</v>
      </c>
      <c r="AK105" s="14">
        <f t="shared" si="24"/>
        <v>0</v>
      </c>
      <c r="AL105" s="14">
        <f t="shared" si="25"/>
        <v>0</v>
      </c>
      <c r="AM105" s="14"/>
      <c r="AN105" s="14"/>
      <c r="AO105" s="14"/>
    </row>
    <row r="106" spans="1:41" s="1" customFormat="1" ht="11.1" customHeight="1" outlineLevel="1" x14ac:dyDescent="0.2">
      <c r="A106" s="7" t="s">
        <v>102</v>
      </c>
      <c r="B106" s="7" t="s">
        <v>12</v>
      </c>
      <c r="C106" s="8"/>
      <c r="D106" s="8">
        <v>700</v>
      </c>
      <c r="E106" s="8">
        <v>0</v>
      </c>
      <c r="F106" s="8"/>
      <c r="G106" s="1" t="str">
        <f>VLOOKUP(A:A,[1]TDSheet!$A:$G,7,0)</f>
        <v>пуд</v>
      </c>
      <c r="H106" s="1">
        <f>VLOOKUP(A:A,[1]TDSheet!$A:$H,8,0)</f>
        <v>0.4</v>
      </c>
      <c r="I106" s="1" t="e">
        <f>VLOOKUP(A:A,[1]TDSheet!$A:$I,9,0)</f>
        <v>#N/A</v>
      </c>
      <c r="J106" s="14">
        <f>VLOOKUP(A:A,[2]TDSheet!$A:$F,6,0)</f>
        <v>700</v>
      </c>
      <c r="K106" s="14">
        <f t="shared" si="19"/>
        <v>-700</v>
      </c>
      <c r="L106" s="14">
        <f>VLOOKUP(A:A,[1]TDSheet!$A:$X,24,0)</f>
        <v>0</v>
      </c>
      <c r="M106" s="14"/>
      <c r="N106" s="14"/>
      <c r="O106" s="14"/>
      <c r="P106" s="14"/>
      <c r="Q106" s="14"/>
      <c r="R106" s="14"/>
      <c r="S106" s="14"/>
      <c r="T106" s="14">
        <v>350</v>
      </c>
      <c r="U106" s="14"/>
      <c r="V106" s="16"/>
      <c r="W106" s="14">
        <f t="shared" si="20"/>
        <v>0</v>
      </c>
      <c r="X106" s="16"/>
      <c r="Y106" s="19" t="e">
        <f t="shared" si="21"/>
        <v>#DIV/0!</v>
      </c>
      <c r="Z106" s="17" t="e">
        <f t="shared" si="22"/>
        <v>#DIV/0!</v>
      </c>
      <c r="AA106" s="14"/>
      <c r="AB106" s="14"/>
      <c r="AC106" s="14">
        <f>VLOOKUP(A:A,[4]TDSheet!$A:$D,4,0)</f>
        <v>700</v>
      </c>
      <c r="AD106" s="14">
        <f>VLOOKUP(A:A,[1]TDSheet!$A:$AD,30,0)</f>
        <v>0</v>
      </c>
      <c r="AE106" s="14">
        <f>VLOOKUP(A:A,[1]TDSheet!$A:$AE,31,0)</f>
        <v>0</v>
      </c>
      <c r="AF106" s="14">
        <f>VLOOKUP(A:A,[1]TDSheet!$A:$AF,32,0)</f>
        <v>0</v>
      </c>
      <c r="AG106" s="14">
        <f>VLOOKUP(A:A,[1]TDSheet!$A:$AG,33,0)</f>
        <v>0</v>
      </c>
      <c r="AH106" s="14">
        <v>0</v>
      </c>
      <c r="AI106" s="14" t="e">
        <f>VLOOKUP(A:A,[1]TDSheet!$A:$AI,35,0)</f>
        <v>#N/A</v>
      </c>
      <c r="AJ106" s="14">
        <f t="shared" si="23"/>
        <v>140</v>
      </c>
      <c r="AK106" s="14">
        <f t="shared" si="24"/>
        <v>0</v>
      </c>
      <c r="AL106" s="14">
        <f t="shared" si="25"/>
        <v>0</v>
      </c>
      <c r="AM106" s="14"/>
      <c r="AN106" s="14"/>
      <c r="AO106" s="14"/>
    </row>
    <row r="107" spans="1:41" s="1" customFormat="1" ht="21.95" customHeight="1" outlineLevel="1" x14ac:dyDescent="0.2">
      <c r="A107" s="7" t="s">
        <v>103</v>
      </c>
      <c r="B107" s="7" t="s">
        <v>12</v>
      </c>
      <c r="C107" s="8">
        <v>286</v>
      </c>
      <c r="D107" s="8">
        <v>1743</v>
      </c>
      <c r="E107" s="8">
        <v>624</v>
      </c>
      <c r="F107" s="8">
        <v>1114</v>
      </c>
      <c r="G107" s="1">
        <f>VLOOKUP(A:A,[1]TDSheet!$A:$G,7,0)</f>
        <v>0</v>
      </c>
      <c r="H107" s="1">
        <f>VLOOKUP(A:A,[1]TDSheet!$A:$H,8,0)</f>
        <v>0.3</v>
      </c>
      <c r="I107" s="1" t="e">
        <f>VLOOKUP(A:A,[1]TDSheet!$A:$I,9,0)</f>
        <v>#N/A</v>
      </c>
      <c r="J107" s="14">
        <f>VLOOKUP(A:A,[2]TDSheet!$A:$F,6,0)</f>
        <v>916</v>
      </c>
      <c r="K107" s="14">
        <f t="shared" si="19"/>
        <v>-292</v>
      </c>
      <c r="L107" s="14">
        <f>VLOOKUP(A:A,[1]TDSheet!$A:$X,24,0)</f>
        <v>300</v>
      </c>
      <c r="M107" s="14"/>
      <c r="N107" s="14"/>
      <c r="O107" s="14"/>
      <c r="P107" s="14"/>
      <c r="Q107" s="14"/>
      <c r="R107" s="14"/>
      <c r="S107" s="14"/>
      <c r="T107" s="14">
        <v>162</v>
      </c>
      <c r="U107" s="14"/>
      <c r="V107" s="16">
        <v>300</v>
      </c>
      <c r="W107" s="14">
        <f t="shared" si="20"/>
        <v>312</v>
      </c>
      <c r="X107" s="16">
        <v>300</v>
      </c>
      <c r="Y107" s="19">
        <f t="shared" si="21"/>
        <v>6.968858131487889</v>
      </c>
      <c r="Z107" s="17">
        <f t="shared" si="22"/>
        <v>6.4551282051282053</v>
      </c>
      <c r="AA107" s="14"/>
      <c r="AB107" s="14"/>
      <c r="AC107" s="14">
        <f>VLOOKUP(A:A,[4]TDSheet!$A:$D,4,0)</f>
        <v>282</v>
      </c>
      <c r="AD107" s="14">
        <f>VLOOKUP(A:A,[1]TDSheet!$A:$AD,30,0)</f>
        <v>330.4</v>
      </c>
      <c r="AE107" s="14">
        <f>VLOOKUP(A:A,[1]TDSheet!$A:$AE,31,0)</f>
        <v>290.60000000000002</v>
      </c>
      <c r="AF107" s="14">
        <f>VLOOKUP(A:A,[1]TDSheet!$A:$AF,32,0)</f>
        <v>289</v>
      </c>
      <c r="AG107" s="14">
        <f>VLOOKUP(A:A,[1]TDSheet!$A:$AG,33,0)</f>
        <v>384.8</v>
      </c>
      <c r="AH107" s="14">
        <f>VLOOKUP(A:A,[3]TDSheet!$A:$D,4,0)</f>
        <v>284</v>
      </c>
      <c r="AI107" s="14">
        <f>VLOOKUP(A:A,[1]TDSheet!$A:$AI,35,0)</f>
        <v>0</v>
      </c>
      <c r="AJ107" s="14">
        <f t="shared" si="23"/>
        <v>48.6</v>
      </c>
      <c r="AK107" s="14">
        <f t="shared" si="24"/>
        <v>90</v>
      </c>
      <c r="AL107" s="14">
        <f t="shared" si="25"/>
        <v>90</v>
      </c>
      <c r="AM107" s="14"/>
      <c r="AN107" s="14"/>
      <c r="AO107" s="14"/>
    </row>
    <row r="108" spans="1:41" s="1" customFormat="1" ht="11.1" customHeight="1" outlineLevel="1" x14ac:dyDescent="0.2">
      <c r="A108" s="7" t="s">
        <v>104</v>
      </c>
      <c r="B108" s="7" t="s">
        <v>12</v>
      </c>
      <c r="C108" s="8">
        <v>42</v>
      </c>
      <c r="D108" s="8">
        <v>816</v>
      </c>
      <c r="E108" s="8">
        <v>303</v>
      </c>
      <c r="F108" s="8">
        <v>543</v>
      </c>
      <c r="G108" s="1">
        <f>VLOOKUP(A:A,[1]TDSheet!$A:$G,7,0)</f>
        <v>0</v>
      </c>
      <c r="H108" s="1">
        <f>VLOOKUP(A:A,[1]TDSheet!$A:$H,8,0)</f>
        <v>0.3</v>
      </c>
      <c r="I108" s="1" t="e">
        <f>VLOOKUP(A:A,[1]TDSheet!$A:$I,9,0)</f>
        <v>#N/A</v>
      </c>
      <c r="J108" s="14">
        <f>VLOOKUP(A:A,[2]TDSheet!$A:$F,6,0)</f>
        <v>324</v>
      </c>
      <c r="K108" s="14">
        <f t="shared" si="19"/>
        <v>-21</v>
      </c>
      <c r="L108" s="14">
        <f>VLOOKUP(A:A,[1]TDSheet!$A:$X,24,0)</f>
        <v>200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6">
        <v>120</v>
      </c>
      <c r="W108" s="14">
        <f t="shared" si="20"/>
        <v>151.5</v>
      </c>
      <c r="X108" s="16">
        <v>150</v>
      </c>
      <c r="Y108" s="19">
        <f t="shared" si="21"/>
        <v>6.8724559023066485</v>
      </c>
      <c r="Z108" s="17">
        <f t="shared" si="22"/>
        <v>6.6864686468646868</v>
      </c>
      <c r="AA108" s="14"/>
      <c r="AB108" s="14"/>
      <c r="AC108" s="14">
        <v>0</v>
      </c>
      <c r="AD108" s="14">
        <f>VLOOKUP(A:A,[1]TDSheet!$A:$AD,30,0)</f>
        <v>160.4</v>
      </c>
      <c r="AE108" s="14">
        <f>VLOOKUP(A:A,[1]TDSheet!$A:$AE,31,0)</f>
        <v>133</v>
      </c>
      <c r="AF108" s="14">
        <f>VLOOKUP(A:A,[1]TDSheet!$A:$AF,32,0)</f>
        <v>147.4</v>
      </c>
      <c r="AG108" s="14">
        <f>VLOOKUP(A:A,[1]TDSheet!$A:$AG,33,0)</f>
        <v>195.8</v>
      </c>
      <c r="AH108" s="14">
        <f>VLOOKUP(A:A,[3]TDSheet!$A:$D,4,0)</f>
        <v>89</v>
      </c>
      <c r="AI108" s="14">
        <f>VLOOKUP(A:A,[1]TDSheet!$A:$AI,35,0)</f>
        <v>0</v>
      </c>
      <c r="AJ108" s="14">
        <f t="shared" si="23"/>
        <v>0</v>
      </c>
      <c r="AK108" s="14">
        <f t="shared" si="24"/>
        <v>36</v>
      </c>
      <c r="AL108" s="14">
        <f t="shared" si="25"/>
        <v>45</v>
      </c>
      <c r="AM108" s="14"/>
      <c r="AN108" s="14"/>
      <c r="AO108" s="14"/>
    </row>
    <row r="109" spans="1:41" s="1" customFormat="1" ht="11.1" customHeight="1" outlineLevel="1" x14ac:dyDescent="0.2">
      <c r="A109" s="7" t="s">
        <v>105</v>
      </c>
      <c r="B109" s="7" t="s">
        <v>12</v>
      </c>
      <c r="C109" s="8">
        <v>73</v>
      </c>
      <c r="D109" s="8">
        <v>1243</v>
      </c>
      <c r="E109" s="8">
        <v>436</v>
      </c>
      <c r="F109" s="8">
        <v>753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4">
        <f>VLOOKUP(A:A,[2]TDSheet!$A:$F,6,0)</f>
        <v>570</v>
      </c>
      <c r="K109" s="14">
        <f t="shared" si="19"/>
        <v>-134</v>
      </c>
      <c r="L109" s="14">
        <f>VLOOKUP(A:A,[1]TDSheet!$A:$X,24,0)</f>
        <v>300</v>
      </c>
      <c r="M109" s="14"/>
      <c r="N109" s="14"/>
      <c r="O109" s="14"/>
      <c r="P109" s="14"/>
      <c r="Q109" s="14"/>
      <c r="R109" s="14"/>
      <c r="S109" s="14"/>
      <c r="T109" s="14">
        <v>84</v>
      </c>
      <c r="U109" s="14"/>
      <c r="V109" s="16">
        <v>200</v>
      </c>
      <c r="W109" s="14">
        <f t="shared" si="20"/>
        <v>218</v>
      </c>
      <c r="X109" s="16">
        <v>250</v>
      </c>
      <c r="Y109" s="19">
        <f t="shared" si="21"/>
        <v>6.8692870201096889</v>
      </c>
      <c r="Z109" s="17">
        <f t="shared" si="22"/>
        <v>6.8944954128440363</v>
      </c>
      <c r="AA109" s="14"/>
      <c r="AB109" s="14"/>
      <c r="AC109" s="14">
        <f>VLOOKUP(A:A,[4]TDSheet!$A:$D,4,0)</f>
        <v>120</v>
      </c>
      <c r="AD109" s="14">
        <f>VLOOKUP(A:A,[1]TDSheet!$A:$AD,30,0)</f>
        <v>236.6</v>
      </c>
      <c r="AE109" s="14">
        <f>VLOOKUP(A:A,[1]TDSheet!$A:$AE,31,0)</f>
        <v>205.8</v>
      </c>
      <c r="AF109" s="14">
        <f>VLOOKUP(A:A,[1]TDSheet!$A:$AF,32,0)</f>
        <v>218.8</v>
      </c>
      <c r="AG109" s="14">
        <f>VLOOKUP(A:A,[1]TDSheet!$A:$AG,33,0)</f>
        <v>297.39999999999998</v>
      </c>
      <c r="AH109" s="14">
        <f>VLOOKUP(A:A,[3]TDSheet!$A:$D,4,0)</f>
        <v>142</v>
      </c>
      <c r="AI109" s="14">
        <f>VLOOKUP(A:A,[1]TDSheet!$A:$AI,35,0)</f>
        <v>0</v>
      </c>
      <c r="AJ109" s="14">
        <f t="shared" si="23"/>
        <v>25.2</v>
      </c>
      <c r="AK109" s="14">
        <f t="shared" si="24"/>
        <v>60</v>
      </c>
      <c r="AL109" s="14">
        <f t="shared" si="25"/>
        <v>75</v>
      </c>
      <c r="AM109" s="14"/>
      <c r="AN109" s="14"/>
      <c r="AO109" s="14"/>
    </row>
    <row r="110" spans="1:41" s="1" customFormat="1" ht="11.1" customHeight="1" outlineLevel="1" x14ac:dyDescent="0.2">
      <c r="A110" s="7" t="s">
        <v>106</v>
      </c>
      <c r="B110" s="7" t="s">
        <v>12</v>
      </c>
      <c r="C110" s="8">
        <v>48</v>
      </c>
      <c r="D110" s="8">
        <v>952</v>
      </c>
      <c r="E110" s="8">
        <v>297</v>
      </c>
      <c r="F110" s="8">
        <v>693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4">
        <f>VLOOKUP(A:A,[2]TDSheet!$A:$F,6,0)</f>
        <v>308</v>
      </c>
      <c r="K110" s="14">
        <f t="shared" si="19"/>
        <v>-11</v>
      </c>
      <c r="L110" s="14">
        <f>VLOOKUP(A:A,[1]TDSheet!$A:$X,24,0)</f>
        <v>200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6">
        <v>140</v>
      </c>
      <c r="W110" s="14">
        <f t="shared" si="20"/>
        <v>148.5</v>
      </c>
      <c r="X110" s="16">
        <v>150</v>
      </c>
      <c r="Y110" s="19">
        <f t="shared" si="21"/>
        <v>6.8779069767441863</v>
      </c>
      <c r="Z110" s="17">
        <f t="shared" si="22"/>
        <v>7.9663299663299663</v>
      </c>
      <c r="AA110" s="14"/>
      <c r="AB110" s="14"/>
      <c r="AC110" s="14">
        <v>0</v>
      </c>
      <c r="AD110" s="14">
        <f>VLOOKUP(A:A,[1]TDSheet!$A:$AD,30,0)</f>
        <v>166.2</v>
      </c>
      <c r="AE110" s="14">
        <f>VLOOKUP(A:A,[1]TDSheet!$A:$AE,31,0)</f>
        <v>154</v>
      </c>
      <c r="AF110" s="14">
        <f>VLOOKUP(A:A,[1]TDSheet!$A:$AF,32,0)</f>
        <v>172</v>
      </c>
      <c r="AG110" s="14">
        <f>VLOOKUP(A:A,[1]TDSheet!$A:$AG,33,0)</f>
        <v>234.8</v>
      </c>
      <c r="AH110" s="14">
        <f>VLOOKUP(A:A,[3]TDSheet!$A:$D,4,0)</f>
        <v>95</v>
      </c>
      <c r="AI110" s="14">
        <f>VLOOKUP(A:A,[1]TDSheet!$A:$AI,35,0)</f>
        <v>0</v>
      </c>
      <c r="AJ110" s="14">
        <f t="shared" si="23"/>
        <v>0</v>
      </c>
      <c r="AK110" s="14">
        <f t="shared" si="24"/>
        <v>42</v>
      </c>
      <c r="AL110" s="14">
        <f t="shared" si="25"/>
        <v>45</v>
      </c>
      <c r="AM110" s="14"/>
      <c r="AN110" s="14"/>
      <c r="AO110" s="14"/>
    </row>
    <row r="111" spans="1:41" s="1" customFormat="1" ht="11.1" customHeight="1" outlineLevel="1" x14ac:dyDescent="0.2">
      <c r="A111" s="7" t="s">
        <v>107</v>
      </c>
      <c r="B111" s="7" t="s">
        <v>12</v>
      </c>
      <c r="C111" s="8">
        <v>44</v>
      </c>
      <c r="D111" s="8">
        <v>395</v>
      </c>
      <c r="E111" s="8">
        <v>138</v>
      </c>
      <c r="F111" s="8">
        <v>296</v>
      </c>
      <c r="G111" s="1">
        <f>VLOOKUP(A:A,[1]TDSheet!$A:$G,7,0)</f>
        <v>0</v>
      </c>
      <c r="H111" s="1">
        <f>VLOOKUP(A:A,[1]TDSheet!$A:$H,8,0)</f>
        <v>0.12</v>
      </c>
      <c r="I111" s="1">
        <f>VLOOKUP(A:A,[1]TDSheet!$A:$I,9,0)</f>
        <v>45</v>
      </c>
      <c r="J111" s="14">
        <f>VLOOKUP(A:A,[2]TDSheet!$A:$F,6,0)</f>
        <v>148</v>
      </c>
      <c r="K111" s="14">
        <f t="shared" si="19"/>
        <v>-10</v>
      </c>
      <c r="L111" s="14">
        <f>VLOOKUP(A:A,[1]TDSheet!$A:$X,24,0)</f>
        <v>100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6"/>
      <c r="W111" s="14">
        <f t="shared" si="20"/>
        <v>69</v>
      </c>
      <c r="X111" s="16">
        <v>50</v>
      </c>
      <c r="Y111" s="19">
        <f t="shared" si="21"/>
        <v>7.6369863013698636</v>
      </c>
      <c r="Z111" s="17">
        <f t="shared" si="22"/>
        <v>6.4637681159420293</v>
      </c>
      <c r="AA111" s="14"/>
      <c r="AB111" s="14"/>
      <c r="AC111" s="14">
        <v>0</v>
      </c>
      <c r="AD111" s="14">
        <f>VLOOKUP(A:A,[1]TDSheet!$A:$AD,30,0)</f>
        <v>55.6</v>
      </c>
      <c r="AE111" s="14">
        <f>VLOOKUP(A:A,[1]TDSheet!$A:$AE,31,0)</f>
        <v>39.4</v>
      </c>
      <c r="AF111" s="14">
        <f>VLOOKUP(A:A,[1]TDSheet!$A:$AF,32,0)</f>
        <v>58.4</v>
      </c>
      <c r="AG111" s="14">
        <f>VLOOKUP(A:A,[1]TDSheet!$A:$AG,33,0)</f>
        <v>83.2</v>
      </c>
      <c r="AH111" s="14">
        <f>VLOOKUP(A:A,[3]TDSheet!$A:$D,4,0)</f>
        <v>30</v>
      </c>
      <c r="AI111" s="14">
        <f>VLOOKUP(A:A,[1]TDSheet!$A:$AI,35,0)</f>
        <v>0</v>
      </c>
      <c r="AJ111" s="14">
        <f t="shared" si="23"/>
        <v>0</v>
      </c>
      <c r="AK111" s="14">
        <f t="shared" si="24"/>
        <v>0</v>
      </c>
      <c r="AL111" s="14">
        <f t="shared" si="25"/>
        <v>6</v>
      </c>
      <c r="AM111" s="14"/>
      <c r="AN111" s="14"/>
      <c r="AO111" s="14"/>
    </row>
    <row r="112" spans="1:41" s="1" customFormat="1" ht="21.95" customHeight="1" outlineLevel="1" x14ac:dyDescent="0.2">
      <c r="A112" s="7" t="s">
        <v>108</v>
      </c>
      <c r="B112" s="7" t="s">
        <v>12</v>
      </c>
      <c r="C112" s="8">
        <v>414</v>
      </c>
      <c r="D112" s="8">
        <v>10</v>
      </c>
      <c r="E112" s="8">
        <v>283</v>
      </c>
      <c r="F112" s="8">
        <v>131</v>
      </c>
      <c r="G112" s="1">
        <f>VLOOKUP(A:A,[1]TDSheet!$A:$G,7,0)</f>
        <v>0</v>
      </c>
      <c r="H112" s="1">
        <f>VLOOKUP(A:A,[1]TDSheet!$A:$H,8,0)</f>
        <v>7.0000000000000007E-2</v>
      </c>
      <c r="I112" s="1" t="e">
        <f>VLOOKUP(A:A,[1]TDSheet!$A:$I,9,0)</f>
        <v>#N/A</v>
      </c>
      <c r="J112" s="14">
        <f>VLOOKUP(A:A,[2]TDSheet!$A:$F,6,0)</f>
        <v>292</v>
      </c>
      <c r="K112" s="14">
        <f t="shared" si="19"/>
        <v>-9</v>
      </c>
      <c r="L112" s="14">
        <f>VLOOKUP(A:A,[1]TDSheet!$A:$X,24,0)</f>
        <v>200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6">
        <v>300</v>
      </c>
      <c r="W112" s="14">
        <f t="shared" si="20"/>
        <v>141.5</v>
      </c>
      <c r="X112" s="16">
        <v>200</v>
      </c>
      <c r="Y112" s="19">
        <f t="shared" si="21"/>
        <v>6.8564356435643559</v>
      </c>
      <c r="Z112" s="17">
        <f t="shared" si="22"/>
        <v>5.872791519434629</v>
      </c>
      <c r="AA112" s="14"/>
      <c r="AB112" s="14"/>
      <c r="AC112" s="14">
        <v>0</v>
      </c>
      <c r="AD112" s="14">
        <f>VLOOKUP(A:A,[1]TDSheet!$A:$AD,30,0)</f>
        <v>103.8</v>
      </c>
      <c r="AE112" s="14">
        <f>VLOOKUP(A:A,[1]TDSheet!$A:$AE,31,0)</f>
        <v>93.6</v>
      </c>
      <c r="AF112" s="14">
        <f>VLOOKUP(A:A,[1]TDSheet!$A:$AF,32,0)</f>
        <v>121.2</v>
      </c>
      <c r="AG112" s="14">
        <f>VLOOKUP(A:A,[1]TDSheet!$A:$AG,33,0)</f>
        <v>168.6</v>
      </c>
      <c r="AH112" s="14">
        <f>VLOOKUP(A:A,[3]TDSheet!$A:$D,4,0)</f>
        <v>90</v>
      </c>
      <c r="AI112" s="14" t="str">
        <f>VLOOKUP(A:A,[1]TDSheet!$A:$AI,35,0)</f>
        <v>Ларин</v>
      </c>
      <c r="AJ112" s="14">
        <f t="shared" si="23"/>
        <v>0</v>
      </c>
      <c r="AK112" s="14">
        <f t="shared" si="24"/>
        <v>21.000000000000004</v>
      </c>
      <c r="AL112" s="14">
        <f t="shared" si="25"/>
        <v>14.000000000000002</v>
      </c>
      <c r="AM112" s="14"/>
      <c r="AN112" s="14"/>
      <c r="AO112" s="14"/>
    </row>
    <row r="113" spans="1:41" s="1" customFormat="1" ht="11.1" customHeight="1" outlineLevel="1" x14ac:dyDescent="0.2">
      <c r="A113" s="7" t="s">
        <v>109</v>
      </c>
      <c r="B113" s="7" t="s">
        <v>12</v>
      </c>
      <c r="C113" s="8">
        <v>119</v>
      </c>
      <c r="D113" s="8">
        <v>575</v>
      </c>
      <c r="E113" s="8">
        <v>239</v>
      </c>
      <c r="F113" s="8">
        <v>450</v>
      </c>
      <c r="G113" s="1">
        <f>VLOOKUP(A:A,[1]TDSheet!$A:$G,7,0)</f>
        <v>0</v>
      </c>
      <c r="H113" s="1">
        <f>VLOOKUP(A:A,[1]TDSheet!$A:$H,8,0)</f>
        <v>0.12</v>
      </c>
      <c r="I113" s="1" t="e">
        <f>VLOOKUP(A:A,[1]TDSheet!$A:$I,9,0)</f>
        <v>#N/A</v>
      </c>
      <c r="J113" s="14">
        <f>VLOOKUP(A:A,[2]TDSheet!$A:$F,6,0)</f>
        <v>250</v>
      </c>
      <c r="K113" s="14">
        <f t="shared" si="19"/>
        <v>-11</v>
      </c>
      <c r="L113" s="14">
        <f>VLOOKUP(A:A,[1]TDSheet!$A:$X,24,0)</f>
        <v>100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6">
        <v>150</v>
      </c>
      <c r="W113" s="14">
        <f t="shared" si="20"/>
        <v>119.5</v>
      </c>
      <c r="X113" s="16">
        <v>100</v>
      </c>
      <c r="Y113" s="19">
        <f t="shared" si="21"/>
        <v>8.791208791208792</v>
      </c>
      <c r="Z113" s="17">
        <f t="shared" si="22"/>
        <v>6.6945606694560666</v>
      </c>
      <c r="AA113" s="14"/>
      <c r="AB113" s="14"/>
      <c r="AC113" s="14">
        <v>0</v>
      </c>
      <c r="AD113" s="14">
        <f>VLOOKUP(A:A,[1]TDSheet!$A:$AD,30,0)</f>
        <v>44.6</v>
      </c>
      <c r="AE113" s="14">
        <f>VLOOKUP(A:A,[1]TDSheet!$A:$AE,31,0)</f>
        <v>68.2</v>
      </c>
      <c r="AF113" s="14">
        <f>VLOOKUP(A:A,[1]TDSheet!$A:$AF,32,0)</f>
        <v>91</v>
      </c>
      <c r="AG113" s="14">
        <f>VLOOKUP(A:A,[1]TDSheet!$A:$AG,33,0)</f>
        <v>122.2</v>
      </c>
      <c r="AH113" s="14">
        <f>VLOOKUP(A:A,[3]TDSheet!$A:$D,4,0)</f>
        <v>128</v>
      </c>
      <c r="AI113" s="14">
        <f>VLOOKUP(A:A,[1]TDSheet!$A:$AI,35,0)</f>
        <v>0</v>
      </c>
      <c r="AJ113" s="14">
        <f t="shared" si="23"/>
        <v>0</v>
      </c>
      <c r="AK113" s="14">
        <f t="shared" si="24"/>
        <v>18</v>
      </c>
      <c r="AL113" s="14">
        <f t="shared" si="25"/>
        <v>12</v>
      </c>
      <c r="AM113" s="14"/>
      <c r="AN113" s="14"/>
      <c r="AO113" s="14"/>
    </row>
    <row r="114" spans="1:41" s="1" customFormat="1" ht="11.1" customHeight="1" outlineLevel="1" x14ac:dyDescent="0.2">
      <c r="A114" s="7" t="s">
        <v>110</v>
      </c>
      <c r="B114" s="7" t="s">
        <v>12</v>
      </c>
      <c r="C114" s="8">
        <v>373</v>
      </c>
      <c r="D114" s="8">
        <v>798</v>
      </c>
      <c r="E114" s="8">
        <v>406</v>
      </c>
      <c r="F114" s="8">
        <v>759</v>
      </c>
      <c r="G114" s="1">
        <f>VLOOKUP(A:A,[1]TDSheet!$A:$G,7,0)</f>
        <v>0</v>
      </c>
      <c r="H114" s="1">
        <f>VLOOKUP(A:A,[1]TDSheet!$A:$H,8,0)</f>
        <v>7.0000000000000007E-2</v>
      </c>
      <c r="I114" s="1" t="e">
        <f>VLOOKUP(A:A,[1]TDSheet!$A:$I,9,0)</f>
        <v>#N/A</v>
      </c>
      <c r="J114" s="14">
        <f>VLOOKUP(A:A,[2]TDSheet!$A:$F,6,0)</f>
        <v>415</v>
      </c>
      <c r="K114" s="14">
        <f t="shared" si="19"/>
        <v>-9</v>
      </c>
      <c r="L114" s="14">
        <f>VLOOKUP(A:A,[1]TDSheet!$A:$X,24,0)</f>
        <v>200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6">
        <v>200</v>
      </c>
      <c r="W114" s="14">
        <f t="shared" si="20"/>
        <v>203</v>
      </c>
      <c r="X114" s="16">
        <v>100</v>
      </c>
      <c r="Y114" s="19">
        <f t="shared" si="21"/>
        <v>10.404958677685951</v>
      </c>
      <c r="Z114" s="17">
        <f t="shared" si="22"/>
        <v>6.2019704433497536</v>
      </c>
      <c r="AA114" s="14"/>
      <c r="AB114" s="14"/>
      <c r="AC114" s="14">
        <v>0</v>
      </c>
      <c r="AD114" s="14">
        <f>VLOOKUP(A:A,[1]TDSheet!$A:$AD,30,0)</f>
        <v>115</v>
      </c>
      <c r="AE114" s="14">
        <f>VLOOKUP(A:A,[1]TDSheet!$A:$AE,31,0)</f>
        <v>99.6</v>
      </c>
      <c r="AF114" s="14">
        <f>VLOOKUP(A:A,[1]TDSheet!$A:$AF,32,0)</f>
        <v>121</v>
      </c>
      <c r="AG114" s="14">
        <f>VLOOKUP(A:A,[1]TDSheet!$A:$AG,33,0)</f>
        <v>184</v>
      </c>
      <c r="AH114" s="14">
        <f>VLOOKUP(A:A,[3]TDSheet!$A:$D,4,0)</f>
        <v>158</v>
      </c>
      <c r="AI114" s="14" t="str">
        <f>VLOOKUP(A:A,[1]TDSheet!$A:$AI,35,0)</f>
        <v>Ларин</v>
      </c>
      <c r="AJ114" s="14">
        <f t="shared" si="23"/>
        <v>0</v>
      </c>
      <c r="AK114" s="14">
        <f t="shared" si="24"/>
        <v>14.000000000000002</v>
      </c>
      <c r="AL114" s="14">
        <f t="shared" si="25"/>
        <v>7.0000000000000009</v>
      </c>
      <c r="AM114" s="14"/>
      <c r="AN114" s="14"/>
      <c r="AO114" s="14"/>
    </row>
    <row r="115" spans="1:41" s="1" customFormat="1" ht="11.1" customHeight="1" outlineLevel="1" x14ac:dyDescent="0.2">
      <c r="A115" s="7" t="s">
        <v>111</v>
      </c>
      <c r="B115" s="7" t="s">
        <v>12</v>
      </c>
      <c r="C115" s="8">
        <v>393</v>
      </c>
      <c r="D115" s="8">
        <v>762</v>
      </c>
      <c r="E115" s="8">
        <v>572</v>
      </c>
      <c r="F115" s="8">
        <v>577</v>
      </c>
      <c r="G115" s="1">
        <f>VLOOKUP(A:A,[1]TDSheet!$A:$G,7,0)</f>
        <v>0</v>
      </c>
      <c r="H115" s="1">
        <f>VLOOKUP(A:A,[1]TDSheet!$A:$H,8,0)</f>
        <v>7.0000000000000007E-2</v>
      </c>
      <c r="I115" s="1">
        <f>VLOOKUP(A:A,[1]TDSheet!$A:$I,9,0)</f>
        <v>90</v>
      </c>
      <c r="J115" s="14">
        <f>VLOOKUP(A:A,[2]TDSheet!$A:$F,6,0)</f>
        <v>581</v>
      </c>
      <c r="K115" s="14">
        <f t="shared" si="19"/>
        <v>-9</v>
      </c>
      <c r="L115" s="14">
        <f>VLOOKUP(A:A,[1]TDSheet!$A:$X,24,0)</f>
        <v>200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6">
        <v>300</v>
      </c>
      <c r="W115" s="14">
        <f t="shared" si="20"/>
        <v>286</v>
      </c>
      <c r="X115" s="16">
        <v>200</v>
      </c>
      <c r="Y115" s="19">
        <f t="shared" si="21"/>
        <v>9.0311173974540306</v>
      </c>
      <c r="Z115" s="17">
        <f t="shared" si="22"/>
        <v>4.465034965034965</v>
      </c>
      <c r="AA115" s="14"/>
      <c r="AB115" s="14"/>
      <c r="AC115" s="14">
        <v>0</v>
      </c>
      <c r="AD115" s="14">
        <f>VLOOKUP(A:A,[1]TDSheet!$A:$AD,30,0)</f>
        <v>147.6</v>
      </c>
      <c r="AE115" s="14">
        <f>VLOOKUP(A:A,[1]TDSheet!$A:$AE,31,0)</f>
        <v>113.6</v>
      </c>
      <c r="AF115" s="14">
        <f>VLOOKUP(A:A,[1]TDSheet!$A:$AF,32,0)</f>
        <v>141.4</v>
      </c>
      <c r="AG115" s="14">
        <f>VLOOKUP(A:A,[1]TDSheet!$A:$AG,33,0)</f>
        <v>185.4</v>
      </c>
      <c r="AH115" s="14">
        <f>VLOOKUP(A:A,[3]TDSheet!$A:$D,4,0)</f>
        <v>246</v>
      </c>
      <c r="AI115" s="14" t="str">
        <f>VLOOKUP(A:A,[1]TDSheet!$A:$AI,35,0)</f>
        <v>Ларин</v>
      </c>
      <c r="AJ115" s="14">
        <f t="shared" si="23"/>
        <v>0</v>
      </c>
      <c r="AK115" s="14">
        <f t="shared" si="24"/>
        <v>21.000000000000004</v>
      </c>
      <c r="AL115" s="14">
        <f t="shared" si="25"/>
        <v>14.000000000000002</v>
      </c>
      <c r="AM115" s="14"/>
      <c r="AN115" s="14"/>
      <c r="AO115" s="14"/>
    </row>
    <row r="116" spans="1:41" s="1" customFormat="1" ht="11.1" customHeight="1" outlineLevel="1" x14ac:dyDescent="0.2">
      <c r="A116" s="7" t="s">
        <v>112</v>
      </c>
      <c r="B116" s="7" t="s">
        <v>12</v>
      </c>
      <c r="C116" s="8">
        <v>115</v>
      </c>
      <c r="D116" s="8">
        <v>423</v>
      </c>
      <c r="E116" s="8">
        <v>189</v>
      </c>
      <c r="F116" s="8">
        <v>340</v>
      </c>
      <c r="G116" s="1">
        <f>VLOOKUP(A:A,[1]TDSheet!$A:$G,7,0)</f>
        <v>0</v>
      </c>
      <c r="H116" s="1">
        <f>VLOOKUP(A:A,[1]TDSheet!$A:$H,8,0)</f>
        <v>7.0000000000000007E-2</v>
      </c>
      <c r="I116" s="1" t="e">
        <f>VLOOKUP(A:A,[1]TDSheet!$A:$I,9,0)</f>
        <v>#N/A</v>
      </c>
      <c r="J116" s="14">
        <f>VLOOKUP(A:A,[2]TDSheet!$A:$F,6,0)</f>
        <v>202</v>
      </c>
      <c r="K116" s="14">
        <f t="shared" si="19"/>
        <v>-13</v>
      </c>
      <c r="L116" s="14">
        <f>VLOOKUP(A:A,[1]TDSheet!$A:$X,24,0)</f>
        <v>100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6">
        <v>100</v>
      </c>
      <c r="W116" s="14">
        <f t="shared" si="20"/>
        <v>94.5</v>
      </c>
      <c r="X116" s="16">
        <v>100</v>
      </c>
      <c r="Y116" s="19">
        <f t="shared" si="21"/>
        <v>9.7560975609756113</v>
      </c>
      <c r="Z116" s="17">
        <f t="shared" si="22"/>
        <v>6.7724867724867721</v>
      </c>
      <c r="AA116" s="14"/>
      <c r="AB116" s="14"/>
      <c r="AC116" s="14">
        <v>0</v>
      </c>
      <c r="AD116" s="14">
        <f>VLOOKUP(A:A,[1]TDSheet!$A:$AD,30,0)</f>
        <v>86.2</v>
      </c>
      <c r="AE116" s="14">
        <f>VLOOKUP(A:A,[1]TDSheet!$A:$AE,31,0)</f>
        <v>59.8</v>
      </c>
      <c r="AF116" s="14">
        <f>VLOOKUP(A:A,[1]TDSheet!$A:$AF,32,0)</f>
        <v>65.599999999999994</v>
      </c>
      <c r="AG116" s="14">
        <f>VLOOKUP(A:A,[1]TDSheet!$A:$AG,33,0)</f>
        <v>94</v>
      </c>
      <c r="AH116" s="14">
        <f>VLOOKUP(A:A,[3]TDSheet!$A:$D,4,0)</f>
        <v>92</v>
      </c>
      <c r="AI116" s="14">
        <f>VLOOKUP(A:A,[1]TDSheet!$A:$AI,35,0)</f>
        <v>0</v>
      </c>
      <c r="AJ116" s="14">
        <f t="shared" si="23"/>
        <v>0</v>
      </c>
      <c r="AK116" s="14">
        <f t="shared" si="24"/>
        <v>7.0000000000000009</v>
      </c>
      <c r="AL116" s="14">
        <f t="shared" si="25"/>
        <v>7.0000000000000009</v>
      </c>
      <c r="AM116" s="14"/>
      <c r="AN116" s="14"/>
      <c r="AO116" s="14"/>
    </row>
    <row r="117" spans="1:41" s="1" customFormat="1" ht="11.1" customHeight="1" outlineLevel="1" x14ac:dyDescent="0.2">
      <c r="A117" s="7" t="s">
        <v>113</v>
      </c>
      <c r="B117" s="7" t="s">
        <v>12</v>
      </c>
      <c r="C117" s="8">
        <v>191</v>
      </c>
      <c r="D117" s="8">
        <v>273</v>
      </c>
      <c r="E117" s="8">
        <v>132</v>
      </c>
      <c r="F117" s="8">
        <v>329</v>
      </c>
      <c r="G117" s="1">
        <f>VLOOKUP(A:A,[1]TDSheet!$A:$G,7,0)</f>
        <v>0</v>
      </c>
      <c r="H117" s="1">
        <f>VLOOKUP(A:A,[1]TDSheet!$A:$H,8,0)</f>
        <v>0.05</v>
      </c>
      <c r="I117" s="1" t="e">
        <f>VLOOKUP(A:A,[1]TDSheet!$A:$I,9,0)</f>
        <v>#N/A</v>
      </c>
      <c r="J117" s="14">
        <f>VLOOKUP(A:A,[2]TDSheet!$A:$F,6,0)</f>
        <v>136</v>
      </c>
      <c r="K117" s="14">
        <f t="shared" si="19"/>
        <v>-4</v>
      </c>
      <c r="L117" s="14">
        <f>VLOOKUP(A:A,[1]TDSheet!$A:$X,24,0)</f>
        <v>100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6"/>
      <c r="W117" s="14">
        <f t="shared" si="20"/>
        <v>66</v>
      </c>
      <c r="X117" s="16"/>
      <c r="Y117" s="19">
        <f t="shared" si="21"/>
        <v>9.8394495412844041</v>
      </c>
      <c r="Z117" s="17">
        <f t="shared" si="22"/>
        <v>6.5</v>
      </c>
      <c r="AA117" s="14"/>
      <c r="AB117" s="14"/>
      <c r="AC117" s="14">
        <v>0</v>
      </c>
      <c r="AD117" s="14">
        <f>VLOOKUP(A:A,[1]TDSheet!$A:$AD,30,0)</f>
        <v>58</v>
      </c>
      <c r="AE117" s="14">
        <f>VLOOKUP(A:A,[1]TDSheet!$A:$AE,31,0)</f>
        <v>45.2</v>
      </c>
      <c r="AF117" s="14">
        <f>VLOOKUP(A:A,[1]TDSheet!$A:$AF,32,0)</f>
        <v>43.6</v>
      </c>
      <c r="AG117" s="14">
        <f>VLOOKUP(A:A,[1]TDSheet!$A:$AG,33,0)</f>
        <v>70</v>
      </c>
      <c r="AH117" s="14">
        <f>VLOOKUP(A:A,[3]TDSheet!$A:$D,4,0)</f>
        <v>59</v>
      </c>
      <c r="AI117" s="14">
        <f>VLOOKUP(A:A,[1]TDSheet!$A:$AI,35,0)</f>
        <v>0</v>
      </c>
      <c r="AJ117" s="14">
        <f t="shared" si="23"/>
        <v>0</v>
      </c>
      <c r="AK117" s="14">
        <f t="shared" si="24"/>
        <v>0</v>
      </c>
      <c r="AL117" s="14">
        <f t="shared" si="25"/>
        <v>0</v>
      </c>
      <c r="AM117" s="14"/>
      <c r="AN117" s="14"/>
      <c r="AO117" s="14"/>
    </row>
    <row r="118" spans="1:41" s="1" customFormat="1" ht="11.1" customHeight="1" outlineLevel="1" x14ac:dyDescent="0.2">
      <c r="A118" s="7" t="s">
        <v>114</v>
      </c>
      <c r="B118" s="7" t="s">
        <v>12</v>
      </c>
      <c r="C118" s="8">
        <v>143</v>
      </c>
      <c r="D118" s="8"/>
      <c r="E118" s="8">
        <v>93</v>
      </c>
      <c r="F118" s="8">
        <v>50</v>
      </c>
      <c r="G118" s="1" t="str">
        <f>VLOOKUP(A:A,[1]TDSheet!$A:$G,7,0)</f>
        <v>сч</v>
      </c>
      <c r="H118" s="1">
        <v>0</v>
      </c>
      <c r="I118" s="1" t="e">
        <f>VLOOKUP(A:A,[1]TDSheet!$A:$I,9,0)</f>
        <v>#N/A</v>
      </c>
      <c r="J118" s="14">
        <f>VLOOKUP(A:A,[2]TDSheet!$A:$F,6,0)</f>
        <v>96</v>
      </c>
      <c r="K118" s="14">
        <f t="shared" si="19"/>
        <v>-3</v>
      </c>
      <c r="L118" s="14">
        <f>VLOOKUP(A:A,[1]TDSheet!$A:$X,24,0)</f>
        <v>0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6"/>
      <c r="W118" s="14">
        <f t="shared" si="20"/>
        <v>46.5</v>
      </c>
      <c r="X118" s="16"/>
      <c r="Y118" s="19" t="e">
        <f t="shared" si="21"/>
        <v>#DIV/0!</v>
      </c>
      <c r="Z118" s="17">
        <f t="shared" si="22"/>
        <v>1.075268817204301</v>
      </c>
      <c r="AA118" s="14"/>
      <c r="AB118" s="14"/>
      <c r="AC118" s="14">
        <v>0</v>
      </c>
      <c r="AD118" s="14">
        <f>VLOOKUP(A:A,[1]TDSheet!$A:$AD,30,0)</f>
        <v>0</v>
      </c>
      <c r="AE118" s="14">
        <f>VLOOKUP(A:A,[1]TDSheet!$A:$AE,31,0)</f>
        <v>0</v>
      </c>
      <c r="AF118" s="14">
        <f>VLOOKUP(A:A,[1]TDSheet!$A:$AF,32,0)</f>
        <v>0</v>
      </c>
      <c r="AG118" s="14">
        <f>VLOOKUP(A:A,[1]TDSheet!$A:$AG,33,0)</f>
        <v>0</v>
      </c>
      <c r="AH118" s="14">
        <f>VLOOKUP(A:A,[3]TDSheet!$A:$D,4,0)</f>
        <v>32</v>
      </c>
      <c r="AI118" s="14" t="e">
        <f>VLOOKUP(A:A,[1]TDSheet!$A:$AI,35,0)</f>
        <v>#N/A</v>
      </c>
      <c r="AJ118" s="14">
        <f t="shared" si="23"/>
        <v>0</v>
      </c>
      <c r="AK118" s="14">
        <f t="shared" si="24"/>
        <v>0</v>
      </c>
      <c r="AL118" s="14">
        <f t="shared" si="25"/>
        <v>0</v>
      </c>
      <c r="AM118" s="14"/>
      <c r="AN118" s="14"/>
      <c r="AO118" s="14"/>
    </row>
    <row r="119" spans="1:41" s="1" customFormat="1" ht="11.1" customHeight="1" outlineLevel="1" x14ac:dyDescent="0.2">
      <c r="A119" s="7" t="s">
        <v>124</v>
      </c>
      <c r="B119" s="7" t="s">
        <v>12</v>
      </c>
      <c r="C119" s="8">
        <v>67</v>
      </c>
      <c r="D119" s="8"/>
      <c r="E119" s="8">
        <v>0</v>
      </c>
      <c r="F119" s="8">
        <v>67</v>
      </c>
      <c r="G119" s="1" t="str">
        <f>VLOOKUP(A:A,[1]TDSheet!$A:$G,7,0)</f>
        <v>сч</v>
      </c>
      <c r="H119" s="1">
        <f>VLOOKUP(A:A,[1]TDSheet!$A:$H,8,0)</f>
        <v>0</v>
      </c>
      <c r="I119" s="1" t="e">
        <f>VLOOKUP(A:A,[1]TDSheet!$A:$I,9,0)</f>
        <v>#N/A</v>
      </c>
      <c r="J119" s="14">
        <v>0</v>
      </c>
      <c r="K119" s="14">
        <f t="shared" si="19"/>
        <v>0</v>
      </c>
      <c r="L119" s="14">
        <f>VLOOKUP(A:A,[1]TDSheet!$A:$X,24,0)</f>
        <v>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6"/>
      <c r="W119" s="14">
        <f t="shared" si="20"/>
        <v>0</v>
      </c>
      <c r="X119" s="16"/>
      <c r="Y119" s="19" t="e">
        <f t="shared" si="21"/>
        <v>#DIV/0!</v>
      </c>
      <c r="Z119" s="17" t="e">
        <f t="shared" si="22"/>
        <v>#DIV/0!</v>
      </c>
      <c r="AA119" s="14"/>
      <c r="AB119" s="14"/>
      <c r="AC119" s="14">
        <v>0</v>
      </c>
      <c r="AD119" s="14">
        <f>VLOOKUP(A:A,[1]TDSheet!$A:$AD,30,0)</f>
        <v>0</v>
      </c>
      <c r="AE119" s="14">
        <f>VLOOKUP(A:A,[1]TDSheet!$A:$AE,31,0)</f>
        <v>0</v>
      </c>
      <c r="AF119" s="14">
        <f>VLOOKUP(A:A,[1]TDSheet!$A:$AF,32,0)</f>
        <v>0</v>
      </c>
      <c r="AG119" s="14">
        <f>VLOOKUP(A:A,[1]TDSheet!$A:$AG,33,0)</f>
        <v>0</v>
      </c>
      <c r="AH119" s="14">
        <v>0</v>
      </c>
      <c r="AI119" s="14" t="e">
        <f>VLOOKUP(A:A,[1]TDSheet!$A:$AI,35,0)</f>
        <v>#N/A</v>
      </c>
      <c r="AJ119" s="14">
        <f t="shared" si="23"/>
        <v>0</v>
      </c>
      <c r="AK119" s="14">
        <f t="shared" si="24"/>
        <v>0</v>
      </c>
      <c r="AL119" s="14">
        <f t="shared" si="25"/>
        <v>0</v>
      </c>
      <c r="AM119" s="14"/>
      <c r="AN119" s="14"/>
      <c r="AO119" s="14"/>
    </row>
    <row r="120" spans="1:41" s="1" customFormat="1" ht="11.1" customHeight="1" outlineLevel="1" x14ac:dyDescent="0.2">
      <c r="A120" s="7" t="s">
        <v>125</v>
      </c>
      <c r="B120" s="7" t="s">
        <v>12</v>
      </c>
      <c r="C120" s="8">
        <v>45</v>
      </c>
      <c r="D120" s="8"/>
      <c r="E120" s="8">
        <v>44</v>
      </c>
      <c r="F120" s="8">
        <v>1</v>
      </c>
      <c r="G120" s="1" t="str">
        <f>VLOOKUP(A:A,[1]TDSheet!$A:$G,7,0)</f>
        <v>сч</v>
      </c>
      <c r="H120" s="1">
        <f>VLOOKUP(A:A,[1]TDSheet!$A:$H,8,0)</f>
        <v>0</v>
      </c>
      <c r="I120" s="1" t="e">
        <f>VLOOKUP(A:A,[1]TDSheet!$A:$I,9,0)</f>
        <v>#N/A</v>
      </c>
      <c r="J120" s="14">
        <f>VLOOKUP(A:A,[2]TDSheet!$A:$F,6,0)</f>
        <v>60</v>
      </c>
      <c r="K120" s="14">
        <f t="shared" si="19"/>
        <v>-16</v>
      </c>
      <c r="L120" s="14">
        <f>VLOOKUP(A:A,[1]TDSheet!$A:$X,24,0)</f>
        <v>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6"/>
      <c r="W120" s="14">
        <f t="shared" si="20"/>
        <v>22</v>
      </c>
      <c r="X120" s="16"/>
      <c r="Y120" s="19" t="e">
        <f t="shared" si="21"/>
        <v>#DIV/0!</v>
      </c>
      <c r="Z120" s="17">
        <f t="shared" si="22"/>
        <v>4.5454545454545456E-2</v>
      </c>
      <c r="AA120" s="14"/>
      <c r="AB120" s="14"/>
      <c r="AC120" s="14">
        <v>0</v>
      </c>
      <c r="AD120" s="14">
        <f>VLOOKUP(A:A,[1]TDSheet!$A:$AD,30,0)</f>
        <v>0</v>
      </c>
      <c r="AE120" s="14">
        <f>VLOOKUP(A:A,[1]TDSheet!$A:$AE,31,0)</f>
        <v>0</v>
      </c>
      <c r="AF120" s="14">
        <f>VLOOKUP(A:A,[1]TDSheet!$A:$AF,32,0)</f>
        <v>0</v>
      </c>
      <c r="AG120" s="14">
        <f>VLOOKUP(A:A,[1]TDSheet!$A:$AG,33,0)</f>
        <v>0</v>
      </c>
      <c r="AH120" s="14">
        <f>VLOOKUP(A:A,[3]TDSheet!$A:$D,4,0)</f>
        <v>5</v>
      </c>
      <c r="AI120" s="14" t="e">
        <f>VLOOKUP(A:A,[1]TDSheet!$A:$AI,35,0)</f>
        <v>#N/A</v>
      </c>
      <c r="AJ120" s="14">
        <f t="shared" si="23"/>
        <v>0</v>
      </c>
      <c r="AK120" s="14">
        <f t="shared" si="24"/>
        <v>0</v>
      </c>
      <c r="AL120" s="14">
        <f t="shared" si="25"/>
        <v>0</v>
      </c>
      <c r="AM120" s="14"/>
      <c r="AN120" s="14"/>
      <c r="AO120" s="14"/>
    </row>
    <row r="121" spans="1:41" s="1" customFormat="1" ht="11.1" customHeight="1" outlineLevel="1" x14ac:dyDescent="0.2">
      <c r="A121" s="7" t="s">
        <v>115</v>
      </c>
      <c r="B121" s="7" t="s">
        <v>12</v>
      </c>
      <c r="C121" s="8">
        <v>13</v>
      </c>
      <c r="D121" s="8">
        <v>1</v>
      </c>
      <c r="E121" s="8">
        <v>10</v>
      </c>
      <c r="F121" s="8">
        <v>3</v>
      </c>
      <c r="G121" s="1" t="str">
        <f>VLOOKUP(A:A,[1]TDSheet!$A:$G,7,0)</f>
        <v>вв1912</v>
      </c>
      <c r="H121" s="1">
        <f>VLOOKUP(A:A,[1]TDSheet!$A:$H,8,0)</f>
        <v>0</v>
      </c>
      <c r="I121" s="1" t="e">
        <f>VLOOKUP(A:A,[1]TDSheet!$A:$I,9,0)</f>
        <v>#N/A</v>
      </c>
      <c r="J121" s="14">
        <f>VLOOKUP(A:A,[2]TDSheet!$A:$F,6,0)</f>
        <v>14</v>
      </c>
      <c r="K121" s="14">
        <f t="shared" si="19"/>
        <v>-4</v>
      </c>
      <c r="L121" s="14">
        <f>VLOOKUP(A:A,[1]TDSheet!$A:$X,24,0)</f>
        <v>0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6"/>
      <c r="W121" s="14">
        <f t="shared" si="20"/>
        <v>5</v>
      </c>
      <c r="X121" s="16"/>
      <c r="Y121" s="19">
        <f t="shared" si="21"/>
        <v>0.23809523809523811</v>
      </c>
      <c r="Z121" s="17">
        <f t="shared" si="22"/>
        <v>0.6</v>
      </c>
      <c r="AA121" s="14"/>
      <c r="AB121" s="14"/>
      <c r="AC121" s="14">
        <v>0</v>
      </c>
      <c r="AD121" s="14">
        <f>VLOOKUP(A:A,[1]TDSheet!$A:$AD,30,0)</f>
        <v>14</v>
      </c>
      <c r="AE121" s="14">
        <f>VLOOKUP(A:A,[1]TDSheet!$A:$AE,31,0)</f>
        <v>12.6</v>
      </c>
      <c r="AF121" s="14">
        <f>VLOOKUP(A:A,[1]TDSheet!$A:$AF,32,0)</f>
        <v>12.6</v>
      </c>
      <c r="AG121" s="14">
        <f>VLOOKUP(A:A,[1]TDSheet!$A:$AG,33,0)</f>
        <v>11.6</v>
      </c>
      <c r="AH121" s="14">
        <f>VLOOKUP(A:A,[3]TDSheet!$A:$D,4,0)</f>
        <v>-22</v>
      </c>
      <c r="AI121" s="14" t="str">
        <f>VLOOKUP(A:A,[1]TDSheet!$A:$AI,35,0)</f>
        <v>увел</v>
      </c>
      <c r="AJ121" s="14">
        <f t="shared" si="23"/>
        <v>0</v>
      </c>
      <c r="AK121" s="14">
        <f t="shared" si="24"/>
        <v>0</v>
      </c>
      <c r="AL121" s="14">
        <f t="shared" si="25"/>
        <v>0</v>
      </c>
      <c r="AM121" s="14"/>
      <c r="AN121" s="14"/>
      <c r="AO121" s="14"/>
    </row>
    <row r="122" spans="1:41" s="1" customFormat="1" ht="11.1" customHeight="1" outlineLevel="1" x14ac:dyDescent="0.2">
      <c r="A122" s="7" t="s">
        <v>116</v>
      </c>
      <c r="B122" s="7" t="s">
        <v>8</v>
      </c>
      <c r="C122" s="8">
        <v>512.55100000000004</v>
      </c>
      <c r="D122" s="8">
        <v>3031.3609999999999</v>
      </c>
      <c r="E122" s="8">
        <v>1151.0309999999999</v>
      </c>
      <c r="F122" s="8">
        <v>2392.8809999999999</v>
      </c>
      <c r="G122" s="1" t="str">
        <f>VLOOKUP(A:A,[1]TDSheet!$A:$G,7,0)</f>
        <v>рот11,11,</v>
      </c>
      <c r="H122" s="1">
        <f>VLOOKUP(A:A,[1]TDSheet!$A:$H,8,0)</f>
        <v>1</v>
      </c>
      <c r="I122" s="1" t="e">
        <f>VLOOKUP(A:A,[1]TDSheet!$A:$I,9,0)</f>
        <v>#N/A</v>
      </c>
      <c r="J122" s="14">
        <f>VLOOKUP(A:A,[2]TDSheet!$A:$F,6,0)</f>
        <v>1152.0350000000001</v>
      </c>
      <c r="K122" s="14">
        <f t="shared" si="19"/>
        <v>-1.0040000000001328</v>
      </c>
      <c r="L122" s="14">
        <f>VLOOKUP(A:A,[1]TDSheet!$A:$X,24,0)</f>
        <v>500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6">
        <v>100</v>
      </c>
      <c r="W122" s="14">
        <f t="shared" si="20"/>
        <v>575.51549999999997</v>
      </c>
      <c r="X122" s="16">
        <v>500</v>
      </c>
      <c r="Y122" s="19">
        <f t="shared" si="21"/>
        <v>7.0418034888859502</v>
      </c>
      <c r="Z122" s="17">
        <f t="shared" si="22"/>
        <v>6.0691345411200919</v>
      </c>
      <c r="AA122" s="14"/>
      <c r="AB122" s="14"/>
      <c r="AC122" s="14">
        <v>0</v>
      </c>
      <c r="AD122" s="14">
        <f>VLOOKUP(A:A,[1]TDSheet!$A:$AD,30,0)</f>
        <v>476.98220000000003</v>
      </c>
      <c r="AE122" s="14">
        <f>VLOOKUP(A:A,[1]TDSheet!$A:$AE,31,0)</f>
        <v>522.60220000000004</v>
      </c>
      <c r="AF122" s="14">
        <f>VLOOKUP(A:A,[1]TDSheet!$A:$AF,32,0)</f>
        <v>496.02079999999995</v>
      </c>
      <c r="AG122" s="14">
        <f>VLOOKUP(A:A,[1]TDSheet!$A:$AG,33,0)</f>
        <v>776.4588</v>
      </c>
      <c r="AH122" s="14">
        <f>VLOOKUP(A:A,[3]TDSheet!$A:$D,4,0)</f>
        <v>504.76499999999999</v>
      </c>
      <c r="AI122" s="14">
        <f>VLOOKUP(A:A,[1]TDSheet!$A:$AI,35,0)</f>
        <v>0</v>
      </c>
      <c r="AJ122" s="14">
        <f t="shared" si="23"/>
        <v>0</v>
      </c>
      <c r="AK122" s="14">
        <f t="shared" si="24"/>
        <v>100</v>
      </c>
      <c r="AL122" s="14">
        <f t="shared" si="25"/>
        <v>500</v>
      </c>
      <c r="AM122" s="14"/>
      <c r="AN122" s="14"/>
      <c r="AO122" s="14"/>
    </row>
    <row r="123" spans="1:41" s="1" customFormat="1" ht="21.95" customHeight="1" outlineLevel="1" x14ac:dyDescent="0.2">
      <c r="A123" s="7" t="s">
        <v>126</v>
      </c>
      <c r="B123" s="7" t="s">
        <v>12</v>
      </c>
      <c r="C123" s="8">
        <v>91</v>
      </c>
      <c r="D123" s="8">
        <v>51</v>
      </c>
      <c r="E123" s="8">
        <v>46</v>
      </c>
      <c r="F123" s="8">
        <v>95</v>
      </c>
      <c r="G123" s="1" t="str">
        <f>VLOOKUP(A:A,[1]TDSheet!$A:$G,7,0)</f>
        <v>нов</v>
      </c>
      <c r="H123" s="1">
        <f>VLOOKUP(A:A,[1]TDSheet!$A:$H,8,0)</f>
        <v>0.11</v>
      </c>
      <c r="I123" s="1" t="e">
        <f>VLOOKUP(A:A,[1]TDSheet!$A:$I,9,0)</f>
        <v>#N/A</v>
      </c>
      <c r="J123" s="14">
        <f>VLOOKUP(A:A,[2]TDSheet!$A:$F,6,0)</f>
        <v>52</v>
      </c>
      <c r="K123" s="14">
        <f t="shared" si="19"/>
        <v>-6</v>
      </c>
      <c r="L123" s="14">
        <f>VLOOKUP(A:A,[1]TDSheet!$A:$X,24,0)</f>
        <v>50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6"/>
      <c r="W123" s="14">
        <f t="shared" si="20"/>
        <v>23</v>
      </c>
      <c r="X123" s="16"/>
      <c r="Y123" s="19" t="e">
        <f t="shared" si="21"/>
        <v>#DIV/0!</v>
      </c>
      <c r="Z123" s="17">
        <f t="shared" si="22"/>
        <v>6.3043478260869561</v>
      </c>
      <c r="AA123" s="14"/>
      <c r="AB123" s="14"/>
      <c r="AC123" s="14">
        <v>0</v>
      </c>
      <c r="AD123" s="14">
        <f>VLOOKUP(A:A,[1]TDSheet!$A:$AD,30,0)</f>
        <v>0</v>
      </c>
      <c r="AE123" s="14">
        <f>VLOOKUP(A:A,[1]TDSheet!$A:$AE,31,0)</f>
        <v>0</v>
      </c>
      <c r="AF123" s="14">
        <f>VLOOKUP(A:A,[1]TDSheet!$A:$AF,32,0)</f>
        <v>0</v>
      </c>
      <c r="AG123" s="14">
        <f>VLOOKUP(A:A,[1]TDSheet!$A:$AG,33,0)</f>
        <v>0</v>
      </c>
      <c r="AH123" s="14">
        <f>VLOOKUP(A:A,[3]TDSheet!$A:$D,4,0)</f>
        <v>22</v>
      </c>
      <c r="AI123" s="14" t="e">
        <f>VLOOKUP(A:A,[1]TDSheet!$A:$AI,35,0)</f>
        <v>#N/A</v>
      </c>
      <c r="AJ123" s="14">
        <f t="shared" si="23"/>
        <v>0</v>
      </c>
      <c r="AK123" s="14">
        <f t="shared" si="24"/>
        <v>0</v>
      </c>
      <c r="AL123" s="14">
        <f t="shared" si="25"/>
        <v>0</v>
      </c>
      <c r="AM123" s="14"/>
      <c r="AN123" s="14"/>
      <c r="AO123" s="14"/>
    </row>
    <row r="124" spans="1:41" s="1" customFormat="1" ht="21.95" customHeight="1" outlineLevel="1" x14ac:dyDescent="0.2">
      <c r="A124" s="7" t="s">
        <v>127</v>
      </c>
      <c r="B124" s="7" t="s">
        <v>12</v>
      </c>
      <c r="C124" s="8">
        <v>65</v>
      </c>
      <c r="D124" s="8">
        <v>101</v>
      </c>
      <c r="E124" s="8">
        <v>55</v>
      </c>
      <c r="F124" s="8">
        <v>110</v>
      </c>
      <c r="G124" s="1" t="str">
        <f>VLOOKUP(A:A,[1]TDSheet!$A:$G,7,0)</f>
        <v>нов</v>
      </c>
      <c r="H124" s="1">
        <f>VLOOKUP(A:A,[1]TDSheet!$A:$H,8,0)</f>
        <v>0.1</v>
      </c>
      <c r="I124" s="1" t="e">
        <f>VLOOKUP(A:A,[1]TDSheet!$A:$I,9,0)</f>
        <v>#N/A</v>
      </c>
      <c r="J124" s="14">
        <f>VLOOKUP(A:A,[2]TDSheet!$A:$F,6,0)</f>
        <v>71</v>
      </c>
      <c r="K124" s="14">
        <f t="shared" si="19"/>
        <v>-16</v>
      </c>
      <c r="L124" s="14">
        <f>VLOOKUP(A:A,[1]TDSheet!$A:$X,24,0)</f>
        <v>100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6"/>
      <c r="W124" s="14">
        <f t="shared" si="20"/>
        <v>27.5</v>
      </c>
      <c r="X124" s="16"/>
      <c r="Y124" s="19" t="e">
        <f t="shared" si="21"/>
        <v>#DIV/0!</v>
      </c>
      <c r="Z124" s="17">
        <f t="shared" si="22"/>
        <v>7.6363636363636367</v>
      </c>
      <c r="AA124" s="14"/>
      <c r="AB124" s="14"/>
      <c r="AC124" s="14">
        <v>0</v>
      </c>
      <c r="AD124" s="14">
        <f>VLOOKUP(A:A,[1]TDSheet!$A:$AD,30,0)</f>
        <v>0</v>
      </c>
      <c r="AE124" s="14">
        <f>VLOOKUP(A:A,[1]TDSheet!$A:$AE,31,0)</f>
        <v>0</v>
      </c>
      <c r="AF124" s="14">
        <f>VLOOKUP(A:A,[1]TDSheet!$A:$AF,32,0)</f>
        <v>0</v>
      </c>
      <c r="AG124" s="14">
        <f>VLOOKUP(A:A,[1]TDSheet!$A:$AG,33,0)</f>
        <v>0</v>
      </c>
      <c r="AH124" s="14">
        <f>VLOOKUP(A:A,[3]TDSheet!$A:$D,4,0)</f>
        <v>22</v>
      </c>
      <c r="AI124" s="14" t="e">
        <f>VLOOKUP(A:A,[1]TDSheet!$A:$AI,35,0)</f>
        <v>#N/A</v>
      </c>
      <c r="AJ124" s="14">
        <f t="shared" si="23"/>
        <v>0</v>
      </c>
      <c r="AK124" s="14">
        <f t="shared" si="24"/>
        <v>0</v>
      </c>
      <c r="AL124" s="14">
        <f t="shared" si="25"/>
        <v>0</v>
      </c>
      <c r="AM124" s="14"/>
      <c r="AN124" s="14"/>
      <c r="AO124" s="14"/>
    </row>
    <row r="125" spans="1:41" s="1" customFormat="1" ht="21.95" customHeight="1" outlineLevel="1" x14ac:dyDescent="0.2">
      <c r="A125" s="7" t="s">
        <v>128</v>
      </c>
      <c r="B125" s="7" t="s">
        <v>12</v>
      </c>
      <c r="C125" s="8">
        <v>19</v>
      </c>
      <c r="D125" s="8">
        <v>102</v>
      </c>
      <c r="E125" s="8">
        <v>17</v>
      </c>
      <c r="F125" s="8">
        <v>102</v>
      </c>
      <c r="G125" s="1" t="str">
        <f>VLOOKUP(A:A,[1]TDSheet!$A:$G,7,0)</f>
        <v>нов</v>
      </c>
      <c r="H125" s="1">
        <f>VLOOKUP(A:A,[1]TDSheet!$A:$H,8,0)</f>
        <v>0.08</v>
      </c>
      <c r="I125" s="1" t="e">
        <f>VLOOKUP(A:A,[1]TDSheet!$A:$I,9,0)</f>
        <v>#N/A</v>
      </c>
      <c r="J125" s="14">
        <f>VLOOKUP(A:A,[2]TDSheet!$A:$F,6,0)</f>
        <v>70</v>
      </c>
      <c r="K125" s="14">
        <f t="shared" si="19"/>
        <v>-53</v>
      </c>
      <c r="L125" s="14">
        <f>VLOOKUP(A:A,[1]TDSheet!$A:$X,24,0)</f>
        <v>100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6"/>
      <c r="W125" s="14">
        <f t="shared" si="20"/>
        <v>8.5</v>
      </c>
      <c r="X125" s="16"/>
      <c r="Y125" s="19" t="e">
        <f t="shared" si="21"/>
        <v>#DIV/0!</v>
      </c>
      <c r="Z125" s="17">
        <f t="shared" si="22"/>
        <v>23.764705882352942</v>
      </c>
      <c r="AA125" s="14"/>
      <c r="AB125" s="14"/>
      <c r="AC125" s="14">
        <v>0</v>
      </c>
      <c r="AD125" s="14">
        <f>VLOOKUP(A:A,[1]TDSheet!$A:$AD,30,0)</f>
        <v>0</v>
      </c>
      <c r="AE125" s="14">
        <f>VLOOKUP(A:A,[1]TDSheet!$A:$AE,31,0)</f>
        <v>0</v>
      </c>
      <c r="AF125" s="14">
        <f>VLOOKUP(A:A,[1]TDSheet!$A:$AF,32,0)</f>
        <v>0</v>
      </c>
      <c r="AG125" s="14">
        <f>VLOOKUP(A:A,[1]TDSheet!$A:$AG,33,0)</f>
        <v>0</v>
      </c>
      <c r="AH125" s="14">
        <f>VLOOKUP(A:A,[3]TDSheet!$A:$D,4,0)</f>
        <v>8</v>
      </c>
      <c r="AI125" s="14" t="e">
        <f>VLOOKUP(A:A,[1]TDSheet!$A:$AI,35,0)</f>
        <v>#N/A</v>
      </c>
      <c r="AJ125" s="14">
        <f t="shared" si="23"/>
        <v>0</v>
      </c>
      <c r="AK125" s="14">
        <f t="shared" si="24"/>
        <v>0</v>
      </c>
      <c r="AL125" s="14">
        <f t="shared" si="25"/>
        <v>0</v>
      </c>
      <c r="AM125" s="14"/>
      <c r="AN125" s="14"/>
      <c r="AO125" s="14"/>
    </row>
    <row r="126" spans="1:41" s="1" customFormat="1" ht="21.95" customHeight="1" outlineLevel="1" x14ac:dyDescent="0.2">
      <c r="A126" s="7" t="s">
        <v>129</v>
      </c>
      <c r="B126" s="7" t="s">
        <v>12</v>
      </c>
      <c r="C126" s="8">
        <v>18</v>
      </c>
      <c r="D126" s="8">
        <v>100</v>
      </c>
      <c r="E126" s="8">
        <v>17</v>
      </c>
      <c r="F126" s="8">
        <v>101</v>
      </c>
      <c r="G126" s="1" t="str">
        <f>VLOOKUP(A:A,[1]TDSheet!$A:$G,7,0)</f>
        <v>нов</v>
      </c>
      <c r="H126" s="1">
        <f>VLOOKUP(A:A,[1]TDSheet!$A:$H,8,0)</f>
        <v>0.08</v>
      </c>
      <c r="I126" s="1" t="e">
        <f>VLOOKUP(A:A,[1]TDSheet!$A:$I,9,0)</f>
        <v>#N/A</v>
      </c>
      <c r="J126" s="14">
        <f>VLOOKUP(A:A,[2]TDSheet!$A:$F,6,0)</f>
        <v>70</v>
      </c>
      <c r="K126" s="14">
        <f t="shared" si="19"/>
        <v>-53</v>
      </c>
      <c r="L126" s="14">
        <f>VLOOKUP(A:A,[1]TDSheet!$A:$X,24,0)</f>
        <v>100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6"/>
      <c r="W126" s="14">
        <f t="shared" si="20"/>
        <v>8.5</v>
      </c>
      <c r="X126" s="16"/>
      <c r="Y126" s="19" t="e">
        <f t="shared" si="21"/>
        <v>#DIV/0!</v>
      </c>
      <c r="Z126" s="17">
        <f t="shared" si="22"/>
        <v>23.647058823529413</v>
      </c>
      <c r="AA126" s="14"/>
      <c r="AB126" s="14"/>
      <c r="AC126" s="14">
        <v>0</v>
      </c>
      <c r="AD126" s="14">
        <f>VLOOKUP(A:A,[1]TDSheet!$A:$AD,30,0)</f>
        <v>0</v>
      </c>
      <c r="AE126" s="14">
        <f>VLOOKUP(A:A,[1]TDSheet!$A:$AE,31,0)</f>
        <v>0</v>
      </c>
      <c r="AF126" s="14">
        <f>VLOOKUP(A:A,[1]TDSheet!$A:$AF,32,0)</f>
        <v>0</v>
      </c>
      <c r="AG126" s="14">
        <f>VLOOKUP(A:A,[1]TDSheet!$A:$AG,33,0)</f>
        <v>0</v>
      </c>
      <c r="AH126" s="14">
        <f>VLOOKUP(A:A,[3]TDSheet!$A:$D,4,0)</f>
        <v>9</v>
      </c>
      <c r="AI126" s="14" t="e">
        <f>VLOOKUP(A:A,[1]TDSheet!$A:$AI,35,0)</f>
        <v>#N/A</v>
      </c>
      <c r="AJ126" s="14">
        <f t="shared" si="23"/>
        <v>0</v>
      </c>
      <c r="AK126" s="14">
        <f t="shared" si="24"/>
        <v>0</v>
      </c>
      <c r="AL126" s="14">
        <f t="shared" si="25"/>
        <v>0</v>
      </c>
      <c r="AM126" s="14"/>
      <c r="AN126" s="14"/>
      <c r="AO126" s="14"/>
    </row>
    <row r="127" spans="1:41" s="1" customFormat="1" ht="21.95" customHeight="1" outlineLevel="1" x14ac:dyDescent="0.2">
      <c r="A127" s="7" t="s">
        <v>130</v>
      </c>
      <c r="B127" s="7" t="s">
        <v>8</v>
      </c>
      <c r="C127" s="8"/>
      <c r="D127" s="8">
        <v>101.267</v>
      </c>
      <c r="E127" s="8">
        <v>49.174999999999997</v>
      </c>
      <c r="F127" s="8">
        <v>52.091999999999999</v>
      </c>
      <c r="G127" s="12" t="s">
        <v>150</v>
      </c>
      <c r="H127" s="1">
        <v>1</v>
      </c>
      <c r="I127" s="1" t="e">
        <f>VLOOKUP(A:A,[1]TDSheet!$A:$I,9,0)</f>
        <v>#N/A</v>
      </c>
      <c r="J127" s="14">
        <f>VLOOKUP(A:A,[2]TDSheet!$A:$F,6,0)</f>
        <v>52.8</v>
      </c>
      <c r="K127" s="14">
        <f t="shared" si="19"/>
        <v>-3.625</v>
      </c>
      <c r="L127" s="14">
        <v>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6"/>
      <c r="W127" s="14">
        <f t="shared" si="20"/>
        <v>24.587499999999999</v>
      </c>
      <c r="X127" s="16">
        <v>50</v>
      </c>
      <c r="Y127" s="19" t="e">
        <f t="shared" si="21"/>
        <v>#DIV/0!</v>
      </c>
      <c r="Z127" s="17">
        <f t="shared" si="22"/>
        <v>4.152191154041688</v>
      </c>
      <c r="AA127" s="14"/>
      <c r="AB127" s="14"/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f>VLOOKUP(A:A,[3]TDSheet!$A:$D,4,0)</f>
        <v>49.174999999999997</v>
      </c>
      <c r="AI127" s="14" t="e">
        <f>VLOOKUP(A:A,[1]TDSheet!$A:$AI,35,0)</f>
        <v>#N/A</v>
      </c>
      <c r="AJ127" s="14">
        <f t="shared" si="23"/>
        <v>0</v>
      </c>
      <c r="AK127" s="14">
        <f t="shared" si="24"/>
        <v>0</v>
      </c>
      <c r="AL127" s="14">
        <f t="shared" si="25"/>
        <v>50</v>
      </c>
      <c r="AM127" s="14"/>
      <c r="AN127" s="14"/>
      <c r="AO127" s="14"/>
    </row>
    <row r="128" spans="1:41" s="1" customFormat="1" ht="21.95" customHeight="1" outlineLevel="1" x14ac:dyDescent="0.2">
      <c r="A128" s="7" t="s">
        <v>131</v>
      </c>
      <c r="B128" s="7" t="s">
        <v>8</v>
      </c>
      <c r="C128" s="8"/>
      <c r="D128" s="8">
        <v>101.125</v>
      </c>
      <c r="E128" s="8">
        <v>39.633000000000003</v>
      </c>
      <c r="F128" s="8">
        <v>61.491999999999997</v>
      </c>
      <c r="G128" s="12" t="s">
        <v>150</v>
      </c>
      <c r="H128" s="1">
        <v>1</v>
      </c>
      <c r="I128" s="1" t="e">
        <f>VLOOKUP(A:A,[1]TDSheet!$A:$I,9,0)</f>
        <v>#N/A</v>
      </c>
      <c r="J128" s="14">
        <f>VLOOKUP(A:A,[2]TDSheet!$A:$F,6,0)</f>
        <v>41.5</v>
      </c>
      <c r="K128" s="14">
        <f t="shared" si="19"/>
        <v>-1.8669999999999973</v>
      </c>
      <c r="L128" s="14">
        <v>0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6"/>
      <c r="W128" s="14">
        <f t="shared" si="20"/>
        <v>19.816500000000001</v>
      </c>
      <c r="X128" s="16">
        <v>50</v>
      </c>
      <c r="Y128" s="19" t="e">
        <f t="shared" si="21"/>
        <v>#DIV/0!</v>
      </c>
      <c r="Z128" s="17">
        <f t="shared" si="22"/>
        <v>5.6262205737642867</v>
      </c>
      <c r="AA128" s="14"/>
      <c r="AB128" s="14"/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f>VLOOKUP(A:A,[3]TDSheet!$A:$D,4,0)</f>
        <v>39.633000000000003</v>
      </c>
      <c r="AI128" s="14" t="e">
        <f>VLOOKUP(A:A,[1]TDSheet!$A:$AI,35,0)</f>
        <v>#N/A</v>
      </c>
      <c r="AJ128" s="14">
        <f t="shared" si="23"/>
        <v>0</v>
      </c>
      <c r="AK128" s="14">
        <f t="shared" si="24"/>
        <v>0</v>
      </c>
      <c r="AL128" s="14">
        <f t="shared" si="25"/>
        <v>50</v>
      </c>
      <c r="AM128" s="14"/>
      <c r="AN128" s="14"/>
      <c r="AO128" s="14"/>
    </row>
    <row r="129" spans="1:41" s="1" customFormat="1" ht="11.1" customHeight="1" outlineLevel="1" x14ac:dyDescent="0.2">
      <c r="A129" s="7" t="s">
        <v>132</v>
      </c>
      <c r="B129" s="7" t="s">
        <v>8</v>
      </c>
      <c r="C129" s="8"/>
      <c r="D129" s="8">
        <v>102.422</v>
      </c>
      <c r="E129" s="8">
        <v>38.451999999999998</v>
      </c>
      <c r="F129" s="8">
        <v>63.97</v>
      </c>
      <c r="G129" s="12" t="s">
        <v>150</v>
      </c>
      <c r="H129" s="1">
        <v>1</v>
      </c>
      <c r="I129" s="1" t="e">
        <f>VLOOKUP(A:A,[1]TDSheet!$A:$I,9,0)</f>
        <v>#N/A</v>
      </c>
      <c r="J129" s="14">
        <f>VLOOKUP(A:A,[2]TDSheet!$A:$F,6,0)</f>
        <v>42.95</v>
      </c>
      <c r="K129" s="14">
        <f t="shared" si="19"/>
        <v>-4.4980000000000047</v>
      </c>
      <c r="L129" s="14">
        <v>0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6"/>
      <c r="W129" s="14">
        <f t="shared" si="20"/>
        <v>19.225999999999999</v>
      </c>
      <c r="X129" s="16">
        <v>50</v>
      </c>
      <c r="Y129" s="19" t="e">
        <f t="shared" si="21"/>
        <v>#DIV/0!</v>
      </c>
      <c r="Z129" s="17">
        <f t="shared" si="22"/>
        <v>5.9279101217101839</v>
      </c>
      <c r="AA129" s="14"/>
      <c r="AB129" s="14"/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f>VLOOKUP(A:A,[3]TDSheet!$A:$D,4,0)</f>
        <v>38.451999999999998</v>
      </c>
      <c r="AI129" s="14" t="e">
        <f>VLOOKUP(A:A,[1]TDSheet!$A:$AI,35,0)</f>
        <v>#N/A</v>
      </c>
      <c r="AJ129" s="14">
        <f t="shared" si="23"/>
        <v>0</v>
      </c>
      <c r="AK129" s="14">
        <f t="shared" si="24"/>
        <v>0</v>
      </c>
      <c r="AL129" s="14">
        <f t="shared" si="25"/>
        <v>50</v>
      </c>
      <c r="AM129" s="14"/>
      <c r="AN129" s="14"/>
      <c r="AO129" s="14"/>
    </row>
    <row r="130" spans="1:41" s="1" customFormat="1" ht="11.1" customHeight="1" outlineLevel="1" x14ac:dyDescent="0.2">
      <c r="A130" s="7" t="s">
        <v>133</v>
      </c>
      <c r="B130" s="7" t="s">
        <v>12</v>
      </c>
      <c r="C130" s="8"/>
      <c r="D130" s="8">
        <v>911</v>
      </c>
      <c r="E130" s="20">
        <v>92</v>
      </c>
      <c r="F130" s="20">
        <v>808</v>
      </c>
      <c r="G130" s="12" t="s">
        <v>151</v>
      </c>
      <c r="H130" s="1">
        <v>0</v>
      </c>
      <c r="I130" s="1" t="e">
        <f>VLOOKUP(A:A,[1]TDSheet!$A:$I,9,0)</f>
        <v>#N/A</v>
      </c>
      <c r="J130" s="14">
        <f>VLOOKUP(A:A,[2]TDSheet!$A:$F,6,0)</f>
        <v>108</v>
      </c>
      <c r="K130" s="14">
        <f t="shared" si="19"/>
        <v>-16</v>
      </c>
      <c r="L130" s="14">
        <v>0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6"/>
      <c r="W130" s="14">
        <f t="shared" si="20"/>
        <v>46</v>
      </c>
      <c r="X130" s="16"/>
      <c r="Y130" s="19" t="e">
        <f t="shared" si="21"/>
        <v>#DIV/0!</v>
      </c>
      <c r="Z130" s="17">
        <f t="shared" si="22"/>
        <v>17.565217391304348</v>
      </c>
      <c r="AA130" s="14"/>
      <c r="AB130" s="14"/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f>VLOOKUP(A:A,[3]TDSheet!$A:$D,4,0)</f>
        <v>51</v>
      </c>
      <c r="AI130" s="14" t="e">
        <f>VLOOKUP(A:A,[1]TDSheet!$A:$AI,35,0)</f>
        <v>#N/A</v>
      </c>
      <c r="AJ130" s="14">
        <f t="shared" si="23"/>
        <v>0</v>
      </c>
      <c r="AK130" s="14">
        <f t="shared" si="24"/>
        <v>0</v>
      </c>
      <c r="AL130" s="14">
        <f t="shared" si="25"/>
        <v>0</v>
      </c>
      <c r="AM130" s="14"/>
      <c r="AN130" s="14"/>
      <c r="AO130" s="14"/>
    </row>
    <row r="131" spans="1:41" ht="11.45" customHeight="1" x14ac:dyDescent="0.2">
      <c r="A131" s="1" t="s">
        <v>134</v>
      </c>
      <c r="B131" s="7" t="s">
        <v>12</v>
      </c>
      <c r="H131" s="1">
        <v>0.33</v>
      </c>
      <c r="T131" s="5">
        <v>180</v>
      </c>
      <c r="V131" s="16"/>
      <c r="X131" s="16"/>
      <c r="AC131" s="14">
        <v>0</v>
      </c>
      <c r="AJ131" s="14">
        <f t="shared" si="23"/>
        <v>59.400000000000006</v>
      </c>
      <c r="AK131" s="14">
        <f t="shared" si="24"/>
        <v>0</v>
      </c>
      <c r="AL131" s="14">
        <f t="shared" si="25"/>
        <v>0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2026-01-07T09:39:00Z</dcterms:modified>
</cp:coreProperties>
</file>