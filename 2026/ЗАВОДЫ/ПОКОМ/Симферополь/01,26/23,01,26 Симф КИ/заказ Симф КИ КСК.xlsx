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934F063-FDD9-42A9-97BF-8183BB8BA7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Q498" i="1" s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9" i="1" s="1"/>
  <c r="P165" i="1"/>
  <c r="X163" i="1"/>
  <c r="X162" i="1"/>
  <c r="BO161" i="1"/>
  <c r="BM161" i="1"/>
  <c r="Y161" i="1"/>
  <c r="I498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3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H498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498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492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Z88" i="1" s="1"/>
  <c r="Y88" i="1"/>
  <c r="BP92" i="1"/>
  <c r="BN92" i="1"/>
  <c r="Z92" i="1"/>
  <c r="H9" i="1"/>
  <c r="Y24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BP73" i="1"/>
  <c r="BN73" i="1"/>
  <c r="Z73" i="1"/>
  <c r="BP86" i="1"/>
  <c r="BN86" i="1"/>
  <c r="Z86" i="1"/>
  <c r="BP94" i="1"/>
  <c r="BN94" i="1"/>
  <c r="Z94" i="1"/>
  <c r="Y96" i="1"/>
  <c r="F498" i="1"/>
  <c r="Y105" i="1"/>
  <c r="Y104" i="1"/>
  <c r="BP99" i="1"/>
  <c r="BN99" i="1"/>
  <c r="Z99" i="1"/>
  <c r="Z133" i="1"/>
  <c r="Z101" i="1"/>
  <c r="BN101" i="1"/>
  <c r="Z103" i="1"/>
  <c r="BN103" i="1"/>
  <c r="Z107" i="1"/>
  <c r="Z111" i="1" s="1"/>
  <c r="BN107" i="1"/>
  <c r="BP107" i="1"/>
  <c r="Z109" i="1"/>
  <c r="BN109" i="1"/>
  <c r="Y112" i="1"/>
  <c r="Z115" i="1"/>
  <c r="Z118" i="1" s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BN132" i="1"/>
  <c r="BP132" i="1"/>
  <c r="Z136" i="1"/>
  <c r="Z138" i="1" s="1"/>
  <c r="BN136" i="1"/>
  <c r="BP136" i="1"/>
  <c r="Y139" i="1"/>
  <c r="Z143" i="1"/>
  <c r="Z144" i="1" s="1"/>
  <c r="BN143" i="1"/>
  <c r="BP143" i="1"/>
  <c r="Y144" i="1"/>
  <c r="Z147" i="1"/>
  <c r="Z152" i="1" s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Z179" i="1" s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498" i="1"/>
  <c r="Z194" i="1"/>
  <c r="Z195" i="1" s="1"/>
  <c r="BN194" i="1"/>
  <c r="BP194" i="1"/>
  <c r="Y195" i="1"/>
  <c r="Z198" i="1"/>
  <c r="Z200" i="1" s="1"/>
  <c r="BN198" i="1"/>
  <c r="BP198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Y128" i="1"/>
  <c r="Y163" i="1"/>
  <c r="Y201" i="1"/>
  <c r="Y212" i="1"/>
  <c r="BP203" i="1"/>
  <c r="BN203" i="1"/>
  <c r="Z203" i="1"/>
  <c r="Z211" i="1" s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Z301" i="1"/>
  <c r="BP297" i="1"/>
  <c r="BN297" i="1"/>
  <c r="Z297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Z355" i="1" s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Z417" i="1" s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Z439" i="1" s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54" i="1" l="1"/>
  <c r="Z463" i="1"/>
  <c r="Z266" i="1"/>
  <c r="Z241" i="1"/>
  <c r="Z104" i="1"/>
  <c r="Z43" i="1"/>
  <c r="Y488" i="1"/>
  <c r="Y490" i="1"/>
  <c r="Z330" i="1"/>
  <c r="Y492" i="1"/>
  <c r="Z95" i="1"/>
  <c r="Z75" i="1"/>
  <c r="Z493" i="1" s="1"/>
  <c r="Y489" i="1"/>
  <c r="Y491" i="1" s="1"/>
</calcChain>
</file>

<file path=xl/sharedStrings.xml><?xml version="1.0" encoding="utf-8"?>
<sst xmlns="http://schemas.openxmlformats.org/spreadsheetml/2006/main" count="2281" uniqueCount="767">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</sst>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46047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Воскресенье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0.375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100</v>
      </c>
      <c r="Y40" s="546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260</v>
      </c>
      <c r="Y41" s="546">
        <f>IFERROR(IF(X41="",0,CEILING((X41/$H41),1)*$H41),"")</f>
        <v>260</v>
      </c>
      <c r="Z41" s="36">
        <f>IFERROR(IF(Y41=0,"",ROUNDUP(Y41/H41,0)*0.00902),"")</f>
        <v>0.58630000000000004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272.35000000000002</v>
      </c>
      <c r="BN41" s="64">
        <f>IFERROR(Y41*I41/H41,"0")</f>
        <v>272.35000000000002</v>
      </c>
      <c r="BO41" s="64">
        <f>IFERROR(1/J41*(X41/H41),"0")</f>
        <v>0.49242424242424243</v>
      </c>
      <c r="BP41" s="64">
        <f>IFERROR(1/J41*(Y41/H41),"0")</f>
        <v>0.49242424242424243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74.259259259259267</v>
      </c>
      <c r="Y43" s="547">
        <f>IFERROR(Y40/H40,"0")+IFERROR(Y41/H41,"0")+IFERROR(Y42/H42,"0")</f>
        <v>75</v>
      </c>
      <c r="Z43" s="547">
        <f>IFERROR(IF(Z40="",0,Z40),"0")+IFERROR(IF(Z41="",0,Z41),"0")+IFERROR(IF(Z42="",0,Z42),"0")</f>
        <v>0.77610000000000001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360</v>
      </c>
      <c r="Y44" s="547">
        <f>IFERROR(SUM(Y40:Y42),"0")</f>
        <v>368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200</v>
      </c>
      <c r="Y52" s="546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360</v>
      </c>
      <c r="Y56" s="546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98.518518518518519</v>
      </c>
      <c r="Y57" s="547">
        <f>IFERROR(Y51/H51,"0")+IFERROR(Y52/H52,"0")+IFERROR(Y53/H53,"0")+IFERROR(Y54/H54,"0")+IFERROR(Y55/H55,"0")+IFERROR(Y56/H56,"0")</f>
        <v>99</v>
      </c>
      <c r="Z57" s="547">
        <f>IFERROR(IF(Z51="",0,Z51),"0")+IFERROR(IF(Z52="",0,Z52),"0")+IFERROR(IF(Z53="",0,Z53),"0")+IFERROR(IF(Z54="",0,Z54),"0")+IFERROR(IF(Z55="",0,Z55),"0")+IFERROR(IF(Z56="",0,Z56),"0")</f>
        <v>1.08222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560</v>
      </c>
      <c r="Y58" s="547">
        <f>IFERROR(SUM(Y51:Y56),"0")</f>
        <v>565.20000000000005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120</v>
      </c>
      <c r="Y60" s="546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126</v>
      </c>
      <c r="Y62" s="546">
        <f>IFERROR(IF(X62="",0,CEILING((X62/$H62),1)*$H62),"")</f>
        <v>126.9</v>
      </c>
      <c r="Z62" s="36">
        <f>IFERROR(IF(Y62=0,"",ROUNDUP(Y62/H62,0)*0.00651),"")</f>
        <v>0.30597000000000002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134.39999999999998</v>
      </c>
      <c r="BN62" s="64">
        <f>IFERROR(Y62*I62/H62,"0")</f>
        <v>135.35999999999999</v>
      </c>
      <c r="BO62" s="64">
        <f>IFERROR(1/J62*(X62/H62),"0")</f>
        <v>0.25641025641025644</v>
      </c>
      <c r="BP62" s="64">
        <f>IFERROR(1/J62*(Y62/H62),"0")</f>
        <v>0.25824175824175827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57.777777777777771</v>
      </c>
      <c r="Y63" s="547">
        <f>IFERROR(Y60/H60,"0")+IFERROR(Y61/H61,"0")+IFERROR(Y62/H62,"0")</f>
        <v>59</v>
      </c>
      <c r="Z63" s="547">
        <f>IFERROR(IF(Z60="",0,Z60),"0")+IFERROR(IF(Z61="",0,Z61),"0")+IFERROR(IF(Z62="",0,Z62),"0")</f>
        <v>0.53373000000000004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246</v>
      </c>
      <c r="Y64" s="547">
        <f>IFERROR(SUM(Y60:Y62),"0")</f>
        <v>256.5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30</v>
      </c>
      <c r="Y78" s="546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3.8461538461538463</v>
      </c>
      <c r="Y80" s="547">
        <f>IFERROR(Y78/H78,"0")+IFERROR(Y79/H79,"0")</f>
        <v>4</v>
      </c>
      <c r="Z80" s="547">
        <f>IFERROR(IF(Z78="",0,Z78),"0")+IFERROR(IF(Z79="",0,Z79),"0")</f>
        <v>7.5920000000000001E-2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30</v>
      </c>
      <c r="Y81" s="547">
        <f>IFERROR(SUM(Y78:Y79),"0")</f>
        <v>31.2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110</v>
      </c>
      <c r="Y84" s="546">
        <f>IFERROR(IF(X84="",0,CEILING((X84/$H84),1)*$H84),"")</f>
        <v>118.80000000000001</v>
      </c>
      <c r="Z84" s="36">
        <f>IFERROR(IF(Y84=0,"",ROUNDUP(Y84/H84,0)*0.01898),"")</f>
        <v>0.20877999999999999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114.17592592592594</v>
      </c>
      <c r="BN84" s="64">
        <f>IFERROR(Y84*I84/H84,"0")</f>
        <v>123.31000000000002</v>
      </c>
      <c r="BO84" s="64">
        <f>IFERROR(1/J84*(X84/H84),"0")</f>
        <v>0.15914351851851852</v>
      </c>
      <c r="BP84" s="64">
        <f>IFERROR(1/J84*(Y84/H84),"0")</f>
        <v>0.171875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315</v>
      </c>
      <c r="Y87" s="546">
        <f>IFERROR(IF(X87="",0,CEILING((X87/$H87),1)*$H87),"")</f>
        <v>315</v>
      </c>
      <c r="Z87" s="36">
        <f>IFERROR(IF(Y87=0,"",ROUNDUP(Y87/H87,0)*0.00902),"")</f>
        <v>0.63139999999999996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328.3</v>
      </c>
      <c r="BN87" s="64">
        <f>IFERROR(Y87*I87/H87,"0")</f>
        <v>328.3</v>
      </c>
      <c r="BO87" s="64">
        <f>IFERROR(1/J87*(X87/H87),"0")</f>
        <v>0.53030303030303028</v>
      </c>
      <c r="BP87" s="64">
        <f>IFERROR(1/J87*(Y87/H87),"0")</f>
        <v>0.53030303030303028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80.18518518518519</v>
      </c>
      <c r="Y88" s="547">
        <f>IFERROR(Y84/H84,"0")+IFERROR(Y85/H85,"0")+IFERROR(Y86/H86,"0")+IFERROR(Y87/H87,"0")</f>
        <v>81</v>
      </c>
      <c r="Z88" s="547">
        <f>IFERROR(IF(Z84="",0,Z84),"0")+IFERROR(IF(Z85="",0,Z85),"0")+IFERROR(IF(Z86="",0,Z86),"0")+IFERROR(IF(Z87="",0,Z87),"0")</f>
        <v>0.84017999999999993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425</v>
      </c>
      <c r="Y89" s="547">
        <f>IFERROR(SUM(Y84:Y87),"0")</f>
        <v>433.8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585</v>
      </c>
      <c r="Y93" s="546">
        <f>IFERROR(IF(X93="",0,CEILING((X93/$H93),1)*$H93),"")</f>
        <v>585.90000000000009</v>
      </c>
      <c r="Z93" s="36">
        <f>IFERROR(IF(Y93=0,"",ROUNDUP(Y93/H93,0)*0.00651),"")</f>
        <v>1.4126700000000001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639.6</v>
      </c>
      <c r="BN93" s="64">
        <f>IFERROR(Y93*I93/H93,"0")</f>
        <v>640.58400000000006</v>
      </c>
      <c r="BO93" s="64">
        <f>IFERROR(1/J93*(X93/H93),"0")</f>
        <v>1.1904761904761905</v>
      </c>
      <c r="BP93" s="64">
        <f>IFERROR(1/J93*(Y93/H93),"0")</f>
        <v>1.1923076923076925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241.35802469135803</v>
      </c>
      <c r="Y95" s="547">
        <f>IFERROR(Y91/H91,"0")+IFERROR(Y92/H92,"0")+IFERROR(Y93/H93,"0")+IFERROR(Y94/H94,"0")</f>
        <v>242.00000000000003</v>
      </c>
      <c r="Z95" s="547">
        <f>IFERROR(IF(Z91="",0,Z91),"0")+IFERROR(IF(Z92="",0,Z92),"0")+IFERROR(IF(Z93="",0,Z93),"0")+IFERROR(IF(Z94="",0,Z94),"0")</f>
        <v>1.8871700000000002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785</v>
      </c>
      <c r="Y96" s="547">
        <f>IFERROR(SUM(Y91:Y94),"0")</f>
        <v>788.40000000000009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50</v>
      </c>
      <c r="Y99" s="546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292.5</v>
      </c>
      <c r="Y102" s="546">
        <f>IFERROR(IF(X102="",0,CEILING((X102/$H102),1)*$H102),"")</f>
        <v>292.5</v>
      </c>
      <c r="Z102" s="36">
        <f>IFERROR(IF(Y102=0,"",ROUNDUP(Y102/H102,0)*0.00902),"")</f>
        <v>0.58630000000000004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304.85000000000002</v>
      </c>
      <c r="BN102" s="64">
        <f>IFERROR(Y102*I102/H102,"0")</f>
        <v>304.85000000000002</v>
      </c>
      <c r="BO102" s="64">
        <f>IFERROR(1/J102*(X102/H102),"0")</f>
        <v>0.49242424242424243</v>
      </c>
      <c r="BP102" s="64">
        <f>IFERROR(1/J102*(Y102/H102),"0")</f>
        <v>0.49242424242424243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69.629629629629633</v>
      </c>
      <c r="Y104" s="547">
        <f>IFERROR(Y99/H99,"0")+IFERROR(Y100/H100,"0")+IFERROR(Y101/H101,"0")+IFERROR(Y102/H102,"0")+IFERROR(Y103/H103,"0")</f>
        <v>70</v>
      </c>
      <c r="Z104" s="547">
        <f>IFERROR(IF(Z99="",0,Z99),"0")+IFERROR(IF(Z100="",0,Z100),"0")+IFERROR(IF(Z101="",0,Z101),"0")+IFERROR(IF(Z102="",0,Z102),"0")+IFERROR(IF(Z103="",0,Z103),"0")</f>
        <v>0.68120000000000003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342.5</v>
      </c>
      <c r="Y105" s="547">
        <f>IFERROR(SUM(Y99:Y103),"0")</f>
        <v>346.5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250</v>
      </c>
      <c r="Y114" s="546">
        <f>IFERROR(IF(X114="",0,CEILING((X114/$H114),1)*$H114),"")</f>
        <v>251.1</v>
      </c>
      <c r="Z114" s="36">
        <f>IFERROR(IF(Y114=0,"",ROUNDUP(Y114/H114,0)*0.01898),"")</f>
        <v>0.58838000000000001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265.06172839506172</v>
      </c>
      <c r="BN114" s="64">
        <f>IFERROR(Y114*I114/H114,"0")</f>
        <v>266.22799999999995</v>
      </c>
      <c r="BO114" s="64">
        <f>IFERROR(1/J114*(X114/H114),"0")</f>
        <v>0.48225308641975312</v>
      </c>
      <c r="BP114" s="64">
        <f>IFERROR(1/J114*(Y114/H114),"0")</f>
        <v>0.484375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540</v>
      </c>
      <c r="Y116" s="546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9</v>
      </c>
      <c r="Y117" s="546">
        <f>IFERROR(IF(X117="",0,CEILING((X117/$H117),1)*$H117),"")</f>
        <v>9</v>
      </c>
      <c r="Z117" s="36">
        <f>IFERROR(IF(Y117=0,"",ROUNDUP(Y117/H117,0)*0.00651),"")</f>
        <v>3.2550000000000003E-2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9.9</v>
      </c>
      <c r="BN117" s="64">
        <f>IFERROR(Y117*I117/H117,"0")</f>
        <v>9.9</v>
      </c>
      <c r="BO117" s="64">
        <f>IFERROR(1/J117*(X117/H117),"0")</f>
        <v>2.7472527472527476E-2</v>
      </c>
      <c r="BP117" s="64">
        <f>IFERROR(1/J117*(Y117/H117),"0")</f>
        <v>2.7472527472527476E-2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235.8641975308642</v>
      </c>
      <c r="Y118" s="547">
        <f>IFERROR(Y114/H114,"0")+IFERROR(Y115/H115,"0")+IFERROR(Y116/H116,"0")+IFERROR(Y117/H117,"0")</f>
        <v>236</v>
      </c>
      <c r="Z118" s="547">
        <f>IFERROR(IF(Z114="",0,Z114),"0")+IFERROR(IF(Z115="",0,Z115),"0")+IFERROR(IF(Z116="",0,Z116),"0")+IFERROR(IF(Z117="",0,Z117),"0")</f>
        <v>1.92293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799</v>
      </c>
      <c r="Y119" s="547">
        <f>IFERROR(SUM(Y114:Y117),"0")</f>
        <v>800.1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115.5</v>
      </c>
      <c r="Y121" s="546">
        <f>IFERROR(IF(X121="",0,CEILING((X121/$H121),1)*$H121),"")</f>
        <v>116.82</v>
      </c>
      <c r="Z121" s="36">
        <f>IFERROR(IF(Y121=0,"",ROUNDUP(Y121/H121,0)*0.00651),"")</f>
        <v>0.38408999999999999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130.54999999999998</v>
      </c>
      <c r="BN121" s="64">
        <f>IFERROR(Y121*I121/H121,"0")</f>
        <v>132.042</v>
      </c>
      <c r="BO121" s="64">
        <f>IFERROR(1/J121*(X121/H121),"0")</f>
        <v>0.32051282051282054</v>
      </c>
      <c r="BP121" s="64">
        <f>IFERROR(1/J121*(Y121/H121),"0")</f>
        <v>0.32417582417582419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58.333333333333336</v>
      </c>
      <c r="Y122" s="547">
        <f>IFERROR(Y121/H121,"0")</f>
        <v>59</v>
      </c>
      <c r="Z122" s="547">
        <f>IFERROR(IF(Z121="",0,Z121),"0")</f>
        <v>0.38408999999999999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115.5</v>
      </c>
      <c r="Y123" s="547">
        <f>IFERROR(SUM(Y121:Y121),"0")</f>
        <v>116.82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200</v>
      </c>
      <c r="Y127" s="546">
        <f>IFERROR(IF(X127="",0,CEILING((X127/$H127),1)*$H127),"")</f>
        <v>201.60000000000002</v>
      </c>
      <c r="Z127" s="36">
        <f>IFERROR(IF(Y127=0,"",ROUNDUP(Y127/H127,0)*0.00651),"")</f>
        <v>0.41012999999999999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211.25</v>
      </c>
      <c r="BN127" s="64">
        <f>IFERROR(Y127*I127/H127,"0")</f>
        <v>212.94</v>
      </c>
      <c r="BO127" s="64">
        <f>IFERROR(1/J127*(X127/H127),"0")</f>
        <v>0.34340659340659341</v>
      </c>
      <c r="BP127" s="64">
        <f>IFERROR(1/J127*(Y127/H127),"0")</f>
        <v>0.3461538461538462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62.5</v>
      </c>
      <c r="Y128" s="547">
        <f>IFERROR(Y126/H126,"0")+IFERROR(Y127/H127,"0")</f>
        <v>63.000000000000007</v>
      </c>
      <c r="Z128" s="547">
        <f>IFERROR(IF(Z126="",0,Z126),"0")+IFERROR(IF(Z127="",0,Z127),"0")</f>
        <v>0.41012999999999999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200</v>
      </c>
      <c r="Y129" s="547">
        <f>IFERROR(SUM(Y126:Y127),"0")</f>
        <v>201.60000000000002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105</v>
      </c>
      <c r="Y131" s="546">
        <f>IFERROR(IF(X131="",0,CEILING((X131/$H131),1)*$H131),"")</f>
        <v>106.39999999999999</v>
      </c>
      <c r="Z131" s="36">
        <f>IFERROR(IF(Y131=0,"",ROUNDUP(Y131/H131,0)*0.00651),"")</f>
        <v>0.24738000000000002</v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115.05</v>
      </c>
      <c r="BN131" s="64">
        <f>IFERROR(Y131*I131/H131,"0")</f>
        <v>116.58399999999999</v>
      </c>
      <c r="BO131" s="64">
        <f>IFERROR(1/J131*(X131/H131),"0")</f>
        <v>0.20604395604395606</v>
      </c>
      <c r="BP131" s="64">
        <f>IFERROR(1/J131*(Y131/H131),"0")</f>
        <v>0.2087912087912088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37.5</v>
      </c>
      <c r="Y133" s="547">
        <f>IFERROR(Y131/H131,"0")+IFERROR(Y132/H132,"0")</f>
        <v>38</v>
      </c>
      <c r="Z133" s="547">
        <f>IFERROR(IF(Z131="",0,Z131),"0")+IFERROR(IF(Z132="",0,Z132),"0")</f>
        <v>0.24738000000000002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105</v>
      </c>
      <c r="Y134" s="547">
        <f>IFERROR(SUM(Y131:Y132),"0")</f>
        <v>106.39999999999999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165</v>
      </c>
      <c r="Y137" s="546">
        <f>IFERROR(IF(X137="",0,CEILING((X137/$H137),1)*$H137),"")</f>
        <v>166.32000000000002</v>
      </c>
      <c r="Z137" s="36">
        <f>IFERROR(IF(Y137=0,"",ROUNDUP(Y137/H137,0)*0.00651),"")</f>
        <v>0.41012999999999999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181.75</v>
      </c>
      <c r="BN137" s="64">
        <f>IFERROR(Y137*I137/H137,"0")</f>
        <v>183.20400000000001</v>
      </c>
      <c r="BO137" s="64">
        <f>IFERROR(1/J137*(X137/H137),"0")</f>
        <v>0.34340659340659341</v>
      </c>
      <c r="BP137" s="64">
        <f>IFERROR(1/J137*(Y137/H137),"0")</f>
        <v>0.3461538461538462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62.5</v>
      </c>
      <c r="Y138" s="547">
        <f>IFERROR(Y136/H136,"0")+IFERROR(Y137/H137,"0")</f>
        <v>63.000000000000007</v>
      </c>
      <c r="Z138" s="547">
        <f>IFERROR(IF(Z136="",0,Z136),"0")+IFERROR(IF(Z137="",0,Z137),"0")</f>
        <v>0.41012999999999999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165</v>
      </c>
      <c r="Y139" s="547">
        <f>IFERROR(SUM(Y136:Y137),"0")</f>
        <v>166.32000000000002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70</v>
      </c>
      <c r="Y147" s="546">
        <f>IFERROR(IF(X147="",0,CEILING((X147/$H147),1)*$H147),"")</f>
        <v>71.400000000000006</v>
      </c>
      <c r="Z147" s="36">
        <f>IFERROR(IF(Y147=0,"",ROUNDUP(Y147/H147,0)*0.00902),"")</f>
        <v>0.15334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73.166666666666657</v>
      </c>
      <c r="BN147" s="64">
        <f>IFERROR(Y147*I147/H147,"0")</f>
        <v>74.63000000000001</v>
      </c>
      <c r="BO147" s="64">
        <f>IFERROR(1/J147*(X147/H147),"0")</f>
        <v>0.12626262626262624</v>
      </c>
      <c r="BP147" s="64">
        <f>IFERROR(1/J147*(Y147/H147),"0")</f>
        <v>0.12878787878787878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80</v>
      </c>
      <c r="Y149" s="546">
        <f>IFERROR(IF(X149="",0,CEILING((X149/$H149),1)*$H149),"")</f>
        <v>84</v>
      </c>
      <c r="Z149" s="36">
        <f>IFERROR(IF(Y149=0,"",ROUNDUP(Y149/H149,0)*0.00902),"")</f>
        <v>0.1804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83.619047619047606</v>
      </c>
      <c r="BN149" s="64">
        <f>IFERROR(Y149*I149/H149,"0")</f>
        <v>87.8</v>
      </c>
      <c r="BO149" s="64">
        <f>IFERROR(1/J149*(X149/H149),"0")</f>
        <v>0.14430014430014429</v>
      </c>
      <c r="BP149" s="64">
        <f>IFERROR(1/J149*(Y149/H149),"0")</f>
        <v>0.15151515151515152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80</v>
      </c>
      <c r="Y151" s="546">
        <f>IFERROR(IF(X151="",0,CEILING((X151/$H151),1)*$H151),"")</f>
        <v>84</v>
      </c>
      <c r="Z151" s="36">
        <f>IFERROR(IF(Y151=0,"",ROUNDUP(Y151/H151,0)*0.00902),"")</f>
        <v>0.1804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83.619047619047606</v>
      </c>
      <c r="BN151" s="64">
        <f>IFERROR(Y151*I151/H151,"0")</f>
        <v>87.8</v>
      </c>
      <c r="BO151" s="64">
        <f>IFERROR(1/J151*(X151/H151),"0")</f>
        <v>0.14430014430014429</v>
      </c>
      <c r="BP151" s="64">
        <f>IFERROR(1/J151*(Y151/H151),"0")</f>
        <v>0.15151515151515152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54.761904761904759</v>
      </c>
      <c r="Y152" s="547">
        <f>IFERROR(Y147/H147,"0")+IFERROR(Y148/H148,"0")+IFERROR(Y149/H149,"0")+IFERROR(Y150/H150,"0")+IFERROR(Y151/H151,"0")</f>
        <v>57</v>
      </c>
      <c r="Z152" s="547">
        <f>IFERROR(IF(Z147="",0,Z147),"0")+IFERROR(IF(Z148="",0,Z148),"0")+IFERROR(IF(Z149="",0,Z149),"0")+IFERROR(IF(Z150="",0,Z150),"0")+IFERROR(IF(Z151="",0,Z151),"0")</f>
        <v>0.51414000000000004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230</v>
      </c>
      <c r="Y153" s="547">
        <f>IFERROR(SUM(Y147:Y151),"0")</f>
        <v>239.4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60</v>
      </c>
      <c r="Y165" s="546">
        <f t="shared" ref="Y165:Y178" si="5">IFERROR(IF(X165="",0,CEILING((X165/$H165),1)*$H165),"")</f>
        <v>63</v>
      </c>
      <c r="Z165" s="36">
        <f>IFERROR(IF(Y165=0,"",ROUNDUP(Y165/H165,0)*0.00902),"")</f>
        <v>0.1353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63.571428571428569</v>
      </c>
      <c r="BN165" s="64">
        <f t="shared" ref="BN165:BN178" si="7">IFERROR(Y165*I165/H165,"0")</f>
        <v>66.75</v>
      </c>
      <c r="BO165" s="64">
        <f t="shared" ref="BO165:BO178" si="8">IFERROR(1/J165*(X165/H165),"0")</f>
        <v>0.10822510822510822</v>
      </c>
      <c r="BP165" s="64">
        <f t="shared" ref="BP165:BP178" si="9">IFERROR(1/J165*(Y165/H165),"0")</f>
        <v>0.11363636363636365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30</v>
      </c>
      <c r="Y166" s="546">
        <f t="shared" si="5"/>
        <v>33.6</v>
      </c>
      <c r="Z166" s="36">
        <f>IFERROR(IF(Y166=0,"",ROUNDUP(Y166/H166,0)*0.00902),"")</f>
        <v>7.2160000000000002E-2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31.785714285714285</v>
      </c>
      <c r="BN166" s="64">
        <f t="shared" si="7"/>
        <v>35.6</v>
      </c>
      <c r="BO166" s="64">
        <f t="shared" si="8"/>
        <v>5.4112554112554112E-2</v>
      </c>
      <c r="BP166" s="64">
        <f t="shared" si="9"/>
        <v>6.0606060606060608E-2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110</v>
      </c>
      <c r="Y167" s="546">
        <f t="shared" si="5"/>
        <v>113.4</v>
      </c>
      <c r="Z167" s="36">
        <f>IFERROR(IF(Y167=0,"",ROUNDUP(Y167/H167,0)*0.00902),"")</f>
        <v>0.24354000000000001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114.97619047619047</v>
      </c>
      <c r="BN167" s="64">
        <f t="shared" si="7"/>
        <v>118.52999999999999</v>
      </c>
      <c r="BO167" s="64">
        <f t="shared" si="8"/>
        <v>0.1984126984126984</v>
      </c>
      <c r="BP167" s="64">
        <f t="shared" si="9"/>
        <v>0.20454545454545456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8.8000000000000007</v>
      </c>
      <c r="Y168" s="546">
        <f t="shared" si="5"/>
        <v>8.8000000000000007</v>
      </c>
      <c r="Z168" s="36">
        <f>IFERROR(IF(Y168=0,"",ROUNDUP(Y168/H168,0)*0.00556),"")</f>
        <v>6.1159999999999999E-2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10.23</v>
      </c>
      <c r="BN168" s="64">
        <f t="shared" si="7"/>
        <v>10.23</v>
      </c>
      <c r="BO168" s="64">
        <f t="shared" si="8"/>
        <v>5.0925925925925923E-2</v>
      </c>
      <c r="BP168" s="64">
        <f t="shared" si="9"/>
        <v>5.0925925925925923E-2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122.5</v>
      </c>
      <c r="Y171" s="546">
        <f t="shared" si="5"/>
        <v>123.9</v>
      </c>
      <c r="Z171" s="36">
        <f>IFERROR(IF(Y171=0,"",ROUNDUP(Y171/H171,0)*0.00502),"")</f>
        <v>0.29618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130.08333333333334</v>
      </c>
      <c r="BN171" s="64">
        <f t="shared" si="7"/>
        <v>131.57</v>
      </c>
      <c r="BO171" s="64">
        <f t="shared" si="8"/>
        <v>0.2492877492877493</v>
      </c>
      <c r="BP171" s="64">
        <f t="shared" si="9"/>
        <v>0.25213675213675218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6.4</v>
      </c>
      <c r="Y175" s="546">
        <f t="shared" si="5"/>
        <v>6.4</v>
      </c>
      <c r="Z175" s="36">
        <f>IFERROR(IF(Y175=0,"",ROUNDUP(Y175/H175,0)*0.00417),"")</f>
        <v>3.3360000000000001E-2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8.08</v>
      </c>
      <c r="BN175" s="64">
        <f t="shared" si="7"/>
        <v>8.08</v>
      </c>
      <c r="BO175" s="64">
        <f t="shared" si="8"/>
        <v>2.3809523809523808E-2</v>
      </c>
      <c r="BP175" s="64">
        <f t="shared" si="9"/>
        <v>2.3809523809523808E-2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157.5</v>
      </c>
      <c r="Y176" s="546">
        <f t="shared" si="5"/>
        <v>157.5</v>
      </c>
      <c r="Z176" s="36">
        <f>IFERROR(IF(Y176=0,"",ROUNDUP(Y176/H176,0)*0.00502),"")</f>
        <v>0.3765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165</v>
      </c>
      <c r="BN176" s="64">
        <f t="shared" si="7"/>
        <v>165</v>
      </c>
      <c r="BO176" s="64">
        <f t="shared" si="8"/>
        <v>0.32051282051282054</v>
      </c>
      <c r="BP176" s="64">
        <f t="shared" si="9"/>
        <v>0.32051282051282054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199.95238095238096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203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1.2182000000000002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495.2</v>
      </c>
      <c r="Y180" s="547">
        <f>IFERROR(SUM(Y165:Y178),"0")</f>
        <v>506.6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14</v>
      </c>
      <c r="Y184" s="546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11.111111111111111</v>
      </c>
      <c r="Y185" s="547">
        <f>IFERROR(Y182/H182,"0")+IFERROR(Y183/H183,"0")+IFERROR(Y184/H184,"0")</f>
        <v>12</v>
      </c>
      <c r="Z185" s="547">
        <f>IFERROR(IF(Z182="",0,Z182),"0")+IFERROR(IF(Z183="",0,Z183),"0")+IFERROR(IF(Z184="",0,Z184),"0")</f>
        <v>7.0800000000000002E-2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14</v>
      </c>
      <c r="Y186" s="547">
        <f>IFERROR(SUM(Y182:Y184),"0")</f>
        <v>15.120000000000001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7.0000000000000009</v>
      </c>
      <c r="Y188" s="546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5.5555555555555562</v>
      </c>
      <c r="Y189" s="547">
        <f>IFERROR(Y188/H188,"0")</f>
        <v>6</v>
      </c>
      <c r="Z189" s="547">
        <f>IFERROR(IF(Z188="",0,Z188),"0")</f>
        <v>3.5400000000000001E-2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7.0000000000000009</v>
      </c>
      <c r="Y190" s="547">
        <f>IFERROR(SUM(Y188:Y188),"0")</f>
        <v>7.5600000000000005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150</v>
      </c>
      <c r="Y203" s="546">
        <f t="shared" ref="Y203:Y210" si="10">IFERROR(IF(X203="",0,CEILING((X203/$H203),1)*$H203),"")</f>
        <v>151.20000000000002</v>
      </c>
      <c r="Z203" s="36">
        <f>IFERROR(IF(Y203=0,"",ROUNDUP(Y203/H203,0)*0.00902),"")</f>
        <v>0.25256000000000001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155.27777777777777</v>
      </c>
      <c r="BN203" s="64">
        <f t="shared" ref="BN203:BN210" si="12">IFERROR(Y203*I203/H203,"0")</f>
        <v>156.52000000000001</v>
      </c>
      <c r="BO203" s="64">
        <f t="shared" ref="BO203:BO210" si="13">IFERROR(1/J203*(X203/H203),"0")</f>
        <v>0.21043771043771042</v>
      </c>
      <c r="BP203" s="64">
        <f t="shared" ref="BP203:BP210" si="14">IFERROR(1/J203*(Y203/H203),"0")</f>
        <v>0.21212121212121213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40</v>
      </c>
      <c r="Y204" s="546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400</v>
      </c>
      <c r="Y205" s="546">
        <f t="shared" si="10"/>
        <v>405</v>
      </c>
      <c r="Z205" s="36">
        <f>IFERROR(IF(Y205=0,"",ROUNDUP(Y205/H205,0)*0.00902),"")</f>
        <v>0.67649999999999999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414.07407407407402</v>
      </c>
      <c r="BN205" s="64">
        <f t="shared" si="12"/>
        <v>419.24999999999994</v>
      </c>
      <c r="BO205" s="64">
        <f t="shared" si="13"/>
        <v>0.5611672278338945</v>
      </c>
      <c r="BP205" s="64">
        <f t="shared" si="14"/>
        <v>0.56818181818181823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50</v>
      </c>
      <c r="Y206" s="546">
        <f t="shared" si="10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51.759259259259252</v>
      </c>
      <c r="BN206" s="64">
        <f t="shared" si="12"/>
        <v>55.9</v>
      </c>
      <c r="BO206" s="64">
        <f t="shared" si="13"/>
        <v>7.0145903479236812E-2</v>
      </c>
      <c r="BP206" s="64">
        <f t="shared" si="14"/>
        <v>7.575757575757576E-2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64.333333333333329</v>
      </c>
      <c r="BN207" s="64">
        <f t="shared" si="12"/>
        <v>65.62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75</v>
      </c>
      <c r="Y209" s="546">
        <f t="shared" si="10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79.166666666666671</v>
      </c>
      <c r="BN209" s="64">
        <f t="shared" si="12"/>
        <v>79.800000000000011</v>
      </c>
      <c r="BO209" s="64">
        <f t="shared" si="13"/>
        <v>0.17806267806267806</v>
      </c>
      <c r="BP209" s="64">
        <f t="shared" si="14"/>
        <v>0.17948717948717954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60</v>
      </c>
      <c r="Y210" s="546">
        <f t="shared" si="10"/>
        <v>61.2</v>
      </c>
      <c r="Z210" s="36">
        <f>IFERROR(IF(Y210=0,"",ROUNDUP(Y210/H210,0)*0.00502),"")</f>
        <v>0.17068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63.333333333333329</v>
      </c>
      <c r="BN210" s="64">
        <f t="shared" si="12"/>
        <v>64.599999999999994</v>
      </c>
      <c r="BO210" s="64">
        <f t="shared" si="13"/>
        <v>0.14245014245014248</v>
      </c>
      <c r="BP210" s="64">
        <f t="shared" si="14"/>
        <v>0.14529914529914531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251.85185185185188</v>
      </c>
      <c r="Y211" s="547">
        <f>IFERROR(Y203/H203,"0")+IFERROR(Y204/H204,"0")+IFERROR(Y205/H205,"0")+IFERROR(Y206/H206,"0")+IFERROR(Y207/H207,"0")+IFERROR(Y208/H208,"0")+IFERROR(Y209/H209,"0")+IFERROR(Y210/H210,"0")</f>
        <v>256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1.7691199999999998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880</v>
      </c>
      <c r="Y212" s="547">
        <f>IFERROR(SUM(Y203:Y210),"0")</f>
        <v>896.4000000000002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140</v>
      </c>
      <c r="Y216" s="546">
        <f t="shared" si="15"/>
        <v>147.89999999999998</v>
      </c>
      <c r="Z216" s="36">
        <f>IFERROR(IF(Y216=0,"",ROUNDUP(Y216/H216,0)*0.01898),"")</f>
        <v>0.32266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147.94942528735635</v>
      </c>
      <c r="BN216" s="64">
        <f t="shared" si="17"/>
        <v>156.298</v>
      </c>
      <c r="BO216" s="64">
        <f t="shared" si="18"/>
        <v>0.25143678160919541</v>
      </c>
      <c r="BP216" s="64">
        <f t="shared" si="19"/>
        <v>0.265625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400</v>
      </c>
      <c r="Y217" s="546">
        <f t="shared" si="15"/>
        <v>400.8</v>
      </c>
      <c r="Z217" s="36">
        <f t="shared" ref="Z217:Z222" si="20">IFERROR(IF(Y217=0,"",ROUNDUP(Y217/H217,0)*0.00651),"")</f>
        <v>1.08717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445</v>
      </c>
      <c r="BN217" s="64">
        <f t="shared" si="17"/>
        <v>445.89</v>
      </c>
      <c r="BO217" s="64">
        <f t="shared" si="18"/>
        <v>0.91575091575091594</v>
      </c>
      <c r="BP217" s="64">
        <f t="shared" si="19"/>
        <v>0.91758241758241765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260</v>
      </c>
      <c r="Y219" s="546">
        <f t="shared" si="15"/>
        <v>261.59999999999997</v>
      </c>
      <c r="Z219" s="36">
        <f t="shared" si="20"/>
        <v>0.70959000000000005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287.3</v>
      </c>
      <c r="BN219" s="64">
        <f t="shared" si="17"/>
        <v>289.06799999999998</v>
      </c>
      <c r="BO219" s="64">
        <f t="shared" si="18"/>
        <v>0.59523809523809534</v>
      </c>
      <c r="BP219" s="64">
        <f t="shared" si="19"/>
        <v>0.59890109890109888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88</v>
      </c>
      <c r="Y221" s="546">
        <f t="shared" si="15"/>
        <v>88.8</v>
      </c>
      <c r="Z221" s="36">
        <f t="shared" si="20"/>
        <v>0.24087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97.240000000000009</v>
      </c>
      <c r="BN221" s="64">
        <f t="shared" si="17"/>
        <v>98.124000000000009</v>
      </c>
      <c r="BO221" s="64">
        <f t="shared" si="18"/>
        <v>0.2014652014652015</v>
      </c>
      <c r="BP221" s="64">
        <f t="shared" si="19"/>
        <v>0.20329670329670332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240</v>
      </c>
      <c r="Y222" s="546">
        <f t="shared" si="15"/>
        <v>240</v>
      </c>
      <c r="Z222" s="36">
        <f t="shared" si="20"/>
        <v>0.65100000000000002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265.8</v>
      </c>
      <c r="BN222" s="64">
        <f t="shared" si="17"/>
        <v>265.8</v>
      </c>
      <c r="BO222" s="64">
        <f t="shared" si="18"/>
        <v>0.5494505494505495</v>
      </c>
      <c r="BP222" s="64">
        <f t="shared" si="19"/>
        <v>0.5494505494505495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427.75862068965523</v>
      </c>
      <c r="Y223" s="547">
        <f>IFERROR(Y214/H214,"0")+IFERROR(Y215/H215,"0")+IFERROR(Y216/H216,"0")+IFERROR(Y217/H217,"0")+IFERROR(Y218/H218,"0")+IFERROR(Y219/H219,"0")+IFERROR(Y220/H220,"0")+IFERROR(Y221/H221,"0")+IFERROR(Y222/H222,"0")</f>
        <v>430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3.0112899999999998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1128</v>
      </c>
      <c r="Y224" s="547">
        <f>IFERROR(SUM(Y214:Y222),"0")</f>
        <v>1139.0999999999999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8</v>
      </c>
      <c r="Y226" s="546">
        <f>IFERROR(IF(X226="",0,CEILING((X226/$H226),1)*$H226),"")</f>
        <v>9.6</v>
      </c>
      <c r="Z226" s="36">
        <f>IFERROR(IF(Y226=0,"",ROUNDUP(Y226/H226,0)*0.00651),"")</f>
        <v>2.6040000000000001E-2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8.8400000000000016</v>
      </c>
      <c r="BN226" s="64">
        <f>IFERROR(Y226*I226/H226,"0")</f>
        <v>10.608000000000001</v>
      </c>
      <c r="BO226" s="64">
        <f>IFERROR(1/J226*(X226/H226),"0")</f>
        <v>1.8315018315018316E-2</v>
      </c>
      <c r="BP226" s="64">
        <f>IFERROR(1/J226*(Y226/H226),"0")</f>
        <v>2.197802197802198E-2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8</v>
      </c>
      <c r="Y227" s="546">
        <f>IFERROR(IF(X227="",0,CEILING((X227/$H227),1)*$H227),"")</f>
        <v>9.6</v>
      </c>
      <c r="Z227" s="36">
        <f>IFERROR(IF(Y227=0,"",ROUNDUP(Y227/H227,0)*0.00651),"")</f>
        <v>2.6040000000000001E-2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8.8400000000000016</v>
      </c>
      <c r="BN227" s="64">
        <f>IFERROR(Y227*I227/H227,"0")</f>
        <v>10.608000000000001</v>
      </c>
      <c r="BO227" s="64">
        <f>IFERROR(1/J227*(X227/H227),"0")</f>
        <v>1.8315018315018316E-2</v>
      </c>
      <c r="BP227" s="64">
        <f>IFERROR(1/J227*(Y227/H227),"0")</f>
        <v>2.197802197802198E-2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6.666666666666667</v>
      </c>
      <c r="Y228" s="547">
        <f>IFERROR(Y226/H226,"0")+IFERROR(Y227/H227,"0")</f>
        <v>8</v>
      </c>
      <c r="Z228" s="547">
        <f>IFERROR(IF(Z226="",0,Z226),"0")+IFERROR(IF(Z227="",0,Z227),"0")</f>
        <v>5.2080000000000001E-2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16</v>
      </c>
      <c r="Y229" s="547">
        <f>IFERROR(SUM(Y226:Y227),"0")</f>
        <v>19.2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20</v>
      </c>
      <c r="Y232" s="546">
        <f t="shared" ref="Y232:Y240" si="21">IFERROR(IF(X232="",0,CEILING((X232/$H232),1)*$H232),"")</f>
        <v>23.2</v>
      </c>
      <c r="Z232" s="36">
        <f>IFERROR(IF(Y232=0,"",ROUNDUP(Y232/H232,0)*0.01898),"")</f>
        <v>3.7960000000000001E-2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20.706896551724139</v>
      </c>
      <c r="BN232" s="64">
        <f t="shared" ref="BN232:BN240" si="23">IFERROR(Y232*I232/H232,"0")</f>
        <v>24.02</v>
      </c>
      <c r="BO232" s="64">
        <f t="shared" ref="BO232:BO240" si="24">IFERROR(1/J232*(X232/H232),"0")</f>
        <v>2.6939655172413795E-2</v>
      </c>
      <c r="BP232" s="64">
        <f t="shared" ref="BP232:BP240" si="25">IFERROR(1/J232*(Y232/H232),"0")</f>
        <v>3.125E-2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40</v>
      </c>
      <c r="Y234" s="546">
        <f t="shared" si="21"/>
        <v>46.4</v>
      </c>
      <c r="Z234" s="36">
        <f>IFERROR(IF(Y234=0,"",ROUNDUP(Y234/H234,0)*0.01898),"")</f>
        <v>7.5920000000000001E-2</v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41.413793103448278</v>
      </c>
      <c r="BN234" s="64">
        <f t="shared" si="23"/>
        <v>48.04</v>
      </c>
      <c r="BO234" s="64">
        <f t="shared" si="24"/>
        <v>5.387931034482759E-2</v>
      </c>
      <c r="BP234" s="64">
        <f t="shared" si="25"/>
        <v>6.25E-2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16</v>
      </c>
      <c r="Y235" s="546">
        <f t="shared" si="21"/>
        <v>16</v>
      </c>
      <c r="Z235" s="36">
        <f>IFERROR(IF(Y235=0,"",ROUNDUP(Y235/H235,0)*0.00902),"")</f>
        <v>3.6080000000000001E-2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16.760000000000002</v>
      </c>
      <c r="BN235" s="64">
        <f t="shared" si="23"/>
        <v>16.760000000000002</v>
      </c>
      <c r="BO235" s="64">
        <f t="shared" si="24"/>
        <v>3.0303030303030304E-2</v>
      </c>
      <c r="BP235" s="64">
        <f t="shared" si="25"/>
        <v>3.0303030303030304E-2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12</v>
      </c>
      <c r="Y239" s="546">
        <f t="shared" si="21"/>
        <v>12</v>
      </c>
      <c r="Z239" s="36">
        <f>IFERROR(IF(Y239=0,"",ROUNDUP(Y239/H239,0)*0.00902),"")</f>
        <v>2.7060000000000001E-2</v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12.57</v>
      </c>
      <c r="BN239" s="64">
        <f t="shared" si="23"/>
        <v>12.57</v>
      </c>
      <c r="BO239" s="64">
        <f t="shared" si="24"/>
        <v>2.2727272727272728E-2</v>
      </c>
      <c r="BP239" s="64">
        <f t="shared" si="25"/>
        <v>2.2727272727272728E-2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12.172413793103448</v>
      </c>
      <c r="Y241" s="547">
        <f>IFERROR(Y232/H232,"0")+IFERROR(Y233/H233,"0")+IFERROR(Y234/H234,"0")+IFERROR(Y235/H235,"0")+IFERROR(Y236/H236,"0")+IFERROR(Y237/H237,"0")+IFERROR(Y238/H238,"0")+IFERROR(Y239/H239,"0")+IFERROR(Y240/H240,"0")</f>
        <v>13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0.17702000000000001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88</v>
      </c>
      <c r="Y242" s="547">
        <f>IFERROR(SUM(Y232:Y240),"0")</f>
        <v>97.6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12</v>
      </c>
      <c r="Y253" s="546">
        <f>IFERROR(IF(X253="",0,CEILING((X253/$H253),1)*$H253),"")</f>
        <v>12.6</v>
      </c>
      <c r="Z253" s="36">
        <f>IFERROR(IF(Y253=0,"",ROUNDUP(Y253/H253,0)*0.0059),"")</f>
        <v>4.1299999999999996E-2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13.166666666666668</v>
      </c>
      <c r="BN253" s="64">
        <f>IFERROR(Y253*I253/H253,"0")</f>
        <v>13.825000000000001</v>
      </c>
      <c r="BO253" s="64">
        <f>IFERROR(1/J253*(X253/H253),"0")</f>
        <v>3.0864197530864192E-2</v>
      </c>
      <c r="BP253" s="64">
        <f>IFERROR(1/J253*(Y253/H253),"0")</f>
        <v>3.2407407407407406E-2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6.6666666666666661</v>
      </c>
      <c r="Y257" s="547">
        <f>IFERROR(Y252/H252,"0")+IFERROR(Y253/H253,"0")+IFERROR(Y254/H254,"0")+IFERROR(Y255/H255,"0")+IFERROR(Y256/H256,"0")</f>
        <v>7</v>
      </c>
      <c r="Z257" s="547">
        <f>IFERROR(IF(Z252="",0,Z252),"0")+IFERROR(IF(Z253="",0,Z253),"0")+IFERROR(IF(Z254="",0,Z254),"0")+IFERROR(IF(Z255="",0,Z255),"0")+IFERROR(IF(Z256="",0,Z256),"0")</f>
        <v>4.1299999999999996E-2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12</v>
      </c>
      <c r="Y258" s="547">
        <f>IFERROR(SUM(Y252:Y256),"0")</f>
        <v>12.6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80</v>
      </c>
      <c r="Y279" s="546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200</v>
      </c>
      <c r="Y280" s="546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215</v>
      </c>
      <c r="BN280" s="64">
        <f>IFERROR(Y280*I280/H280,"0")</f>
        <v>216.72000000000003</v>
      </c>
      <c r="BO280" s="64">
        <f>IFERROR(1/J280*(X280/H280),"0")</f>
        <v>0.45787545787545797</v>
      </c>
      <c r="BP280" s="64">
        <f>IFERROR(1/J280*(Y280/H280),"0")</f>
        <v>0.46153846153846156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116.66666666666669</v>
      </c>
      <c r="Y281" s="547">
        <f>IFERROR(Y278/H278,"0")+IFERROR(Y279/H279,"0")+IFERROR(Y280/H280,"0")</f>
        <v>118</v>
      </c>
      <c r="Z281" s="547">
        <f>IFERROR(IF(Z278="",0,Z278),"0")+IFERROR(IF(Z279="",0,Z279),"0")+IFERROR(IF(Z280="",0,Z280),"0")</f>
        <v>0.76817999999999997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280</v>
      </c>
      <c r="Y282" s="547">
        <f>IFERROR(SUM(Y278:Y280),"0")</f>
        <v>283.2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157.5</v>
      </c>
      <c r="Y308" s="546">
        <f t="shared" si="26"/>
        <v>157.5</v>
      </c>
      <c r="Z308" s="36">
        <f>IFERROR(IF(Y308=0,"",ROUNDUP(Y308/H308,0)*0.00502),"")</f>
        <v>0.3765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165</v>
      </c>
      <c r="BN308" s="64">
        <f t="shared" si="28"/>
        <v>165</v>
      </c>
      <c r="BO308" s="64">
        <f t="shared" si="29"/>
        <v>0.32051282051282054</v>
      </c>
      <c r="BP308" s="64">
        <f t="shared" si="30"/>
        <v>0.32051282051282054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24</v>
      </c>
      <c r="Y309" s="546">
        <f t="shared" si="26"/>
        <v>25.2</v>
      </c>
      <c r="Z309" s="36">
        <f>IFERROR(IF(Y309=0,"",ROUNDUP(Y309/H309,0)*0.00651),"")</f>
        <v>9.1139999999999999E-2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27.04</v>
      </c>
      <c r="BN309" s="64">
        <f t="shared" si="28"/>
        <v>28.391999999999999</v>
      </c>
      <c r="BO309" s="64">
        <f t="shared" si="29"/>
        <v>7.3260073260073263E-2</v>
      </c>
      <c r="BP309" s="64">
        <f t="shared" si="30"/>
        <v>7.6923076923076927E-2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88.333333333333329</v>
      </c>
      <c r="Y310" s="547">
        <f>IFERROR(Y304/H304,"0")+IFERROR(Y305/H305,"0")+IFERROR(Y306/H306,"0")+IFERROR(Y307/H307,"0")+IFERROR(Y308/H308,"0")+IFERROR(Y309/H309,"0")</f>
        <v>89</v>
      </c>
      <c r="Z310" s="547">
        <f>IFERROR(IF(Z304="",0,Z304),"0")+IFERROR(IF(Z305="",0,Z305),"0")+IFERROR(IF(Z306="",0,Z306),"0")+IFERROR(IF(Z307="",0,Z307),"0")+IFERROR(IF(Z308="",0,Z308),"0")+IFERROR(IF(Z309="",0,Z309),"0")</f>
        <v>0.46764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181.5</v>
      </c>
      <c r="Y311" s="547">
        <f>IFERROR(SUM(Y304:Y309),"0")</f>
        <v>182.7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</v>
      </c>
      <c r="Y320" s="546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650</v>
      </c>
      <c r="Y321" s="546">
        <f>IFERROR(IF(X321="",0,CEILING((X321/$H321),1)*$H321),"")</f>
        <v>655.19999999999993</v>
      </c>
      <c r="Z321" s="36">
        <f>IFERROR(IF(Y321=0,"",ROUNDUP(Y321/H321,0)*0.01898),"")</f>
        <v>1.59432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691.16666666666674</v>
      </c>
      <c r="BN321" s="64">
        <f>IFERROR(Y321*I321/H321,"0")</f>
        <v>696.69600000000003</v>
      </c>
      <c r="BO321" s="64">
        <f>IFERROR(1/J321*(X321/H321),"0")</f>
        <v>1.3020833333333333</v>
      </c>
      <c r="BP321" s="64">
        <f>IFERROR(1/J321*(Y321/H321),"0")</f>
        <v>1.3125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160</v>
      </c>
      <c r="Y322" s="546">
        <f>IFERROR(IF(X322="",0,CEILING((X322/$H322),1)*$H322),"")</f>
        <v>168</v>
      </c>
      <c r="Z322" s="36">
        <f>IFERROR(IF(Y322=0,"",ROUNDUP(Y322/H322,0)*0.01898),"")</f>
        <v>0.37959999999999999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169.40952380952379</v>
      </c>
      <c r="BN322" s="64">
        <f>IFERROR(Y322*I322/H322,"0")</f>
        <v>177.88</v>
      </c>
      <c r="BO322" s="64">
        <f>IFERROR(1/J322*(X322/H322),"0")</f>
        <v>0.29761904761904762</v>
      </c>
      <c r="BP322" s="64">
        <f>IFERROR(1/J322*(Y322/H322),"0")</f>
        <v>0.3125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104.76190476190476</v>
      </c>
      <c r="Y323" s="547">
        <f>IFERROR(Y320/H320,"0")+IFERROR(Y321/H321,"0")+IFERROR(Y322/H322,"0")</f>
        <v>107</v>
      </c>
      <c r="Z323" s="547">
        <f>IFERROR(IF(Z320="",0,Z320),"0")+IFERROR(IF(Z321="",0,Z321),"0")+IFERROR(IF(Z322="",0,Z322),"0")</f>
        <v>2.0308600000000001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830</v>
      </c>
      <c r="Y324" s="547">
        <f>IFERROR(SUM(Y320:Y322),"0")</f>
        <v>848.4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525</v>
      </c>
      <c r="Y341" s="546">
        <f>IFERROR(IF(X341="",0,CEILING((X341/$H341),1)*$H341),"")</f>
        <v>525</v>
      </c>
      <c r="Z341" s="36">
        <f>IFERROR(IF(Y341=0,"",ROUNDUP(Y341/H341,0)*0.00651),"")</f>
        <v>1.6274999999999999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588</v>
      </c>
      <c r="BN341" s="64">
        <f>IFERROR(Y341*I341/H341,"0")</f>
        <v>588</v>
      </c>
      <c r="BO341" s="64">
        <f>IFERROR(1/J341*(X341/H341),"0")</f>
        <v>1.3736263736263736</v>
      </c>
      <c r="BP341" s="64">
        <f>IFERROR(1/J341*(Y341/H341),"0")</f>
        <v>1.3736263736263736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525</v>
      </c>
      <c r="Y342" s="546">
        <f>IFERROR(IF(X342="",0,CEILING((X342/$H342),1)*$H342),"")</f>
        <v>525</v>
      </c>
      <c r="Z342" s="36">
        <f>IFERROR(IF(Y342=0,"",ROUNDUP(Y342/H342,0)*0.00651),"")</f>
        <v>1.6274999999999999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585</v>
      </c>
      <c r="BN342" s="64">
        <f>IFERROR(Y342*I342/H342,"0")</f>
        <v>585</v>
      </c>
      <c r="BO342" s="64">
        <f>IFERROR(1/J342*(X342/H342),"0")</f>
        <v>1.3736263736263736</v>
      </c>
      <c r="BP342" s="64">
        <f>IFERROR(1/J342*(Y342/H342),"0")</f>
        <v>1.3736263736263736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500</v>
      </c>
      <c r="Y343" s="547">
        <f>IFERROR(Y340/H340,"0")+IFERROR(Y341/H341,"0")+IFERROR(Y342/H342,"0")</f>
        <v>500</v>
      </c>
      <c r="Z343" s="547">
        <f>IFERROR(IF(Z340="",0,Z340),"0")+IFERROR(IF(Z341="",0,Z341),"0")+IFERROR(IF(Z342="",0,Z342),"0")</f>
        <v>3.2549999999999999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1050</v>
      </c>
      <c r="Y344" s="547">
        <f>IFERROR(SUM(Y340:Y342),"0")</f>
        <v>1050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1000</v>
      </c>
      <c r="Y348" s="546">
        <f t="shared" ref="Y348:Y354" si="31">IFERROR(IF(X348="",0,CEILING((X348/$H348),1)*$H348),"")</f>
        <v>1005</v>
      </c>
      <c r="Z348" s="36">
        <f>IFERROR(IF(Y348=0,"",ROUNDUP(Y348/H348,0)*0.02175),"")</f>
        <v>1.4572499999999999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1031.3333333333333</v>
      </c>
      <c r="BN348" s="64">
        <f t="shared" ref="BN348:BN354" si="33">IFERROR(Y348*I348/H348,"0")</f>
        <v>1036.49</v>
      </c>
      <c r="BO348" s="64">
        <f t="shared" ref="BO348:BO354" si="34">IFERROR(1/J348*(X348/H348),"0")</f>
        <v>1.3888888888888888</v>
      </c>
      <c r="BP348" s="64">
        <f t="shared" ref="BP348:BP354" si="35">IFERROR(1/J348*(Y348/H348),"0")</f>
        <v>1.3958333333333333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900</v>
      </c>
      <c r="Y349" s="546">
        <f t="shared" si="31"/>
        <v>900</v>
      </c>
      <c r="Z349" s="36">
        <f>IFERROR(IF(Y349=0,"",ROUNDUP(Y349/H349,0)*0.02175),"")</f>
        <v>1.3049999999999999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928.2</v>
      </c>
      <c r="BN349" s="64">
        <f t="shared" si="33"/>
        <v>928.2</v>
      </c>
      <c r="BO349" s="64">
        <f t="shared" si="34"/>
        <v>1.25</v>
      </c>
      <c r="BP349" s="64">
        <f t="shared" si="35"/>
        <v>1.25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1500</v>
      </c>
      <c r="Y350" s="546">
        <f t="shared" si="31"/>
        <v>1500</v>
      </c>
      <c r="Z350" s="36">
        <f>IFERROR(IF(Y350=0,"",ROUNDUP(Y350/H350,0)*0.02175),"")</f>
        <v>2.1749999999999998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1547</v>
      </c>
      <c r="BN350" s="64">
        <f t="shared" si="33"/>
        <v>1547</v>
      </c>
      <c r="BO350" s="64">
        <f t="shared" si="34"/>
        <v>2.083333333333333</v>
      </c>
      <c r="BP350" s="64">
        <f t="shared" si="35"/>
        <v>2.083333333333333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550</v>
      </c>
      <c r="Y351" s="546">
        <f t="shared" si="31"/>
        <v>555</v>
      </c>
      <c r="Z351" s="36">
        <f>IFERROR(IF(Y351=0,"",ROUNDUP(Y351/H351,0)*0.02175),"")</f>
        <v>0.80474999999999997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567.23333333333335</v>
      </c>
      <c r="BN351" s="64">
        <f t="shared" si="33"/>
        <v>572.39</v>
      </c>
      <c r="BO351" s="64">
        <f t="shared" si="34"/>
        <v>0.76388888888888884</v>
      </c>
      <c r="BP351" s="64">
        <f t="shared" si="35"/>
        <v>0.77083333333333326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263.33333333333337</v>
      </c>
      <c r="Y355" s="547">
        <f>IFERROR(Y348/H348,"0")+IFERROR(Y349/H349,"0")+IFERROR(Y350/H350,"0")+IFERROR(Y351/H351,"0")+IFERROR(Y352/H352,"0")+IFERROR(Y353/H353,"0")+IFERROR(Y354/H354,"0")</f>
        <v>264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5.742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3950</v>
      </c>
      <c r="Y356" s="547">
        <f>IFERROR(SUM(Y348:Y354),"0")</f>
        <v>3960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1400</v>
      </c>
      <c r="Y358" s="546">
        <f>IFERROR(IF(X358="",0,CEILING((X358/$H358),1)*$H358),"")</f>
        <v>1410</v>
      </c>
      <c r="Z358" s="36">
        <f>IFERROR(IF(Y358=0,"",ROUNDUP(Y358/H358,0)*0.02175),"")</f>
        <v>2.0444999999999998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1443.8666666666666</v>
      </c>
      <c r="BN358" s="64">
        <f>IFERROR(Y358*I358/H358,"0")</f>
        <v>1454.18</v>
      </c>
      <c r="BO358" s="64">
        <f>IFERROR(1/J358*(X358/H358),"0")</f>
        <v>1.9444444444444442</v>
      </c>
      <c r="BP358" s="64">
        <f>IFERROR(1/J358*(Y358/H358),"0")</f>
        <v>1.9583333333333333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93.333333333333329</v>
      </c>
      <c r="Y360" s="547">
        <f>IFERROR(Y358/H358,"0")+IFERROR(Y359/H359,"0")</f>
        <v>94</v>
      </c>
      <c r="Z360" s="547">
        <f>IFERROR(IF(Z358="",0,Z358),"0")+IFERROR(IF(Z359="",0,Z359),"0")</f>
        <v>2.0444999999999998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1400</v>
      </c>
      <c r="Y361" s="547">
        <f>IFERROR(SUM(Y358:Y359),"0")</f>
        <v>1410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40</v>
      </c>
      <c r="Y368" s="546">
        <f>IFERROR(IF(X368="",0,CEILING((X368/$H368),1)*$H368),"")</f>
        <v>45</v>
      </c>
      <c r="Z368" s="36">
        <f>IFERROR(IF(Y368=0,"",ROUNDUP(Y368/H368,0)*0.01898),"")</f>
        <v>9.4899999999999998E-2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42.195555555555558</v>
      </c>
      <c r="BN368" s="64">
        <f>IFERROR(Y368*I368/H368,"0")</f>
        <v>47.47</v>
      </c>
      <c r="BO368" s="64">
        <f>IFERROR(1/J368*(X368/H368),"0")</f>
        <v>6.9444444444444448E-2</v>
      </c>
      <c r="BP368" s="64">
        <f>IFERROR(1/J368*(Y368/H368),"0")</f>
        <v>7.8125E-2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4.4444444444444446</v>
      </c>
      <c r="Y369" s="547">
        <f>IFERROR(Y368/H368,"0")</f>
        <v>5</v>
      </c>
      <c r="Z369" s="547">
        <f>IFERROR(IF(Z368="",0,Z368),"0")</f>
        <v>9.4899999999999998E-2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40</v>
      </c>
      <c r="Y370" s="547">
        <f>IFERROR(SUM(Y368:Y368),"0")</f>
        <v>45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50</v>
      </c>
      <c r="Y373" s="546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51.708333333333336</v>
      </c>
      <c r="BN373" s="64">
        <f>IFERROR(Y373*I373/H373,"0")</f>
        <v>62.050000000000004</v>
      </c>
      <c r="BO373" s="64">
        <f>IFERROR(1/J373*(X373/H373),"0")</f>
        <v>6.5104166666666671E-2</v>
      </c>
      <c r="BP373" s="64">
        <f>IFERROR(1/J373*(Y373/H373),"0")</f>
        <v>7.8125E-2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4.166666666666667</v>
      </c>
      <c r="Y375" s="547">
        <f>IFERROR(Y373/H373,"0")+IFERROR(Y374/H374,"0")</f>
        <v>5</v>
      </c>
      <c r="Z375" s="547">
        <f>IFERROR(IF(Z373="",0,Z373),"0")+IFERROR(IF(Z374="",0,Z374),"0")</f>
        <v>9.4899999999999998E-2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50</v>
      </c>
      <c r="Y376" s="547">
        <f>IFERROR(SUM(Y373:Y374),"0")</f>
        <v>60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20</v>
      </c>
      <c r="Y383" s="546">
        <f>IFERROR(IF(X383="",0,CEILING((X383/$H383),1)*$H383),"")</f>
        <v>27</v>
      </c>
      <c r="Z383" s="36">
        <f>IFERROR(IF(Y383=0,"",ROUNDUP(Y383/H383,0)*0.01898),"")</f>
        <v>5.6940000000000004E-2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21.097777777777779</v>
      </c>
      <c r="BN383" s="64">
        <f>IFERROR(Y383*I383/H383,"0")</f>
        <v>28.481999999999996</v>
      </c>
      <c r="BO383" s="64">
        <f>IFERROR(1/J383*(X383/H383),"0")</f>
        <v>3.4722222222222224E-2</v>
      </c>
      <c r="BP383" s="64">
        <f>IFERROR(1/J383*(Y383/H383),"0")</f>
        <v>4.6875E-2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2.2222222222222223</v>
      </c>
      <c r="Y386" s="547">
        <f>IFERROR(Y383/H383,"0")+IFERROR(Y384/H384,"0")+IFERROR(Y385/H385,"0")</f>
        <v>3</v>
      </c>
      <c r="Z386" s="547">
        <f>IFERROR(IF(Z383="",0,Z383),"0")+IFERROR(IF(Z384="",0,Z384),"0")+IFERROR(IF(Z385="",0,Z385),"0")</f>
        <v>5.6940000000000004E-2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20</v>
      </c>
      <c r="Y387" s="547">
        <f>IFERROR(SUM(Y383:Y385),"0")</f>
        <v>27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14</v>
      </c>
      <c r="Y395" s="546">
        <f t="shared" si="36"/>
        <v>14.700000000000001</v>
      </c>
      <c r="Z395" s="36">
        <f t="shared" si="41"/>
        <v>3.5140000000000005E-2</v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14.866666666666665</v>
      </c>
      <c r="BN395" s="64">
        <f t="shared" si="38"/>
        <v>15.61</v>
      </c>
      <c r="BO395" s="64">
        <f t="shared" si="39"/>
        <v>2.8490028490028491E-2</v>
      </c>
      <c r="BP395" s="64">
        <f t="shared" si="40"/>
        <v>2.9914529914529919E-2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45.5</v>
      </c>
      <c r="Y396" s="546">
        <f t="shared" si="36"/>
        <v>46.2</v>
      </c>
      <c r="Z396" s="36">
        <f t="shared" si="41"/>
        <v>0.11044000000000001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48.316666666666663</v>
      </c>
      <c r="BN396" s="64">
        <f t="shared" si="38"/>
        <v>49.06</v>
      </c>
      <c r="BO396" s="64">
        <f t="shared" si="39"/>
        <v>9.2592592592592587E-2</v>
      </c>
      <c r="BP396" s="64">
        <f t="shared" si="40"/>
        <v>9.401709401709403E-2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91</v>
      </c>
      <c r="Y398" s="546">
        <f t="shared" si="36"/>
        <v>92.4</v>
      </c>
      <c r="Z398" s="36">
        <f t="shared" si="41"/>
        <v>0.22088000000000002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96.633333333333326</v>
      </c>
      <c r="BN398" s="64">
        <f t="shared" si="38"/>
        <v>98.12</v>
      </c>
      <c r="BO398" s="64">
        <f t="shared" si="39"/>
        <v>0.18518518518518517</v>
      </c>
      <c r="BP398" s="64">
        <f t="shared" si="40"/>
        <v>0.18803418803418806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71.666666666666657</v>
      </c>
      <c r="Y400" s="547">
        <f>IFERROR(Y391/H391,"0")+IFERROR(Y392/H392,"0")+IFERROR(Y393/H393,"0")+IFERROR(Y394/H394,"0")+IFERROR(Y395/H395,"0")+IFERROR(Y396/H396,"0")+IFERROR(Y397/H397,"0")+IFERROR(Y398/H398,"0")+IFERROR(Y399/H399,"0")</f>
        <v>73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0.36646000000000001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150.5</v>
      </c>
      <c r="Y401" s="547">
        <f>IFERROR(SUM(Y391:Y399),"0")</f>
        <v>153.30000000000001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14</v>
      </c>
      <c r="Y416" s="546">
        <f>IFERROR(IF(X416="",0,CEILING((X416/$H416),1)*$H416),"")</f>
        <v>14.700000000000001</v>
      </c>
      <c r="Z416" s="36">
        <f>IFERROR(IF(Y416=0,"",ROUNDUP(Y416/H416,0)*0.00502),"")</f>
        <v>3.5140000000000005E-2</v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14.866666666666665</v>
      </c>
      <c r="BN416" s="64">
        <f>IFERROR(Y416*I416/H416,"0")</f>
        <v>15.61</v>
      </c>
      <c r="BO416" s="64">
        <f>IFERROR(1/J416*(X416/H416),"0")</f>
        <v>2.8490028490028491E-2</v>
      </c>
      <c r="BP416" s="64">
        <f>IFERROR(1/J416*(Y416/H416),"0")</f>
        <v>2.9914529914529919E-2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6.6666666666666661</v>
      </c>
      <c r="Y417" s="547">
        <f>IFERROR(Y413/H413,"0")+IFERROR(Y414/H414,"0")+IFERROR(Y415/H415,"0")+IFERROR(Y416/H416,"0")</f>
        <v>7</v>
      </c>
      <c r="Z417" s="547">
        <f>IFERROR(IF(Z413="",0,Z413),"0")+IFERROR(IF(Z414="",0,Z414),"0")+IFERROR(IF(Z415="",0,Z415),"0")+IFERROR(IF(Z416="",0,Z416),"0")</f>
        <v>3.5140000000000005E-2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14</v>
      </c>
      <c r="Y418" s="547">
        <f>IFERROR(SUM(Y413:Y416),"0")</f>
        <v>14.700000000000001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20</v>
      </c>
      <c r="Y421" s="546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16.666666666666668</v>
      </c>
      <c r="Y422" s="547">
        <f>IFERROR(Y421/H421,"0")</f>
        <v>17</v>
      </c>
      <c r="Z422" s="547">
        <f>IFERROR(IF(Z421="",0,Z421),"0")</f>
        <v>0.11067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20</v>
      </c>
      <c r="Y423" s="547">
        <f>IFERROR(SUM(Y421:Y421),"0")</f>
        <v>20.399999999999999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80</v>
      </c>
      <c r="Y427" s="546">
        <f t="shared" ref="Y427:Y438" si="42">IFERROR(IF(X427="",0,CEILING((X427/$H427),1)*$H427),"")</f>
        <v>84.48</v>
      </c>
      <c r="Z427" s="36">
        <f t="shared" ref="Z427:Z433" si="43">IFERROR(IF(Y427=0,"",ROUNDUP(Y427/H427,0)*0.01196),"")</f>
        <v>0.19136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85.303030303030297</v>
      </c>
      <c r="BN427" s="64">
        <f t="shared" ref="BN427:BN438" si="45">IFERROR(Y427*I427/H427,"0")</f>
        <v>90.08</v>
      </c>
      <c r="BO427" s="64">
        <f t="shared" ref="BO427:BO438" si="46">IFERROR(1/J427*(X427/H427),"0")</f>
        <v>0.14568764568764569</v>
      </c>
      <c r="BP427" s="64">
        <f t="shared" ref="BP427:BP438" si="47">IFERROR(1/J427*(Y427/H427),"0")</f>
        <v>0.15384615384615385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150</v>
      </c>
      <c r="Y433" s="546">
        <f t="shared" si="42"/>
        <v>153.12</v>
      </c>
      <c r="Z433" s="36">
        <f t="shared" si="43"/>
        <v>0.34683999999999998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159.94318181818181</v>
      </c>
      <c r="BN433" s="64">
        <f t="shared" si="45"/>
        <v>163.26999999999998</v>
      </c>
      <c r="BO433" s="64">
        <f t="shared" si="46"/>
        <v>0.27316433566433568</v>
      </c>
      <c r="BP433" s="64">
        <f t="shared" si="47"/>
        <v>0.27884615384615385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132</v>
      </c>
      <c r="Y435" s="546">
        <f t="shared" si="42"/>
        <v>134.4</v>
      </c>
      <c r="Z435" s="36">
        <f>IFERROR(IF(Y435=0,"",ROUNDUP(Y435/H435,0)*0.00902),"")</f>
        <v>0.25256000000000001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190.02500000000001</v>
      </c>
      <c r="BN435" s="64">
        <f t="shared" si="45"/>
        <v>193.48000000000002</v>
      </c>
      <c r="BO435" s="64">
        <f t="shared" si="46"/>
        <v>0.20833333333333334</v>
      </c>
      <c r="BP435" s="64">
        <f t="shared" si="47"/>
        <v>0.21212121212121215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198</v>
      </c>
      <c r="Y438" s="546">
        <f t="shared" si="42"/>
        <v>201.6</v>
      </c>
      <c r="Z438" s="36">
        <f>IFERROR(IF(Y438=0,"",ROUNDUP(Y438/H438,0)*0.00902),"")</f>
        <v>0.37884000000000001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285.03750000000002</v>
      </c>
      <c r="BN438" s="64">
        <f t="shared" si="45"/>
        <v>290.22000000000003</v>
      </c>
      <c r="BO438" s="64">
        <f t="shared" si="46"/>
        <v>0.3125</v>
      </c>
      <c r="BP438" s="64">
        <f t="shared" si="47"/>
        <v>0.31818181818181818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112.31060606060606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115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1.1696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560</v>
      </c>
      <c r="Y440" s="547">
        <f>IFERROR(SUM(Y427:Y438),"0")</f>
        <v>573.6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60</v>
      </c>
      <c r="Y442" s="546">
        <f>IFERROR(IF(X442="",0,CEILING((X442/$H442),1)*$H442),"")</f>
        <v>63.36</v>
      </c>
      <c r="Z442" s="36">
        <f>IFERROR(IF(Y442=0,"",ROUNDUP(Y442/H442,0)*0.01196),"")</f>
        <v>0.14352000000000001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63.977272727272727</v>
      </c>
      <c r="BN442" s="64">
        <f>IFERROR(Y442*I442/H442,"0")</f>
        <v>67.559999999999988</v>
      </c>
      <c r="BO442" s="64">
        <f>IFERROR(1/J442*(X442/H442),"0")</f>
        <v>0.10926573426573427</v>
      </c>
      <c r="BP442" s="64">
        <f>IFERROR(1/J442*(Y442/H442),"0")</f>
        <v>0.11538461538461539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11.363636363636363</v>
      </c>
      <c r="Y445" s="547">
        <f>IFERROR(Y442/H442,"0")+IFERROR(Y443/H443,"0")+IFERROR(Y444/H444,"0")</f>
        <v>12</v>
      </c>
      <c r="Z445" s="547">
        <f>IFERROR(IF(Z442="",0,Z442),"0")+IFERROR(IF(Z443="",0,Z443),"0")+IFERROR(IF(Z444="",0,Z444),"0")</f>
        <v>0.14352000000000001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60</v>
      </c>
      <c r="Y446" s="547">
        <f>IFERROR(SUM(Y442:Y444),"0")</f>
        <v>63.36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40</v>
      </c>
      <c r="Y448" s="546">
        <f t="shared" ref="Y448:Y453" si="48">IFERROR(IF(X448="",0,CEILING((X448/$H448),1)*$H448),"")</f>
        <v>42.24</v>
      </c>
      <c r="Z448" s="36">
        <f>IFERROR(IF(Y448=0,"",ROUNDUP(Y448/H448,0)*0.01196),"")</f>
        <v>9.5680000000000001E-2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42.651515151515149</v>
      </c>
      <c r="BN448" s="64">
        <f t="shared" ref="BN448:BN453" si="50">IFERROR(Y448*I448/H448,"0")</f>
        <v>45.04</v>
      </c>
      <c r="BO448" s="64">
        <f t="shared" ref="BO448:BO453" si="51">IFERROR(1/J448*(X448/H448),"0")</f>
        <v>7.2843822843822847E-2</v>
      </c>
      <c r="BP448" s="64">
        <f t="shared" ref="BP448:BP453" si="52">IFERROR(1/J448*(Y448/H448),"0")</f>
        <v>7.6923076923076927E-2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50</v>
      </c>
      <c r="Y449" s="546">
        <f t="shared" si="48"/>
        <v>52.800000000000004</v>
      </c>
      <c r="Z449" s="36">
        <f>IFERROR(IF(Y449=0,"",ROUNDUP(Y449/H449,0)*0.01196),"")</f>
        <v>0.1196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53.314393939393938</v>
      </c>
      <c r="BN449" s="64">
        <f t="shared" si="50"/>
        <v>56.3</v>
      </c>
      <c r="BO449" s="64">
        <f t="shared" si="51"/>
        <v>9.1054778554778545E-2</v>
      </c>
      <c r="BP449" s="64">
        <f t="shared" si="52"/>
        <v>9.6153846153846159E-2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50</v>
      </c>
      <c r="Y450" s="546">
        <f t="shared" si="48"/>
        <v>52.800000000000004</v>
      </c>
      <c r="Z450" s="36">
        <f>IFERROR(IF(Y450=0,"",ROUNDUP(Y450/H450,0)*0.01196),"")</f>
        <v>0.1196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53.314393939393938</v>
      </c>
      <c r="BN450" s="64">
        <f t="shared" si="50"/>
        <v>56.3</v>
      </c>
      <c r="BO450" s="64">
        <f t="shared" si="51"/>
        <v>9.1054778554778545E-2</v>
      </c>
      <c r="BP450" s="64">
        <f t="shared" si="52"/>
        <v>9.6153846153846159E-2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30</v>
      </c>
      <c r="Y451" s="546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43.187500000000007</v>
      </c>
      <c r="BN451" s="64">
        <f t="shared" si="50"/>
        <v>48.370000000000005</v>
      </c>
      <c r="BO451" s="64">
        <f t="shared" si="51"/>
        <v>4.7348484848484848E-2</v>
      </c>
      <c r="BP451" s="64">
        <f t="shared" si="52"/>
        <v>5.3030303030303039E-2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12</v>
      </c>
      <c r="Y452" s="546">
        <f t="shared" si="48"/>
        <v>14.399999999999999</v>
      </c>
      <c r="Z452" s="36">
        <f>IFERROR(IF(Y452=0,"",ROUNDUP(Y452/H452,0)*0.00902),"")</f>
        <v>2.7060000000000001E-2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16.675000000000001</v>
      </c>
      <c r="BN452" s="64">
        <f t="shared" si="50"/>
        <v>20.009999999999998</v>
      </c>
      <c r="BO452" s="64">
        <f t="shared" si="51"/>
        <v>1.893939393939394E-2</v>
      </c>
      <c r="BP452" s="64">
        <f t="shared" si="52"/>
        <v>2.2727272727272728E-2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96</v>
      </c>
      <c r="Y453" s="546">
        <f t="shared" si="48"/>
        <v>96</v>
      </c>
      <c r="Z453" s="36">
        <f>IFERROR(IF(Y453=0,"",ROUNDUP(Y453/H453,0)*0.00902),"")</f>
        <v>0.1804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133.4</v>
      </c>
      <c r="BN453" s="64">
        <f t="shared" si="50"/>
        <v>133.4</v>
      </c>
      <c r="BO453" s="64">
        <f t="shared" si="51"/>
        <v>0.15151515151515152</v>
      </c>
      <c r="BP453" s="64">
        <f t="shared" si="52"/>
        <v>0.15151515151515152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55.265151515151516</v>
      </c>
      <c r="Y454" s="547">
        <f>IFERROR(Y448/H448,"0")+IFERROR(Y449/H449,"0")+IFERROR(Y450/H450,"0")+IFERROR(Y451/H451,"0")+IFERROR(Y452/H452,"0")+IFERROR(Y453/H453,"0")</f>
        <v>58</v>
      </c>
      <c r="Z454" s="547">
        <f>IFERROR(IF(Z448="",0,Z448),"0")+IFERROR(IF(Z449="",0,Z449),"0")+IFERROR(IF(Z450="",0,Z450),"0")+IFERROR(IF(Z451="",0,Z451),"0")+IFERROR(IF(Z452="",0,Z452),"0")+IFERROR(IF(Z453="",0,Z453),"0")</f>
        <v>0.60548000000000002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278</v>
      </c>
      <c r="Y455" s="547">
        <f>IFERROR(SUM(Y448:Y453),"0")</f>
        <v>291.84000000000003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60</v>
      </c>
      <c r="Y461" s="546">
        <f>IFERROR(IF(X461="",0,CEILING((X461/$H461),1)*$H461),"")</f>
        <v>60</v>
      </c>
      <c r="Z461" s="36">
        <f>IFERROR(IF(Y461=0,"",ROUNDUP(Y461/H461,0)*0.01898),"")</f>
        <v>9.4899999999999998E-2</v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62.050000000000004</v>
      </c>
      <c r="BN461" s="64">
        <f>IFERROR(Y461*I461/H461,"0")</f>
        <v>62.050000000000004</v>
      </c>
      <c r="BO461" s="64">
        <f>IFERROR(1/J461*(X461/H461),"0")</f>
        <v>7.8125E-2</v>
      </c>
      <c r="BP461" s="64">
        <f>IFERROR(1/J461*(Y461/H461),"0")</f>
        <v>7.8125E-2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5</v>
      </c>
      <c r="Y463" s="547">
        <f>IFERROR(Y459/H459,"0")+IFERROR(Y460/H460,"0")+IFERROR(Y461/H461,"0")+IFERROR(Y462/H462,"0")</f>
        <v>5</v>
      </c>
      <c r="Z463" s="547">
        <f>IFERROR(IF(Z459="",0,Z459),"0")+IFERROR(IF(Z460="",0,Z460),"0")+IFERROR(IF(Z461="",0,Z461),"0")+IFERROR(IF(Z462="",0,Z462),"0")</f>
        <v>9.4899999999999998E-2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60</v>
      </c>
      <c r="Y464" s="547">
        <f>IFERROR(SUM(Y459:Y462),"0")</f>
        <v>60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1600</v>
      </c>
      <c r="Y475" s="546">
        <f>IFERROR(IF(X475="",0,CEILING((X475/$H475),1)*$H475),"")</f>
        <v>1602</v>
      </c>
      <c r="Z475" s="36">
        <f>IFERROR(IF(Y475=0,"",ROUNDUP(Y475/H475,0)*0.01898),"")</f>
        <v>3.3784399999999999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1687.8222222222221</v>
      </c>
      <c r="BN475" s="64">
        <f>IFERROR(Y475*I475/H475,"0")</f>
        <v>1689.9319999999998</v>
      </c>
      <c r="BO475" s="64">
        <f>IFERROR(1/J475*(X475/H475),"0")</f>
        <v>2.7777777777777777</v>
      </c>
      <c r="BP475" s="64">
        <f>IFERROR(1/J475*(Y475/H475),"0")</f>
        <v>2.78125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177.77777777777777</v>
      </c>
      <c r="Y476" s="547">
        <f>IFERROR(Y475/H475,"0")</f>
        <v>178</v>
      </c>
      <c r="Z476" s="547">
        <f>IFERROR(IF(Z475="",0,Z475),"0")</f>
        <v>3.3784399999999999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1600</v>
      </c>
      <c r="Y477" s="547">
        <f>IFERROR(SUM(Y475:Y475),"0")</f>
        <v>1602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17547.2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17759.920000000002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18744.403153940566</v>
      </c>
      <c r="Y489" s="547">
        <f>IFERROR(SUM(BN22:BN485),"0")</f>
        <v>18973.125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32</v>
      </c>
      <c r="Y490" s="38">
        <f>ROUNDUP(SUM(BP22:BP485),0)</f>
        <v>32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19544.403153940566</v>
      </c>
      <c r="Y491" s="547">
        <f>GrossWeightTotalR+PalletQtyTotalR*25</f>
        <v>19773.125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3692.7483283000524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3731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36.59966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368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852.90000000000009</v>
      </c>
      <c r="E498" s="46">
        <f>IFERROR(Y84*1,"0")+IFERROR(Y85*1,"0")+IFERROR(Y86*1,"0")+IFERROR(Y87*1,"0")+IFERROR(Y91*1,"0")+IFERROR(Y92*1,"0")+IFERROR(Y93*1,"0")+IFERROR(Y94*1,"0")</f>
        <v>1222.2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1263.4199999999998</v>
      </c>
      <c r="G498" s="46">
        <f>IFERROR(Y126*1,"0")+IFERROR(Y127*1,"0")+IFERROR(Y131*1,"0")+IFERROR(Y132*1,"0")+IFERROR(Y136*1,"0")+IFERROR(Y137*1,"0")</f>
        <v>474.32000000000005</v>
      </c>
      <c r="H498" s="46">
        <f>IFERROR(Y142*1,"0")+IFERROR(Y143*1,"0")+IFERROR(Y147*1,"0")+IFERROR(Y148*1,"0")+IFERROR(Y149*1,"0")+IFERROR(Y150*1,"0")+IFERROR(Y151*1,"0")+IFERROR(Y155*1,"0")</f>
        <v>239.4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529.28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2054.6999999999998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110.19999999999999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283.2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1031.0999999999999</v>
      </c>
      <c r="R498" s="46">
        <f>IFERROR(Y340*1,"0")+IFERROR(Y341*1,"0")+IFERROR(Y342*1,"0")</f>
        <v>1050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5415</v>
      </c>
      <c r="T498" s="46">
        <f>IFERROR(Y373*1,"0")+IFERROR(Y374*1,"0")+IFERROR(Y378*1,"0")+IFERROR(Y379*1,"0")+IFERROR(Y383*1,"0")+IFERROR(Y384*1,"0")+IFERROR(Y385*1,"0")</f>
        <v>87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153.30000000000001</v>
      </c>
      <c r="V498" s="46">
        <f>IFERROR(Y409*1,"0")+IFERROR(Y413*1,"0")+IFERROR(Y414*1,"0")+IFERROR(Y415*1,"0")+IFERROR(Y416*1,"0")</f>
        <v>14.700000000000001</v>
      </c>
      <c r="W498" s="46">
        <f>IFERROR(Y421*1,"0")</f>
        <v>20.399999999999999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928.8</v>
      </c>
      <c r="Y498" s="46">
        <f>IFERROR(Y459*1,"0")+IFERROR(Y460*1,"0")+IFERROR(Y461*1,"0")+IFERROR(Y462*1,"0")+IFERROR(Y466*1,"0")+IFERROR(Y467*1,"0")+IFERROR(Y471*1,"0")+IFERROR(Y475*1,"0")+IFERROR(Y479*1,"0")+IFERROR(Y480*1,"0")</f>
        <v>1662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