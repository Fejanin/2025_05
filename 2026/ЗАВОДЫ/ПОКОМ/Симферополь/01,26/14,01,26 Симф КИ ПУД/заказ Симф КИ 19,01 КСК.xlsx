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5693B6A5-01BE-4FBB-ABB1-983ED64DD03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Y479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Y474" i="1" s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6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Y425" i="1"/>
  <c r="X425" i="1"/>
  <c r="X424" i="1"/>
  <c r="BP423" i="1"/>
  <c r="BO423" i="1"/>
  <c r="BN423" i="1"/>
  <c r="BM423" i="1"/>
  <c r="Z423" i="1"/>
  <c r="Z424" i="1" s="1"/>
  <c r="Y423" i="1"/>
  <c r="Y424" i="1" s="1"/>
  <c r="P423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P405" i="1"/>
  <c r="BO405" i="1"/>
  <c r="BN405" i="1"/>
  <c r="BM405" i="1"/>
  <c r="Z405" i="1"/>
  <c r="Y405" i="1"/>
  <c r="Y407" i="1" s="1"/>
  <c r="P405" i="1"/>
  <c r="X403" i="1"/>
  <c r="X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U505" i="1" s="1"/>
  <c r="P393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3" i="1"/>
  <c r="Y382" i="1"/>
  <c r="X382" i="1"/>
  <c r="BP381" i="1"/>
  <c r="BO381" i="1"/>
  <c r="BN381" i="1"/>
  <c r="BM381" i="1"/>
  <c r="Z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P375" i="1"/>
  <c r="BO375" i="1"/>
  <c r="BN375" i="1"/>
  <c r="BM375" i="1"/>
  <c r="Z375" i="1"/>
  <c r="Y375" i="1"/>
  <c r="P375" i="1"/>
  <c r="X372" i="1"/>
  <c r="Y371" i="1"/>
  <c r="X371" i="1"/>
  <c r="BP370" i="1"/>
  <c r="BO370" i="1"/>
  <c r="BN370" i="1"/>
  <c r="BM370" i="1"/>
  <c r="Z370" i="1"/>
  <c r="Z371" i="1" s="1"/>
  <c r="Y370" i="1"/>
  <c r="Y372" i="1" s="1"/>
  <c r="P370" i="1"/>
  <c r="X368" i="1"/>
  <c r="X367" i="1"/>
  <c r="BP366" i="1"/>
  <c r="BO366" i="1"/>
  <c r="BN366" i="1"/>
  <c r="BM366" i="1"/>
  <c r="Z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P360" i="1"/>
  <c r="BO360" i="1"/>
  <c r="BN360" i="1"/>
  <c r="BM360" i="1"/>
  <c r="Z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Y358" i="1" s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BP255" i="1" s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Y231" i="1" s="1"/>
  <c r="P228" i="1"/>
  <c r="X226" i="1"/>
  <c r="X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Y225" i="1" s="1"/>
  <c r="P216" i="1"/>
  <c r="X214" i="1"/>
  <c r="X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Y213" i="1" s="1"/>
  <c r="P205" i="1"/>
  <c r="X203" i="1"/>
  <c r="X202" i="1"/>
  <c r="BP201" i="1"/>
  <c r="BO201" i="1"/>
  <c r="BN201" i="1"/>
  <c r="BM201" i="1"/>
  <c r="Z201" i="1"/>
  <c r="Y201" i="1"/>
  <c r="P201" i="1"/>
  <c r="BO200" i="1"/>
  <c r="BM200" i="1"/>
  <c r="Y200" i="1"/>
  <c r="Y203" i="1" s="1"/>
  <c r="P200" i="1"/>
  <c r="X198" i="1"/>
  <c r="X197" i="1"/>
  <c r="BO196" i="1"/>
  <c r="BM196" i="1"/>
  <c r="Y196" i="1"/>
  <c r="BP196" i="1" s="1"/>
  <c r="P196" i="1"/>
  <c r="BP195" i="1"/>
  <c r="BO195" i="1"/>
  <c r="BN195" i="1"/>
  <c r="BM195" i="1"/>
  <c r="Z195" i="1"/>
  <c r="Y195" i="1"/>
  <c r="Y197" i="1" s="1"/>
  <c r="P195" i="1"/>
  <c r="X192" i="1"/>
  <c r="Y191" i="1"/>
  <c r="X191" i="1"/>
  <c r="BP190" i="1"/>
  <c r="BO190" i="1"/>
  <c r="BN190" i="1"/>
  <c r="BM190" i="1"/>
  <c r="Z190" i="1"/>
  <c r="Z191" i="1" s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BP185" i="1" s="1"/>
  <c r="P185" i="1"/>
  <c r="BP184" i="1"/>
  <c r="BO184" i="1"/>
  <c r="BN184" i="1"/>
  <c r="BM184" i="1"/>
  <c r="Z184" i="1"/>
  <c r="Y184" i="1"/>
  <c r="Y188" i="1" s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BP167" i="1"/>
  <c r="BO167" i="1"/>
  <c r="BN167" i="1"/>
  <c r="BM167" i="1"/>
  <c r="Z167" i="1"/>
  <c r="Y167" i="1"/>
  <c r="Y182" i="1" s="1"/>
  <c r="X165" i="1"/>
  <c r="X164" i="1"/>
  <c r="BO163" i="1"/>
  <c r="BM163" i="1"/>
  <c r="Y163" i="1"/>
  <c r="I505" i="1" s="1"/>
  <c r="P163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Y154" i="1" s="1"/>
  <c r="P148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H505" i="1" s="1"/>
  <c r="P143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F505" i="1" s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7" i="1" s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P57" i="1"/>
  <c r="BP56" i="1"/>
  <c r="BO56" i="1"/>
  <c r="BN56" i="1"/>
  <c r="BM56" i="1"/>
  <c r="Z56" i="1"/>
  <c r="Y56" i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P30" i="1"/>
  <c r="BP29" i="1"/>
  <c r="BO29" i="1"/>
  <c r="BN29" i="1"/>
  <c r="BM29" i="1"/>
  <c r="Z29" i="1"/>
  <c r="Y29" i="1"/>
  <c r="P29" i="1"/>
  <c r="BO28" i="1"/>
  <c r="BM28" i="1"/>
  <c r="Y28" i="1"/>
  <c r="P28" i="1"/>
  <c r="BP27" i="1"/>
  <c r="BO27" i="1"/>
  <c r="BN27" i="1"/>
  <c r="BM27" i="1"/>
  <c r="Z27" i="1"/>
  <c r="Y27" i="1"/>
  <c r="P27" i="1"/>
  <c r="X25" i="1"/>
  <c r="Y24" i="1"/>
  <c r="X24" i="1"/>
  <c r="BP23" i="1"/>
  <c r="BO23" i="1"/>
  <c r="BN23" i="1"/>
  <c r="BM23" i="1"/>
  <c r="Z23" i="1"/>
  <c r="Y23" i="1"/>
  <c r="P23" i="1"/>
  <c r="BO22" i="1"/>
  <c r="BM22" i="1"/>
  <c r="X496" i="1" s="1"/>
  <c r="Y22" i="1"/>
  <c r="P22" i="1"/>
  <c r="H10" i="1"/>
  <c r="A9" i="1"/>
  <c r="D7" i="1"/>
  <c r="Q6" i="1"/>
  <c r="P2" i="1"/>
  <c r="F10" i="1" l="1"/>
  <c r="J9" i="1"/>
  <c r="F9" i="1"/>
  <c r="A10" i="1"/>
  <c r="X498" i="1"/>
  <c r="BP28" i="1"/>
  <c r="BN28" i="1"/>
  <c r="Z28" i="1"/>
  <c r="Y32" i="1"/>
  <c r="Y499" i="1" s="1"/>
  <c r="BP42" i="1"/>
  <c r="BN42" i="1"/>
  <c r="Z42" i="1"/>
  <c r="Z44" i="1" s="1"/>
  <c r="BP55" i="1"/>
  <c r="BN55" i="1"/>
  <c r="Z55" i="1"/>
  <c r="BP63" i="1"/>
  <c r="BN63" i="1"/>
  <c r="Z63" i="1"/>
  <c r="Y65" i="1"/>
  <c r="Y70" i="1"/>
  <c r="BP67" i="1"/>
  <c r="BN67" i="1"/>
  <c r="Z67" i="1"/>
  <c r="Z69" i="1" s="1"/>
  <c r="BP75" i="1"/>
  <c r="BN75" i="1"/>
  <c r="Z75" i="1"/>
  <c r="Y77" i="1"/>
  <c r="Y82" i="1"/>
  <c r="BP79" i="1"/>
  <c r="BN79" i="1"/>
  <c r="Z79" i="1"/>
  <c r="Z81" i="1" s="1"/>
  <c r="BP88" i="1"/>
  <c r="BN88" i="1"/>
  <c r="Z88" i="1"/>
  <c r="Z213" i="1"/>
  <c r="Z488" i="1"/>
  <c r="H9" i="1"/>
  <c r="Y25" i="1"/>
  <c r="BP22" i="1"/>
  <c r="BN22" i="1"/>
  <c r="Z22" i="1"/>
  <c r="Z24" i="1" s="1"/>
  <c r="B505" i="1"/>
  <c r="X497" i="1"/>
  <c r="X495" i="1"/>
  <c r="Y33" i="1"/>
  <c r="BP30" i="1"/>
  <c r="BN30" i="1"/>
  <c r="Z30" i="1"/>
  <c r="Z32" i="1" s="1"/>
  <c r="Y44" i="1"/>
  <c r="BP53" i="1"/>
  <c r="BN53" i="1"/>
  <c r="Z53" i="1"/>
  <c r="Z58" i="1" s="1"/>
  <c r="BP57" i="1"/>
  <c r="BN57" i="1"/>
  <c r="Z57" i="1"/>
  <c r="Y59" i="1"/>
  <c r="Y64" i="1"/>
  <c r="BP61" i="1"/>
  <c r="BN61" i="1"/>
  <c r="Z61" i="1"/>
  <c r="Z64" i="1" s="1"/>
  <c r="Y69" i="1"/>
  <c r="BP73" i="1"/>
  <c r="BN73" i="1"/>
  <c r="Z73" i="1"/>
  <c r="Z76" i="1" s="1"/>
  <c r="Y81" i="1"/>
  <c r="BP86" i="1"/>
  <c r="BN86" i="1"/>
  <c r="Z86" i="1"/>
  <c r="Z89" i="1" s="1"/>
  <c r="Y90" i="1"/>
  <c r="Z112" i="1"/>
  <c r="Z139" i="1"/>
  <c r="Z294" i="1"/>
  <c r="Y96" i="1"/>
  <c r="Y105" i="1"/>
  <c r="Y113" i="1"/>
  <c r="Y119" i="1"/>
  <c r="Y130" i="1"/>
  <c r="Y134" i="1"/>
  <c r="Y140" i="1"/>
  <c r="Y145" i="1"/>
  <c r="Y155" i="1"/>
  <c r="Y159" i="1"/>
  <c r="Y165" i="1"/>
  <c r="Y181" i="1"/>
  <c r="Y187" i="1"/>
  <c r="Y198" i="1"/>
  <c r="Y202" i="1"/>
  <c r="Y214" i="1"/>
  <c r="Y226" i="1"/>
  <c r="Y230" i="1"/>
  <c r="Y243" i="1"/>
  <c r="Y259" i="1"/>
  <c r="Z268" i="1"/>
  <c r="BP275" i="1"/>
  <c r="BN275" i="1"/>
  <c r="Z275" i="1"/>
  <c r="Y277" i="1"/>
  <c r="Y283" i="1"/>
  <c r="BP280" i="1"/>
  <c r="BN280" i="1"/>
  <c r="Z280" i="1"/>
  <c r="Z283" i="1" s="1"/>
  <c r="BP293" i="1"/>
  <c r="BN293" i="1"/>
  <c r="Z293" i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BP310" i="1"/>
  <c r="BN310" i="1"/>
  <c r="Z310" i="1"/>
  <c r="BP318" i="1"/>
  <c r="BN318" i="1"/>
  <c r="Z318" i="1"/>
  <c r="Y320" i="1"/>
  <c r="Y325" i="1"/>
  <c r="BP322" i="1"/>
  <c r="BN322" i="1"/>
  <c r="Z322" i="1"/>
  <c r="Z325" i="1" s="1"/>
  <c r="BP330" i="1"/>
  <c r="BN330" i="1"/>
  <c r="Z330" i="1"/>
  <c r="Z345" i="1"/>
  <c r="BP343" i="1"/>
  <c r="BN343" i="1"/>
  <c r="Z343" i="1"/>
  <c r="BP353" i="1"/>
  <c r="BN353" i="1"/>
  <c r="Z353" i="1"/>
  <c r="Y357" i="1"/>
  <c r="BP361" i="1"/>
  <c r="BN361" i="1"/>
  <c r="Z361" i="1"/>
  <c r="Z362" i="1" s="1"/>
  <c r="Y363" i="1"/>
  <c r="Y368" i="1"/>
  <c r="BP365" i="1"/>
  <c r="BN365" i="1"/>
  <c r="Z365" i="1"/>
  <c r="Z367" i="1" s="1"/>
  <c r="Z388" i="1"/>
  <c r="BP386" i="1"/>
  <c r="BN386" i="1"/>
  <c r="Z386" i="1"/>
  <c r="BP396" i="1"/>
  <c r="BN396" i="1"/>
  <c r="Z396" i="1"/>
  <c r="BP400" i="1"/>
  <c r="BN400" i="1"/>
  <c r="Z400" i="1"/>
  <c r="BP417" i="1"/>
  <c r="BN417" i="1"/>
  <c r="Z417" i="1"/>
  <c r="BP453" i="1"/>
  <c r="BN453" i="1"/>
  <c r="Z453" i="1"/>
  <c r="BP467" i="1"/>
  <c r="BN467" i="1"/>
  <c r="Z467" i="1"/>
  <c r="J505" i="1"/>
  <c r="S505" i="1"/>
  <c r="X499" i="1"/>
  <c r="C505" i="1"/>
  <c r="Y45" i="1"/>
  <c r="D505" i="1"/>
  <c r="Y58" i="1"/>
  <c r="E505" i="1"/>
  <c r="Y89" i="1"/>
  <c r="Z92" i="1"/>
  <c r="BN92" i="1"/>
  <c r="BP92" i="1"/>
  <c r="Z94" i="1"/>
  <c r="BN94" i="1"/>
  <c r="Z101" i="1"/>
  <c r="Z105" i="1" s="1"/>
  <c r="BN101" i="1"/>
  <c r="Z103" i="1"/>
  <c r="BN103" i="1"/>
  <c r="Y106" i="1"/>
  <c r="Z109" i="1"/>
  <c r="BN109" i="1"/>
  <c r="Z111" i="1"/>
  <c r="BN111" i="1"/>
  <c r="Z115" i="1"/>
  <c r="BN115" i="1"/>
  <c r="BP115" i="1"/>
  <c r="Z117" i="1"/>
  <c r="BN117" i="1"/>
  <c r="G505" i="1"/>
  <c r="Z128" i="1"/>
  <c r="Z129" i="1" s="1"/>
  <c r="BN128" i="1"/>
  <c r="Y129" i="1"/>
  <c r="Z132" i="1"/>
  <c r="Z134" i="1" s="1"/>
  <c r="BN132" i="1"/>
  <c r="BP132" i="1"/>
  <c r="Z138" i="1"/>
  <c r="BN138" i="1"/>
  <c r="Z143" i="1"/>
  <c r="Z145" i="1" s="1"/>
  <c r="BN143" i="1"/>
  <c r="BP143" i="1"/>
  <c r="Y146" i="1"/>
  <c r="Z149" i="1"/>
  <c r="Z154" i="1" s="1"/>
  <c r="BN149" i="1"/>
  <c r="Z151" i="1"/>
  <c r="BN151" i="1"/>
  <c r="Z153" i="1"/>
  <c r="BN153" i="1"/>
  <c r="Z157" i="1"/>
  <c r="Z158" i="1" s="1"/>
  <c r="BN157" i="1"/>
  <c r="BP157" i="1"/>
  <c r="Z163" i="1"/>
  <c r="Z164" i="1" s="1"/>
  <c r="BN163" i="1"/>
  <c r="BP163" i="1"/>
  <c r="Y164" i="1"/>
  <c r="Z169" i="1"/>
  <c r="Z181" i="1" s="1"/>
  <c r="BN169" i="1"/>
  <c r="Z171" i="1"/>
  <c r="BN171" i="1"/>
  <c r="Z173" i="1"/>
  <c r="BN173" i="1"/>
  <c r="Z175" i="1"/>
  <c r="BN175" i="1"/>
  <c r="Z177" i="1"/>
  <c r="BN177" i="1"/>
  <c r="Z179" i="1"/>
  <c r="BN179" i="1"/>
  <c r="Z185" i="1"/>
  <c r="Z187" i="1" s="1"/>
  <c r="BN185" i="1"/>
  <c r="Z196" i="1"/>
  <c r="Z197" i="1" s="1"/>
  <c r="BN196" i="1"/>
  <c r="Z200" i="1"/>
  <c r="Z202" i="1" s="1"/>
  <c r="BN200" i="1"/>
  <c r="BP200" i="1"/>
  <c r="Z206" i="1"/>
  <c r="BN206" i="1"/>
  <c r="Z208" i="1"/>
  <c r="BN208" i="1"/>
  <c r="Z210" i="1"/>
  <c r="BN210" i="1"/>
  <c r="Z212" i="1"/>
  <c r="BN212" i="1"/>
  <c r="Z216" i="1"/>
  <c r="BN216" i="1"/>
  <c r="BP216" i="1"/>
  <c r="Z218" i="1"/>
  <c r="BN218" i="1"/>
  <c r="Z220" i="1"/>
  <c r="BN220" i="1"/>
  <c r="Z222" i="1"/>
  <c r="BN222" i="1"/>
  <c r="Z224" i="1"/>
  <c r="BN224" i="1"/>
  <c r="Z228" i="1"/>
  <c r="Z230" i="1" s="1"/>
  <c r="BN228" i="1"/>
  <c r="BP228" i="1"/>
  <c r="K505" i="1"/>
  <c r="Z235" i="1"/>
  <c r="Z243" i="1" s="1"/>
  <c r="BN235" i="1"/>
  <c r="Z237" i="1"/>
  <c r="BN237" i="1"/>
  <c r="Z239" i="1"/>
  <c r="BN239" i="1"/>
  <c r="Z241" i="1"/>
  <c r="BN241" i="1"/>
  <c r="Y244" i="1"/>
  <c r="Z255" i="1"/>
  <c r="Z259" i="1" s="1"/>
  <c r="BN255" i="1"/>
  <c r="Z257" i="1"/>
  <c r="BN257" i="1"/>
  <c r="L505" i="1"/>
  <c r="Y269" i="1"/>
  <c r="Z264" i="1"/>
  <c r="BN264" i="1"/>
  <c r="Z266" i="1"/>
  <c r="BN266" i="1"/>
  <c r="Y268" i="1"/>
  <c r="BP273" i="1"/>
  <c r="BN273" i="1"/>
  <c r="Z273" i="1"/>
  <c r="Z276" i="1" s="1"/>
  <c r="BP282" i="1"/>
  <c r="BN282" i="1"/>
  <c r="Z282" i="1"/>
  <c r="Y284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Y312" i="1"/>
  <c r="BP316" i="1"/>
  <c r="BN316" i="1"/>
  <c r="Z316" i="1"/>
  <c r="Z319" i="1" s="1"/>
  <c r="BP324" i="1"/>
  <c r="BN324" i="1"/>
  <c r="Z324" i="1"/>
  <c r="Y326" i="1"/>
  <c r="Y333" i="1"/>
  <c r="BP328" i="1"/>
  <c r="BN328" i="1"/>
  <c r="Z328" i="1"/>
  <c r="Z332" i="1" s="1"/>
  <c r="Y332" i="1"/>
  <c r="Z338" i="1"/>
  <c r="BP336" i="1"/>
  <c r="BN336" i="1"/>
  <c r="Z336" i="1"/>
  <c r="Y345" i="1"/>
  <c r="BP351" i="1"/>
  <c r="BN351" i="1"/>
  <c r="Z351" i="1"/>
  <c r="Z357" i="1" s="1"/>
  <c r="BP355" i="1"/>
  <c r="BN355" i="1"/>
  <c r="Z355" i="1"/>
  <c r="Y362" i="1"/>
  <c r="Y367" i="1"/>
  <c r="BP376" i="1"/>
  <c r="BN376" i="1"/>
  <c r="Z376" i="1"/>
  <c r="Z377" i="1" s="1"/>
  <c r="Y378" i="1"/>
  <c r="Y383" i="1"/>
  <c r="BP380" i="1"/>
  <c r="BN380" i="1"/>
  <c r="Z380" i="1"/>
  <c r="Z382" i="1" s="1"/>
  <c r="Y389" i="1"/>
  <c r="Y388" i="1"/>
  <c r="BP394" i="1"/>
  <c r="BN394" i="1"/>
  <c r="Z394" i="1"/>
  <c r="BP398" i="1"/>
  <c r="BN398" i="1"/>
  <c r="Z398" i="1"/>
  <c r="Z402" i="1" s="1"/>
  <c r="Y402" i="1"/>
  <c r="BP406" i="1"/>
  <c r="BN406" i="1"/>
  <c r="Z406" i="1"/>
  <c r="Z407" i="1" s="1"/>
  <c r="Y408" i="1"/>
  <c r="V505" i="1"/>
  <c r="Y412" i="1"/>
  <c r="BP411" i="1"/>
  <c r="BN411" i="1"/>
  <c r="Z411" i="1"/>
  <c r="Z412" i="1" s="1"/>
  <c r="Y413" i="1"/>
  <c r="Y420" i="1"/>
  <c r="BP415" i="1"/>
  <c r="BN415" i="1"/>
  <c r="Z415" i="1"/>
  <c r="Y419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47" i="1"/>
  <c r="BP487" i="1"/>
  <c r="BN487" i="1"/>
  <c r="Z487" i="1"/>
  <c r="Y489" i="1"/>
  <c r="Z505" i="1"/>
  <c r="Y493" i="1"/>
  <c r="BP492" i="1"/>
  <c r="BN492" i="1"/>
  <c r="Z492" i="1"/>
  <c r="Z493" i="1" s="1"/>
  <c r="Y494" i="1"/>
  <c r="O505" i="1"/>
  <c r="M505" i="1"/>
  <c r="Y276" i="1"/>
  <c r="R505" i="1"/>
  <c r="Y346" i="1"/>
  <c r="T505" i="1"/>
  <c r="Y377" i="1"/>
  <c r="Y403" i="1"/>
  <c r="BP431" i="1"/>
  <c r="BN431" i="1"/>
  <c r="Z431" i="1"/>
  <c r="BP435" i="1"/>
  <c r="BN435" i="1"/>
  <c r="Z435" i="1"/>
  <c r="BP439" i="1"/>
  <c r="BN439" i="1"/>
  <c r="Z439" i="1"/>
  <c r="Y448" i="1"/>
  <c r="BP451" i="1"/>
  <c r="BN451" i="1"/>
  <c r="Z451" i="1"/>
  <c r="BP455" i="1"/>
  <c r="BN455" i="1"/>
  <c r="Z455" i="1"/>
  <c r="Z456" i="1" s="1"/>
  <c r="Y457" i="1"/>
  <c r="Y460" i="1"/>
  <c r="BP459" i="1"/>
  <c r="BN459" i="1"/>
  <c r="Z459" i="1"/>
  <c r="Z460" i="1" s="1"/>
  <c r="Y461" i="1"/>
  <c r="Y470" i="1"/>
  <c r="BP465" i="1"/>
  <c r="BN465" i="1"/>
  <c r="Z465" i="1"/>
  <c r="Z469" i="1" s="1"/>
  <c r="Y469" i="1"/>
  <c r="BP473" i="1"/>
  <c r="BN473" i="1"/>
  <c r="Z473" i="1"/>
  <c r="Z474" i="1" s="1"/>
  <c r="Y475" i="1"/>
  <c r="Y480" i="1"/>
  <c r="BP477" i="1"/>
  <c r="BN477" i="1"/>
  <c r="Z477" i="1"/>
  <c r="Z479" i="1" s="1"/>
  <c r="Y488" i="1"/>
  <c r="Y505" i="1"/>
  <c r="Y496" i="1" l="1"/>
  <c r="Y495" i="1"/>
  <c r="Z441" i="1"/>
  <c r="Z419" i="1"/>
  <c r="Z225" i="1"/>
  <c r="Z119" i="1"/>
  <c r="Z96" i="1"/>
  <c r="Z312" i="1"/>
  <c r="Z303" i="1"/>
  <c r="Z500" i="1"/>
  <c r="Y497" i="1"/>
  <c r="Y498" i="1" l="1"/>
</calcChain>
</file>

<file path=xl/sharedStrings.xml><?xml version="1.0" encoding="utf-8"?>
<sst xmlns="http://schemas.openxmlformats.org/spreadsheetml/2006/main" count="2318" uniqueCount="781">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</sst>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zoomScaleNormal="100" zoomScaleSheetLayoutView="100" workbookViewId="0">
      <selection activeCell="AA13" sqref="AA13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46024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Пятница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0.375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0</v>
      </c>
      <c r="Y44" s="555">
        <f>IFERROR(Y41/H41,"0")+IFERROR(Y42/H42,"0")+IFERROR(Y43/H43,"0")</f>
        <v>0</v>
      </c>
      <c r="Z44" s="555">
        <f>IFERROR(IF(Z41="",0,Z41),"0")+IFERROR(IF(Z42="",0,Z42),"0")+IFERROR(IF(Z43="",0,Z43),"0")</f>
        <v>0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0</v>
      </c>
      <c r="Y45" s="555">
        <f>IFERROR(SUM(Y41:Y43),"0")</f>
        <v>0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200</v>
      </c>
      <c r="Y53" s="554">
        <f t="shared" si="0"/>
        <v>205.20000000000002</v>
      </c>
      <c r="Z53" s="36">
        <f>IFERROR(IF(Y53=0,"",ROUNDUP(Y53/H53,0)*0.01898),"")</f>
        <v>0.36062</v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207.59259259259258</v>
      </c>
      <c r="BN53" s="64">
        <f t="shared" si="2"/>
        <v>212.99</v>
      </c>
      <c r="BO53" s="64">
        <f t="shared" si="3"/>
        <v>0.28935185185185186</v>
      </c>
      <c r="BP53" s="64">
        <f t="shared" si="4"/>
        <v>0.296875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135</v>
      </c>
      <c r="Y57" s="554">
        <f t="shared" si="0"/>
        <v>135</v>
      </c>
      <c r="Z57" s="36">
        <f>IFERROR(IF(Y57=0,"",ROUNDUP(Y57/H57,0)*0.00902),"")</f>
        <v>0.27060000000000001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140.70000000000002</v>
      </c>
      <c r="BN57" s="64">
        <f t="shared" si="2"/>
        <v>140.70000000000002</v>
      </c>
      <c r="BO57" s="64">
        <f t="shared" si="3"/>
        <v>0.22727272727272729</v>
      </c>
      <c r="BP57" s="64">
        <f t="shared" si="4"/>
        <v>0.22727272727272729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48.518518518518519</v>
      </c>
      <c r="Y58" s="555">
        <f>IFERROR(Y52/H52,"0")+IFERROR(Y53/H53,"0")+IFERROR(Y54/H54,"0")+IFERROR(Y55/H55,"0")+IFERROR(Y56/H56,"0")+IFERROR(Y57/H57,"0")</f>
        <v>49</v>
      </c>
      <c r="Z58" s="555">
        <f>IFERROR(IF(Z52="",0,Z52),"0")+IFERROR(IF(Z53="",0,Z53),"0")+IFERROR(IF(Z54="",0,Z54),"0")+IFERROR(IF(Z55="",0,Z55),"0")+IFERROR(IF(Z56="",0,Z56),"0")+IFERROR(IF(Z57="",0,Z57),"0")</f>
        <v>0.63122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335</v>
      </c>
      <c r="Y59" s="555">
        <f>IFERROR(SUM(Y52:Y57),"0")</f>
        <v>340.20000000000005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50</v>
      </c>
      <c r="Y61" s="554">
        <f>IFERROR(IF(X61="",0,CEILING((X61/$H61),1)*$H61),"")</f>
        <v>54</v>
      </c>
      <c r="Z61" s="36">
        <f>IFERROR(IF(Y61=0,"",ROUNDUP(Y61/H61,0)*0.01898),"")</f>
        <v>9.4899999999999998E-2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51.898148148148145</v>
      </c>
      <c r="BN61" s="64">
        <f>IFERROR(Y61*I61/H61,"0")</f>
        <v>56.05</v>
      </c>
      <c r="BO61" s="64">
        <f>IFERROR(1/J61*(X61/H61),"0")</f>
        <v>7.2337962962962965E-2</v>
      </c>
      <c r="BP61" s="64">
        <f>IFERROR(1/J61*(Y61/H61),"0")</f>
        <v>7.8125E-2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90</v>
      </c>
      <c r="Y63" s="554">
        <f>IFERROR(IF(X63="",0,CEILING((X63/$H63),1)*$H63),"")</f>
        <v>91.800000000000011</v>
      </c>
      <c r="Z63" s="36">
        <f>IFERROR(IF(Y63=0,"",ROUNDUP(Y63/H63,0)*0.00651),"")</f>
        <v>0.22134000000000001</v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95.999999999999986</v>
      </c>
      <c r="BN63" s="64">
        <f>IFERROR(Y63*I63/H63,"0")</f>
        <v>97.92</v>
      </c>
      <c r="BO63" s="64">
        <f>IFERROR(1/J63*(X63/H63),"0")</f>
        <v>0.18315018315018314</v>
      </c>
      <c r="BP63" s="64">
        <f>IFERROR(1/J63*(Y63/H63),"0")</f>
        <v>0.18681318681318682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37.962962962962962</v>
      </c>
      <c r="Y64" s="555">
        <f>IFERROR(Y61/H61,"0")+IFERROR(Y62/H62,"0")+IFERROR(Y63/H63,"0")</f>
        <v>39</v>
      </c>
      <c r="Z64" s="555">
        <f>IFERROR(IF(Z61="",0,Z61),"0")+IFERROR(IF(Z62="",0,Z62),"0")+IFERROR(IF(Z63="",0,Z63),"0")</f>
        <v>0.31624000000000002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140</v>
      </c>
      <c r="Y65" s="555">
        <f>IFERROR(SUM(Y61:Y63),"0")</f>
        <v>145.80000000000001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30</v>
      </c>
      <c r="Y79" s="554">
        <f>IFERROR(IF(X79="",0,CEILING((X79/$H79),1)*$H79),"")</f>
        <v>31.2</v>
      </c>
      <c r="Z79" s="36">
        <f>IFERROR(IF(Y79=0,"",ROUNDUP(Y79/H79,0)*0.01898),"")</f>
        <v>7.5920000000000001E-2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31.57692307692308</v>
      </c>
      <c r="BN79" s="64">
        <f>IFERROR(Y79*I79/H79,"0")</f>
        <v>32.840000000000003</v>
      </c>
      <c r="BO79" s="64">
        <f>IFERROR(1/J79*(X79/H79),"0")</f>
        <v>6.0096153846153848E-2</v>
      </c>
      <c r="BP79" s="64">
        <f>IFERROR(1/J79*(Y79/H79),"0")</f>
        <v>6.25E-2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3.8461538461538463</v>
      </c>
      <c r="Y81" s="555">
        <f>IFERROR(Y79/H79,"0")+IFERROR(Y80/H80,"0")</f>
        <v>4</v>
      </c>
      <c r="Z81" s="555">
        <f>IFERROR(IF(Z79="",0,Z79),"0")+IFERROR(IF(Z80="",0,Z80),"0")</f>
        <v>7.5920000000000001E-2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30</v>
      </c>
      <c r="Y82" s="555">
        <f>IFERROR(SUM(Y79:Y80),"0")</f>
        <v>31.2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50</v>
      </c>
      <c r="Y85" s="554">
        <f>IFERROR(IF(X85="",0,CEILING((X85/$H85),1)*$H85),"")</f>
        <v>54</v>
      </c>
      <c r="Z85" s="36">
        <f>IFERROR(IF(Y85=0,"",ROUNDUP(Y85/H85,0)*0.01898),"")</f>
        <v>9.4899999999999998E-2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51.898148148148145</v>
      </c>
      <c r="BN85" s="64">
        <f>IFERROR(Y85*I85/H85,"0")</f>
        <v>56.05</v>
      </c>
      <c r="BO85" s="64">
        <f>IFERROR(1/J85*(X85/H85),"0")</f>
        <v>7.2337962962962965E-2</v>
      </c>
      <c r="BP85" s="64">
        <f>IFERROR(1/J85*(Y85/H85),"0")</f>
        <v>7.8125E-2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135</v>
      </c>
      <c r="Y88" s="554">
        <f>IFERROR(IF(X88="",0,CEILING((X88/$H88),1)*$H88),"")</f>
        <v>135</v>
      </c>
      <c r="Z88" s="36">
        <f>IFERROR(IF(Y88=0,"",ROUNDUP(Y88/H88,0)*0.00902),"")</f>
        <v>0.27060000000000001</v>
      </c>
      <c r="AA88" s="56"/>
      <c r="AB88" s="57"/>
      <c r="AC88" s="133" t="s">
        <v>172</v>
      </c>
      <c r="AG88" s="64"/>
      <c r="AJ88" s="68"/>
      <c r="AK88" s="68">
        <v>0</v>
      </c>
      <c r="BB88" s="134" t="s">
        <v>1</v>
      </c>
      <c r="BM88" s="64">
        <f>IFERROR(X88*I88/H88,"0")</f>
        <v>140.70000000000002</v>
      </c>
      <c r="BN88" s="64">
        <f>IFERROR(Y88*I88/H88,"0")</f>
        <v>140.70000000000002</v>
      </c>
      <c r="BO88" s="64">
        <f>IFERROR(1/J88*(X88/H88),"0")</f>
        <v>0.22727272727272729</v>
      </c>
      <c r="BP88" s="64">
        <f>IFERROR(1/J88*(Y88/H88),"0")</f>
        <v>0.22727272727272729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34.629629629629633</v>
      </c>
      <c r="Y89" s="555">
        <f>IFERROR(Y85/H85,"0")+IFERROR(Y86/H86,"0")+IFERROR(Y87/H87,"0")+IFERROR(Y88/H88,"0")</f>
        <v>35</v>
      </c>
      <c r="Z89" s="555">
        <f>IFERROR(IF(Z85="",0,Z85),"0")+IFERROR(IF(Z86="",0,Z86),"0")+IFERROR(IF(Z87="",0,Z87),"0")+IFERROR(IF(Z88="",0,Z88),"0")</f>
        <v>0.36549999999999999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185</v>
      </c>
      <c r="Y90" s="555">
        <f>IFERROR(SUM(Y85:Y88),"0")</f>
        <v>189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550</v>
      </c>
      <c r="Y92" s="554">
        <f>IFERROR(IF(X92="",0,CEILING((X92/$H92),1)*$H92),"")</f>
        <v>550.79999999999995</v>
      </c>
      <c r="Z92" s="36">
        <f>IFERROR(IF(Y92=0,"",ROUNDUP(Y92/H92,0)*0.01898),"")</f>
        <v>1.29064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583.54320987654319</v>
      </c>
      <c r="BN92" s="64">
        <f>IFERROR(Y92*I92/H92,"0")</f>
        <v>584.39199999999994</v>
      </c>
      <c r="BO92" s="64">
        <f>IFERROR(1/J92*(X92/H92),"0")</f>
        <v>1.0609567901234569</v>
      </c>
      <c r="BP92" s="64">
        <f>IFERROR(1/J92*(Y92/H92),"0")</f>
        <v>1.0625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720</v>
      </c>
      <c r="Y94" s="554">
        <f>IFERROR(IF(X94="",0,CEILING((X94/$H94),1)*$H94),"")</f>
        <v>720.90000000000009</v>
      </c>
      <c r="Z94" s="36">
        <f>IFERROR(IF(Y94=0,"",ROUNDUP(Y94/H94,0)*0.00651),"")</f>
        <v>1.73817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787.19999999999993</v>
      </c>
      <c r="BN94" s="64">
        <f>IFERROR(Y94*I94/H94,"0")</f>
        <v>788.18400000000008</v>
      </c>
      <c r="BO94" s="64">
        <f>IFERROR(1/J94*(X94/H94),"0")</f>
        <v>1.4652014652014651</v>
      </c>
      <c r="BP94" s="64">
        <f>IFERROR(1/J94*(Y94/H94),"0")</f>
        <v>1.4670329670329672</v>
      </c>
    </row>
    <row r="95" spans="1:68" ht="16.5" customHeight="1" x14ac:dyDescent="0.25">
      <c r="A95" s="54" t="s">
        <v>188</v>
      </c>
      <c r="B95" s="54" t="s">
        <v>189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334.5679012345679</v>
      </c>
      <c r="Y96" s="555">
        <f>IFERROR(Y92/H92,"0")+IFERROR(Y93/H93,"0")+IFERROR(Y94/H94,"0")+IFERROR(Y95/H95,"0")</f>
        <v>335</v>
      </c>
      <c r="Z96" s="555">
        <f>IFERROR(IF(Z92="",0,Z92),"0")+IFERROR(IF(Z93="",0,Z93),"0")+IFERROR(IF(Z94="",0,Z94),"0")+IFERROR(IF(Z95="",0,Z95),"0")</f>
        <v>3.02881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1270</v>
      </c>
      <c r="Y97" s="555">
        <f>IFERROR(SUM(Y92:Y95),"0")</f>
        <v>1271.7</v>
      </c>
      <c r="Z97" s="37"/>
      <c r="AA97" s="556"/>
      <c r="AB97" s="556"/>
      <c r="AC97" s="556"/>
    </row>
    <row r="98" spans="1:68" ht="16.5" customHeight="1" x14ac:dyDescent="0.25">
      <c r="A98" s="567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195</v>
      </c>
      <c r="B101" s="54" t="s">
        <v>196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6.6</v>
      </c>
      <c r="Y101" s="554">
        <f>IFERROR(IF(X101="",0,CEILING((X101/$H101),1)*$H101),"")</f>
        <v>6.6000000000000005</v>
      </c>
      <c r="Z101" s="36">
        <f>IFERROR(IF(Y101=0,"",ROUNDUP(Y101/H101,0)*0.00726),"")</f>
        <v>4.3560000000000001E-2</v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7.8599999999999985</v>
      </c>
      <c r="BN101" s="64">
        <f>IFERROR(Y101*I101/H101,"0")</f>
        <v>7.86</v>
      </c>
      <c r="BO101" s="64">
        <f>IFERROR(1/J101*(X101/H101),"0")</f>
        <v>3.1249999999999993E-2</v>
      </c>
      <c r="BP101" s="64">
        <f>IFERROR(1/J101*(Y101/H101),"0")</f>
        <v>3.125E-2</v>
      </c>
    </row>
    <row r="102" spans="1:68" ht="37.5" customHeight="1" x14ac:dyDescent="0.25">
      <c r="A102" s="54" t="s">
        <v>198</v>
      </c>
      <c r="B102" s="54" t="s">
        <v>199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135</v>
      </c>
      <c r="Y103" s="554">
        <f>IFERROR(IF(X103="",0,CEILING((X103/$H103),1)*$H103),"")</f>
        <v>135</v>
      </c>
      <c r="Z103" s="36">
        <f>IFERROR(IF(Y103=0,"",ROUNDUP(Y103/H103,0)*0.00902),"")</f>
        <v>0.27060000000000001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140.70000000000002</v>
      </c>
      <c r="BN103" s="64">
        <f>IFERROR(Y103*I103/H103,"0")</f>
        <v>140.70000000000002</v>
      </c>
      <c r="BO103" s="64">
        <f>IFERROR(1/J103*(X103/H103),"0")</f>
        <v>0.22727272727272729</v>
      </c>
      <c r="BP103" s="64">
        <f>IFERROR(1/J103*(Y103/H103),"0")</f>
        <v>0.22727272727272729</v>
      </c>
    </row>
    <row r="104" spans="1:68" ht="37.5" customHeight="1" x14ac:dyDescent="0.25">
      <c r="A104" s="54" t="s">
        <v>202</v>
      </c>
      <c r="B104" s="54" t="s">
        <v>203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36</v>
      </c>
      <c r="Y105" s="555">
        <f>IFERROR(Y100/H100,"0")+IFERROR(Y101/H101,"0")+IFERROR(Y102/H102,"0")+IFERROR(Y103/H103,"0")+IFERROR(Y104/H104,"0")</f>
        <v>36</v>
      </c>
      <c r="Z105" s="555">
        <f>IFERROR(IF(Z100="",0,Z100),"0")+IFERROR(IF(Z101="",0,Z101),"0")+IFERROR(IF(Z102="",0,Z102),"0")+IFERROR(IF(Z103="",0,Z103),"0")+IFERROR(IF(Z104="",0,Z104),"0")</f>
        <v>0.31415999999999999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141.6</v>
      </c>
      <c r="Y106" s="555">
        <f>IFERROR(SUM(Y100:Y104),"0")</f>
        <v>141.6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5</v>
      </c>
      <c r="Y109" s="554">
        <f>IFERROR(IF(X109="",0,CEILING((X109/$H109),1)*$H109),"")</f>
        <v>5</v>
      </c>
      <c r="Z109" s="36">
        <f>IFERROR(IF(Y109=0,"",ROUNDUP(Y109/H109,0)*0.00358),"")</f>
        <v>1.7899999999999999E-2</v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6.05</v>
      </c>
      <c r="BN109" s="64">
        <f>IFERROR(Y109*I109/H109,"0")</f>
        <v>6.05</v>
      </c>
      <c r="BO109" s="64">
        <f>IFERROR(1/J109*(X109/H109),"0")</f>
        <v>1.2755102040816325E-2</v>
      </c>
      <c r="BP109" s="64">
        <f>IFERROR(1/J109*(Y109/H109),"0")</f>
        <v>1.2755102040816325E-2</v>
      </c>
    </row>
    <row r="110" spans="1:68" ht="16.5" customHeight="1" x14ac:dyDescent="0.25">
      <c r="A110" s="54" t="s">
        <v>211</v>
      </c>
      <c r="B110" s="54" t="s">
        <v>212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5</v>
      </c>
      <c r="Y112" s="555">
        <f>IFERROR(Y108/H108,"0")+IFERROR(Y109/H109,"0")+IFERROR(Y110/H110,"0")+IFERROR(Y111/H111,"0")</f>
        <v>5</v>
      </c>
      <c r="Z112" s="555">
        <f>IFERROR(IF(Z108="",0,Z108),"0")+IFERROR(IF(Z109="",0,Z109),"0")+IFERROR(IF(Z110="",0,Z110),"0")+IFERROR(IF(Z111="",0,Z111),"0")</f>
        <v>1.7899999999999999E-2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5</v>
      </c>
      <c r="Y113" s="555">
        <f>IFERROR(SUM(Y108:Y111),"0")</f>
        <v>5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215</v>
      </c>
      <c r="B115" s="54" t="s">
        <v>216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700</v>
      </c>
      <c r="Y115" s="554">
        <f>IFERROR(IF(X115="",0,CEILING((X115/$H115),1)*$H115),"")</f>
        <v>704.69999999999993</v>
      </c>
      <c r="Z115" s="36">
        <f>IFERROR(IF(Y115=0,"",ROUNDUP(Y115/H115,0)*0.01898),"")</f>
        <v>1.65126</v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742.17283950617275</v>
      </c>
      <c r="BN115" s="64">
        <f>IFERROR(Y115*I115/H115,"0")</f>
        <v>747.15599999999995</v>
      </c>
      <c r="BO115" s="64">
        <f>IFERROR(1/J115*(X115/H115),"0")</f>
        <v>1.3503086419753088</v>
      </c>
      <c r="BP115" s="64">
        <f>IFERROR(1/J115*(Y115/H115),"0")</f>
        <v>1.359375</v>
      </c>
    </row>
    <row r="116" spans="1:68" ht="27" customHeight="1" x14ac:dyDescent="0.25">
      <c r="A116" s="54" t="s">
        <v>218</v>
      </c>
      <c r="B116" s="54" t="s">
        <v>219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220</v>
      </c>
      <c r="B117" s="54" t="s">
        <v>221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720</v>
      </c>
      <c r="Y117" s="554">
        <f>IFERROR(IF(X117="",0,CEILING((X117/$H117),1)*$H117),"")</f>
        <v>720.90000000000009</v>
      </c>
      <c r="Z117" s="36">
        <f>IFERROR(IF(Y117=0,"",ROUNDUP(Y117/H117,0)*0.00651),"")</f>
        <v>1.73817</v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787.19999999999993</v>
      </c>
      <c r="BN117" s="64">
        <f>IFERROR(Y117*I117/H117,"0")</f>
        <v>788.18400000000008</v>
      </c>
      <c r="BO117" s="64">
        <f>IFERROR(1/J117*(X117/H117),"0")</f>
        <v>1.4652014652014651</v>
      </c>
      <c r="BP117" s="64">
        <f>IFERROR(1/J117*(Y117/H117),"0")</f>
        <v>1.4670329670329672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 t="s">
        <v>222</v>
      </c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60</v>
      </c>
      <c r="Y118" s="554">
        <f>IFERROR(IF(X118="",0,CEILING((X118/$H118),1)*$H118),"")</f>
        <v>61.2</v>
      </c>
      <c r="Z118" s="36">
        <f>IFERROR(IF(Y118=0,"",ROUNDUP(Y118/H118,0)*0.00651),"")</f>
        <v>0.22134000000000001</v>
      </c>
      <c r="AA118" s="56"/>
      <c r="AB118" s="57"/>
      <c r="AC118" s="167" t="s">
        <v>225</v>
      </c>
      <c r="AG118" s="64"/>
      <c r="AJ118" s="68" t="s">
        <v>108</v>
      </c>
      <c r="AK118" s="68">
        <v>25.2</v>
      </c>
      <c r="BB118" s="168" t="s">
        <v>1</v>
      </c>
      <c r="BM118" s="64">
        <f>IFERROR(X118*I118/H118,"0")</f>
        <v>66</v>
      </c>
      <c r="BN118" s="64">
        <f>IFERROR(Y118*I118/H118,"0")</f>
        <v>67.319999999999993</v>
      </c>
      <c r="BO118" s="64">
        <f>IFERROR(1/J118*(X118/H118),"0")</f>
        <v>0.18315018315018317</v>
      </c>
      <c r="BP118" s="64">
        <f>IFERROR(1/J118*(Y118/H118),"0")</f>
        <v>0.18681318681318682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386.41975308641969</v>
      </c>
      <c r="Y119" s="555">
        <f>IFERROR(Y115/H115,"0")+IFERROR(Y116/H116,"0")+IFERROR(Y117/H117,"0")+IFERROR(Y118/H118,"0")</f>
        <v>388</v>
      </c>
      <c r="Z119" s="555">
        <f>IFERROR(IF(Z115="",0,Z115),"0")+IFERROR(IF(Z116="",0,Z116),"0")+IFERROR(IF(Z117="",0,Z117),"0")+IFERROR(IF(Z118="",0,Z118),"0")</f>
        <v>3.61077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1480</v>
      </c>
      <c r="Y120" s="555">
        <f>IFERROR(SUM(Y115:Y118),"0")</f>
        <v>1486.8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 t="s">
        <v>222</v>
      </c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33</v>
      </c>
      <c r="Y122" s="554">
        <f>IFERROR(IF(X122="",0,CEILING((X122/$H122),1)*$H122),"")</f>
        <v>33.659999999999997</v>
      </c>
      <c r="Z122" s="36">
        <f>IFERROR(IF(Y122=0,"",ROUNDUP(Y122/H122,0)*0.00651),"")</f>
        <v>0.11067</v>
      </c>
      <c r="AA122" s="56"/>
      <c r="AB122" s="57"/>
      <c r="AC122" s="169" t="s">
        <v>228</v>
      </c>
      <c r="AG122" s="64"/>
      <c r="AJ122" s="68" t="s">
        <v>108</v>
      </c>
      <c r="AK122" s="68">
        <v>27.72</v>
      </c>
      <c r="BB122" s="170" t="s">
        <v>1</v>
      </c>
      <c r="BM122" s="64">
        <f>IFERROR(X122*I122/H122,"0")</f>
        <v>37.299999999999997</v>
      </c>
      <c r="BN122" s="64">
        <f>IFERROR(Y122*I122/H122,"0")</f>
        <v>38.045999999999992</v>
      </c>
      <c r="BO122" s="64">
        <f>IFERROR(1/J122*(X122/H122),"0")</f>
        <v>9.1575091575091583E-2</v>
      </c>
      <c r="BP122" s="64">
        <f>IFERROR(1/J122*(Y122/H122),"0")</f>
        <v>9.3406593406593408E-2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16.666666666666668</v>
      </c>
      <c r="Y123" s="555">
        <f>IFERROR(Y122/H122,"0")</f>
        <v>17</v>
      </c>
      <c r="Z123" s="555">
        <f>IFERROR(IF(Z122="",0,Z122),"0")</f>
        <v>0.11067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33</v>
      </c>
      <c r="Y124" s="555">
        <f>IFERROR(SUM(Y122:Y122),"0")</f>
        <v>33.659999999999997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222</v>
      </c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20</v>
      </c>
      <c r="Y127" s="554">
        <f>IFERROR(IF(X127="",0,CEILING((X127/$H127),1)*$H127),"")</f>
        <v>22.400000000000002</v>
      </c>
      <c r="Z127" s="36">
        <f>IFERROR(IF(Y127=0,"",ROUNDUP(Y127/H127,0)*0.00651),"")</f>
        <v>4.5569999999999999E-2</v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21.124999999999996</v>
      </c>
      <c r="BN127" s="64">
        <f>IFERROR(Y127*I127/H127,"0")</f>
        <v>23.66</v>
      </c>
      <c r="BO127" s="64">
        <f>IFERROR(1/J127*(X127/H127),"0")</f>
        <v>3.4340659340659344E-2</v>
      </c>
      <c r="BP127" s="64">
        <f>IFERROR(1/J127*(Y127/H127),"0")</f>
        <v>3.8461538461538464E-2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6.25</v>
      </c>
      <c r="Y129" s="555">
        <f>IFERROR(Y127/H127,"0")+IFERROR(Y128/H128,"0")</f>
        <v>7</v>
      </c>
      <c r="Z129" s="555">
        <f>IFERROR(IF(Z127="",0,Z127),"0")+IFERROR(IF(Z128="",0,Z128),"0")</f>
        <v>4.5569999999999999E-2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20</v>
      </c>
      <c r="Y130" s="555">
        <f>IFERROR(SUM(Y127:Y128),"0")</f>
        <v>22.400000000000002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222</v>
      </c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 t="s">
        <v>222</v>
      </c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39.6</v>
      </c>
      <c r="Y138" s="554">
        <f>IFERROR(IF(X138="",0,CEILING((X138/$H138),1)*$H138),"")</f>
        <v>39.6</v>
      </c>
      <c r="Z138" s="36">
        <f>IFERROR(IF(Y138=0,"",ROUNDUP(Y138/H138,0)*0.00651),"")</f>
        <v>9.7650000000000001E-2</v>
      </c>
      <c r="AA138" s="56"/>
      <c r="AB138" s="57"/>
      <c r="AC138" s="181" t="s">
        <v>232</v>
      </c>
      <c r="AG138" s="64"/>
      <c r="AJ138" s="68" t="s">
        <v>108</v>
      </c>
      <c r="AK138" s="68">
        <v>36.96</v>
      </c>
      <c r="BB138" s="182" t="s">
        <v>1</v>
      </c>
      <c r="BM138" s="64">
        <f>IFERROR(X138*I138/H138,"0")</f>
        <v>43.62</v>
      </c>
      <c r="BN138" s="64">
        <f>IFERROR(Y138*I138/H138,"0")</f>
        <v>43.62</v>
      </c>
      <c r="BO138" s="64">
        <f>IFERROR(1/J138*(X138/H138),"0")</f>
        <v>8.241758241758243E-2</v>
      </c>
      <c r="BP138" s="64">
        <f>IFERROR(1/J138*(Y138/H138),"0")</f>
        <v>8.241758241758243E-2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15</v>
      </c>
      <c r="Y139" s="555">
        <f>IFERROR(Y137/H137,"0")+IFERROR(Y138/H138,"0")</f>
        <v>15</v>
      </c>
      <c r="Z139" s="555">
        <f>IFERROR(IF(Z137="",0,Z137),"0")+IFERROR(IF(Z138="",0,Z138),"0")</f>
        <v>9.7650000000000001E-2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39.6</v>
      </c>
      <c r="Y140" s="555">
        <f>IFERROR(SUM(Y137:Y138),"0")</f>
        <v>39.6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20</v>
      </c>
      <c r="Y149" s="554">
        <f t="shared" si="5"/>
        <v>21</v>
      </c>
      <c r="Z149" s="36">
        <f>IFERROR(IF(Y149=0,"",ROUNDUP(Y149/H149,0)*0.00902),"")</f>
        <v>4.5100000000000001E-2</v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20.904761904761902</v>
      </c>
      <c r="BN149" s="64">
        <f t="shared" si="7"/>
        <v>21.95</v>
      </c>
      <c r="BO149" s="64">
        <f t="shared" si="8"/>
        <v>3.6075036075036072E-2</v>
      </c>
      <c r="BP149" s="64">
        <f t="shared" si="9"/>
        <v>3.787878787878788E-2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40</v>
      </c>
      <c r="Y151" s="554">
        <f t="shared" si="5"/>
        <v>42</v>
      </c>
      <c r="Z151" s="36">
        <f>IFERROR(IF(Y151=0,"",ROUNDUP(Y151/H151,0)*0.00902),"")</f>
        <v>9.0200000000000002E-2</v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41.809523809523803</v>
      </c>
      <c r="BN151" s="64">
        <f t="shared" si="7"/>
        <v>43.9</v>
      </c>
      <c r="BO151" s="64">
        <f t="shared" si="8"/>
        <v>7.2150072150072145E-2</v>
      </c>
      <c r="BP151" s="64">
        <f t="shared" si="9"/>
        <v>7.575757575757576E-2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50</v>
      </c>
      <c r="Y153" s="554">
        <f t="shared" si="5"/>
        <v>50.400000000000006</v>
      </c>
      <c r="Z153" s="36">
        <f>IFERROR(IF(Y153=0,"",ROUNDUP(Y153/H153,0)*0.00902),"")</f>
        <v>0.10824</v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52.261904761904752</v>
      </c>
      <c r="BN153" s="64">
        <f t="shared" si="7"/>
        <v>52.68</v>
      </c>
      <c r="BO153" s="64">
        <f t="shared" si="8"/>
        <v>9.0187590187590191E-2</v>
      </c>
      <c r="BP153" s="64">
        <f t="shared" si="9"/>
        <v>9.0909090909090912E-2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26.19047619047619</v>
      </c>
      <c r="Y154" s="555">
        <f>IFERROR(Y148/H148,"0")+IFERROR(Y149/H149,"0")+IFERROR(Y150/H150,"0")+IFERROR(Y151/H151,"0")+IFERROR(Y152/H152,"0")+IFERROR(Y153/H153,"0")</f>
        <v>27</v>
      </c>
      <c r="Z154" s="555">
        <f>IFERROR(IF(Z148="",0,Z148),"0")+IFERROR(IF(Z149="",0,Z149),"0")+IFERROR(IF(Z150="",0,Z150),"0")+IFERROR(IF(Z151="",0,Z151),"0")+IFERROR(IF(Z152="",0,Z152),"0")+IFERROR(IF(Z153="",0,Z153),"0")</f>
        <v>0.24354000000000001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110</v>
      </c>
      <c r="Y155" s="555">
        <f>IFERROR(SUM(Y148:Y153),"0")</f>
        <v>113.4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 t="s">
        <v>114</v>
      </c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 t="s">
        <v>108</v>
      </c>
      <c r="AK170" s="68">
        <v>50.4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130</v>
      </c>
      <c r="Y171" s="554">
        <f t="shared" si="10"/>
        <v>130.20000000000002</v>
      </c>
      <c r="Z171" s="36">
        <f>IFERROR(IF(Y171=0,"",ROUNDUP(Y171/H171,0)*0.00902),"")</f>
        <v>0.27961999999999998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135.88095238095235</v>
      </c>
      <c r="BN171" s="64">
        <f t="shared" si="12"/>
        <v>136.09</v>
      </c>
      <c r="BO171" s="64">
        <f t="shared" si="13"/>
        <v>0.23448773448773449</v>
      </c>
      <c r="BP171" s="64">
        <f t="shared" si="14"/>
        <v>0.23484848484848489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8</v>
      </c>
      <c r="Y172" s="554">
        <f t="shared" si="10"/>
        <v>8</v>
      </c>
      <c r="Z172" s="36">
        <f>IFERROR(IF(Y172=0,"",ROUNDUP(Y172/H172,0)*0.00556),"")</f>
        <v>5.5599999999999997E-2</v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9.3000000000000007</v>
      </c>
      <c r="BN172" s="64">
        <f t="shared" si="12"/>
        <v>9.3000000000000007</v>
      </c>
      <c r="BO172" s="64">
        <f t="shared" si="13"/>
        <v>4.6296296296296294E-2</v>
      </c>
      <c r="BP172" s="64">
        <f t="shared" si="14"/>
        <v>4.6296296296296294E-2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105</v>
      </c>
      <c r="Y173" s="554">
        <f t="shared" si="10"/>
        <v>105</v>
      </c>
      <c r="Z173" s="36">
        <f>IFERROR(IF(Y173=0,"",ROUNDUP(Y173/H173,0)*0.00502),"")</f>
        <v>0.251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111.5</v>
      </c>
      <c r="BN173" s="64">
        <f t="shared" si="12"/>
        <v>111.5</v>
      </c>
      <c r="BO173" s="64">
        <f t="shared" si="13"/>
        <v>0.21367521367521369</v>
      </c>
      <c r="BP173" s="64">
        <f t="shared" si="14"/>
        <v>0.21367521367521369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108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8</v>
      </c>
      <c r="Y177" s="554">
        <f t="shared" si="10"/>
        <v>8</v>
      </c>
      <c r="Z177" s="36">
        <f>IFERROR(IF(Y177=0,"",ROUNDUP(Y177/H177,0)*0.00417),"")</f>
        <v>4.1700000000000001E-2</v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10.1</v>
      </c>
      <c r="BN177" s="64">
        <f t="shared" si="12"/>
        <v>10.1</v>
      </c>
      <c r="BO177" s="64">
        <f t="shared" si="13"/>
        <v>2.976190476190476E-2</v>
      </c>
      <c r="BP177" s="64">
        <f t="shared" si="14"/>
        <v>2.976190476190476E-2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100.95238095238095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101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0.62791999999999992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251</v>
      </c>
      <c r="Y182" s="555">
        <f>IFERROR(SUM(Y167:Y180),"0")</f>
        <v>251.20000000000002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10.5</v>
      </c>
      <c r="Y184" s="554">
        <f>IFERROR(IF(X184="",0,CEILING((X184/$H184),1)*$H184),"")</f>
        <v>11.34</v>
      </c>
      <c r="Z184" s="36">
        <f>IFERROR(IF(Y184=0,"",ROUNDUP(Y184/H184,0)*0.0059),"")</f>
        <v>5.3100000000000001E-2</v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12.083333333333332</v>
      </c>
      <c r="BN184" s="64">
        <f>IFERROR(Y184*I184/H184,"0")</f>
        <v>13.049999999999999</v>
      </c>
      <c r="BO184" s="64">
        <f>IFERROR(1/J184*(X184/H184),"0")</f>
        <v>3.8580246913580245E-2</v>
      </c>
      <c r="BP184" s="64">
        <f>IFERROR(1/J184*(Y184/H184),"0")</f>
        <v>4.1666666666666664E-2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8.3333333333333339</v>
      </c>
      <c r="Y187" s="555">
        <f>IFERROR(Y184/H184,"0")+IFERROR(Y185/H185,"0")+IFERROR(Y186/H186,"0")</f>
        <v>9</v>
      </c>
      <c r="Z187" s="555">
        <f>IFERROR(IF(Z184="",0,Z184),"0")+IFERROR(IF(Z185="",0,Z185),"0")+IFERROR(IF(Z186="",0,Z186),"0")</f>
        <v>5.3100000000000001E-2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10.5</v>
      </c>
      <c r="Y188" s="555">
        <f>IFERROR(SUM(Y184:Y186),"0")</f>
        <v>11.34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50</v>
      </c>
      <c r="Y205" s="554">
        <f t="shared" ref="Y205:Y212" si="15">IFERROR(IF(X205="",0,CEILING((X205/$H205),1)*$H205),"")</f>
        <v>54</v>
      </c>
      <c r="Z205" s="36">
        <f>IFERROR(IF(Y205=0,"",ROUNDUP(Y205/H205,0)*0.00902),"")</f>
        <v>9.0200000000000002E-2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51.759259259259252</v>
      </c>
      <c r="BN205" s="64">
        <f t="shared" ref="BN205:BN212" si="17">IFERROR(Y205*I205/H205,"0")</f>
        <v>55.9</v>
      </c>
      <c r="BO205" s="64">
        <f t="shared" ref="BO205:BO212" si="18">IFERROR(1/J205*(X205/H205),"0")</f>
        <v>7.0145903479236812E-2</v>
      </c>
      <c r="BP205" s="64">
        <f t="shared" ref="BP205:BP212" si="19">IFERROR(1/J205*(Y205/H205),"0")</f>
        <v>7.575757575757576E-2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120</v>
      </c>
      <c r="Y207" s="554">
        <f t="shared" si="15"/>
        <v>124.2</v>
      </c>
      <c r="Z207" s="36">
        <f>IFERROR(IF(Y207=0,"",ROUNDUP(Y207/H207,0)*0.00902),"")</f>
        <v>0.20746000000000001</v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124.2222222222222</v>
      </c>
      <c r="BN207" s="64">
        <f t="shared" si="17"/>
        <v>128.57</v>
      </c>
      <c r="BO207" s="64">
        <f t="shared" si="18"/>
        <v>0.16835016835016836</v>
      </c>
      <c r="BP207" s="64">
        <f t="shared" si="19"/>
        <v>0.17424242424242425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 t="s">
        <v>296</v>
      </c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30</v>
      </c>
      <c r="Y211" s="554">
        <f t="shared" si="15"/>
        <v>30.6</v>
      </c>
      <c r="Z211" s="36">
        <f>IFERROR(IF(Y211=0,"",ROUNDUP(Y211/H211,0)*0.00502),"")</f>
        <v>8.5339999999999999E-2</v>
      </c>
      <c r="AA211" s="56"/>
      <c r="AB211" s="57"/>
      <c r="AC211" s="259" t="s">
        <v>346</v>
      </c>
      <c r="AG211" s="64"/>
      <c r="AJ211" s="68" t="s">
        <v>108</v>
      </c>
      <c r="AK211" s="68">
        <v>32.4</v>
      </c>
      <c r="BB211" s="260" t="s">
        <v>1</v>
      </c>
      <c r="BM211" s="64">
        <f t="shared" si="16"/>
        <v>31.666666666666664</v>
      </c>
      <c r="BN211" s="64">
        <f t="shared" si="17"/>
        <v>32.299999999999997</v>
      </c>
      <c r="BO211" s="64">
        <f t="shared" si="18"/>
        <v>7.122507122507124E-2</v>
      </c>
      <c r="BP211" s="64">
        <f t="shared" si="19"/>
        <v>7.2649572649572655E-2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48.148148148148152</v>
      </c>
      <c r="Y213" s="555">
        <f>IFERROR(Y205/H205,"0")+IFERROR(Y206/H206,"0")+IFERROR(Y207/H207,"0")+IFERROR(Y208/H208,"0")+IFERROR(Y209/H209,"0")+IFERROR(Y210/H210,"0")+IFERROR(Y211/H211,"0")+IFERROR(Y212/H212,"0")</f>
        <v>50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0.38300000000000001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200</v>
      </c>
      <c r="Y214" s="555">
        <f>IFERROR(SUM(Y205:Y212),"0")</f>
        <v>208.79999999999998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50</v>
      </c>
      <c r="Y218" s="554">
        <f t="shared" si="20"/>
        <v>52.199999999999996</v>
      </c>
      <c r="Z218" s="36">
        <f>IFERROR(IF(Y218=0,"",ROUNDUP(Y218/H218,0)*0.01898),"")</f>
        <v>0.11388000000000001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52.839080459770123</v>
      </c>
      <c r="BN218" s="64">
        <f t="shared" si="22"/>
        <v>55.164000000000009</v>
      </c>
      <c r="BO218" s="64">
        <f t="shared" si="23"/>
        <v>8.9798850574712652E-2</v>
      </c>
      <c r="BP218" s="64">
        <f t="shared" si="24"/>
        <v>9.375E-2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360</v>
      </c>
      <c r="Y219" s="554">
        <f t="shared" si="20"/>
        <v>360</v>
      </c>
      <c r="Z219" s="36">
        <f t="shared" ref="Z219:Z224" si="25">IFERROR(IF(Y219=0,"",ROUNDUP(Y219/H219,0)*0.00651),"")</f>
        <v>0.97650000000000003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400.5</v>
      </c>
      <c r="BN219" s="64">
        <f t="shared" si="22"/>
        <v>400.5</v>
      </c>
      <c r="BO219" s="64">
        <f t="shared" si="23"/>
        <v>0.82417582417582425</v>
      </c>
      <c r="BP219" s="64">
        <f t="shared" si="24"/>
        <v>0.82417582417582425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222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280</v>
      </c>
      <c r="Y221" s="554">
        <f t="shared" si="20"/>
        <v>280.8</v>
      </c>
      <c r="Z221" s="36">
        <f t="shared" si="25"/>
        <v>0.76167000000000007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309.40000000000003</v>
      </c>
      <c r="BN221" s="64">
        <f t="shared" si="22"/>
        <v>310.28400000000005</v>
      </c>
      <c r="BO221" s="64">
        <f t="shared" si="23"/>
        <v>0.64102564102564108</v>
      </c>
      <c r="BP221" s="64">
        <f t="shared" si="24"/>
        <v>0.64285714285714302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/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/>
      <c r="AK222" s="68">
        <v>0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222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128</v>
      </c>
      <c r="Y223" s="554">
        <f t="shared" si="20"/>
        <v>129.6</v>
      </c>
      <c r="Z223" s="36">
        <f t="shared" si="25"/>
        <v>0.35154000000000002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141.44000000000003</v>
      </c>
      <c r="BN223" s="64">
        <f t="shared" si="22"/>
        <v>143.20800000000003</v>
      </c>
      <c r="BO223" s="64">
        <f t="shared" si="23"/>
        <v>0.29304029304029305</v>
      </c>
      <c r="BP223" s="64">
        <f t="shared" si="24"/>
        <v>0.2967032967032967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222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320</v>
      </c>
      <c r="Y224" s="554">
        <f t="shared" si="20"/>
        <v>321.59999999999997</v>
      </c>
      <c r="Z224" s="36">
        <f t="shared" si="25"/>
        <v>0.87234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354.4</v>
      </c>
      <c r="BN224" s="64">
        <f t="shared" si="22"/>
        <v>356.17199999999997</v>
      </c>
      <c r="BO224" s="64">
        <f t="shared" si="23"/>
        <v>0.73260073260073266</v>
      </c>
      <c r="BP224" s="64">
        <f t="shared" si="24"/>
        <v>0.73626373626373631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459.08045977011489</v>
      </c>
      <c r="Y225" s="555">
        <f>IFERROR(Y216/H216,"0")+IFERROR(Y217/H217,"0")+IFERROR(Y218/H218,"0")+IFERROR(Y219/H219,"0")+IFERROR(Y220/H220,"0")+IFERROR(Y221/H221,"0")+IFERROR(Y222/H222,"0")+IFERROR(Y223/H223,"0")+IFERROR(Y224/H224,"0")</f>
        <v>461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3.0759300000000001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1138</v>
      </c>
      <c r="Y226" s="555">
        <f>IFERROR(SUM(Y216:Y224),"0")</f>
        <v>1144.2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222</v>
      </c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222</v>
      </c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20</v>
      </c>
      <c r="Y229" s="554">
        <f>IFERROR(IF(X229="",0,CEILING((X229/$H229),1)*$H229),"")</f>
        <v>21.599999999999998</v>
      </c>
      <c r="Z229" s="36">
        <f>IFERROR(IF(Y229=0,"",ROUNDUP(Y229/H229,0)*0.00651),"")</f>
        <v>5.8590000000000003E-2</v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22.100000000000005</v>
      </c>
      <c r="BN229" s="64">
        <f>IFERROR(Y229*I229/H229,"0")</f>
        <v>23.868000000000002</v>
      </c>
      <c r="BO229" s="64">
        <f>IFERROR(1/J229*(X229/H229),"0")</f>
        <v>4.5787545787545791E-2</v>
      </c>
      <c r="BP229" s="64">
        <f>IFERROR(1/J229*(Y229/H229),"0")</f>
        <v>4.9450549450549455E-2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8.3333333333333339</v>
      </c>
      <c r="Y230" s="555">
        <f>IFERROR(Y228/H228,"0")+IFERROR(Y229/H229,"0")</f>
        <v>9</v>
      </c>
      <c r="Z230" s="555">
        <f>IFERROR(IF(Z228="",0,Z228),"0")+IFERROR(IF(Z229="",0,Z229),"0")</f>
        <v>5.8590000000000003E-2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20</v>
      </c>
      <c r="Y231" s="555">
        <f>IFERROR(SUM(Y228:Y229),"0")</f>
        <v>21.599999999999998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50</v>
      </c>
      <c r="Y234" s="554">
        <f t="shared" ref="Y234:Y242" si="26">IFERROR(IF(X234="",0,CEILING((X234/$H234),1)*$H234),"")</f>
        <v>58</v>
      </c>
      <c r="Z234" s="36">
        <f>IFERROR(IF(Y234=0,"",ROUNDUP(Y234/H234,0)*0.01898),"")</f>
        <v>9.4899999999999998E-2</v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51.767241379310349</v>
      </c>
      <c r="BN234" s="64">
        <f t="shared" ref="BN234:BN242" si="28">IFERROR(Y234*I234/H234,"0")</f>
        <v>60.050000000000004</v>
      </c>
      <c r="BO234" s="64">
        <f t="shared" ref="BO234:BO242" si="29">IFERROR(1/J234*(X234/H234),"0")</f>
        <v>6.7349137931034489E-2</v>
      </c>
      <c r="BP234" s="64">
        <f t="shared" ref="BP234:BP242" si="30">IFERROR(1/J234*(Y234/H234),"0")</f>
        <v>7.8125E-2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 t="s">
        <v>105</v>
      </c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 t="s">
        <v>108</v>
      </c>
      <c r="AK236" s="68">
        <v>92.8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 t="s">
        <v>114</v>
      </c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108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4.3103448275862073</v>
      </c>
      <c r="Y243" s="555">
        <f>IFERROR(Y234/H234,"0")+IFERROR(Y235/H235,"0")+IFERROR(Y236/H236,"0")+IFERROR(Y237/H237,"0")+IFERROR(Y238/H238,"0")+IFERROR(Y239/H239,"0")+IFERROR(Y240/H240,"0")+IFERROR(Y241/H241,"0")+IFERROR(Y242/H242,"0")</f>
        <v>5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9.4899999999999998E-2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50</v>
      </c>
      <c r="Y244" s="555">
        <f>IFERROR(SUM(Y234:Y242),"0")</f>
        <v>58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222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120</v>
      </c>
      <c r="Y281" s="554">
        <f>IFERROR(IF(X281="",0,CEILING((X281/$H281),1)*$H281),"")</f>
        <v>120</v>
      </c>
      <c r="Z281" s="36">
        <f>IFERROR(IF(Y281=0,"",ROUNDUP(Y281/H281,0)*0.00651),"")</f>
        <v>0.32550000000000001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132.60000000000002</v>
      </c>
      <c r="BN281" s="64">
        <f>IFERROR(Y281*I281/H281,"0")</f>
        <v>132.60000000000002</v>
      </c>
      <c r="BO281" s="64">
        <f>IFERROR(1/J281*(X281/H281),"0")</f>
        <v>0.27472527472527475</v>
      </c>
      <c r="BP281" s="64">
        <f>IFERROR(1/J281*(Y281/H281),"0")</f>
        <v>0.27472527472527475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/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180</v>
      </c>
      <c r="Y282" s="554">
        <f>IFERROR(IF(X282="",0,CEILING((X282/$H282),1)*$H282),"")</f>
        <v>180</v>
      </c>
      <c r="Z282" s="36">
        <f>IFERROR(IF(Y282=0,"",ROUNDUP(Y282/H282,0)*0.00651),"")</f>
        <v>0.48825000000000002</v>
      </c>
      <c r="AA282" s="56"/>
      <c r="AB282" s="57"/>
      <c r="AC282" s="339" t="s">
        <v>458</v>
      </c>
      <c r="AG282" s="64"/>
      <c r="AJ282" s="68"/>
      <c r="AK282" s="68">
        <v>0</v>
      </c>
      <c r="BB282" s="340" t="s">
        <v>1</v>
      </c>
      <c r="BM282" s="64">
        <f>IFERROR(X282*I282/H282,"0")</f>
        <v>193.50000000000003</v>
      </c>
      <c r="BN282" s="64">
        <f>IFERROR(Y282*I282/H282,"0")</f>
        <v>193.50000000000003</v>
      </c>
      <c r="BO282" s="64">
        <f>IFERROR(1/J282*(X282/H282),"0")</f>
        <v>0.41208791208791212</v>
      </c>
      <c r="BP282" s="64">
        <f>IFERROR(1/J282*(Y282/H282),"0")</f>
        <v>0.41208791208791212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125</v>
      </c>
      <c r="Y283" s="555">
        <f>IFERROR(Y280/H280,"0")+IFERROR(Y281/H281,"0")+IFERROR(Y282/H282,"0")</f>
        <v>125</v>
      </c>
      <c r="Z283" s="555">
        <f>IFERROR(IF(Z280="",0,Z280),"0")+IFERROR(IF(Z281="",0,Z281),"0")+IFERROR(IF(Z282="",0,Z282),"0")</f>
        <v>0.81374999999999997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300</v>
      </c>
      <c r="Y284" s="555">
        <f>IFERROR(SUM(Y280:Y282),"0")</f>
        <v>300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 t="s">
        <v>296</v>
      </c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 t="s">
        <v>108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70</v>
      </c>
      <c r="Y310" s="554">
        <f t="shared" si="31"/>
        <v>71.400000000000006</v>
      </c>
      <c r="Z310" s="36">
        <f>IFERROR(IF(Y310=0,"",ROUNDUP(Y310/H310,0)*0.00502),"")</f>
        <v>0.17068</v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73.333333333333329</v>
      </c>
      <c r="BN310" s="64">
        <f t="shared" si="33"/>
        <v>74.8</v>
      </c>
      <c r="BO310" s="64">
        <f t="shared" si="34"/>
        <v>0.14245014245014245</v>
      </c>
      <c r="BP310" s="64">
        <f t="shared" si="35"/>
        <v>0.14529914529914531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 t="s">
        <v>222</v>
      </c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 t="s">
        <v>108</v>
      </c>
      <c r="AK311" s="68">
        <v>25.2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33.333333333333329</v>
      </c>
      <c r="Y312" s="555">
        <f>IFERROR(Y306/H306,"0")+IFERROR(Y307/H307,"0")+IFERROR(Y308/H308,"0")+IFERROR(Y309/H309,"0")+IFERROR(Y310/H310,"0")+IFERROR(Y311/H311,"0")</f>
        <v>34</v>
      </c>
      <c r="Z312" s="555">
        <f>IFERROR(IF(Z306="",0,Z306),"0")+IFERROR(IF(Z307="",0,Z307),"0")+IFERROR(IF(Z308="",0,Z308),"0")+IFERROR(IF(Z309="",0,Z309),"0")+IFERROR(IF(Z310="",0,Z310),"0")+IFERROR(IF(Z311="",0,Z311),"0")</f>
        <v>0.17068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70</v>
      </c>
      <c r="Y313" s="555">
        <f>IFERROR(SUM(Y306:Y311),"0")</f>
        <v>71.400000000000006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30</v>
      </c>
      <c r="Y322" s="554">
        <f>IFERROR(IF(X322="",0,CEILING((X322/$H322),1)*$H322),"")</f>
        <v>33.6</v>
      </c>
      <c r="Z322" s="36">
        <f>IFERROR(IF(Y322=0,"",ROUNDUP(Y322/H322,0)*0.01898),"")</f>
        <v>7.5920000000000001E-2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31.764285714285712</v>
      </c>
      <c r="BN322" s="64">
        <f>IFERROR(Y322*I322/H322,"0")</f>
        <v>35.576000000000001</v>
      </c>
      <c r="BO322" s="64">
        <f>IFERROR(1/J322*(X322/H322),"0")</f>
        <v>5.5803571428571425E-2</v>
      </c>
      <c r="BP322" s="64">
        <f>IFERROR(1/J322*(Y322/H322),"0")</f>
        <v>6.25E-2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500</v>
      </c>
      <c r="Y323" s="554">
        <f>IFERROR(IF(X323="",0,CEILING((X323/$H323),1)*$H323),"")</f>
        <v>507</v>
      </c>
      <c r="Z323" s="36">
        <f>IFERROR(IF(Y323=0,"",ROUNDUP(Y323/H323,0)*0.01898),"")</f>
        <v>1.2337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531.66666666666663</v>
      </c>
      <c r="BN323" s="64">
        <f>IFERROR(Y323*I323/H323,"0")</f>
        <v>539.11</v>
      </c>
      <c r="BO323" s="64">
        <f>IFERROR(1/J323*(X323/H323),"0")</f>
        <v>1.0016025641025641</v>
      </c>
      <c r="BP323" s="64">
        <f>IFERROR(1/J323*(Y323/H323),"0")</f>
        <v>1.015625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200</v>
      </c>
      <c r="Y324" s="554">
        <f>IFERROR(IF(X324="",0,CEILING((X324/$H324),1)*$H324),"")</f>
        <v>201.60000000000002</v>
      </c>
      <c r="Z324" s="36">
        <f>IFERROR(IF(Y324=0,"",ROUNDUP(Y324/H324,0)*0.01898),"")</f>
        <v>0.45552000000000004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211.76190476190476</v>
      </c>
      <c r="BN324" s="64">
        <f>IFERROR(Y324*I324/H324,"0")</f>
        <v>213.45600000000002</v>
      </c>
      <c r="BO324" s="64">
        <f>IFERROR(1/J324*(X324/H324),"0")</f>
        <v>0.37202380952380953</v>
      </c>
      <c r="BP324" s="64">
        <f>IFERROR(1/J324*(Y324/H324),"0")</f>
        <v>0.375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91.483516483516482</v>
      </c>
      <c r="Y325" s="555">
        <f>IFERROR(Y322/H322,"0")+IFERROR(Y323/H323,"0")+IFERROR(Y324/H324,"0")</f>
        <v>93</v>
      </c>
      <c r="Z325" s="555">
        <f>IFERROR(IF(Z322="",0,Z322),"0")+IFERROR(IF(Z323="",0,Z323),"0")+IFERROR(IF(Z324="",0,Z324),"0")</f>
        <v>1.7651400000000002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730</v>
      </c>
      <c r="Y326" s="555">
        <f>IFERROR(SUM(Y322:Y324),"0")</f>
        <v>742.2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222</v>
      </c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17</v>
      </c>
      <c r="Y330" s="554">
        <f>IFERROR(IF(X330="",0,CEILING((X330/$H330),1)*$H330),"")</f>
        <v>17.849999999999998</v>
      </c>
      <c r="Z330" s="36">
        <f>IFERROR(IF(Y330=0,"",ROUNDUP(Y330/H330,0)*0.00651),"")</f>
        <v>4.5569999999999999E-2</v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19.700000000000003</v>
      </c>
      <c r="BN330" s="64">
        <f>IFERROR(Y330*I330/H330,"0")</f>
        <v>20.684999999999999</v>
      </c>
      <c r="BO330" s="64">
        <f>IFERROR(1/J330*(X330/H330),"0")</f>
        <v>3.6630036630036632E-2</v>
      </c>
      <c r="BP330" s="64">
        <f>IFERROR(1/J330*(Y330/H330),"0")</f>
        <v>3.8461538461538464E-2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222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6.666666666666667</v>
      </c>
      <c r="Y332" s="555">
        <f>IFERROR(Y328/H328,"0")+IFERROR(Y329/H329,"0")+IFERROR(Y330/H330,"0")+IFERROR(Y331/H331,"0")</f>
        <v>7</v>
      </c>
      <c r="Z332" s="555">
        <f>IFERROR(IF(Z328="",0,Z328),"0")+IFERROR(IF(Z329="",0,Z329),"0")+IFERROR(IF(Z330="",0,Z330),"0")+IFERROR(IF(Z331="",0,Z331),"0")</f>
        <v>4.5569999999999999E-2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17</v>
      </c>
      <c r="Y333" s="555">
        <f>IFERROR(SUM(Y328:Y331),"0")</f>
        <v>17.849999999999998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222</v>
      </c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222</v>
      </c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222</v>
      </c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700</v>
      </c>
      <c r="Y343" s="554">
        <f>IFERROR(IF(X343="",0,CEILING((X343/$H343),1)*$H343),"")</f>
        <v>701.4</v>
      </c>
      <c r="Z343" s="36">
        <f>IFERROR(IF(Y343=0,"",ROUNDUP(Y343/H343,0)*0.00651),"")</f>
        <v>2.1743399999999999</v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783.99999999999989</v>
      </c>
      <c r="BN343" s="64">
        <f>IFERROR(Y343*I343/H343,"0")</f>
        <v>785.56799999999987</v>
      </c>
      <c r="BO343" s="64">
        <f>IFERROR(1/J343*(X343/H343),"0")</f>
        <v>1.8315018315018314</v>
      </c>
      <c r="BP343" s="64">
        <f>IFERROR(1/J343*(Y343/H343),"0")</f>
        <v>1.8351648351648353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222</v>
      </c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665</v>
      </c>
      <c r="Y344" s="554">
        <f>IFERROR(IF(X344="",0,CEILING((X344/$H344),1)*$H344),"")</f>
        <v>665.7</v>
      </c>
      <c r="Z344" s="36">
        <f>IFERROR(IF(Y344=0,"",ROUNDUP(Y344/H344,0)*0.00651),"")</f>
        <v>2.0636700000000001</v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740.99999999999989</v>
      </c>
      <c r="BN344" s="64">
        <f>IFERROR(Y344*I344/H344,"0")</f>
        <v>741.78</v>
      </c>
      <c r="BO344" s="64">
        <f>IFERROR(1/J344*(X344/H344),"0")</f>
        <v>1.73992673992674</v>
      </c>
      <c r="BP344" s="64">
        <f>IFERROR(1/J344*(Y344/H344),"0")</f>
        <v>1.7417582417582418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650</v>
      </c>
      <c r="Y345" s="555">
        <f>IFERROR(Y342/H342,"0")+IFERROR(Y343/H343,"0")+IFERROR(Y344/H344,"0")</f>
        <v>651</v>
      </c>
      <c r="Z345" s="555">
        <f>IFERROR(IF(Z342="",0,Z342),"0")+IFERROR(IF(Z343="",0,Z343),"0")+IFERROR(IF(Z344="",0,Z344),"0")</f>
        <v>4.2380100000000001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1365</v>
      </c>
      <c r="Y346" s="555">
        <f>IFERROR(SUM(Y342:Y344),"0")</f>
        <v>1367.1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200</v>
      </c>
      <c r="Y350" s="554">
        <f t="shared" ref="Y350:Y356" si="36">IFERROR(IF(X350="",0,CEILING((X350/$H350),1)*$H350),"")</f>
        <v>210</v>
      </c>
      <c r="Z350" s="36">
        <f>IFERROR(IF(Y350=0,"",ROUNDUP(Y350/H350,0)*0.02175),"")</f>
        <v>0.30449999999999999</v>
      </c>
      <c r="AA350" s="56"/>
      <c r="AB350" s="57"/>
      <c r="AC350" s="405" t="s">
        <v>563</v>
      </c>
      <c r="AG350" s="64"/>
      <c r="AJ350" s="68"/>
      <c r="AK350" s="68">
        <v>0</v>
      </c>
      <c r="BB350" s="406" t="s">
        <v>1</v>
      </c>
      <c r="BM350" s="64">
        <f t="shared" ref="BM350:BM356" si="37">IFERROR(X350*I350/H350,"0")</f>
        <v>206.26666666666668</v>
      </c>
      <c r="BN350" s="64">
        <f t="shared" ref="BN350:BN356" si="38">IFERROR(Y350*I350/H350,"0")</f>
        <v>216.58</v>
      </c>
      <c r="BO350" s="64">
        <f t="shared" ref="BO350:BO356" si="39">IFERROR(1/J350*(X350/H350),"0")</f>
        <v>0.27777777777777779</v>
      </c>
      <c r="BP350" s="64">
        <f t="shared" ref="BP350:BP356" si="40">IFERROR(1/J350*(Y350/H350),"0")</f>
        <v>0.29166666666666663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300</v>
      </c>
      <c r="Y351" s="554">
        <f t="shared" si="36"/>
        <v>300</v>
      </c>
      <c r="Z351" s="36">
        <f>IFERROR(IF(Y351=0,"",ROUNDUP(Y351/H351,0)*0.02175),"")</f>
        <v>0.43499999999999994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si="37"/>
        <v>309.39999999999998</v>
      </c>
      <c r="BN351" s="64">
        <f t="shared" si="38"/>
        <v>309.39999999999998</v>
      </c>
      <c r="BO351" s="64">
        <f t="shared" si="39"/>
        <v>0.41666666666666663</v>
      </c>
      <c r="BP351" s="64">
        <f t="shared" si="40"/>
        <v>0.41666666666666663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0">
        <v>4680115884830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0</v>
      </c>
      <c r="Y352" s="554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0">
        <v>4680115887046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650</v>
      </c>
      <c r="Y353" s="554">
        <f t="shared" si="36"/>
        <v>660</v>
      </c>
      <c r="Z353" s="36">
        <f>IFERROR(IF(Y353=0,"",ROUNDUP(Y353/H353,0)*0.02175),"")</f>
        <v>0.95699999999999996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670.36666666666667</v>
      </c>
      <c r="BN353" s="64">
        <f t="shared" si="38"/>
        <v>680.68000000000006</v>
      </c>
      <c r="BO353" s="64">
        <f t="shared" si="39"/>
        <v>0.90277777777777779</v>
      </c>
      <c r="BP353" s="64">
        <f t="shared" si="40"/>
        <v>0.91666666666666663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60</v>
      </c>
      <c r="Y356" s="554">
        <f t="shared" si="36"/>
        <v>60</v>
      </c>
      <c r="Z356" s="36">
        <f>IFERROR(IF(Y356=0,"",ROUNDUP(Y356/H356,0)*0.00902),"")</f>
        <v>0.10824</v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62.280000000000008</v>
      </c>
      <c r="BN356" s="64">
        <f t="shared" si="38"/>
        <v>62.280000000000008</v>
      </c>
      <c r="BO356" s="64">
        <f t="shared" si="39"/>
        <v>9.0909090909090912E-2</v>
      </c>
      <c r="BP356" s="64">
        <f t="shared" si="40"/>
        <v>9.0909090909090912E-2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88.666666666666671</v>
      </c>
      <c r="Y357" s="555">
        <f>IFERROR(Y350/H350,"0")+IFERROR(Y351/H351,"0")+IFERROR(Y352/H352,"0")+IFERROR(Y353/H353,"0")+IFERROR(Y354/H354,"0")+IFERROR(Y355/H355,"0")+IFERROR(Y356/H356,"0")</f>
        <v>90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1.8047399999999998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1210</v>
      </c>
      <c r="Y358" s="555">
        <f>IFERROR(SUM(Y350:Y356),"0")</f>
        <v>1230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500</v>
      </c>
      <c r="Y360" s="554">
        <f>IFERROR(IF(X360="",0,CEILING((X360/$H360),1)*$H360),"")</f>
        <v>510</v>
      </c>
      <c r="Z360" s="36">
        <f>IFERROR(IF(Y360=0,"",ROUNDUP(Y360/H360,0)*0.02175),"")</f>
        <v>0.73949999999999994</v>
      </c>
      <c r="AA360" s="56"/>
      <c r="AB360" s="57"/>
      <c r="AC360" s="419" t="s">
        <v>582</v>
      </c>
      <c r="AG360" s="64"/>
      <c r="AJ360" s="68"/>
      <c r="AK360" s="68">
        <v>0</v>
      </c>
      <c r="BB360" s="420" t="s">
        <v>1</v>
      </c>
      <c r="BM360" s="64">
        <f>IFERROR(X360*I360/H360,"0")</f>
        <v>515.66666666666663</v>
      </c>
      <c r="BN360" s="64">
        <f>IFERROR(Y360*I360/H360,"0")</f>
        <v>525.98</v>
      </c>
      <c r="BO360" s="64">
        <f>IFERROR(1/J360*(X360/H360),"0")</f>
        <v>0.69444444444444442</v>
      </c>
      <c r="BP360" s="64">
        <f>IFERROR(1/J360*(Y360/H360),"0")</f>
        <v>0.70833333333333326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33.333333333333336</v>
      </c>
      <c r="Y362" s="555">
        <f>IFERROR(Y360/H360,"0")+IFERROR(Y361/H361,"0")</f>
        <v>34</v>
      </c>
      <c r="Z362" s="555">
        <f>IFERROR(IF(Z360="",0,Z360),"0")+IFERROR(IF(Z361="",0,Z361),"0")</f>
        <v>0.73949999999999994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500</v>
      </c>
      <c r="Y363" s="555">
        <f>IFERROR(SUM(Y360:Y361),"0")</f>
        <v>510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80</v>
      </c>
      <c r="Y370" s="554">
        <f>IFERROR(IF(X370="",0,CEILING((X370/$H370),1)*$H370),"")</f>
        <v>81</v>
      </c>
      <c r="Z370" s="36">
        <f>IFERROR(IF(Y370=0,"",ROUNDUP(Y370/H370,0)*0.01898),"")</f>
        <v>0.17082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84.391111111111115</v>
      </c>
      <c r="BN370" s="64">
        <f>IFERROR(Y370*I370/H370,"0")</f>
        <v>85.445999999999998</v>
      </c>
      <c r="BO370" s="64">
        <f>IFERROR(1/J370*(X370/H370),"0")</f>
        <v>0.1388888888888889</v>
      </c>
      <c r="BP370" s="64">
        <f>IFERROR(1/J370*(Y370/H370),"0")</f>
        <v>0.140625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8.8888888888888893</v>
      </c>
      <c r="Y371" s="555">
        <f>IFERROR(Y370/H370,"0")</f>
        <v>9</v>
      </c>
      <c r="Z371" s="555">
        <f>IFERROR(IF(Z370="",0,Z370),"0")</f>
        <v>0.17082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80</v>
      </c>
      <c r="Y372" s="555">
        <f>IFERROR(SUM(Y370:Y370),"0")</f>
        <v>81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4301031303</v>
      </c>
      <c r="D380" s="560">
        <v>4607091384802</v>
      </c>
      <c r="E380" s="561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7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4301031457</v>
      </c>
      <c r="D381" s="560">
        <v>4607091384802</v>
      </c>
      <c r="E381" s="561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50</v>
      </c>
      <c r="Y385" s="554">
        <f>IFERROR(IF(X385="",0,CEILING((X385/$H385),1)*$H385),"")</f>
        <v>54</v>
      </c>
      <c r="Z385" s="36">
        <f>IFERROR(IF(Y385=0,"",ROUNDUP(Y385/H385,0)*0.01898),"")</f>
        <v>0.11388000000000001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52.74444444444444</v>
      </c>
      <c r="BN385" s="64">
        <f>IFERROR(Y385*I385/H385,"0")</f>
        <v>56.963999999999992</v>
      </c>
      <c r="BO385" s="64">
        <f>IFERROR(1/J385*(X385/H385),"0")</f>
        <v>8.6805555555555552E-2</v>
      </c>
      <c r="BP385" s="64">
        <f>IFERROR(1/J385*(Y385/H385),"0")</f>
        <v>9.375E-2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5.5555555555555554</v>
      </c>
      <c r="Y388" s="555">
        <f>IFERROR(Y385/H385,"0")+IFERROR(Y386/H386,"0")+IFERROR(Y387/H387,"0")</f>
        <v>6</v>
      </c>
      <c r="Z388" s="555">
        <f>IFERROR(IF(Z385="",0,Z385),"0")+IFERROR(IF(Z386="",0,Z386),"0")+IFERROR(IF(Z387="",0,Z387),"0")</f>
        <v>0.11388000000000001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50</v>
      </c>
      <c r="Y389" s="555">
        <f>IFERROR(SUM(Y385:Y387),"0")</f>
        <v>54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 t="s">
        <v>296</v>
      </c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 t="s">
        <v>108</v>
      </c>
      <c r="AK397" s="68">
        <v>37.799999999999997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 t="s">
        <v>296</v>
      </c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17.5</v>
      </c>
      <c r="Y398" s="554">
        <f t="shared" si="41"/>
        <v>18.900000000000002</v>
      </c>
      <c r="Z398" s="36">
        <f t="shared" si="46"/>
        <v>4.5179999999999998E-2</v>
      </c>
      <c r="AA398" s="56"/>
      <c r="AB398" s="57"/>
      <c r="AC398" s="453" t="s">
        <v>630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18.583333333333332</v>
      </c>
      <c r="BN398" s="64">
        <f t="shared" si="43"/>
        <v>20.07</v>
      </c>
      <c r="BO398" s="64">
        <f t="shared" si="44"/>
        <v>3.5612535612535613E-2</v>
      </c>
      <c r="BP398" s="64">
        <f t="shared" si="45"/>
        <v>3.8461538461538464E-2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28</v>
      </c>
      <c r="Y400" s="554">
        <f t="shared" si="41"/>
        <v>29.400000000000002</v>
      </c>
      <c r="Z400" s="36">
        <f t="shared" si="46"/>
        <v>7.0280000000000009E-2</v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29.733333333333331</v>
      </c>
      <c r="BN400" s="64">
        <f t="shared" si="43"/>
        <v>31.22</v>
      </c>
      <c r="BO400" s="64">
        <f t="shared" si="44"/>
        <v>5.6980056980056981E-2</v>
      </c>
      <c r="BP400" s="64">
        <f t="shared" si="45"/>
        <v>5.9829059829059839E-2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21.666666666666664</v>
      </c>
      <c r="Y402" s="555">
        <f>IFERROR(Y393/H393,"0")+IFERROR(Y394/H394,"0")+IFERROR(Y395/H395,"0")+IFERROR(Y396/H396,"0")+IFERROR(Y397/H397,"0")+IFERROR(Y398/H398,"0")+IFERROR(Y399/H399,"0")+IFERROR(Y400/H400,"0")+IFERROR(Y401/H401,"0")</f>
        <v>23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0.11546000000000001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45.5</v>
      </c>
      <c r="Y403" s="555">
        <f>IFERROR(SUM(Y393:Y401),"0")</f>
        <v>48.300000000000004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7</v>
      </c>
      <c r="Y418" s="554">
        <f>IFERROR(IF(X418="",0,CEILING((X418/$H418),1)*$H418),"")</f>
        <v>8.4</v>
      </c>
      <c r="Z418" s="36">
        <f>IFERROR(IF(Y418=0,"",ROUNDUP(Y418/H418,0)*0.00502),"")</f>
        <v>2.0080000000000001E-2</v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7.4333333333333327</v>
      </c>
      <c r="BN418" s="64">
        <f>IFERROR(Y418*I418/H418,"0")</f>
        <v>8.92</v>
      </c>
      <c r="BO418" s="64">
        <f>IFERROR(1/J418*(X418/H418),"0")</f>
        <v>1.4245014245014245E-2</v>
      </c>
      <c r="BP418" s="64">
        <f>IFERROR(1/J418*(Y418/H418),"0")</f>
        <v>1.7094017094017096E-2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3.333333333333333</v>
      </c>
      <c r="Y419" s="555">
        <f>IFERROR(Y415/H415,"0")+IFERROR(Y416/H416,"0")+IFERROR(Y417/H417,"0")+IFERROR(Y418/H418,"0")</f>
        <v>4</v>
      </c>
      <c r="Z419" s="555">
        <f>IFERROR(IF(Z415="",0,Z415),"0")+IFERROR(IF(Z416="",0,Z416),"0")+IFERROR(IF(Z417="",0,Z417),"0")+IFERROR(IF(Z418="",0,Z418),"0")</f>
        <v>2.0080000000000001E-2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7</v>
      </c>
      <c r="Y420" s="555">
        <f>IFERROR(SUM(Y415:Y418),"0")</f>
        <v>8.4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 t="s">
        <v>222</v>
      </c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 t="s">
        <v>108</v>
      </c>
      <c r="AK423" s="68">
        <v>16.8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50</v>
      </c>
      <c r="Y433" s="554">
        <f t="shared" si="47"/>
        <v>52.800000000000004</v>
      </c>
      <c r="Z433" s="36">
        <f t="shared" si="48"/>
        <v>0.1196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53.314393939393938</v>
      </c>
      <c r="BN433" s="64">
        <f t="shared" si="50"/>
        <v>56.3</v>
      </c>
      <c r="BO433" s="64">
        <f t="shared" si="51"/>
        <v>9.1054778554778545E-2</v>
      </c>
      <c r="BP433" s="64">
        <f t="shared" si="52"/>
        <v>9.6153846153846159E-2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120</v>
      </c>
      <c r="Y435" s="554">
        <f t="shared" si="47"/>
        <v>121.44000000000001</v>
      </c>
      <c r="Z435" s="36">
        <f t="shared" si="48"/>
        <v>0.27507999999999999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127.95454545454545</v>
      </c>
      <c r="BN435" s="64">
        <f t="shared" si="50"/>
        <v>129.49</v>
      </c>
      <c r="BO435" s="64">
        <f t="shared" si="51"/>
        <v>0.21853146853146854</v>
      </c>
      <c r="BP435" s="64">
        <f t="shared" si="52"/>
        <v>0.22115384615384617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30</v>
      </c>
      <c r="Y437" s="554">
        <f t="shared" si="47"/>
        <v>33.6</v>
      </c>
      <c r="Z437" s="36">
        <f>IFERROR(IF(Y437=0,"",ROUNDUP(Y437/H437,0)*0.00902),"")</f>
        <v>6.3140000000000002E-2</v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43.187500000000007</v>
      </c>
      <c r="BN437" s="64">
        <f t="shared" si="50"/>
        <v>48.370000000000005</v>
      </c>
      <c r="BO437" s="64">
        <f t="shared" si="51"/>
        <v>4.7348484848484848E-2</v>
      </c>
      <c r="BP437" s="64">
        <f t="shared" si="52"/>
        <v>5.3030303030303039E-2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72</v>
      </c>
      <c r="Y440" s="554">
        <f t="shared" si="47"/>
        <v>72</v>
      </c>
      <c r="Z440" s="36">
        <f>IFERROR(IF(Y440=0,"",ROUNDUP(Y440/H440,0)*0.00902),"")</f>
        <v>0.1353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103.65</v>
      </c>
      <c r="BN440" s="64">
        <f t="shared" si="50"/>
        <v>103.65</v>
      </c>
      <c r="BO440" s="64">
        <f t="shared" si="51"/>
        <v>0.11363636363636365</v>
      </c>
      <c r="BP440" s="64">
        <f t="shared" si="52"/>
        <v>0.11363636363636365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53.446969696969695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55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0.59311999999999998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272</v>
      </c>
      <c r="Y442" s="555">
        <f>IFERROR(SUM(Y429:Y440),"0")</f>
        <v>279.84000000000003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50</v>
      </c>
      <c r="Y444" s="554">
        <f>IFERROR(IF(X444="",0,CEILING((X444/$H444),1)*$H444),"")</f>
        <v>52.800000000000004</v>
      </c>
      <c r="Z444" s="36">
        <f>IFERROR(IF(Y444=0,"",ROUNDUP(Y444/H444,0)*0.01196),"")</f>
        <v>0.1196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53.314393939393938</v>
      </c>
      <c r="BN444" s="64">
        <f>IFERROR(Y444*I444/H444,"0")</f>
        <v>56.3</v>
      </c>
      <c r="BO444" s="64">
        <f>IFERROR(1/J444*(X444/H444),"0")</f>
        <v>9.1054778554778545E-2</v>
      </c>
      <c r="BP444" s="64">
        <f>IFERROR(1/J444*(Y444/H444),"0")</f>
        <v>9.6153846153846159E-2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/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9.4696969696969688</v>
      </c>
      <c r="Y447" s="555">
        <f>IFERROR(Y444/H444,"0")+IFERROR(Y445/H445,"0")+IFERROR(Y446/H446,"0")</f>
        <v>10</v>
      </c>
      <c r="Z447" s="555">
        <f>IFERROR(IF(Z444="",0,Z444),"0")+IFERROR(IF(Z445="",0,Z445),"0")+IFERROR(IF(Z446="",0,Z446),"0")</f>
        <v>0.1196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50</v>
      </c>
      <c r="Y448" s="555">
        <f>IFERROR(SUM(Y444:Y446),"0")</f>
        <v>52.800000000000004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60</v>
      </c>
      <c r="Y451" s="554">
        <f t="shared" si="53"/>
        <v>63.36</v>
      </c>
      <c r="Z451" s="36">
        <f>IFERROR(IF(Y451=0,"",ROUNDUP(Y451/H451,0)*0.01196),"")</f>
        <v>0.14352000000000001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63.977272727272727</v>
      </c>
      <c r="BN451" s="64">
        <f t="shared" si="55"/>
        <v>67.559999999999988</v>
      </c>
      <c r="BO451" s="64">
        <f t="shared" si="56"/>
        <v>0.10926573426573427</v>
      </c>
      <c r="BP451" s="64">
        <f t="shared" si="57"/>
        <v>0.11538461538461539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50</v>
      </c>
      <c r="Y452" s="554">
        <f t="shared" si="53"/>
        <v>52.800000000000004</v>
      </c>
      <c r="Z452" s="36">
        <f>IFERROR(IF(Y452=0,"",ROUNDUP(Y452/H452,0)*0.01196),"")</f>
        <v>0.1196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53.314393939393938</v>
      </c>
      <c r="BN452" s="64">
        <f t="shared" si="55"/>
        <v>56.3</v>
      </c>
      <c r="BO452" s="64">
        <f t="shared" si="56"/>
        <v>9.1054778554778545E-2</v>
      </c>
      <c r="BP452" s="64">
        <f t="shared" si="57"/>
        <v>9.6153846153846159E-2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 t="s">
        <v>114</v>
      </c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 t="s">
        <v>108</v>
      </c>
      <c r="AK453" s="68">
        <v>57.6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 t="s">
        <v>114</v>
      </c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12</v>
      </c>
      <c r="Y454" s="554">
        <f t="shared" si="53"/>
        <v>14.399999999999999</v>
      </c>
      <c r="Z454" s="36">
        <f>IFERROR(IF(Y454=0,"",ROUNDUP(Y454/H454,0)*0.00902),"")</f>
        <v>2.7060000000000001E-2</v>
      </c>
      <c r="AA454" s="56"/>
      <c r="AB454" s="57"/>
      <c r="AC454" s="515" t="s">
        <v>706</v>
      </c>
      <c r="AG454" s="64"/>
      <c r="AJ454" s="68" t="s">
        <v>108</v>
      </c>
      <c r="AK454" s="68">
        <v>57.6</v>
      </c>
      <c r="BB454" s="516" t="s">
        <v>1</v>
      </c>
      <c r="BM454" s="64">
        <f t="shared" si="54"/>
        <v>16.675000000000001</v>
      </c>
      <c r="BN454" s="64">
        <f t="shared" si="55"/>
        <v>20.009999999999998</v>
      </c>
      <c r="BO454" s="64">
        <f t="shared" si="56"/>
        <v>1.893939393939394E-2</v>
      </c>
      <c r="BP454" s="64">
        <f t="shared" si="57"/>
        <v>2.2727272727272728E-2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 t="s">
        <v>114</v>
      </c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 t="s">
        <v>108</v>
      </c>
      <c r="AK455" s="68">
        <v>57.6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23.333333333333332</v>
      </c>
      <c r="Y456" s="555">
        <f>IFERROR(Y450/H450,"0")+IFERROR(Y451/H451,"0")+IFERROR(Y452/H452,"0")+IFERROR(Y453/H453,"0")+IFERROR(Y454/H454,"0")+IFERROR(Y455/H455,"0")</f>
        <v>25</v>
      </c>
      <c r="Z456" s="555">
        <f>IFERROR(IF(Z450="",0,Z450),"0")+IFERROR(IF(Z451="",0,Z451),"0")+IFERROR(IF(Z452="",0,Z452),"0")+IFERROR(IF(Z453="",0,Z453),"0")+IFERROR(IF(Z454="",0,Z454),"0")+IFERROR(IF(Z455="",0,Z455),"0")</f>
        <v>0.29017999999999999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122</v>
      </c>
      <c r="Y457" s="555">
        <f>IFERROR(SUM(Y450:Y455),"0")</f>
        <v>130.56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20</v>
      </c>
      <c r="Y467" s="554">
        <f>IFERROR(IF(X467="",0,CEILING((X467/$H467),1)*$H467),"")</f>
        <v>24</v>
      </c>
      <c r="Z467" s="36">
        <f>IFERROR(IF(Y467=0,"",ROUNDUP(Y467/H467,0)*0.01898),"")</f>
        <v>3.7960000000000001E-2</v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20.683333333333334</v>
      </c>
      <c r="BN467" s="64">
        <f>IFERROR(Y467*I467/H467,"0")</f>
        <v>24.820000000000004</v>
      </c>
      <c r="BO467" s="64">
        <f>IFERROR(1/J467*(X467/H467),"0")</f>
        <v>2.6041666666666668E-2</v>
      </c>
      <c r="BP467" s="64">
        <f>IFERROR(1/J467*(Y467/H467),"0")</f>
        <v>3.125E-2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1.6666666666666667</v>
      </c>
      <c r="Y469" s="555">
        <f>IFERROR(Y465/H465,"0")+IFERROR(Y466/H466,"0")+IFERROR(Y467/H467,"0")+IFERROR(Y468/H468,"0")</f>
        <v>2</v>
      </c>
      <c r="Z469" s="555">
        <f>IFERROR(IF(Z465="",0,Z465),"0")+IFERROR(IF(Z466="",0,Z466),"0")+IFERROR(IF(Z467="",0,Z467),"0")+IFERROR(IF(Z468="",0,Z468),"0")</f>
        <v>3.7960000000000001E-2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20</v>
      </c>
      <c r="Y470" s="555">
        <f>IFERROR(SUM(Y465:Y468),"0")</f>
        <v>24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900</v>
      </c>
      <c r="Y482" s="554">
        <f>IFERROR(IF(X482="",0,CEILING((X482/$H482),1)*$H482),"")</f>
        <v>900</v>
      </c>
      <c r="Z482" s="36">
        <f>IFERROR(IF(Y482=0,"",ROUNDUP(Y482/H482,0)*0.01898),"")</f>
        <v>1.8980000000000001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949.40000000000009</v>
      </c>
      <c r="BN482" s="64">
        <f>IFERROR(Y482*I482/H482,"0")</f>
        <v>949.40000000000009</v>
      </c>
      <c r="BO482" s="64">
        <f>IFERROR(1/J482*(X482/H482),"0")</f>
        <v>1.5625</v>
      </c>
      <c r="BP482" s="64">
        <f>IFERROR(1/J482*(Y482/H482),"0")</f>
        <v>1.5625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100</v>
      </c>
      <c r="Y483" s="555">
        <f>IFERROR(Y482/H482,"0")</f>
        <v>100</v>
      </c>
      <c r="Z483" s="555">
        <f>IFERROR(IF(Z482="",0,Z482),"0")</f>
        <v>1.8980000000000001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900</v>
      </c>
      <c r="Y484" s="555">
        <f>IFERROR(SUM(Y482:Y482),"0")</f>
        <v>900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11197.2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11332.949999999997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12038.73438689131</v>
      </c>
      <c r="Y496" s="555">
        <f>IFERROR(SUM(BN22:BN492),"0")</f>
        <v>12183.822999999997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22</v>
      </c>
      <c r="Y497" s="38">
        <f>ROUNDUP(SUM(BP22:BP492),0)</f>
        <v>23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12588.73438689131</v>
      </c>
      <c r="Y498" s="555">
        <f>GrossWeightTotalR+PalletQtyTotalR*25</f>
        <v>12758.822999999997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2836.0546900949198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2860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26.087880000000002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191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517.20000000000005</v>
      </c>
      <c r="E505" s="46">
        <f>IFERROR(Y85*1,"0")+IFERROR(Y86*1,"0")+IFERROR(Y87*1,"0")+IFERROR(Y88*1,"0")+IFERROR(Y92*1,"0")+IFERROR(Y93*1,"0")+IFERROR(Y94*1,"0")+IFERROR(Y95*1,"0")</f>
        <v>1460.7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1667.0600000000002</v>
      </c>
      <c r="G505" s="46">
        <f>IFERROR(Y127*1,"0")+IFERROR(Y128*1,"0")+IFERROR(Y132*1,"0")+IFERROR(Y133*1,"0")+IFERROR(Y137*1,"0")+IFERROR(Y138*1,"0")</f>
        <v>62</v>
      </c>
      <c r="H505" s="46">
        <f>IFERROR(Y143*1,"0")+IFERROR(Y144*1,"0")+IFERROR(Y148*1,"0")+IFERROR(Y149*1,"0")+IFERROR(Y150*1,"0")+IFERROR(Y151*1,"0")+IFERROR(Y152*1,"0")+IFERROR(Y153*1,"0")+IFERROR(Y157*1,"0")</f>
        <v>113.4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262.54000000000002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1374.5999999999997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58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300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831.45</v>
      </c>
      <c r="R505" s="46">
        <f>IFERROR(Y342*1,"0")+IFERROR(Y343*1,"0")+IFERROR(Y344*1,"0")</f>
        <v>1367.1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1821</v>
      </c>
      <c r="T505" s="46">
        <f>IFERROR(Y375*1,"0")+IFERROR(Y376*1,"0")+IFERROR(Y380*1,"0")+IFERROR(Y381*1,"0")+IFERROR(Y385*1,"0")+IFERROR(Y386*1,"0")+IFERROR(Y387*1,"0")</f>
        <v>54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48.300000000000004</v>
      </c>
      <c r="V505" s="46">
        <f>IFERROR(Y411*1,"0")+IFERROR(Y415*1,"0")+IFERROR(Y416*1,"0")+IFERROR(Y417*1,"0")+IFERROR(Y418*1,"0")</f>
        <v>8.4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463.20000000000005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924</v>
      </c>
      <c r="Z505" s="46">
        <f>IFERROR(Y492*1,"0")</f>
        <v>0</v>
      </c>
      <c r="AB505" s="52"/>
      <c r="AC505" s="52"/>
      <c r="AF505" s="551"/>
    </row>
  </sheetData>
  <sheetProtection algorithmName="SHA-512" hashValue="c/0TsLQVh7VzzIo2XX2itd+QLsVX9adUtPYhhJ6MWa2X5R+VHNrHYIZ5JNHihSa9he2HETXic5rhI5rtoGex5Q==" saltValue="XNd8Rht+iIz+PYgxZ6xcj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61 X79 X85 X92 X100 X103 X108 X115 X117:X118 X122 X127 X133 X138 X169:X171 X173 X175 X178 X205:X212 X218:X219 X221 X223:X224 X228:X229 X234 X236:X237 X241 X281 X309:X311 X322:X324 X330:X331 X335 X337 X343:X344 X366 X375 X385 X397:X398 X400 X423 X429 X433 X435 X444 X450:X455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3hqzd7AWqQiJZ43wYb0L0saHNLGrkUm7wtyu0QYhhY1Pu7hJKu66Yy5U9WdwuVxxpFsdG3GprrOfk0tGCwD4eQ==" saltValue="9N+nTphQtYx7pN1+3iJt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2026-01-14T08:58:14Z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