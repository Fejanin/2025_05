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B688586C-4B8B-4DBA-9813-05DF8233227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64" i="1" l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Y497" i="1" s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02" i="1"/>
  <c r="Z213" i="1"/>
  <c r="Z312" i="1"/>
  <c r="Z303" i="1"/>
  <c r="Z283" i="1"/>
  <c r="Z225" i="1"/>
  <c r="Z181" i="1"/>
  <c r="Z112" i="1"/>
  <c r="Z441" i="1"/>
  <c r="Z419" i="1"/>
  <c r="Z319" i="1"/>
  <c r="Z469" i="1"/>
  <c r="Z325" i="1"/>
  <c r="Z187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<sst xmlns="http://schemas.openxmlformats.org/spreadsheetml/2006/main" count="2190" uniqueCount="780">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</sst>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5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46024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Пятница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0.375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/>
      <c r="M41" s="33" t="s">
        <v>105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106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107</v>
      </c>
      <c r="B42" s="54" t="s">
        <v>108</v>
      </c>
      <c r="C42" s="31">
        <v>4301011382</v>
      </c>
      <c r="D42" s="560">
        <v>4607091385687</v>
      </c>
      <c r="E42" s="561"/>
      <c r="F42" s="552">
        <v>0.4</v>
      </c>
      <c r="G42" s="32">
        <v>10</v>
      </c>
      <c r="H42" s="552">
        <v>4</v>
      </c>
      <c r="I42" s="552">
        <v>4.1900000000000004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8"/>
      <c r="R42" s="558"/>
      <c r="S42" s="558"/>
      <c r="T42" s="559"/>
      <c r="U42" s="34"/>
      <c r="V42" s="34"/>
      <c r="W42" s="35" t="s">
        <v>69</v>
      </c>
      <c r="X42" s="553">
        <v>440</v>
      </c>
      <c r="Y42" s="554">
        <f>IFERROR(IF(X42="",0,CEILING((X42/$H42),1)*$H42),"")</f>
        <v>440</v>
      </c>
      <c r="Z42" s="36">
        <f>IFERROR(IF(Y42=0,"",ROUNDUP(Y42/H42,0)*0.00902),"")</f>
        <v>0.99219999999999997</v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460.90000000000003</v>
      </c>
      <c r="BN42" s="64">
        <f>IFERROR(Y42*I42/H42,"0")</f>
        <v>460.90000000000003</v>
      </c>
      <c r="BO42" s="64">
        <f>IFERROR(1/J42*(X42/H42),"0")</f>
        <v>0.83333333333333337</v>
      </c>
      <c r="BP42" s="64">
        <f>IFERROR(1/J42*(Y42/H42),"0")</f>
        <v>0.83333333333333337</v>
      </c>
    </row>
    <row r="43" spans="1:68" ht="27" customHeight="1" x14ac:dyDescent="0.25">
      <c r="A43" s="54" t="s">
        <v>110</v>
      </c>
      <c r="B43" s="54" t="s">
        <v>111</v>
      </c>
      <c r="C43" s="31">
        <v>4301011565</v>
      </c>
      <c r="D43" s="560">
        <v>4680115882539</v>
      </c>
      <c r="E43" s="561"/>
      <c r="F43" s="552">
        <v>0.37</v>
      </c>
      <c r="G43" s="32">
        <v>10</v>
      </c>
      <c r="H43" s="552">
        <v>3.7</v>
      </c>
      <c r="I43" s="552">
        <v>3.89</v>
      </c>
      <c r="J43" s="32">
        <v>132</v>
      </c>
      <c r="K43" s="32" t="s">
        <v>109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106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110</v>
      </c>
      <c r="Y44" s="555">
        <f>IFERROR(Y41/H41,"0")+IFERROR(Y42/H42,"0")+IFERROR(Y43/H43,"0")</f>
        <v>110</v>
      </c>
      <c r="Z44" s="555">
        <f>IFERROR(IF(Z41="",0,Z41),"0")+IFERROR(IF(Z42="",0,Z42),"0")+IFERROR(IF(Z43="",0,Z43),"0")</f>
        <v>0.99219999999999997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440</v>
      </c>
      <c r="Y45" s="555">
        <f>IFERROR(SUM(Y41:Y43),"0")</f>
        <v>440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112</v>
      </c>
      <c r="B47" s="54" t="s">
        <v>113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114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115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116</v>
      </c>
      <c r="B52" s="54" t="s">
        <v>117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118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119</v>
      </c>
      <c r="B53" s="54" t="s">
        <v>120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105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121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122</v>
      </c>
      <c r="B54" s="54" t="s">
        <v>123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109</v>
      </c>
      <c r="L54" s="32"/>
      <c r="M54" s="33" t="s">
        <v>105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124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125</v>
      </c>
      <c r="B55" s="54" t="s">
        <v>126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109</v>
      </c>
      <c r="L55" s="32"/>
      <c r="M55" s="33" t="s">
        <v>105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127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128</v>
      </c>
      <c r="B56" s="54" t="s">
        <v>129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130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131</v>
      </c>
      <c r="B57" s="54" t="s">
        <v>132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109</v>
      </c>
      <c r="L57" s="32"/>
      <c r="M57" s="33" t="s">
        <v>105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675</v>
      </c>
      <c r="Y57" s="554">
        <f t="shared" si="0"/>
        <v>675</v>
      </c>
      <c r="Z57" s="36">
        <f>IFERROR(IF(Y57=0,"",ROUNDUP(Y57/H57,0)*0.00902),"")</f>
        <v>1.353</v>
      </c>
      <c r="AA57" s="56"/>
      <c r="AB57" s="57"/>
      <c r="AC57" s="103" t="s">
        <v>133</v>
      </c>
      <c r="AG57" s="64"/>
      <c r="AJ57" s="68"/>
      <c r="AK57" s="68">
        <v>0</v>
      </c>
      <c r="BB57" s="104" t="s">
        <v>1</v>
      </c>
      <c r="BM57" s="64">
        <f t="shared" si="1"/>
        <v>703.50000000000011</v>
      </c>
      <c r="BN57" s="64">
        <f t="shared" si="2"/>
        <v>703.50000000000011</v>
      </c>
      <c r="BO57" s="64">
        <f t="shared" si="3"/>
        <v>1.1363636363636365</v>
      </c>
      <c r="BP57" s="64">
        <f t="shared" si="4"/>
        <v>1.1363636363636365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150</v>
      </c>
      <c r="Y58" s="555">
        <f>IFERROR(Y52/H52,"0")+IFERROR(Y53/H53,"0")+IFERROR(Y54/H54,"0")+IFERROR(Y55/H55,"0")+IFERROR(Y56/H56,"0")+IFERROR(Y57/H57,"0")</f>
        <v>150</v>
      </c>
      <c r="Z58" s="555">
        <f>IFERROR(IF(Z52="",0,Z52),"0")+IFERROR(IF(Z53="",0,Z53),"0")+IFERROR(IF(Z54="",0,Z54),"0")+IFERROR(IF(Z55="",0,Z55),"0")+IFERROR(IF(Z56="",0,Z56),"0")+IFERROR(IF(Z57="",0,Z57),"0")</f>
        <v>1.353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675</v>
      </c>
      <c r="Y59" s="555">
        <f>IFERROR(SUM(Y52:Y57),"0")</f>
        <v>675</v>
      </c>
      <c r="Z59" s="37"/>
      <c r="AA59" s="556"/>
      <c r="AB59" s="556"/>
      <c r="AC59" s="556"/>
    </row>
    <row r="60" spans="1:68" ht="14.25" customHeight="1" x14ac:dyDescent="0.25">
      <c r="A60" s="569" t="s">
        <v>134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135</v>
      </c>
      <c r="B61" s="54" t="s">
        <v>136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/>
      <c r="M61" s="33" t="s">
        <v>105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138</v>
      </c>
      <c r="B62" s="54" t="s">
        <v>139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140</v>
      </c>
      <c r="B63" s="54" t="s">
        <v>141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105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137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142</v>
      </c>
      <c r="B67" s="54" t="s">
        <v>143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144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145</v>
      </c>
      <c r="B68" s="54" t="s">
        <v>146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147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148</v>
      </c>
      <c r="B72" s="54" t="s">
        <v>149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150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151</v>
      </c>
      <c r="B73" s="54" t="s">
        <v>152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153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154</v>
      </c>
      <c r="B74" s="54" t="s">
        <v>155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156</v>
      </c>
      <c r="B75" s="54" t="s">
        <v>157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159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160</v>
      </c>
      <c r="B79" s="54" t="s">
        <v>161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162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163</v>
      </c>
      <c r="B80" s="54" t="s">
        <v>164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109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165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166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167</v>
      </c>
      <c r="B85" s="54" t="s">
        <v>168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/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169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170</v>
      </c>
      <c r="B86" s="54" t="s">
        <v>171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172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174</v>
      </c>
      <c r="B87" s="54" t="s">
        <v>175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109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169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176</v>
      </c>
      <c r="B88" s="54" t="s">
        <v>177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109</v>
      </c>
      <c r="L88" s="32"/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360</v>
      </c>
      <c r="Y88" s="554">
        <f>IFERROR(IF(X88="",0,CEILING((X88/$H88),1)*$H88),"")</f>
        <v>360</v>
      </c>
      <c r="Z88" s="36">
        <f>IFERROR(IF(Y88=0,"",ROUNDUP(Y88/H88,0)*0.00902),"")</f>
        <v>0.72160000000000002</v>
      </c>
      <c r="AA88" s="56"/>
      <c r="AB88" s="57"/>
      <c r="AC88" s="133" t="s">
        <v>169</v>
      </c>
      <c r="AG88" s="64"/>
      <c r="AJ88" s="68"/>
      <c r="AK88" s="68">
        <v>0</v>
      </c>
      <c r="BB88" s="134" t="s">
        <v>1</v>
      </c>
      <c r="BM88" s="64">
        <f>IFERROR(X88*I88/H88,"0")</f>
        <v>375.20000000000005</v>
      </c>
      <c r="BN88" s="64">
        <f>IFERROR(Y88*I88/H88,"0")</f>
        <v>375.20000000000005</v>
      </c>
      <c r="BO88" s="64">
        <f>IFERROR(1/J88*(X88/H88),"0")</f>
        <v>0.60606060606060608</v>
      </c>
      <c r="BP88" s="64">
        <f>IFERROR(1/J88*(Y88/H88),"0")</f>
        <v>0.60606060606060608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80</v>
      </c>
      <c r="Y89" s="555">
        <f>IFERROR(Y85/H85,"0")+IFERROR(Y86/H86,"0")+IFERROR(Y87/H87,"0")+IFERROR(Y88/H88,"0")</f>
        <v>80</v>
      </c>
      <c r="Z89" s="555">
        <f>IFERROR(IF(Z85="",0,Z85),"0")+IFERROR(IF(Z86="",0,Z86),"0")+IFERROR(IF(Z87="",0,Z87),"0")+IFERROR(IF(Z88="",0,Z88),"0")</f>
        <v>0.72160000000000002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360</v>
      </c>
      <c r="Y90" s="555">
        <f>IFERROR(SUM(Y85:Y88),"0")</f>
        <v>360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178</v>
      </c>
      <c r="B92" s="54" t="s">
        <v>179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/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181</v>
      </c>
      <c r="B93" s="54" t="s">
        <v>182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183</v>
      </c>
      <c r="B94" s="54" t="s">
        <v>184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324</v>
      </c>
      <c r="Y94" s="554">
        <f>IFERROR(IF(X94="",0,CEILING((X94/$H94),1)*$H94),"")</f>
        <v>324</v>
      </c>
      <c r="Z94" s="36">
        <f>IFERROR(IF(Y94=0,"",ROUNDUP(Y94/H94,0)*0.00651),"")</f>
        <v>0.78120000000000001</v>
      </c>
      <c r="AA94" s="56"/>
      <c r="AB94" s="57"/>
      <c r="AC94" s="139" t="s">
        <v>180</v>
      </c>
      <c r="AG94" s="64"/>
      <c r="AJ94" s="68"/>
      <c r="AK94" s="68">
        <v>0</v>
      </c>
      <c r="BB94" s="140" t="s">
        <v>1</v>
      </c>
      <c r="BM94" s="64">
        <f>IFERROR(X94*I94/H94,"0")</f>
        <v>354.23999999999995</v>
      </c>
      <c r="BN94" s="64">
        <f>IFERROR(Y94*I94/H94,"0")</f>
        <v>354.23999999999995</v>
      </c>
      <c r="BO94" s="64">
        <f>IFERROR(1/J94*(X94/H94),"0")</f>
        <v>0.65934065934065933</v>
      </c>
      <c r="BP94" s="64">
        <f>IFERROR(1/J94*(Y94/H94),"0")</f>
        <v>0.65934065934065933</v>
      </c>
    </row>
    <row r="95" spans="1:68" ht="16.5" customHeight="1" x14ac:dyDescent="0.25">
      <c r="A95" s="54" t="s">
        <v>185</v>
      </c>
      <c r="B95" s="54" t="s">
        <v>186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187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119.99999999999999</v>
      </c>
      <c r="Y96" s="555">
        <f>IFERROR(Y92/H92,"0")+IFERROR(Y93/H93,"0")+IFERROR(Y94/H94,"0")+IFERROR(Y95/H95,"0")</f>
        <v>119.99999999999999</v>
      </c>
      <c r="Z96" s="555">
        <f>IFERROR(IF(Z92="",0,Z92),"0")+IFERROR(IF(Z93="",0,Z93),"0")+IFERROR(IF(Z94="",0,Z94),"0")+IFERROR(IF(Z95="",0,Z95),"0")</f>
        <v>0.78120000000000001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324</v>
      </c>
      <c r="Y97" s="555">
        <f>IFERROR(SUM(Y92:Y95),"0")</f>
        <v>324</v>
      </c>
      <c r="Z97" s="37"/>
      <c r="AA97" s="556"/>
      <c r="AB97" s="556"/>
      <c r="AC97" s="556"/>
    </row>
    <row r="98" spans="1:68" ht="16.5" customHeight="1" x14ac:dyDescent="0.25">
      <c r="A98" s="567" t="s">
        <v>188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189</v>
      </c>
      <c r="B100" s="54" t="s">
        <v>190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/>
      <c r="M100" s="33" t="s">
        <v>105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192</v>
      </c>
      <c r="B101" s="54" t="s">
        <v>193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172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194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195</v>
      </c>
      <c r="B102" s="54" t="s">
        <v>196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109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197</v>
      </c>
      <c r="B103" s="54" t="s">
        <v>198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109</v>
      </c>
      <c r="L103" s="32" t="s">
        <v>199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108</v>
      </c>
      <c r="Y103" s="554">
        <f>IFERROR(IF(X103="",0,CEILING((X103/$H103),1)*$H103),"")</f>
        <v>108</v>
      </c>
      <c r="Z103" s="36">
        <f>IFERROR(IF(Y103=0,"",ROUNDUP(Y103/H103,0)*0.00902),"")</f>
        <v>0.21648000000000001</v>
      </c>
      <c r="AA103" s="56"/>
      <c r="AB103" s="57"/>
      <c r="AC103" s="149" t="s">
        <v>191</v>
      </c>
      <c r="AG103" s="64"/>
      <c r="AJ103" s="68" t="s">
        <v>200</v>
      </c>
      <c r="AK103" s="68">
        <v>54</v>
      </c>
      <c r="BB103" s="150" t="s">
        <v>1</v>
      </c>
      <c r="BM103" s="64">
        <f>IFERROR(X103*I103/H103,"0")</f>
        <v>112.56</v>
      </c>
      <c r="BN103" s="64">
        <f>IFERROR(Y103*I103/H103,"0")</f>
        <v>112.56</v>
      </c>
      <c r="BO103" s="64">
        <f>IFERROR(1/J103*(X103/H103),"0")</f>
        <v>0.18181818181818182</v>
      </c>
      <c r="BP103" s="64">
        <f>IFERROR(1/J103*(Y103/H103),"0")</f>
        <v>0.18181818181818182</v>
      </c>
    </row>
    <row r="104" spans="1:68" ht="37.5" customHeight="1" x14ac:dyDescent="0.25">
      <c r="A104" s="54" t="s">
        <v>201</v>
      </c>
      <c r="B104" s="54" t="s">
        <v>202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109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191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24</v>
      </c>
      <c r="Y105" s="555">
        <f>IFERROR(Y100/H100,"0")+IFERROR(Y101/H101,"0")+IFERROR(Y102/H102,"0")+IFERROR(Y103/H103,"0")+IFERROR(Y104/H104,"0")</f>
        <v>24</v>
      </c>
      <c r="Z105" s="555">
        <f>IFERROR(IF(Z100="",0,Z100),"0")+IFERROR(IF(Z101="",0,Z101),"0")+IFERROR(IF(Z102="",0,Z102),"0")+IFERROR(IF(Z103="",0,Z103),"0")+IFERROR(IF(Z104="",0,Z104),"0")</f>
        <v>0.21648000000000001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108</v>
      </c>
      <c r="Y106" s="555">
        <f>IFERROR(SUM(Y100:Y104),"0")</f>
        <v>108</v>
      </c>
      <c r="Z106" s="37"/>
      <c r="AA106" s="556"/>
      <c r="AB106" s="556"/>
      <c r="AC106" s="556"/>
    </row>
    <row r="107" spans="1:68" ht="14.25" customHeight="1" x14ac:dyDescent="0.25">
      <c r="A107" s="569" t="s">
        <v>134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203</v>
      </c>
      <c r="B108" s="54" t="s">
        <v>204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/>
      <c r="M108" s="33" t="s">
        <v>105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206</v>
      </c>
      <c r="B109" s="54" t="s">
        <v>207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208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209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210</v>
      </c>
      <c r="B110" s="54" t="s">
        <v>211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105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212</v>
      </c>
      <c r="B111" s="54" t="s">
        <v>213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105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205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214</v>
      </c>
      <c r="B115" s="54" t="s">
        <v>215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/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217</v>
      </c>
      <c r="B116" s="54" t="s">
        <v>218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219</v>
      </c>
      <c r="B117" s="54" t="s">
        <v>220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221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1125.9000000000001</v>
      </c>
      <c r="Y117" s="554">
        <f>IFERROR(IF(X117="",0,CEILING((X117/$H117),1)*$H117),"")</f>
        <v>1125.9000000000001</v>
      </c>
      <c r="Z117" s="36">
        <f>IFERROR(IF(Y117=0,"",ROUNDUP(Y117/H117,0)*0.00651),"")</f>
        <v>2.7146699999999999</v>
      </c>
      <c r="AA117" s="56"/>
      <c r="AB117" s="57"/>
      <c r="AC117" s="165" t="s">
        <v>216</v>
      </c>
      <c r="AG117" s="64"/>
      <c r="AJ117" s="68" t="s">
        <v>200</v>
      </c>
      <c r="AK117" s="68">
        <v>37.799999999999997</v>
      </c>
      <c r="BB117" s="166" t="s">
        <v>1</v>
      </c>
      <c r="BM117" s="64">
        <f>IFERROR(X117*I117/H117,"0")</f>
        <v>1230.9839999999999</v>
      </c>
      <c r="BN117" s="64">
        <f>IFERROR(Y117*I117/H117,"0")</f>
        <v>1230.9839999999999</v>
      </c>
      <c r="BO117" s="64">
        <f>IFERROR(1/J117*(X117/H117),"0")</f>
        <v>2.2912087912087915</v>
      </c>
      <c r="BP117" s="64">
        <f>IFERROR(1/J117*(Y117/H117),"0")</f>
        <v>2.2912087912087915</v>
      </c>
    </row>
    <row r="118" spans="1:68" ht="16.5" customHeight="1" x14ac:dyDescent="0.25">
      <c r="A118" s="54" t="s">
        <v>222</v>
      </c>
      <c r="B118" s="54" t="s">
        <v>223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224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417</v>
      </c>
      <c r="Y119" s="555">
        <f>IFERROR(Y115/H115,"0")+IFERROR(Y116/H116,"0")+IFERROR(Y117/H117,"0")+IFERROR(Y118/H118,"0")</f>
        <v>417</v>
      </c>
      <c r="Z119" s="555">
        <f>IFERROR(IF(Z115="",0,Z115),"0")+IFERROR(IF(Z116="",0,Z116),"0")+IFERROR(IF(Z117="",0,Z117),"0")+IFERROR(IF(Z118="",0,Z118),"0")</f>
        <v>2.7146699999999999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1125.9000000000001</v>
      </c>
      <c r="Y120" s="555">
        <f>IFERROR(SUM(Y115:Y118),"0")</f>
        <v>1125.9000000000001</v>
      </c>
      <c r="Z120" s="37"/>
      <c r="AA120" s="556"/>
      <c r="AB120" s="556"/>
      <c r="AC120" s="556"/>
    </row>
    <row r="121" spans="1:68" ht="14.25" customHeight="1" x14ac:dyDescent="0.25">
      <c r="A121" s="569" t="s">
        <v>159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225</v>
      </c>
      <c r="B122" s="54" t="s">
        <v>226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227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228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229</v>
      </c>
      <c r="B127" s="54" t="s">
        <v>230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231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229</v>
      </c>
      <c r="B128" s="54" t="s">
        <v>232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231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233</v>
      </c>
      <c r="B132" s="54" t="s">
        <v>234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235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233</v>
      </c>
      <c r="B133" s="54" t="s">
        <v>236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235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237</v>
      </c>
      <c r="B137" s="54" t="s">
        <v>238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231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237</v>
      </c>
      <c r="B138" s="54" t="s">
        <v>239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231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240</v>
      </c>
      <c r="B143" s="54" t="s">
        <v>241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105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242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243</v>
      </c>
      <c r="B144" s="54" t="s">
        <v>244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109</v>
      </c>
      <c r="L144" s="32"/>
      <c r="M144" s="33" t="s">
        <v>105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245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246</v>
      </c>
      <c r="B148" s="54" t="s">
        <v>247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105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248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249</v>
      </c>
      <c r="B149" s="54" t="s">
        <v>250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251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252</v>
      </c>
      <c r="B150" s="54" t="s">
        <v>253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254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255</v>
      </c>
      <c r="B151" s="54" t="s">
        <v>256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257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258</v>
      </c>
      <c r="B152" s="54" t="s">
        <v>259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260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261</v>
      </c>
      <c r="B153" s="54" t="s">
        <v>262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109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263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264</v>
      </c>
      <c r="B157" s="54" t="s">
        <v>265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266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267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268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134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269</v>
      </c>
      <c r="B163" s="54" t="s">
        <v>270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271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272</v>
      </c>
      <c r="B167" s="54" t="s">
        <v>273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274</v>
      </c>
      <c r="N167" s="33"/>
      <c r="O167" s="32">
        <v>60</v>
      </c>
      <c r="P167" s="689" t="s">
        <v>275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276</v>
      </c>
      <c r="AC167" s="203" t="s">
        <v>277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274</v>
      </c>
      <c r="N168" s="33"/>
      <c r="O168" s="32">
        <v>60</v>
      </c>
      <c r="P168" s="656" t="s">
        <v>280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276</v>
      </c>
      <c r="AC168" s="205" t="s">
        <v>277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281</v>
      </c>
      <c r="B169" s="54" t="s">
        <v>282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109</v>
      </c>
      <c r="L169" s="32"/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283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284</v>
      </c>
      <c r="B170" s="54" t="s">
        <v>285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109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286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287</v>
      </c>
      <c r="B171" s="54" t="s">
        <v>288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109</v>
      </c>
      <c r="L171" s="32"/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289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290</v>
      </c>
      <c r="B172" s="54" t="s">
        <v>291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292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293</v>
      </c>
      <c r="B173" s="54" t="s">
        <v>294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297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298</v>
      </c>
      <c r="B175" s="54" t="s">
        <v>299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286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303</v>
      </c>
      <c r="B177" s="54" t="s">
        <v>304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172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305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306</v>
      </c>
      <c r="B178" s="54" t="s">
        <v>307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289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308</v>
      </c>
      <c r="B179" s="54" t="s">
        <v>309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289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310</v>
      </c>
      <c r="B180" s="54" t="s">
        <v>311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312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313</v>
      </c>
      <c r="B184" s="54" t="s">
        <v>314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315</v>
      </c>
      <c r="L184" s="32"/>
      <c r="M184" s="33" t="s">
        <v>274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315</v>
      </c>
      <c r="L185" s="32"/>
      <c r="M185" s="33" t="s">
        <v>274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319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320</v>
      </c>
      <c r="B186" s="54" t="s">
        <v>321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315</v>
      </c>
      <c r="L186" s="32"/>
      <c r="M186" s="33" t="s">
        <v>274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319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322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323</v>
      </c>
      <c r="B190" s="54" t="s">
        <v>324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315</v>
      </c>
      <c r="L190" s="32"/>
      <c r="M190" s="33" t="s">
        <v>274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319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325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326</v>
      </c>
      <c r="B195" s="54" t="s">
        <v>327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105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328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329</v>
      </c>
      <c r="B196" s="54" t="s">
        <v>330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105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328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134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331</v>
      </c>
      <c r="B200" s="54" t="s">
        <v>332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105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333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334</v>
      </c>
      <c r="B201" s="54" t="s">
        <v>335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105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333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336</v>
      </c>
      <c r="B205" s="54" t="s">
        <v>337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109</v>
      </c>
      <c r="L206" s="32"/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109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345</v>
      </c>
      <c r="B208" s="54" t="s">
        <v>346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109</v>
      </c>
      <c r="L208" s="32"/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347</v>
      </c>
      <c r="AG208" s="64"/>
      <c r="AJ208" s="68"/>
      <c r="AK208" s="68">
        <v>0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348</v>
      </c>
      <c r="B209" s="54" t="s">
        <v>349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350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133.19999999999999</v>
      </c>
      <c r="Y209" s="554">
        <f t="shared" si="15"/>
        <v>133.20000000000002</v>
      </c>
      <c r="Z209" s="36">
        <f>IFERROR(IF(Y209=0,"",ROUNDUP(Y209/H209,0)*0.00502),"")</f>
        <v>0.37148000000000003</v>
      </c>
      <c r="AA209" s="56"/>
      <c r="AB209" s="57"/>
      <c r="AC209" s="255" t="s">
        <v>338</v>
      </c>
      <c r="AG209" s="64"/>
      <c r="AJ209" s="68" t="s">
        <v>200</v>
      </c>
      <c r="AK209" s="68">
        <v>32.4</v>
      </c>
      <c r="BB209" s="256" t="s">
        <v>1</v>
      </c>
      <c r="BM209" s="64">
        <f t="shared" si="16"/>
        <v>142.81999999999996</v>
      </c>
      <c r="BN209" s="64">
        <f t="shared" si="17"/>
        <v>142.82000000000002</v>
      </c>
      <c r="BO209" s="64">
        <f t="shared" si="18"/>
        <v>0.31623931623931623</v>
      </c>
      <c r="BP209" s="64">
        <f t="shared" si="19"/>
        <v>0.31623931623931634</v>
      </c>
    </row>
    <row r="210" spans="1:68" ht="27" customHeight="1" x14ac:dyDescent="0.25">
      <c r="A210" s="54" t="s">
        <v>351</v>
      </c>
      <c r="B210" s="54" t="s">
        <v>352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353</v>
      </c>
      <c r="B211" s="54" t="s">
        <v>354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111.6</v>
      </c>
      <c r="Y211" s="554">
        <f t="shared" si="15"/>
        <v>111.60000000000001</v>
      </c>
      <c r="Z211" s="36">
        <f>IFERROR(IF(Y211=0,"",ROUNDUP(Y211/H211,0)*0.00502),"")</f>
        <v>0.31124000000000002</v>
      </c>
      <c r="AA211" s="56"/>
      <c r="AB211" s="57"/>
      <c r="AC211" s="259" t="s">
        <v>344</v>
      </c>
      <c r="AG211" s="64"/>
      <c r="AJ211" s="68"/>
      <c r="AK211" s="68">
        <v>0</v>
      </c>
      <c r="BB211" s="260" t="s">
        <v>1</v>
      </c>
      <c r="BM211" s="64">
        <f t="shared" si="16"/>
        <v>117.8</v>
      </c>
      <c r="BN211" s="64">
        <f t="shared" si="17"/>
        <v>117.80000000000001</v>
      </c>
      <c r="BO211" s="64">
        <f t="shared" si="18"/>
        <v>0.26495726495726496</v>
      </c>
      <c r="BP211" s="64">
        <f t="shared" si="19"/>
        <v>0.26495726495726496</v>
      </c>
    </row>
    <row r="212" spans="1:68" ht="27" customHeight="1" x14ac:dyDescent="0.25">
      <c r="A212" s="54" t="s">
        <v>355</v>
      </c>
      <c r="B212" s="54" t="s">
        <v>356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/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347</v>
      </c>
      <c r="AG212" s="64"/>
      <c r="AJ212" s="68"/>
      <c r="AK212" s="68">
        <v>0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135.99999999999997</v>
      </c>
      <c r="Y213" s="555">
        <f>IFERROR(Y205/H205,"0")+IFERROR(Y206/H206,"0")+IFERROR(Y207/H207,"0")+IFERROR(Y208/H208,"0")+IFERROR(Y209/H209,"0")+IFERROR(Y210/H210,"0")+IFERROR(Y211/H211,"0")+IFERROR(Y212/H212,"0")</f>
        <v>136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0.68271999999999999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244.79999999999998</v>
      </c>
      <c r="Y214" s="555">
        <f>IFERROR(SUM(Y205:Y212),"0")</f>
        <v>244.8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357</v>
      </c>
      <c r="B216" s="54" t="s">
        <v>358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359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360</v>
      </c>
      <c r="B217" s="54" t="s">
        <v>361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362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363</v>
      </c>
      <c r="B218" s="54" t="s">
        <v>364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/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365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366</v>
      </c>
      <c r="B219" s="54" t="s">
        <v>367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221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321.60000000000002</v>
      </c>
      <c r="Y219" s="554">
        <f t="shared" si="20"/>
        <v>321.59999999999997</v>
      </c>
      <c r="Z219" s="36">
        <f t="shared" ref="Z219:Z224" si="25">IFERROR(IF(Y219=0,"",ROUNDUP(Y219/H219,0)*0.00651),"")</f>
        <v>0.87234</v>
      </c>
      <c r="AA219" s="56"/>
      <c r="AB219" s="57"/>
      <c r="AC219" s="269" t="s">
        <v>368</v>
      </c>
      <c r="AG219" s="64"/>
      <c r="AJ219" s="68" t="s">
        <v>200</v>
      </c>
      <c r="AK219" s="68">
        <v>33.6</v>
      </c>
      <c r="BB219" s="270" t="s">
        <v>1</v>
      </c>
      <c r="BM219" s="64">
        <f t="shared" si="21"/>
        <v>357.78000000000003</v>
      </c>
      <c r="BN219" s="64">
        <f t="shared" si="22"/>
        <v>357.78</v>
      </c>
      <c r="BO219" s="64">
        <f t="shared" si="23"/>
        <v>0.73626373626373642</v>
      </c>
      <c r="BP219" s="64">
        <f t="shared" si="24"/>
        <v>0.73626373626373631</v>
      </c>
    </row>
    <row r="220" spans="1:68" ht="27" customHeight="1" x14ac:dyDescent="0.25">
      <c r="A220" s="54" t="s">
        <v>369</v>
      </c>
      <c r="B220" s="54" t="s">
        <v>370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371</v>
      </c>
      <c r="B221" s="54" t="s">
        <v>372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221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220.8</v>
      </c>
      <c r="Y221" s="554">
        <f t="shared" si="20"/>
        <v>220.79999999999998</v>
      </c>
      <c r="Z221" s="36">
        <f t="shared" si="25"/>
        <v>0.59892000000000001</v>
      </c>
      <c r="AA221" s="56"/>
      <c r="AB221" s="57"/>
      <c r="AC221" s="273" t="s">
        <v>365</v>
      </c>
      <c r="AG221" s="64"/>
      <c r="AJ221" s="68" t="s">
        <v>200</v>
      </c>
      <c r="AK221" s="68">
        <v>33.6</v>
      </c>
      <c r="BB221" s="274" t="s">
        <v>1</v>
      </c>
      <c r="BM221" s="64">
        <f t="shared" si="21"/>
        <v>243.98400000000007</v>
      </c>
      <c r="BN221" s="64">
        <f t="shared" si="22"/>
        <v>243.98400000000001</v>
      </c>
      <c r="BO221" s="64">
        <f t="shared" si="23"/>
        <v>0.50549450549450559</v>
      </c>
      <c r="BP221" s="64">
        <f t="shared" si="24"/>
        <v>0.50549450549450559</v>
      </c>
    </row>
    <row r="222" spans="1:68" ht="27" customHeight="1" x14ac:dyDescent="0.25">
      <c r="A222" s="54" t="s">
        <v>373</v>
      </c>
      <c r="B222" s="54" t="s">
        <v>374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365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375</v>
      </c>
      <c r="B223" s="54" t="s">
        <v>376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/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377</v>
      </c>
      <c r="AG223" s="64"/>
      <c r="AJ223" s="68"/>
      <c r="AK223" s="68">
        <v>0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378</v>
      </c>
      <c r="B224" s="54" t="s">
        <v>379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/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362</v>
      </c>
      <c r="AG224" s="64"/>
      <c r="AJ224" s="68"/>
      <c r="AK224" s="68">
        <v>0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226.00000000000006</v>
      </c>
      <c r="Y225" s="555">
        <f>IFERROR(Y216/H216,"0")+IFERROR(Y217/H217,"0")+IFERROR(Y218/H218,"0")+IFERROR(Y219/H219,"0")+IFERROR(Y220/H220,"0")+IFERROR(Y221/H221,"0")+IFERROR(Y222/H222,"0")+IFERROR(Y223/H223,"0")+IFERROR(Y224/H224,"0")</f>
        <v>226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1.47126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542.40000000000009</v>
      </c>
      <c r="Y226" s="555">
        <f>IFERROR(SUM(Y216:Y224),"0")</f>
        <v>542.4</v>
      </c>
      <c r="Z226" s="37"/>
      <c r="AA226" s="556"/>
      <c r="AB226" s="556"/>
      <c r="AC226" s="556"/>
    </row>
    <row r="227" spans="1:68" ht="14.25" customHeight="1" x14ac:dyDescent="0.25">
      <c r="A227" s="569" t="s">
        <v>159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380</v>
      </c>
      <c r="B228" s="54" t="s">
        <v>381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382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383</v>
      </c>
      <c r="B229" s="54" t="s">
        <v>384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385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386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387</v>
      </c>
      <c r="B234" s="54" t="s">
        <v>388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105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389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390</v>
      </c>
      <c r="B235" s="54" t="s">
        <v>391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105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392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394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105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109</v>
      </c>
      <c r="L237" s="32"/>
      <c r="M237" s="33" t="s">
        <v>105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396</v>
      </c>
      <c r="B238" s="54" t="s">
        <v>398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109</v>
      </c>
      <c r="L238" s="32"/>
      <c r="M238" s="33" t="s">
        <v>105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399</v>
      </c>
      <c r="B239" s="54" t="s">
        <v>400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109</v>
      </c>
      <c r="L239" s="32"/>
      <c r="M239" s="33" t="s">
        <v>105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401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402</v>
      </c>
      <c r="B240" s="54" t="s">
        <v>403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105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404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405</v>
      </c>
      <c r="B241" s="54" t="s">
        <v>406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109</v>
      </c>
      <c r="L241" s="32"/>
      <c r="M241" s="33" t="s">
        <v>105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395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405</v>
      </c>
      <c r="B242" s="54" t="s">
        <v>407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109</v>
      </c>
      <c r="L242" s="32"/>
      <c r="M242" s="33" t="s">
        <v>105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395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134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408</v>
      </c>
      <c r="B246" s="54" t="s">
        <v>409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29.7</v>
      </c>
      <c r="Y246" s="554">
        <f>IFERROR(IF(X246="",0,CEILING((X246/$H246),1)*$H246),"")</f>
        <v>29.7</v>
      </c>
      <c r="Z246" s="36">
        <f>IFERROR(IF(Y246=0,"",ROUNDUP(Y246/H246,0)*0.00502),"")</f>
        <v>7.5300000000000006E-2</v>
      </c>
      <c r="AA246" s="56"/>
      <c r="AB246" s="57"/>
      <c r="AC246" s="303" t="s">
        <v>410</v>
      </c>
      <c r="AG246" s="64"/>
      <c r="AJ246" s="68"/>
      <c r="AK246" s="68">
        <v>0</v>
      </c>
      <c r="BB246" s="304" t="s">
        <v>1</v>
      </c>
      <c r="BM246" s="64">
        <f>IFERROR(X246*I246/H246,"0")</f>
        <v>31.200000000000003</v>
      </c>
      <c r="BN246" s="64">
        <f>IFERROR(Y246*I246/H246,"0")</f>
        <v>31.200000000000003</v>
      </c>
      <c r="BO246" s="64">
        <f>IFERROR(1/J246*(X246/H246),"0")</f>
        <v>6.4102564102564111E-2</v>
      </c>
      <c r="BP246" s="64">
        <f>IFERROR(1/J246*(Y246/H246),"0")</f>
        <v>6.4102564102564111E-2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15</v>
      </c>
      <c r="Y247" s="555">
        <f>IFERROR(Y246/H246,"0")</f>
        <v>15</v>
      </c>
      <c r="Z247" s="555">
        <f>IFERROR(IF(Z246="",0,Z246),"0")</f>
        <v>7.5300000000000006E-2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29.7</v>
      </c>
      <c r="Y248" s="555">
        <f>IFERROR(SUM(Y246:Y246),"0")</f>
        <v>29.7</v>
      </c>
      <c r="Z248" s="37"/>
      <c r="AA248" s="556"/>
      <c r="AB248" s="556"/>
      <c r="AC248" s="556"/>
    </row>
    <row r="249" spans="1:68" ht="14.25" customHeight="1" x14ac:dyDescent="0.25">
      <c r="A249" s="569" t="s">
        <v>411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412</v>
      </c>
      <c r="B250" s="54" t="s">
        <v>413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315</v>
      </c>
      <c r="L250" s="32"/>
      <c r="M250" s="33" t="s">
        <v>274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414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415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416</v>
      </c>
      <c r="B254" s="54" t="s">
        <v>417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315</v>
      </c>
      <c r="L254" s="32"/>
      <c r="M254" s="33" t="s">
        <v>274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418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315</v>
      </c>
      <c r="L255" s="32"/>
      <c r="M255" s="33" t="s">
        <v>274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418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315</v>
      </c>
      <c r="L256" s="32"/>
      <c r="M256" s="33" t="s">
        <v>274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418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423</v>
      </c>
      <c r="B257" s="54" t="s">
        <v>424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315</v>
      </c>
      <c r="L257" s="32"/>
      <c r="M257" s="33" t="s">
        <v>274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418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425</v>
      </c>
      <c r="B258" s="54" t="s">
        <v>426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315</v>
      </c>
      <c r="L258" s="32"/>
      <c r="M258" s="33" t="s">
        <v>274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418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427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428</v>
      </c>
      <c r="B263" s="54" t="s">
        <v>429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105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430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431</v>
      </c>
      <c r="B264" s="54" t="s">
        <v>432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105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433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434</v>
      </c>
      <c r="B265" s="54" t="s">
        <v>435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105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436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437</v>
      </c>
      <c r="B266" s="54" t="s">
        <v>438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109</v>
      </c>
      <c r="L266" s="32"/>
      <c r="M266" s="33" t="s">
        <v>105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439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440</v>
      </c>
      <c r="B267" s="54" t="s">
        <v>441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109</v>
      </c>
      <c r="L267" s="32"/>
      <c r="M267" s="33" t="s">
        <v>105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442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443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444</v>
      </c>
      <c r="B272" s="54" t="s">
        <v>445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106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446</v>
      </c>
      <c r="B273" s="54" t="s">
        <v>447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448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449</v>
      </c>
      <c r="B274" s="54" t="s">
        <v>450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395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451</v>
      </c>
      <c r="B275" s="54" t="s">
        <v>452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105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453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454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455</v>
      </c>
      <c r="B280" s="54" t="s">
        <v>456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457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458</v>
      </c>
      <c r="B281" s="54" t="s">
        <v>459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460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461</v>
      </c>
      <c r="B282" s="54" t="s">
        <v>462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457</v>
      </c>
      <c r="AG282" s="64"/>
      <c r="AJ282" s="68"/>
      <c r="AK282" s="68">
        <v>0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463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464</v>
      </c>
      <c r="B287" s="54" t="s">
        <v>465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466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467</v>
      </c>
      <c r="B288" s="54" t="s">
        <v>468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469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470</v>
      </c>
      <c r="B292" s="54" t="s">
        <v>471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472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473</v>
      </c>
      <c r="B293" s="54" t="s">
        <v>474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109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475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476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477</v>
      </c>
      <c r="B298" s="54" t="s">
        <v>478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479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480</v>
      </c>
      <c r="B299" s="54" t="s">
        <v>481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105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483</v>
      </c>
      <c r="B300" s="54" t="s">
        <v>484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486</v>
      </c>
      <c r="B301" s="54" t="s">
        <v>487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109</v>
      </c>
      <c r="L301" s="32"/>
      <c r="M301" s="33" t="s">
        <v>105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479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488</v>
      </c>
      <c r="B302" s="54" t="s">
        <v>489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109</v>
      </c>
      <c r="L302" s="32"/>
      <c r="M302" s="33" t="s">
        <v>105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490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491</v>
      </c>
      <c r="B306" s="54" t="s">
        <v>492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493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494</v>
      </c>
      <c r="B307" s="54" t="s">
        <v>495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496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497</v>
      </c>
      <c r="B308" s="54" t="s">
        <v>498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109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499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500</v>
      </c>
      <c r="B309" s="54" t="s">
        <v>501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496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502</v>
      </c>
      <c r="B310" s="54" t="s">
        <v>503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491.4</v>
      </c>
      <c r="Y310" s="554">
        <f t="shared" si="31"/>
        <v>491.40000000000003</v>
      </c>
      <c r="Z310" s="36">
        <f>IFERROR(IF(Y310=0,"",ROUNDUP(Y310/H310,0)*0.00502),"")</f>
        <v>1.1746799999999999</v>
      </c>
      <c r="AA310" s="56"/>
      <c r="AB310" s="57"/>
      <c r="AC310" s="367" t="s">
        <v>504</v>
      </c>
      <c r="AG310" s="64"/>
      <c r="AJ310" s="68"/>
      <c r="AK310" s="68">
        <v>0</v>
      </c>
      <c r="BB310" s="368" t="s">
        <v>1</v>
      </c>
      <c r="BM310" s="64">
        <f t="shared" si="32"/>
        <v>514.79999999999995</v>
      </c>
      <c r="BN310" s="64">
        <f t="shared" si="33"/>
        <v>514.80000000000007</v>
      </c>
      <c r="BO310" s="64">
        <f t="shared" si="34"/>
        <v>1</v>
      </c>
      <c r="BP310" s="64">
        <f t="shared" si="35"/>
        <v>1</v>
      </c>
    </row>
    <row r="311" spans="1:68" ht="27" customHeight="1" x14ac:dyDescent="0.25">
      <c r="A311" s="54" t="s">
        <v>505</v>
      </c>
      <c r="B311" s="54" t="s">
        <v>506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507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233.99999999999997</v>
      </c>
      <c r="Y312" s="555">
        <f>IFERROR(Y306/H306,"0")+IFERROR(Y307/H307,"0")+IFERROR(Y308/H308,"0")+IFERROR(Y309/H309,"0")+IFERROR(Y310/H310,"0")+IFERROR(Y311/H311,"0")</f>
        <v>234</v>
      </c>
      <c r="Z312" s="555">
        <f>IFERROR(IF(Z306="",0,Z306),"0")+IFERROR(IF(Z307="",0,Z307),"0")+IFERROR(IF(Z308="",0,Z308),"0")+IFERROR(IF(Z309="",0,Z309),"0")+IFERROR(IF(Z310="",0,Z310),"0")+IFERROR(IF(Z311="",0,Z311),"0")</f>
        <v>1.1746799999999999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491.4</v>
      </c>
      <c r="Y313" s="555">
        <f>IFERROR(SUM(Y306:Y311),"0")</f>
        <v>491.40000000000003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508</v>
      </c>
      <c r="B315" s="54" t="s">
        <v>509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510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511</v>
      </c>
      <c r="B316" s="54" t="s">
        <v>512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513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514</v>
      </c>
      <c r="B317" s="54" t="s">
        <v>515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516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517</v>
      </c>
      <c r="B318" s="54" t="s">
        <v>518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519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159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520</v>
      </c>
      <c r="B322" s="54" t="s">
        <v>521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522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523</v>
      </c>
      <c r="B323" s="54" t="s">
        <v>524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/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525</v>
      </c>
      <c r="AG323" s="64"/>
      <c r="AJ323" s="68"/>
      <c r="AK323" s="68">
        <v>0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customHeight="1" x14ac:dyDescent="0.25">
      <c r="A324" s="54" t="s">
        <v>526</v>
      </c>
      <c r="B324" s="54" t="s">
        <v>527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528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529</v>
      </c>
      <c r="B328" s="54" t="s">
        <v>530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109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531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532</v>
      </c>
      <c r="B329" s="54" t="s">
        <v>533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109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531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534</v>
      </c>
      <c r="B330" s="54" t="s">
        <v>535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536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537</v>
      </c>
      <c r="B331" s="54" t="s">
        <v>538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/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531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539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540</v>
      </c>
      <c r="B335" s="54" t="s">
        <v>541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542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543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544</v>
      </c>
      <c r="B336" s="54" t="s">
        <v>545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542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543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546</v>
      </c>
      <c r="B337" s="54" t="s">
        <v>547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542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543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548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549</v>
      </c>
      <c r="B342" s="54" t="s">
        <v>550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551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552</v>
      </c>
      <c r="B343" s="54" t="s">
        <v>553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221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157.5</v>
      </c>
      <c r="Y343" s="554">
        <f>IFERROR(IF(X343="",0,CEILING((X343/$H343),1)*$H343),"")</f>
        <v>157.5</v>
      </c>
      <c r="Z343" s="36">
        <f>IFERROR(IF(Y343=0,"",ROUNDUP(Y343/H343,0)*0.00651),"")</f>
        <v>0.48825000000000002</v>
      </c>
      <c r="AA343" s="56"/>
      <c r="AB343" s="57"/>
      <c r="AC343" s="401" t="s">
        <v>554</v>
      </c>
      <c r="AG343" s="64"/>
      <c r="AJ343" s="68" t="s">
        <v>200</v>
      </c>
      <c r="AK343" s="68">
        <v>29.4</v>
      </c>
      <c r="BB343" s="402" t="s">
        <v>1</v>
      </c>
      <c r="BM343" s="64">
        <f>IFERROR(X343*I343/H343,"0")</f>
        <v>176.39999999999998</v>
      </c>
      <c r="BN343" s="64">
        <f>IFERROR(Y343*I343/H343,"0")</f>
        <v>176.39999999999998</v>
      </c>
      <c r="BO343" s="64">
        <f>IFERROR(1/J343*(X343/H343),"0")</f>
        <v>0.41208791208791212</v>
      </c>
      <c r="BP343" s="64">
        <f>IFERROR(1/J343*(Y343/H343),"0")</f>
        <v>0.41208791208791212</v>
      </c>
    </row>
    <row r="344" spans="1:68" ht="27" customHeight="1" x14ac:dyDescent="0.25">
      <c r="A344" s="54" t="s">
        <v>555</v>
      </c>
      <c r="B344" s="54" t="s">
        <v>556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221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840</v>
      </c>
      <c r="Y344" s="554">
        <f>IFERROR(IF(X344="",0,CEILING((X344/$H344),1)*$H344),"")</f>
        <v>840</v>
      </c>
      <c r="Z344" s="36">
        <f>IFERROR(IF(Y344=0,"",ROUNDUP(Y344/H344,0)*0.00651),"")</f>
        <v>2.6040000000000001</v>
      </c>
      <c r="AA344" s="56"/>
      <c r="AB344" s="57"/>
      <c r="AC344" s="403" t="s">
        <v>557</v>
      </c>
      <c r="AG344" s="64"/>
      <c r="AJ344" s="68" t="s">
        <v>200</v>
      </c>
      <c r="AK344" s="68">
        <v>29.4</v>
      </c>
      <c r="BB344" s="404" t="s">
        <v>1</v>
      </c>
      <c r="BM344" s="64">
        <f>IFERROR(X344*I344/H344,"0")</f>
        <v>935.99999999999989</v>
      </c>
      <c r="BN344" s="64">
        <f>IFERROR(Y344*I344/H344,"0")</f>
        <v>935.99999999999989</v>
      </c>
      <c r="BO344" s="64">
        <f>IFERROR(1/J344*(X344/H344),"0")</f>
        <v>2.197802197802198</v>
      </c>
      <c r="BP344" s="64">
        <f>IFERROR(1/J344*(Y344/H344),"0")</f>
        <v>2.197802197802198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475</v>
      </c>
      <c r="Y345" s="555">
        <f>IFERROR(Y342/H342,"0")+IFERROR(Y343/H343,"0")+IFERROR(Y344/H344,"0")</f>
        <v>475</v>
      </c>
      <c r="Z345" s="555">
        <f>IFERROR(IF(Z342="",0,Z342),"0")+IFERROR(IF(Z343="",0,Z343),"0")+IFERROR(IF(Z344="",0,Z344),"0")</f>
        <v>3.0922499999999999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997.5</v>
      </c>
      <c r="Y346" s="555">
        <f>IFERROR(SUM(Y342:Y344),"0")</f>
        <v>997.5</v>
      </c>
      <c r="Z346" s="37"/>
      <c r="AA346" s="556"/>
      <c r="AB346" s="556"/>
      <c r="AC346" s="556"/>
    </row>
    <row r="347" spans="1:68" ht="27.75" customHeight="1" x14ac:dyDescent="0.2">
      <c r="A347" s="630" t="s">
        <v>558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559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560</v>
      </c>
      <c r="B350" s="54" t="s">
        <v>561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45</v>
      </c>
      <c r="Y350" s="554">
        <f t="shared" ref="Y350:Y356" si="36">IFERROR(IF(X350="",0,CEILING((X350/$H350),1)*$H350),"")</f>
        <v>45</v>
      </c>
      <c r="Z350" s="36">
        <f>IFERROR(IF(Y350=0,"",ROUNDUP(Y350/H350,0)*0.02175),"")</f>
        <v>6.5250000000000002E-2</v>
      </c>
      <c r="AA350" s="56"/>
      <c r="AB350" s="57"/>
      <c r="AC350" s="405" t="s">
        <v>562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46.41</v>
      </c>
      <c r="BN350" s="64">
        <f t="shared" ref="BN350:BN356" si="38">IFERROR(Y350*I350/H350,"0")</f>
        <v>46.41</v>
      </c>
      <c r="BO350" s="64">
        <f t="shared" ref="BO350:BO356" si="39">IFERROR(1/J350*(X350/H350),"0")</f>
        <v>6.25E-2</v>
      </c>
      <c r="BP350" s="64">
        <f t="shared" ref="BP350:BP356" si="40">IFERROR(1/J350*(Y350/H350),"0")</f>
        <v>6.25E-2</v>
      </c>
    </row>
    <row r="351" spans="1:68" ht="27" customHeight="1" x14ac:dyDescent="0.25">
      <c r="A351" s="54" t="s">
        <v>563</v>
      </c>
      <c r="B351" s="54" t="s">
        <v>564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565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566</v>
      </c>
      <c r="B352" s="54" t="s">
        <v>567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30</v>
      </c>
      <c r="Y352" s="554">
        <f t="shared" si="36"/>
        <v>30</v>
      </c>
      <c r="Z352" s="36">
        <f>IFERROR(IF(Y352=0,"",ROUNDUP(Y352/H352,0)*0.02175),"")</f>
        <v>4.3499999999999997E-2</v>
      </c>
      <c r="AA352" s="56"/>
      <c r="AB352" s="57"/>
      <c r="AC352" s="409" t="s">
        <v>568</v>
      </c>
      <c r="AG352" s="64"/>
      <c r="AJ352" s="68"/>
      <c r="AK352" s="68">
        <v>0</v>
      </c>
      <c r="BB352" s="410" t="s">
        <v>1</v>
      </c>
      <c r="BM352" s="64">
        <f t="shared" si="37"/>
        <v>30.94</v>
      </c>
      <c r="BN352" s="64">
        <f t="shared" si="38"/>
        <v>30.94</v>
      </c>
      <c r="BO352" s="64">
        <f t="shared" si="39"/>
        <v>4.1666666666666664E-2</v>
      </c>
      <c r="BP352" s="64">
        <f t="shared" si="40"/>
        <v>4.1666666666666664E-2</v>
      </c>
    </row>
    <row r="353" spans="1:68" ht="27" customHeight="1" x14ac:dyDescent="0.25">
      <c r="A353" s="54" t="s">
        <v>569</v>
      </c>
      <c r="B353" s="54" t="s">
        <v>570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572</v>
      </c>
      <c r="B354" s="54" t="s">
        <v>573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109</v>
      </c>
      <c r="L354" s="32"/>
      <c r="M354" s="33" t="s">
        <v>105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574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575</v>
      </c>
      <c r="B355" s="54" t="s">
        <v>576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565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577</v>
      </c>
      <c r="B356" s="54" t="s">
        <v>578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109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568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5</v>
      </c>
      <c r="Y357" s="555">
        <f>IFERROR(Y350/H350,"0")+IFERROR(Y351/H351,"0")+IFERROR(Y352/H352,"0")+IFERROR(Y353/H353,"0")+IFERROR(Y354/H354,"0")+IFERROR(Y355/H355,"0")+IFERROR(Y356/H356,"0")</f>
        <v>5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0.10875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75</v>
      </c>
      <c r="Y358" s="555">
        <f>IFERROR(SUM(Y350:Y356),"0")</f>
        <v>75</v>
      </c>
      <c r="Z358" s="37"/>
      <c r="AA358" s="556"/>
      <c r="AB358" s="556"/>
      <c r="AC358" s="556"/>
    </row>
    <row r="359" spans="1:68" ht="14.25" customHeight="1" x14ac:dyDescent="0.25">
      <c r="A359" s="569" t="s">
        <v>134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579</v>
      </c>
      <c r="B360" s="54" t="s">
        <v>580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105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30</v>
      </c>
      <c r="Y360" s="554">
        <f>IFERROR(IF(X360="",0,CEILING((X360/$H360),1)*$H360),"")</f>
        <v>30</v>
      </c>
      <c r="Z360" s="36">
        <f>IFERROR(IF(Y360=0,"",ROUNDUP(Y360/H360,0)*0.02175),"")</f>
        <v>4.3499999999999997E-2</v>
      </c>
      <c r="AA360" s="56"/>
      <c r="AB360" s="57"/>
      <c r="AC360" s="419" t="s">
        <v>581</v>
      </c>
      <c r="AG360" s="64"/>
      <c r="AJ360" s="68"/>
      <c r="AK360" s="68">
        <v>0</v>
      </c>
      <c r="BB360" s="420" t="s">
        <v>1</v>
      </c>
      <c r="BM360" s="64">
        <f>IFERROR(X360*I360/H360,"0")</f>
        <v>30.94</v>
      </c>
      <c r="BN360" s="64">
        <f>IFERROR(Y360*I360/H360,"0")</f>
        <v>30.94</v>
      </c>
      <c r="BO360" s="64">
        <f>IFERROR(1/J360*(X360/H360),"0")</f>
        <v>4.1666666666666664E-2</v>
      </c>
      <c r="BP360" s="64">
        <f>IFERROR(1/J360*(Y360/H360),"0")</f>
        <v>4.1666666666666664E-2</v>
      </c>
    </row>
    <row r="361" spans="1:68" ht="27" customHeight="1" x14ac:dyDescent="0.25">
      <c r="A361" s="54" t="s">
        <v>582</v>
      </c>
      <c r="B361" s="54" t="s">
        <v>583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109</v>
      </c>
      <c r="L361" s="32"/>
      <c r="M361" s="33" t="s">
        <v>105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584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2</v>
      </c>
      <c r="Y362" s="555">
        <f>IFERROR(Y360/H360,"0")+IFERROR(Y361/H361,"0")</f>
        <v>2</v>
      </c>
      <c r="Z362" s="555">
        <f>IFERROR(IF(Z360="",0,Z360),"0")+IFERROR(IF(Z361="",0,Z361),"0")</f>
        <v>4.3499999999999997E-2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30</v>
      </c>
      <c r="Y363" s="555">
        <f>IFERROR(SUM(Y360:Y361),"0")</f>
        <v>30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585</v>
      </c>
      <c r="B365" s="54" t="s">
        <v>586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587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588</v>
      </c>
      <c r="B366" s="54" t="s">
        <v>589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590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159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591</v>
      </c>
      <c r="B370" s="54" t="s">
        <v>592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593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594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595</v>
      </c>
      <c r="B375" s="54" t="s">
        <v>596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597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598</v>
      </c>
      <c r="B376" s="54" t="s">
        <v>599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109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597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600</v>
      </c>
      <c r="B380" s="54" t="s">
        <v>601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602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600</v>
      </c>
      <c r="B381" s="54" t="s">
        <v>603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109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604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605</v>
      </c>
      <c r="B385" s="54" t="s">
        <v>606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/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608</v>
      </c>
      <c r="B386" s="54" t="s">
        <v>609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607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608</v>
      </c>
      <c r="B387" s="54" t="s">
        <v>610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customHeight="1" x14ac:dyDescent="0.2">
      <c r="A390" s="630" t="s">
        <v>612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613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614</v>
      </c>
      <c r="B393" s="54" t="s">
        <v>615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617</v>
      </c>
      <c r="B394" s="54" t="s">
        <v>618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620</v>
      </c>
      <c r="B395" s="54" t="s">
        <v>621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109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623</v>
      </c>
      <c r="B396" s="54" t="s">
        <v>624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616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625</v>
      </c>
      <c r="B397" s="54" t="s">
        <v>626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616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627</v>
      </c>
      <c r="B398" s="54" t="s">
        <v>628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629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630</v>
      </c>
      <c r="B399" s="54" t="s">
        <v>631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632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633</v>
      </c>
      <c r="B400" s="54" t="s">
        <v>634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635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636</v>
      </c>
      <c r="B401" s="54" t="s">
        <v>637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632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638</v>
      </c>
      <c r="B405" s="54" t="s">
        <v>639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109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640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641</v>
      </c>
      <c r="B406" s="54" t="s">
        <v>642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643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644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134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645</v>
      </c>
      <c r="B411" s="54" t="s">
        <v>646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647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648</v>
      </c>
      <c r="B415" s="54" t="s">
        <v>649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109</v>
      </c>
      <c r="L415" s="32"/>
      <c r="M415" s="33" t="s">
        <v>105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650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651</v>
      </c>
      <c r="B416" s="54" t="s">
        <v>652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653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654</v>
      </c>
      <c r="B417" s="54" t="s">
        <v>655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656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657</v>
      </c>
      <c r="B418" s="54" t="s">
        <v>658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 t="s">
        <v>350</v>
      </c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656</v>
      </c>
      <c r="AG418" s="64"/>
      <c r="AJ418" s="68" t="s">
        <v>200</v>
      </c>
      <c r="AK418" s="68">
        <v>37.799999999999997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659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660</v>
      </c>
      <c r="B423" s="54" t="s">
        <v>661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662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663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663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664</v>
      </c>
      <c r="B429" s="54" t="s">
        <v>665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/>
      <c r="M429" s="33" t="s">
        <v>105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106</v>
      </c>
      <c r="AG429" s="64"/>
      <c r="AJ429" s="68"/>
      <c r="AK429" s="68">
        <v>0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105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666</v>
      </c>
      <c r="B431" s="54" t="s">
        <v>669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105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668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670</v>
      </c>
      <c r="B432" s="54" t="s">
        <v>671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105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673</v>
      </c>
      <c r="B433" s="54" t="s">
        <v>674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/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675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customHeight="1" x14ac:dyDescent="0.25">
      <c r="A434" s="54" t="s">
        <v>676</v>
      </c>
      <c r="B434" s="54" t="s">
        <v>677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105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678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679</v>
      </c>
      <c r="B435" s="54" t="s">
        <v>680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/>
      <c r="M435" s="33" t="s">
        <v>105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0</v>
      </c>
      <c r="Y435" s="554">
        <f t="shared" si="47"/>
        <v>0</v>
      </c>
      <c r="Z435" s="36" t="str">
        <f t="shared" si="48"/>
        <v/>
      </c>
      <c r="AA435" s="56"/>
      <c r="AB435" s="57"/>
      <c r="AC435" s="489" t="s">
        <v>681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682</v>
      </c>
      <c r="B436" s="54" t="s">
        <v>683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106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684</v>
      </c>
      <c r="B437" s="54" t="s">
        <v>685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109</v>
      </c>
      <c r="L437" s="32"/>
      <c r="M437" s="33" t="s">
        <v>105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686</v>
      </c>
      <c r="B438" s="54" t="s">
        <v>687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109</v>
      </c>
      <c r="L438" s="32"/>
      <c r="M438" s="33" t="s">
        <v>105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672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688</v>
      </c>
      <c r="B439" s="54" t="s">
        <v>689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105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690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691</v>
      </c>
      <c r="B440" s="54" t="s">
        <v>692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109</v>
      </c>
      <c r="L440" s="32"/>
      <c r="M440" s="33" t="s">
        <v>105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681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0</v>
      </c>
      <c r="Y442" s="555">
        <f>IFERROR(SUM(Y429:Y440),"0")</f>
        <v>0</v>
      </c>
      <c r="Z442" s="37"/>
      <c r="AA442" s="556"/>
      <c r="AB442" s="556"/>
      <c r="AC442" s="556"/>
    </row>
    <row r="443" spans="1:68" ht="14.25" customHeight="1" x14ac:dyDescent="0.25">
      <c r="A443" s="569" t="s">
        <v>134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693</v>
      </c>
      <c r="B444" s="54" t="s">
        <v>694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/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695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696</v>
      </c>
      <c r="B445" s="54" t="s">
        <v>697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695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698</v>
      </c>
      <c r="B446" s="54" t="s">
        <v>699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109</v>
      </c>
      <c r="L446" s="32"/>
      <c r="M446" s="33" t="s">
        <v>105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695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700</v>
      </c>
      <c r="B450" s="54" t="s">
        <v>701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/>
      <c r="M450" s="33" t="s">
        <v>105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702</v>
      </c>
      <c r="AG450" s="64"/>
      <c r="AJ450" s="68"/>
      <c r="AK450" s="68">
        <v>0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703</v>
      </c>
      <c r="B451" s="54" t="s">
        <v>704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/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705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706</v>
      </c>
      <c r="B452" s="54" t="s">
        <v>707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/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708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709</v>
      </c>
      <c r="B453" s="54" t="s">
        <v>710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109</v>
      </c>
      <c r="L453" s="32"/>
      <c r="M453" s="33" t="s">
        <v>105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702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711</v>
      </c>
      <c r="B454" s="54" t="s">
        <v>712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705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713</v>
      </c>
      <c r="B455" s="54" t="s">
        <v>714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109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708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715</v>
      </c>
      <c r="B459" s="54" t="s">
        <v>716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717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718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718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719</v>
      </c>
      <c r="B465" s="54" t="s">
        <v>720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721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722</v>
      </c>
      <c r="B466" s="54" t="s">
        <v>723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105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724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725</v>
      </c>
      <c r="B467" s="54" t="s">
        <v>726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105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727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728</v>
      </c>
      <c r="B468" s="54" t="s">
        <v>729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109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400</v>
      </c>
      <c r="Y468" s="554">
        <f>IFERROR(IF(X468="",0,CEILING((X468/$H468),1)*$H468),"")</f>
        <v>400</v>
      </c>
      <c r="Z468" s="36">
        <f>IFERROR(IF(Y468=0,"",ROUNDUP(Y468/H468,0)*0.00902),"")</f>
        <v>0.90200000000000002</v>
      </c>
      <c r="AA468" s="56"/>
      <c r="AB468" s="57"/>
      <c r="AC468" s="527" t="s">
        <v>721</v>
      </c>
      <c r="AG468" s="64"/>
      <c r="AJ468" s="68"/>
      <c r="AK468" s="68">
        <v>0</v>
      </c>
      <c r="BB468" s="528" t="s">
        <v>1</v>
      </c>
      <c r="BM468" s="64">
        <f>IFERROR(X468*I468/H468,"0")</f>
        <v>419.00000000000006</v>
      </c>
      <c r="BN468" s="64">
        <f>IFERROR(Y468*I468/H468,"0")</f>
        <v>419.00000000000006</v>
      </c>
      <c r="BO468" s="64">
        <f>IFERROR(1/J468*(X468/H468),"0")</f>
        <v>0.75757575757575757</v>
      </c>
      <c r="BP468" s="64">
        <f>IFERROR(1/J468*(Y468/H468),"0")</f>
        <v>0.75757575757575757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100</v>
      </c>
      <c r="Y469" s="555">
        <f>IFERROR(Y465/H465,"0")+IFERROR(Y466/H466,"0")+IFERROR(Y467/H467,"0")+IFERROR(Y468/H468,"0")</f>
        <v>100</v>
      </c>
      <c r="Z469" s="555">
        <f>IFERROR(IF(Z465="",0,Z465),"0")+IFERROR(IF(Z466="",0,Z466),"0")+IFERROR(IF(Z467="",0,Z467),"0")+IFERROR(IF(Z468="",0,Z468),"0")</f>
        <v>0.90200000000000002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400</v>
      </c>
      <c r="Y470" s="555">
        <f>IFERROR(SUM(Y465:Y468),"0")</f>
        <v>400</v>
      </c>
      <c r="Z470" s="37"/>
      <c r="AA470" s="556"/>
      <c r="AB470" s="556"/>
      <c r="AC470" s="556"/>
    </row>
    <row r="471" spans="1:68" ht="14.25" customHeight="1" x14ac:dyDescent="0.25">
      <c r="A471" s="569" t="s">
        <v>134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730</v>
      </c>
      <c r="B472" s="54" t="s">
        <v>731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105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732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733</v>
      </c>
      <c r="B473" s="54" t="s">
        <v>734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105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735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736</v>
      </c>
      <c r="B477" s="54" t="s">
        <v>737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109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738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736</v>
      </c>
      <c r="B478" s="54" t="s">
        <v>739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109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740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741</v>
      </c>
      <c r="B482" s="54" t="s">
        <v>742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743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159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744</v>
      </c>
      <c r="B486" s="54" t="s">
        <v>745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746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747</v>
      </c>
      <c r="B487" s="54" t="s">
        <v>748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749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750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134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751</v>
      </c>
      <c r="B492" s="54" t="s">
        <v>752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105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753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754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5843.7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5843.7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755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6285.4579999999996</v>
      </c>
      <c r="Y496" s="555">
        <f>IFERROR(SUM(BN22:BN492),"0")</f>
        <v>6285.4579999999996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756</v>
      </c>
      <c r="Q497" s="684"/>
      <c r="R497" s="684"/>
      <c r="S497" s="684"/>
      <c r="T497" s="684"/>
      <c r="U497" s="684"/>
      <c r="V497" s="685"/>
      <c r="W497" s="37" t="s">
        <v>757</v>
      </c>
      <c r="X497" s="38">
        <f>ROUNDUP(SUM(BO22:BO492),0)</f>
        <v>13</v>
      </c>
      <c r="Y497" s="38">
        <f>ROUNDUP(SUM(BP22:BP492),0)</f>
        <v>13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758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6610.4579999999996</v>
      </c>
      <c r="Y498" s="555">
        <f>GrossWeightTotalR+PalletQtyTotalR*25</f>
        <v>6610.4579999999996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759</v>
      </c>
      <c r="Q499" s="684"/>
      <c r="R499" s="684"/>
      <c r="S499" s="684"/>
      <c r="T499" s="684"/>
      <c r="U499" s="684"/>
      <c r="V499" s="685"/>
      <c r="W499" s="37" t="s">
        <v>757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2094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2094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760</v>
      </c>
      <c r="Q500" s="684"/>
      <c r="R500" s="684"/>
      <c r="S500" s="684"/>
      <c r="T500" s="684"/>
      <c r="U500" s="684"/>
      <c r="V500" s="685"/>
      <c r="W500" s="39" t="s">
        <v>761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14.329610000000001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762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267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558</v>
      </c>
      <c r="T502" s="649"/>
      <c r="U502" s="598" t="s">
        <v>612</v>
      </c>
      <c r="V502" s="648"/>
      <c r="W502" s="649"/>
      <c r="X502" s="550" t="s">
        <v>663</v>
      </c>
      <c r="Y502" s="598" t="s">
        <v>718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763</v>
      </c>
      <c r="B503" s="598" t="s">
        <v>63</v>
      </c>
      <c r="C503" s="598" t="s">
        <v>100</v>
      </c>
      <c r="D503" s="598" t="s">
        <v>115</v>
      </c>
      <c r="E503" s="598" t="s">
        <v>166</v>
      </c>
      <c r="F503" s="598" t="s">
        <v>188</v>
      </c>
      <c r="G503" s="598" t="s">
        <v>228</v>
      </c>
      <c r="H503" s="598" t="s">
        <v>99</v>
      </c>
      <c r="I503" s="598" t="s">
        <v>268</v>
      </c>
      <c r="J503" s="598" t="s">
        <v>325</v>
      </c>
      <c r="K503" s="598" t="s">
        <v>386</v>
      </c>
      <c r="L503" s="598" t="s">
        <v>427</v>
      </c>
      <c r="M503" s="598" t="s">
        <v>443</v>
      </c>
      <c r="N503" s="551"/>
      <c r="O503" s="598" t="s">
        <v>454</v>
      </c>
      <c r="P503" s="598" t="s">
        <v>463</v>
      </c>
      <c r="Q503" s="598" t="s">
        <v>476</v>
      </c>
      <c r="R503" s="598" t="s">
        <v>548</v>
      </c>
      <c r="S503" s="598" t="s">
        <v>559</v>
      </c>
      <c r="T503" s="598" t="s">
        <v>594</v>
      </c>
      <c r="U503" s="598" t="s">
        <v>613</v>
      </c>
      <c r="V503" s="598" t="s">
        <v>644</v>
      </c>
      <c r="W503" s="598" t="s">
        <v>659</v>
      </c>
      <c r="X503" s="598" t="s">
        <v>663</v>
      </c>
      <c r="Y503" s="598" t="s">
        <v>718</v>
      </c>
      <c r="Z503" s="598" t="s">
        <v>750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764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440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675</v>
      </c>
      <c r="E505" s="46">
        <f>IFERROR(Y85*1,"0")+IFERROR(Y86*1,"0")+IFERROR(Y87*1,"0")+IFERROR(Y88*1,"0")+IFERROR(Y92*1,"0")+IFERROR(Y93*1,"0")+IFERROR(Y94*1,"0")+IFERROR(Y95*1,"0")</f>
        <v>684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1233.9000000000001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787.19999999999993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29.7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491.40000000000003</v>
      </c>
      <c r="R505" s="46">
        <f>IFERROR(Y342*1,"0")+IFERROR(Y343*1,"0")+IFERROR(Y344*1,"0")</f>
        <v>997.5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105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400</v>
      </c>
      <c r="Z505" s="46">
        <f>IFERROR(Y492*1,"0")</f>
        <v>0</v>
      </c>
      <c r="AB505" s="52"/>
      <c r="AC505" s="52"/>
      <c r="AF505" s="551"/>
    </row>
  </sheetData>
  <sheetProtection algorithmName="SHA-512" hashValue="lIbyb3+T7ipPC5TOYYd4oVnQmw0pTRvFyCSicPmxELuaUv0KgsWDmSofSqbiMXGgxEoSc53s3bkvGXHLxEJ7zQ==" saltValue="Zjbm6MKtKT8U2kTTPeKXn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3 X117 X209 X219 X221 X343:X344 X418" xr:uid="{00000000-0002-0000-0000-000011000000}">
      <formula1>IF(AK103&gt;0,OR(X103=0,AND(IF(X103-AK103&gt;=0,TRUE,FALSE),X103&gt;0,IF(X103/H103=ROUND(X103/H103,0),TRUE,FALSE))),FALSE)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765</v>
      </c>
      <c r="H1" s="52"/>
    </row>
    <row r="3" spans="2:8" x14ac:dyDescent="0.2">
      <c r="B3" s="47" t="s">
        <v>766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767</v>
      </c>
      <c r="D6" s="47" t="s">
        <v>768</v>
      </c>
      <c r="E6" s="47"/>
    </row>
    <row r="8" spans="2:8" x14ac:dyDescent="0.2">
      <c r="B8" s="47" t="s">
        <v>19</v>
      </c>
      <c r="C8" s="47" t="s">
        <v>767</v>
      </c>
      <c r="D8" s="47"/>
      <c r="E8" s="47"/>
    </row>
    <row r="10" spans="2:8" x14ac:dyDescent="0.2">
      <c r="B10" s="47" t="s">
        <v>769</v>
      </c>
      <c r="C10" s="47"/>
      <c r="D10" s="47"/>
      <c r="E10" s="47"/>
    </row>
    <row r="11" spans="2:8" x14ac:dyDescent="0.2">
      <c r="B11" s="47" t="s">
        <v>770</v>
      </c>
      <c r="C11" s="47"/>
      <c r="D11" s="47"/>
      <c r="E11" s="47"/>
    </row>
    <row r="12" spans="2:8" x14ac:dyDescent="0.2">
      <c r="B12" s="47" t="s">
        <v>771</v>
      </c>
      <c r="C12" s="47"/>
      <c r="D12" s="47"/>
      <c r="E12" s="47"/>
    </row>
    <row r="13" spans="2:8" x14ac:dyDescent="0.2">
      <c r="B13" s="47" t="s">
        <v>772</v>
      </c>
      <c r="C13" s="47"/>
      <c r="D13" s="47"/>
      <c r="E13" s="47"/>
    </row>
    <row r="14" spans="2:8" x14ac:dyDescent="0.2">
      <c r="B14" s="47" t="s">
        <v>773</v>
      </c>
      <c r="C14" s="47"/>
      <c r="D14" s="47"/>
      <c r="E14" s="47"/>
    </row>
    <row r="15" spans="2:8" x14ac:dyDescent="0.2">
      <c r="B15" s="47" t="s">
        <v>774</v>
      </c>
      <c r="C15" s="47"/>
      <c r="D15" s="47"/>
      <c r="E15" s="47"/>
    </row>
    <row r="16" spans="2:8" x14ac:dyDescent="0.2">
      <c r="B16" s="47" t="s">
        <v>775</v>
      </c>
      <c r="C16" s="47"/>
      <c r="D16" s="47"/>
      <c r="E16" s="47"/>
    </row>
    <row r="17" spans="2:5" x14ac:dyDescent="0.2">
      <c r="B17" s="47" t="s">
        <v>776</v>
      </c>
      <c r="C17" s="47"/>
      <c r="D17" s="47"/>
      <c r="E17" s="47"/>
    </row>
    <row r="18" spans="2:5" x14ac:dyDescent="0.2">
      <c r="B18" s="47" t="s">
        <v>777</v>
      </c>
      <c r="C18" s="47"/>
      <c r="D18" s="47"/>
      <c r="E18" s="47"/>
    </row>
    <row r="19" spans="2:5" x14ac:dyDescent="0.2">
      <c r="B19" s="47" t="s">
        <v>778</v>
      </c>
      <c r="C19" s="47"/>
      <c r="D19" s="47"/>
      <c r="E19" s="47"/>
    </row>
    <row r="20" spans="2:5" x14ac:dyDescent="0.2">
      <c r="B20" s="47" t="s">
        <v>779</v>
      </c>
      <c r="C20" s="47"/>
      <c r="D20" s="47"/>
      <c r="E20" s="47"/>
    </row>
  </sheetData>
  <sheetProtection algorithmName="SHA-512" hashValue="RB/p4ADBlMvbyop9U1ACC/HzJDho8YeMHPR9DpIZiS54z3e8PX87qI7QmCaM/GYo2ubE89THGmPrB6+izS502w==" saltValue="1Shuhc8WRFAOmeSJLl5F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2026-01-14T08:29:35Z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