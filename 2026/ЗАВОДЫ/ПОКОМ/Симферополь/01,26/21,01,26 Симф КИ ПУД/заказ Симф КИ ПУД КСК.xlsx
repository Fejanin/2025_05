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D00E770-5ADF-4D18-83D7-6E0115D2E9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BP384" i="1" s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Z204" i="1" s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BP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Z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J9" i="1"/>
  <c r="F9" i="1"/>
  <c r="A9" i="1"/>
  <c r="A10" i="1" s="1"/>
  <c r="D7" i="1"/>
  <c r="Q6" i="1"/>
  <c r="P2" i="1"/>
  <c r="Z53" i="1" l="1"/>
  <c r="BN53" i="1"/>
  <c r="Z121" i="1"/>
  <c r="Z122" i="1" s="1"/>
  <c r="BN121" i="1"/>
  <c r="BP121" i="1"/>
  <c r="Y122" i="1"/>
  <c r="Z185" i="1"/>
  <c r="BN185" i="1"/>
  <c r="Z236" i="1"/>
  <c r="BN236" i="1"/>
  <c r="Z309" i="1"/>
  <c r="BN309" i="1"/>
  <c r="Z384" i="1"/>
  <c r="BN384" i="1"/>
  <c r="Z450" i="1"/>
  <c r="BN450" i="1"/>
  <c r="Z30" i="1"/>
  <c r="BN30" i="1"/>
  <c r="Z73" i="1"/>
  <c r="BN73" i="1"/>
  <c r="Z107" i="1"/>
  <c r="BN107" i="1"/>
  <c r="Z136" i="1"/>
  <c r="BN136" i="1"/>
  <c r="Z175" i="1"/>
  <c r="BN175" i="1"/>
  <c r="Z221" i="1"/>
  <c r="BN221" i="1"/>
  <c r="Z256" i="1"/>
  <c r="BN256" i="1"/>
  <c r="Z299" i="1"/>
  <c r="BN299" i="1"/>
  <c r="Z323" i="1"/>
  <c r="BN323" i="1"/>
  <c r="Z355" i="1"/>
  <c r="BN355" i="1"/>
  <c r="Z398" i="1"/>
  <c r="BN398" i="1"/>
  <c r="Z434" i="1"/>
  <c r="BN434" i="1"/>
  <c r="Z466" i="1"/>
  <c r="BN466" i="1"/>
  <c r="BP171" i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331" i="1"/>
  <c r="Z311" i="1"/>
  <c r="Z201" i="1"/>
  <c r="Z387" i="1"/>
  <c r="Z229" i="1"/>
  <c r="Z144" i="1"/>
  <c r="Z104" i="1"/>
  <c r="Z95" i="1"/>
  <c r="Z80" i="1"/>
  <c r="Z196" i="1"/>
  <c r="Z406" i="1"/>
  <c r="Z153" i="1"/>
  <c r="Z88" i="1"/>
  <c r="Z288" i="1"/>
  <c r="Z43" i="1"/>
  <c r="Z31" i="1"/>
  <c r="Z24" i="1"/>
  <c r="X496" i="1"/>
  <c r="Z75" i="1"/>
  <c r="Z356" i="1"/>
  <c r="Z267" i="1"/>
  <c r="Z224" i="1"/>
  <c r="Y494" i="1"/>
  <c r="Y496" i="1" s="1"/>
  <c r="Y495" i="1"/>
  <c r="Z468" i="1"/>
  <c r="Z446" i="1"/>
  <c r="Z440" i="1"/>
  <c r="Z401" i="1"/>
  <c r="Z361" i="1"/>
  <c r="Z381" i="1"/>
  <c r="Z293" i="1"/>
  <c r="Z212" i="1"/>
  <c r="Z282" i="1"/>
  <c r="Z111" i="1"/>
  <c r="Z57" i="1"/>
  <c r="Z302" i="1"/>
  <c r="Z133" i="1"/>
  <c r="Z337" i="1"/>
  <c r="Z242" i="1"/>
  <c r="Y497" i="1"/>
  <c r="Z118" i="1"/>
  <c r="Z63" i="1"/>
  <c r="Y493" i="1"/>
  <c r="Z275" i="1"/>
  <c r="Z258" i="1"/>
  <c r="Z318" i="1"/>
  <c r="Z180" i="1"/>
  <c r="Z455" i="1"/>
  <c r="Z418" i="1"/>
  <c r="Z498" i="1" l="1"/>
</calcChain>
</file>

<file path=xl/sharedStrings.xml><?xml version="1.0" encoding="utf-8"?>
<sst xmlns="http://schemas.openxmlformats.org/spreadsheetml/2006/main" count="2172" uniqueCount="772">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</sst>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46045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Пятница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0.375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4301011565</v>
      </c>
      <c r="D41" s="556">
        <v>4680115882539</v>
      </c>
      <c r="E41" s="557"/>
      <c r="F41" s="548">
        <v>0.37</v>
      </c>
      <c r="G41" s="32">
        <v>10</v>
      </c>
      <c r="H41" s="548">
        <v>3.7</v>
      </c>
      <c r="I41" s="548">
        <v>3.89</v>
      </c>
      <c r="J41" s="32">
        <v>132</v>
      </c>
      <c r="K41" s="32" t="s">
        <v>107</v>
      </c>
      <c r="L41" s="32"/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108</v>
      </c>
      <c r="B42" s="54" t="s">
        <v>109</v>
      </c>
      <c r="C42" s="31">
        <v>4301011382</v>
      </c>
      <c r="D42" s="556">
        <v>4607091385687</v>
      </c>
      <c r="E42" s="557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107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9">
        <v>480</v>
      </c>
      <c r="Y42" s="550">
        <f>IFERROR(IF(X42="",0,CEILING((X42/$H42),1)*$H42),"")</f>
        <v>480</v>
      </c>
      <c r="Z42" s="36">
        <f>IFERROR(IF(Y42=0,"",ROUNDUP(Y42/H42,0)*0.00902),"")</f>
        <v>1.0824</v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502.80000000000007</v>
      </c>
      <c r="BN42" s="64">
        <f>IFERROR(Y42*I42/H42,"0")</f>
        <v>502.80000000000007</v>
      </c>
      <c r="BO42" s="64">
        <f>IFERROR(1/J42*(X42/H42),"0")</f>
        <v>0.90909090909090917</v>
      </c>
      <c r="BP42" s="64">
        <f>IFERROR(1/J42*(Y42/H42),"0")</f>
        <v>0.90909090909090917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120</v>
      </c>
      <c r="Y43" s="551">
        <f>IFERROR(Y40/H40,"0")+IFERROR(Y41/H41,"0")+IFERROR(Y42/H42,"0")</f>
        <v>120</v>
      </c>
      <c r="Z43" s="551">
        <f>IFERROR(IF(Z40="",0,Z40),"0")+IFERROR(IF(Z41="",0,Z41),"0")+IFERROR(IF(Z42="",0,Z42),"0")</f>
        <v>1.0824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480</v>
      </c>
      <c r="Y44" s="551">
        <f>IFERROR(SUM(Y40:Y42),"0")</f>
        <v>480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110</v>
      </c>
      <c r="B46" s="54" t="s">
        <v>111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113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114</v>
      </c>
      <c r="B51" s="54" t="s">
        <v>115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117</v>
      </c>
      <c r="B52" s="54" t="s">
        <v>118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123</v>
      </c>
      <c r="B54" s="54" t="s">
        <v>124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126</v>
      </c>
      <c r="B55" s="54" t="s">
        <v>127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129</v>
      </c>
      <c r="B56" s="54" t="s">
        <v>130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675</v>
      </c>
      <c r="Y56" s="550">
        <f t="shared" si="0"/>
        <v>675</v>
      </c>
      <c r="Z56" s="36">
        <f>IFERROR(IF(Y56=0,"",ROUNDUP(Y56/H56,0)*0.00902),"")</f>
        <v>1.353</v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703.50000000000011</v>
      </c>
      <c r="BN56" s="64">
        <f t="shared" si="2"/>
        <v>703.50000000000011</v>
      </c>
      <c r="BO56" s="64">
        <f t="shared" si="3"/>
        <v>1.1363636363636365</v>
      </c>
      <c r="BP56" s="64">
        <f t="shared" si="4"/>
        <v>1.1363636363636365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150</v>
      </c>
      <c r="Y57" s="551">
        <f>IFERROR(Y51/H51,"0")+IFERROR(Y52/H52,"0")+IFERROR(Y53/H53,"0")+IFERROR(Y54/H54,"0")+IFERROR(Y55/H55,"0")+IFERROR(Y56/H56,"0")</f>
        <v>150</v>
      </c>
      <c r="Z57" s="551">
        <f>IFERROR(IF(Z51="",0,Z51),"0")+IFERROR(IF(Z52="",0,Z52),"0")+IFERROR(IF(Z53="",0,Z53),"0")+IFERROR(IF(Z54="",0,Z54),"0")+IFERROR(IF(Z55="",0,Z55),"0")+IFERROR(IF(Z56="",0,Z56),"0")</f>
        <v>1.353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675</v>
      </c>
      <c r="Y58" s="551">
        <f>IFERROR(SUM(Y51:Y56),"0")</f>
        <v>675</v>
      </c>
      <c r="Z58" s="37"/>
      <c r="AA58" s="552"/>
      <c r="AB58" s="552"/>
      <c r="AC58" s="552"/>
    </row>
    <row r="59" spans="1:68" ht="14.25" customHeight="1" x14ac:dyDescent="0.25">
      <c r="A59" s="564" t="s">
        <v>132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133</v>
      </c>
      <c r="B60" s="54" t="s">
        <v>134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136</v>
      </c>
      <c r="B61" s="54" t="s">
        <v>137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138</v>
      </c>
      <c r="B62" s="54" t="s">
        <v>139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103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140</v>
      </c>
      <c r="B66" s="54" t="s">
        <v>141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143</v>
      </c>
      <c r="B67" s="54" t="s">
        <v>144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146</v>
      </c>
      <c r="B71" s="54" t="s">
        <v>147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148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149</v>
      </c>
      <c r="B72" s="54" t="s">
        <v>150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152</v>
      </c>
      <c r="B73" s="54" t="s">
        <v>153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148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154</v>
      </c>
      <c r="B74" s="54" t="s">
        <v>155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157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158</v>
      </c>
      <c r="B78" s="54" t="s">
        <v>159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160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161</v>
      </c>
      <c r="B79" s="54" t="s">
        <v>162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107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164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165</v>
      </c>
      <c r="B84" s="54" t="s">
        <v>166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/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167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168</v>
      </c>
      <c r="B85" s="54" t="s">
        <v>169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170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171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107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107</v>
      </c>
      <c r="L87" s="32"/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360</v>
      </c>
      <c r="Y87" s="55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167</v>
      </c>
      <c r="AG87" s="64"/>
      <c r="AJ87" s="68"/>
      <c r="AK87" s="68">
        <v>0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80</v>
      </c>
      <c r="Y88" s="551">
        <f>IFERROR(Y84/H84,"0")+IFERROR(Y85/H85,"0")+IFERROR(Y86/H86,"0")+IFERROR(Y87/H87,"0")</f>
        <v>80</v>
      </c>
      <c r="Z88" s="551">
        <f>IFERROR(IF(Z84="",0,Z84),"0")+IFERROR(IF(Z85="",0,Z85),"0")+IFERROR(IF(Z86="",0,Z86),"0")+IFERROR(IF(Z87="",0,Z87),"0")</f>
        <v>0.72160000000000002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360</v>
      </c>
      <c r="Y89" s="551">
        <f>IFERROR(SUM(Y84:Y87),"0")</f>
        <v>360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176</v>
      </c>
      <c r="B91" s="54" t="s">
        <v>177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/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178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179</v>
      </c>
      <c r="B92" s="54" t="s">
        <v>180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178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189</v>
      </c>
      <c r="Y93" s="550">
        <f>IFERROR(IF(X93="",0,CEILING((X93/$H93),1)*$H93),"")</f>
        <v>189</v>
      </c>
      <c r="Z93" s="36">
        <f>IFERROR(IF(Y93=0,"",ROUNDUP(Y93/H93,0)*0.00651),"")</f>
        <v>0.45569999999999999</v>
      </c>
      <c r="AA93" s="56"/>
      <c r="AB93" s="57"/>
      <c r="AC93" s="137" t="s">
        <v>178</v>
      </c>
      <c r="AG93" s="64"/>
      <c r="AJ93" s="68"/>
      <c r="AK93" s="68">
        <v>0</v>
      </c>
      <c r="BB93" s="138" t="s">
        <v>1</v>
      </c>
      <c r="BM93" s="64">
        <f>IFERROR(X93*I93/H93,"0")</f>
        <v>206.64</v>
      </c>
      <c r="BN93" s="64">
        <f>IFERROR(Y93*I93/H93,"0")</f>
        <v>206.64</v>
      </c>
      <c r="BO93" s="64">
        <f>IFERROR(1/J93*(X93/H93),"0")</f>
        <v>0.38461538461538464</v>
      </c>
      <c r="BP93" s="64">
        <f>IFERROR(1/J93*(Y93/H93),"0")</f>
        <v>0.38461538461538464</v>
      </c>
    </row>
    <row r="94" spans="1:68" ht="16.5" customHeight="1" x14ac:dyDescent="0.25">
      <c r="A94" s="54" t="s">
        <v>183</v>
      </c>
      <c r="B94" s="54" t="s">
        <v>184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70</v>
      </c>
      <c r="Y95" s="551">
        <f>IFERROR(Y91/H91,"0")+IFERROR(Y92/H92,"0")+IFERROR(Y93/H93,"0")+IFERROR(Y94/H94,"0")</f>
        <v>70</v>
      </c>
      <c r="Z95" s="551">
        <f>IFERROR(IF(Z91="",0,Z91),"0")+IFERROR(IF(Z92="",0,Z92),"0")+IFERROR(IF(Z93="",0,Z93),"0")+IFERROR(IF(Z94="",0,Z94),"0")</f>
        <v>0.45569999999999999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189</v>
      </c>
      <c r="Y96" s="551">
        <f>IFERROR(SUM(Y91:Y94),"0")</f>
        <v>189</v>
      </c>
      <c r="Z96" s="37"/>
      <c r="AA96" s="552"/>
      <c r="AB96" s="552"/>
      <c r="AC96" s="552"/>
    </row>
    <row r="97" spans="1:68" ht="16.5" customHeight="1" x14ac:dyDescent="0.25">
      <c r="A97" s="570" t="s">
        <v>186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187</v>
      </c>
      <c r="B99" s="54" t="s">
        <v>188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190</v>
      </c>
      <c r="B100" s="54" t="s">
        <v>191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170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193</v>
      </c>
      <c r="B101" s="54" t="s">
        <v>194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107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189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107</v>
      </c>
      <c r="L102" s="32" t="s">
        <v>197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945</v>
      </c>
      <c r="Y102" s="550">
        <f>IFERROR(IF(X102="",0,CEILING((X102/$H102),1)*$H102),"")</f>
        <v>945</v>
      </c>
      <c r="Z102" s="36">
        <f>IFERROR(IF(Y102=0,"",ROUNDUP(Y102/H102,0)*0.00902),"")</f>
        <v>1.8942000000000001</v>
      </c>
      <c r="AA102" s="56"/>
      <c r="AB102" s="57"/>
      <c r="AC102" s="147" t="s">
        <v>189</v>
      </c>
      <c r="AG102" s="64"/>
      <c r="AJ102" s="68" t="s">
        <v>198</v>
      </c>
      <c r="AK102" s="68">
        <v>54</v>
      </c>
      <c r="BB102" s="148" t="s">
        <v>1</v>
      </c>
      <c r="BM102" s="64">
        <f>IFERROR(X102*I102/H102,"0")</f>
        <v>984.90000000000009</v>
      </c>
      <c r="BN102" s="64">
        <f>IFERROR(Y102*I102/H102,"0")</f>
        <v>984.90000000000009</v>
      </c>
      <c r="BO102" s="64">
        <f>IFERROR(1/J102*(X102/H102),"0")</f>
        <v>1.5909090909090911</v>
      </c>
      <c r="BP102" s="64">
        <f>IFERROR(1/J102*(Y102/H102),"0")</f>
        <v>1.5909090909090911</v>
      </c>
    </row>
    <row r="103" spans="1:68" ht="37.5" customHeight="1" x14ac:dyDescent="0.25">
      <c r="A103" s="54" t="s">
        <v>199</v>
      </c>
      <c r="B103" s="54" t="s">
        <v>200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107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189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210</v>
      </c>
      <c r="Y104" s="551">
        <f>IFERROR(Y99/H99,"0")+IFERROR(Y100/H100,"0")+IFERROR(Y101/H101,"0")+IFERROR(Y102/H102,"0")+IFERROR(Y103/H103,"0")</f>
        <v>210</v>
      </c>
      <c r="Z104" s="551">
        <f>IFERROR(IF(Z99="",0,Z99),"0")+IFERROR(IF(Z100="",0,Z100),"0")+IFERROR(IF(Z101="",0,Z101),"0")+IFERROR(IF(Z102="",0,Z102),"0")+IFERROR(IF(Z103="",0,Z103),"0")</f>
        <v>1.8942000000000001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945</v>
      </c>
      <c r="Y105" s="551">
        <f>IFERROR(SUM(Y99:Y103),"0")</f>
        <v>945</v>
      </c>
      <c r="Z105" s="37"/>
      <c r="AA105" s="552"/>
      <c r="AB105" s="552"/>
      <c r="AC105" s="552"/>
    </row>
    <row r="106" spans="1:68" ht="14.25" customHeight="1" x14ac:dyDescent="0.25">
      <c r="A106" s="564" t="s">
        <v>132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201</v>
      </c>
      <c r="B107" s="54" t="s">
        <v>202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/>
      <c r="M107" s="33" t="s">
        <v>103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203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204</v>
      </c>
      <c r="B108" s="54" t="s">
        <v>205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206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103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203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210</v>
      </c>
      <c r="B110" s="54" t="s">
        <v>211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103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203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212</v>
      </c>
      <c r="B114" s="54" t="s">
        <v>213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/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214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215</v>
      </c>
      <c r="B115" s="54" t="s">
        <v>216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214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219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540</v>
      </c>
      <c r="Y116" s="550">
        <f>IFERROR(IF(X116="",0,CEILING((X116/$H116),1)*$H116),"")</f>
        <v>540</v>
      </c>
      <c r="Z116" s="36">
        <f>IFERROR(IF(Y116=0,"",ROUNDUP(Y116/H116,0)*0.00651),"")</f>
        <v>1.302</v>
      </c>
      <c r="AA116" s="56"/>
      <c r="AB116" s="57"/>
      <c r="AC116" s="163" t="s">
        <v>214</v>
      </c>
      <c r="AG116" s="64"/>
      <c r="AJ116" s="68" t="s">
        <v>198</v>
      </c>
      <c r="AK116" s="68">
        <v>37.799999999999997</v>
      </c>
      <c r="BB116" s="164" t="s">
        <v>1</v>
      </c>
      <c r="BM116" s="64">
        <f>IFERROR(X116*I116/H116,"0")</f>
        <v>590.4</v>
      </c>
      <c r="BN116" s="64">
        <f>IFERROR(Y116*I116/H116,"0")</f>
        <v>590.4</v>
      </c>
      <c r="BO116" s="64">
        <f>IFERROR(1/J116*(X116/H116),"0")</f>
        <v>1.098901098901099</v>
      </c>
      <c r="BP116" s="64">
        <f>IFERROR(1/J116*(Y116/H116),"0")</f>
        <v>1.098901098901099</v>
      </c>
    </row>
    <row r="117" spans="1:68" ht="16.5" customHeight="1" x14ac:dyDescent="0.25">
      <c r="A117" s="54" t="s">
        <v>220</v>
      </c>
      <c r="B117" s="54" t="s">
        <v>221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222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200</v>
      </c>
      <c r="Y118" s="551">
        <f>IFERROR(Y114/H114,"0")+IFERROR(Y115/H115,"0")+IFERROR(Y116/H116,"0")+IFERROR(Y117/H117,"0")</f>
        <v>200</v>
      </c>
      <c r="Z118" s="551">
        <f>IFERROR(IF(Z114="",0,Z114),"0")+IFERROR(IF(Z115="",0,Z115),"0")+IFERROR(IF(Z116="",0,Z116),"0")+IFERROR(IF(Z117="",0,Z117),"0")</f>
        <v>1.302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540</v>
      </c>
      <c r="Y119" s="551">
        <f>IFERROR(SUM(Y114:Y117),"0")</f>
        <v>540</v>
      </c>
      <c r="Z119" s="37"/>
      <c r="AA119" s="552"/>
      <c r="AB119" s="552"/>
      <c r="AC119" s="552"/>
    </row>
    <row r="120" spans="1:68" ht="14.25" customHeight="1" x14ac:dyDescent="0.25">
      <c r="A120" s="564" t="s">
        <v>157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223</v>
      </c>
      <c r="B121" s="54" t="s">
        <v>224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225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226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227</v>
      </c>
      <c r="B126" s="54" t="s">
        <v>228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229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227</v>
      </c>
      <c r="B127" s="54" t="s">
        <v>230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229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231</v>
      </c>
      <c r="B131" s="54" t="s">
        <v>232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233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231</v>
      </c>
      <c r="B132" s="54" t="s">
        <v>234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233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235</v>
      </c>
      <c r="B136" s="54" t="s">
        <v>236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229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235</v>
      </c>
      <c r="B137" s="54" t="s">
        <v>237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229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238</v>
      </c>
      <c r="B142" s="54" t="s">
        <v>239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103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241</v>
      </c>
      <c r="B143" s="54" t="s">
        <v>242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107</v>
      </c>
      <c r="L143" s="32"/>
      <c r="M143" s="33" t="s">
        <v>103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103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253</v>
      </c>
      <c r="B150" s="54" t="s">
        <v>254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107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262</v>
      </c>
      <c r="B156" s="54" t="s">
        <v>263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264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265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266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132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267</v>
      </c>
      <c r="B162" s="54" t="s">
        <v>268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269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270</v>
      </c>
      <c r="B166" s="54" t="s">
        <v>271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107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272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107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107</v>
      </c>
      <c r="L168" s="32"/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281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284</v>
      </c>
      <c r="B171" s="54" t="s">
        <v>285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286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289</v>
      </c>
      <c r="B173" s="54" t="s">
        <v>290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291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292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291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292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170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300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278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278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307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308</v>
      </c>
      <c r="B183" s="54" t="s">
        <v>309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310</v>
      </c>
      <c r="L183" s="32"/>
      <c r="M183" s="33" t="s">
        <v>291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311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312</v>
      </c>
      <c r="B184" s="54" t="s">
        <v>313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310</v>
      </c>
      <c r="L184" s="32"/>
      <c r="M184" s="33" t="s">
        <v>291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314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315</v>
      </c>
      <c r="B185" s="54" t="s">
        <v>316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310</v>
      </c>
      <c r="L185" s="32"/>
      <c r="M185" s="33" t="s">
        <v>291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314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317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318</v>
      </c>
      <c r="B189" s="54" t="s">
        <v>319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310</v>
      </c>
      <c r="L189" s="32"/>
      <c r="M189" s="33" t="s">
        <v>291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314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320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321</v>
      </c>
      <c r="B194" s="54" t="s">
        <v>322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103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323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324</v>
      </c>
      <c r="B195" s="54" t="s">
        <v>325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103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323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132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326</v>
      </c>
      <c r="B199" s="54" t="s">
        <v>327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103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328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329</v>
      </c>
      <c r="B200" s="54" t="s">
        <v>330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103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328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331</v>
      </c>
      <c r="B204" s="54" t="s">
        <v>332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107</v>
      </c>
      <c r="L204" s="32"/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333</v>
      </c>
      <c r="AG204" s="64"/>
      <c r="AJ204" s="68"/>
      <c r="AK204" s="68">
        <v>0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334</v>
      </c>
      <c r="B205" s="54" t="s">
        <v>335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107</v>
      </c>
      <c r="L205" s="32"/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336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337</v>
      </c>
      <c r="B206" s="54" t="s">
        <v>338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107</v>
      </c>
      <c r="L206" s="32"/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339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107</v>
      </c>
      <c r="L207" s="32"/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342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343</v>
      </c>
      <c r="B208" s="54" t="s">
        <v>344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345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106.2</v>
      </c>
      <c r="Y208" s="550">
        <f t="shared" si="15"/>
        <v>106.2</v>
      </c>
      <c r="Z208" s="36">
        <f>IFERROR(IF(Y208=0,"",ROUNDUP(Y208/H208,0)*0.00502),"")</f>
        <v>0.29618</v>
      </c>
      <c r="AA208" s="56"/>
      <c r="AB208" s="57"/>
      <c r="AC208" s="253" t="s">
        <v>333</v>
      </c>
      <c r="AG208" s="64"/>
      <c r="AJ208" s="68" t="s">
        <v>198</v>
      </c>
      <c r="AK208" s="68">
        <v>32.4</v>
      </c>
      <c r="BB208" s="254" t="s">
        <v>1</v>
      </c>
      <c r="BM208" s="64">
        <f t="shared" si="16"/>
        <v>113.87</v>
      </c>
      <c r="BN208" s="64">
        <f t="shared" si="17"/>
        <v>113.87</v>
      </c>
      <c r="BO208" s="64">
        <f t="shared" si="18"/>
        <v>0.25213675213675218</v>
      </c>
      <c r="BP208" s="64">
        <f t="shared" si="19"/>
        <v>0.25213675213675218</v>
      </c>
    </row>
    <row r="209" spans="1:68" ht="27" customHeight="1" x14ac:dyDescent="0.25">
      <c r="A209" s="54" t="s">
        <v>346</v>
      </c>
      <c r="B209" s="54" t="s">
        <v>347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336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48.6</v>
      </c>
      <c r="Y210" s="550">
        <f t="shared" si="15"/>
        <v>48.6</v>
      </c>
      <c r="Z210" s="36">
        <f>IFERROR(IF(Y210=0,"",ROUNDUP(Y210/H210,0)*0.00502),"")</f>
        <v>0.13553999999999999</v>
      </c>
      <c r="AA210" s="56"/>
      <c r="AB210" s="57"/>
      <c r="AC210" s="257" t="s">
        <v>339</v>
      </c>
      <c r="AG210" s="64"/>
      <c r="AJ210" s="68"/>
      <c r="AK210" s="68">
        <v>0</v>
      </c>
      <c r="BB210" s="258" t="s">
        <v>1</v>
      </c>
      <c r="BM210" s="64">
        <f t="shared" si="16"/>
        <v>51.3</v>
      </c>
      <c r="BN210" s="64">
        <f t="shared" si="17"/>
        <v>51.3</v>
      </c>
      <c r="BO210" s="64">
        <f t="shared" si="18"/>
        <v>0.11538461538461539</v>
      </c>
      <c r="BP210" s="64">
        <f t="shared" si="19"/>
        <v>0.11538461538461539</v>
      </c>
    </row>
    <row r="211" spans="1:68" ht="27" customHeight="1" x14ac:dyDescent="0.25">
      <c r="A211" s="54" t="s">
        <v>350</v>
      </c>
      <c r="B211" s="54" t="s">
        <v>351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342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86</v>
      </c>
      <c r="Y212" s="551">
        <f>IFERROR(Y204/H204,"0")+IFERROR(Y205/H205,"0")+IFERROR(Y206/H206,"0")+IFERROR(Y207/H207,"0")+IFERROR(Y208/H208,"0")+IFERROR(Y209/H209,"0")+IFERROR(Y210/H210,"0")+IFERROR(Y211/H211,"0")</f>
        <v>86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0.43171999999999999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154.80000000000001</v>
      </c>
      <c r="Y213" s="551">
        <f>IFERROR(SUM(Y204:Y211),"0")</f>
        <v>154.80000000000001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352</v>
      </c>
      <c r="B215" s="54" t="s">
        <v>353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354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355</v>
      </c>
      <c r="B216" s="54" t="s">
        <v>356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357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358</v>
      </c>
      <c r="B217" s="54" t="s">
        <v>359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/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360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361</v>
      </c>
      <c r="B218" s="54" t="s">
        <v>362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219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321.60000000000002</v>
      </c>
      <c r="Y218" s="550">
        <f t="shared" si="20"/>
        <v>321.59999999999997</v>
      </c>
      <c r="Z218" s="36">
        <f t="shared" ref="Z218:Z223" si="25">IFERROR(IF(Y218=0,"",ROUNDUP(Y218/H218,0)*0.00651),"")</f>
        <v>0.87234</v>
      </c>
      <c r="AA218" s="56"/>
      <c r="AB218" s="57"/>
      <c r="AC218" s="267" t="s">
        <v>363</v>
      </c>
      <c r="AG218" s="64"/>
      <c r="AJ218" s="68" t="s">
        <v>198</v>
      </c>
      <c r="AK218" s="68">
        <v>33.6</v>
      </c>
      <c r="BB218" s="268" t="s">
        <v>1</v>
      </c>
      <c r="BM218" s="64">
        <f t="shared" si="21"/>
        <v>357.78000000000003</v>
      </c>
      <c r="BN218" s="64">
        <f t="shared" si="22"/>
        <v>357.78</v>
      </c>
      <c r="BO218" s="64">
        <f t="shared" si="23"/>
        <v>0.73626373626373642</v>
      </c>
      <c r="BP218" s="64">
        <f t="shared" si="24"/>
        <v>0.73626373626373631</v>
      </c>
    </row>
    <row r="219" spans="1:68" ht="27" customHeight="1" x14ac:dyDescent="0.25">
      <c r="A219" s="54" t="s">
        <v>364</v>
      </c>
      <c r="B219" s="54" t="s">
        <v>365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360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219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321.60000000000002</v>
      </c>
      <c r="Y220" s="550">
        <f t="shared" si="20"/>
        <v>321.59999999999997</v>
      </c>
      <c r="Z220" s="36">
        <f t="shared" si="25"/>
        <v>0.87234</v>
      </c>
      <c r="AA220" s="56"/>
      <c r="AB220" s="57"/>
      <c r="AC220" s="271" t="s">
        <v>360</v>
      </c>
      <c r="AG220" s="64"/>
      <c r="AJ220" s="68" t="s">
        <v>198</v>
      </c>
      <c r="AK220" s="68">
        <v>33.6</v>
      </c>
      <c r="BB220" s="272" t="s">
        <v>1</v>
      </c>
      <c r="BM220" s="64">
        <f t="shared" si="21"/>
        <v>355.36800000000005</v>
      </c>
      <c r="BN220" s="64">
        <f t="shared" si="22"/>
        <v>355.36799999999999</v>
      </c>
      <c r="BO220" s="64">
        <f t="shared" si="23"/>
        <v>0.73626373626373642</v>
      </c>
      <c r="BP220" s="64">
        <f t="shared" si="24"/>
        <v>0.73626373626373631</v>
      </c>
    </row>
    <row r="221" spans="1:68" ht="27" customHeight="1" x14ac:dyDescent="0.25">
      <c r="A221" s="54" t="s">
        <v>368</v>
      </c>
      <c r="B221" s="54" t="s">
        <v>369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/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360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370</v>
      </c>
      <c r="B222" s="54" t="s">
        <v>371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/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372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373</v>
      </c>
      <c r="B223" s="54" t="s">
        <v>374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/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268.00000000000006</v>
      </c>
      <c r="Y224" s="551">
        <f>IFERROR(Y215/H215,"0")+IFERROR(Y216/H216,"0")+IFERROR(Y217/H217,"0")+IFERROR(Y218/H218,"0")+IFERROR(Y219/H219,"0")+IFERROR(Y220/H220,"0")+IFERROR(Y221/H221,"0")+IFERROR(Y222/H222,"0")+IFERROR(Y223/H223,"0")</f>
        <v>268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1.74468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643.20000000000005</v>
      </c>
      <c r="Y225" s="551">
        <f>IFERROR(SUM(Y215:Y223),"0")</f>
        <v>643.19999999999993</v>
      </c>
      <c r="Z225" s="37"/>
      <c r="AA225" s="552"/>
      <c r="AB225" s="552"/>
      <c r="AC225" s="552"/>
    </row>
    <row r="226" spans="1:68" ht="14.25" customHeight="1" x14ac:dyDescent="0.25">
      <c r="A226" s="564" t="s">
        <v>157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375</v>
      </c>
      <c r="B227" s="54" t="s">
        <v>376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377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378</v>
      </c>
      <c r="B228" s="54" t="s">
        <v>379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380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381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382</v>
      </c>
      <c r="B233" s="54" t="s">
        <v>383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103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384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385</v>
      </c>
      <c r="B234" s="54" t="s">
        <v>386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103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387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388</v>
      </c>
      <c r="B235" s="54" t="s">
        <v>389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103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390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391</v>
      </c>
      <c r="B236" s="54" t="s">
        <v>392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107</v>
      </c>
      <c r="L236" s="32"/>
      <c r="M236" s="33" t="s">
        <v>103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384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391</v>
      </c>
      <c r="B237" s="54" t="s">
        <v>393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107</v>
      </c>
      <c r="L237" s="32"/>
      <c r="M237" s="33" t="s">
        <v>103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384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107</v>
      </c>
      <c r="L238" s="32"/>
      <c r="M238" s="33" t="s">
        <v>103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396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397</v>
      </c>
      <c r="B239" s="54" t="s">
        <v>398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103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399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400</v>
      </c>
      <c r="B240" s="54" t="s">
        <v>401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107</v>
      </c>
      <c r="L240" s="32"/>
      <c r="M240" s="33" t="s">
        <v>103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390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400</v>
      </c>
      <c r="B241" s="54" t="s">
        <v>402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107</v>
      </c>
      <c r="L241" s="32"/>
      <c r="M241" s="33" t="s">
        <v>103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390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132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403</v>
      </c>
      <c r="B245" s="54" t="s">
        <v>404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27.72</v>
      </c>
      <c r="Y245" s="550">
        <f>IFERROR(IF(X245="",0,CEILING((X245/$H245),1)*$H245),"")</f>
        <v>27.72</v>
      </c>
      <c r="Z245" s="36">
        <f>IFERROR(IF(Y245=0,"",ROUNDUP(Y245/H245,0)*0.00502),"")</f>
        <v>7.0280000000000009E-2</v>
      </c>
      <c r="AA245" s="56"/>
      <c r="AB245" s="57"/>
      <c r="AC245" s="301" t="s">
        <v>405</v>
      </c>
      <c r="AG245" s="64"/>
      <c r="AJ245" s="68"/>
      <c r="AK245" s="68">
        <v>0</v>
      </c>
      <c r="BB245" s="302" t="s">
        <v>1</v>
      </c>
      <c r="BM245" s="64">
        <f>IFERROR(X245*I245/H245,"0")</f>
        <v>29.12</v>
      </c>
      <c r="BN245" s="64">
        <f>IFERROR(Y245*I245/H245,"0")</f>
        <v>29.12</v>
      </c>
      <c r="BO245" s="64">
        <f>IFERROR(1/J245*(X245/H245),"0")</f>
        <v>5.9829059829059839E-2</v>
      </c>
      <c r="BP245" s="64">
        <f>IFERROR(1/J245*(Y245/H245),"0")</f>
        <v>5.9829059829059839E-2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14</v>
      </c>
      <c r="Y246" s="551">
        <f>IFERROR(Y245/H245,"0")</f>
        <v>14</v>
      </c>
      <c r="Z246" s="551">
        <f>IFERROR(IF(Z245="",0,Z245),"0")</f>
        <v>7.0280000000000009E-2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27.72</v>
      </c>
      <c r="Y247" s="551">
        <f>IFERROR(SUM(Y245:Y245),"0")</f>
        <v>27.72</v>
      </c>
      <c r="Z247" s="37"/>
      <c r="AA247" s="552"/>
      <c r="AB247" s="552"/>
      <c r="AC247" s="552"/>
    </row>
    <row r="248" spans="1:68" ht="14.25" customHeight="1" x14ac:dyDescent="0.25">
      <c r="A248" s="564" t="s">
        <v>406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407</v>
      </c>
      <c r="B249" s="54" t="s">
        <v>408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310</v>
      </c>
      <c r="L249" s="32"/>
      <c r="M249" s="33" t="s">
        <v>291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409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410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411</v>
      </c>
      <c r="B253" s="54" t="s">
        <v>412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310</v>
      </c>
      <c r="L253" s="32"/>
      <c r="M253" s="33" t="s">
        <v>291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310</v>
      </c>
      <c r="L254" s="32"/>
      <c r="M254" s="33" t="s">
        <v>291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413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310</v>
      </c>
      <c r="L255" s="32"/>
      <c r="M255" s="33" t="s">
        <v>291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413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310</v>
      </c>
      <c r="L256" s="32"/>
      <c r="M256" s="33" t="s">
        <v>291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413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420</v>
      </c>
      <c r="B257" s="54" t="s">
        <v>421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310</v>
      </c>
      <c r="L257" s="32"/>
      <c r="M257" s="33" t="s">
        <v>291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422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423</v>
      </c>
      <c r="B262" s="54" t="s">
        <v>424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103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425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426</v>
      </c>
      <c r="B263" s="54" t="s">
        <v>427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103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428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429</v>
      </c>
      <c r="B264" s="54" t="s">
        <v>430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103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431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432</v>
      </c>
      <c r="B265" s="54" t="s">
        <v>433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107</v>
      </c>
      <c r="L265" s="32"/>
      <c r="M265" s="33" t="s">
        <v>103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434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435</v>
      </c>
      <c r="B266" s="54" t="s">
        <v>436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107</v>
      </c>
      <c r="L266" s="32"/>
      <c r="M266" s="33" t="s">
        <v>103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437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438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439</v>
      </c>
      <c r="B271" s="54" t="s">
        <v>440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441</v>
      </c>
      <c r="B272" s="54" t="s">
        <v>442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444</v>
      </c>
      <c r="B273" s="54" t="s">
        <v>445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390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446</v>
      </c>
      <c r="B274" s="54" t="s">
        <v>447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103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448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449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450</v>
      </c>
      <c r="B279" s="54" t="s">
        <v>451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452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453</v>
      </c>
      <c r="B280" s="54" t="s">
        <v>454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455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456</v>
      </c>
      <c r="B281" s="54" t="s">
        <v>457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/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452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458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459</v>
      </c>
      <c r="B286" s="54" t="s">
        <v>460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461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462</v>
      </c>
      <c r="B287" s="54" t="s">
        <v>463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464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465</v>
      </c>
      <c r="B291" s="54" t="s">
        <v>466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107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467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468</v>
      </c>
      <c r="B292" s="54" t="s">
        <v>469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107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470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471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472</v>
      </c>
      <c r="B297" s="54" t="s">
        <v>473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474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475</v>
      </c>
      <c r="B298" s="54" t="s">
        <v>476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103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477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478</v>
      </c>
      <c r="B299" s="54" t="s">
        <v>479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480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107</v>
      </c>
      <c r="L300" s="32"/>
      <c r="M300" s="33" t="s">
        <v>103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474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483</v>
      </c>
      <c r="B301" s="54" t="s">
        <v>484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107</v>
      </c>
      <c r="L301" s="32"/>
      <c r="M301" s="33" t="s">
        <v>103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485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486</v>
      </c>
      <c r="B305" s="54" t="s">
        <v>487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107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488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489</v>
      </c>
      <c r="B306" s="54" t="s">
        <v>490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107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491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492</v>
      </c>
      <c r="B307" s="54" t="s">
        <v>493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107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494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491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497</v>
      </c>
      <c r="B309" s="54" t="s">
        <v>498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315</v>
      </c>
      <c r="Y309" s="550">
        <f t="shared" si="31"/>
        <v>315</v>
      </c>
      <c r="Z309" s="36">
        <f>IFERROR(IF(Y309=0,"",ROUNDUP(Y309/H309,0)*0.00502),"")</f>
        <v>0.753</v>
      </c>
      <c r="AA309" s="56"/>
      <c r="AB309" s="57"/>
      <c r="AC309" s="365" t="s">
        <v>499</v>
      </c>
      <c r="AG309" s="64"/>
      <c r="AJ309" s="68"/>
      <c r="AK309" s="68">
        <v>0</v>
      </c>
      <c r="BB309" s="366" t="s">
        <v>1</v>
      </c>
      <c r="BM309" s="64">
        <f t="shared" si="32"/>
        <v>330</v>
      </c>
      <c r="BN309" s="64">
        <f t="shared" si="33"/>
        <v>330</v>
      </c>
      <c r="BO309" s="64">
        <f t="shared" si="34"/>
        <v>0.64102564102564108</v>
      </c>
      <c r="BP309" s="64">
        <f t="shared" si="35"/>
        <v>0.64102564102564108</v>
      </c>
    </row>
    <row r="310" spans="1:68" ht="27" customHeight="1" x14ac:dyDescent="0.25">
      <c r="A310" s="54" t="s">
        <v>500</v>
      </c>
      <c r="B310" s="54" t="s">
        <v>501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502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150</v>
      </c>
      <c r="Y311" s="551">
        <f>IFERROR(Y305/H305,"0")+IFERROR(Y306/H306,"0")+IFERROR(Y307/H307,"0")+IFERROR(Y308/H308,"0")+IFERROR(Y309/H309,"0")+IFERROR(Y310/H310,"0")</f>
        <v>150</v>
      </c>
      <c r="Z311" s="551">
        <f>IFERROR(IF(Z305="",0,Z305),"0")+IFERROR(IF(Z306="",0,Z306),"0")+IFERROR(IF(Z307="",0,Z307),"0")+IFERROR(IF(Z308="",0,Z308),"0")+IFERROR(IF(Z309="",0,Z309),"0")+IFERROR(IF(Z310="",0,Z310),"0")</f>
        <v>0.753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315</v>
      </c>
      <c r="Y312" s="551">
        <f>IFERROR(SUM(Y305:Y310),"0")</f>
        <v>315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503</v>
      </c>
      <c r="B314" s="54" t="s">
        <v>504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505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506</v>
      </c>
      <c r="B315" s="54" t="s">
        <v>507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508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509</v>
      </c>
      <c r="B316" s="54" t="s">
        <v>510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511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512</v>
      </c>
      <c r="B317" s="54" t="s">
        <v>513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514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157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515</v>
      </c>
      <c r="B321" s="54" t="s">
        <v>516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517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518</v>
      </c>
      <c r="B322" s="54" t="s">
        <v>519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/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520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521</v>
      </c>
      <c r="B323" s="54" t="s">
        <v>522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523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524</v>
      </c>
      <c r="B327" s="54" t="s">
        <v>525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107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526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107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526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526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531</v>
      </c>
      <c r="B330" s="54" t="s">
        <v>532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533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534</v>
      </c>
      <c r="B334" s="54" t="s">
        <v>535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536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537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536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537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540</v>
      </c>
      <c r="B336" s="54" t="s">
        <v>541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536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542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543</v>
      </c>
      <c r="B341" s="54" t="s">
        <v>544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545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546</v>
      </c>
      <c r="B342" s="54" t="s">
        <v>547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219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596.4</v>
      </c>
      <c r="Y342" s="550">
        <f>IFERROR(IF(X342="",0,CEILING((X342/$H342),1)*$H342),"")</f>
        <v>596.4</v>
      </c>
      <c r="Z342" s="36">
        <f>IFERROR(IF(Y342=0,"",ROUNDUP(Y342/H342,0)*0.00651),"")</f>
        <v>1.84884</v>
      </c>
      <c r="AA342" s="56"/>
      <c r="AB342" s="57"/>
      <c r="AC342" s="399" t="s">
        <v>548</v>
      </c>
      <c r="AG342" s="64"/>
      <c r="AJ342" s="68" t="s">
        <v>198</v>
      </c>
      <c r="AK342" s="68">
        <v>29.4</v>
      </c>
      <c r="BB342" s="400" t="s">
        <v>1</v>
      </c>
      <c r="BM342" s="64">
        <f>IFERROR(X342*I342/H342,"0")</f>
        <v>667.96799999999985</v>
      </c>
      <c r="BN342" s="64">
        <f>IFERROR(Y342*I342/H342,"0")</f>
        <v>667.96799999999985</v>
      </c>
      <c r="BO342" s="64">
        <f>IFERROR(1/J342*(X342/H342),"0")</f>
        <v>1.5604395604395607</v>
      </c>
      <c r="BP342" s="64">
        <f>IFERROR(1/J342*(Y342/H342),"0")</f>
        <v>1.5604395604395607</v>
      </c>
    </row>
    <row r="343" spans="1:68" ht="27" customHeight="1" x14ac:dyDescent="0.25">
      <c r="A343" s="54" t="s">
        <v>549</v>
      </c>
      <c r="B343" s="54" t="s">
        <v>550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219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525</v>
      </c>
      <c r="Y343" s="550">
        <f>IFERROR(IF(X343="",0,CEILING((X343/$H343),1)*$H343),"")</f>
        <v>525</v>
      </c>
      <c r="Z343" s="36">
        <f>IFERROR(IF(Y343=0,"",ROUNDUP(Y343/H343,0)*0.00651),"")</f>
        <v>1.6274999999999999</v>
      </c>
      <c r="AA343" s="56"/>
      <c r="AB343" s="57"/>
      <c r="AC343" s="401" t="s">
        <v>551</v>
      </c>
      <c r="AG343" s="64"/>
      <c r="AJ343" s="68" t="s">
        <v>198</v>
      </c>
      <c r="AK343" s="68">
        <v>29.4</v>
      </c>
      <c r="BB343" s="402" t="s">
        <v>1</v>
      </c>
      <c r="BM343" s="64">
        <f>IFERROR(X343*I343/H343,"0")</f>
        <v>585</v>
      </c>
      <c r="BN343" s="64">
        <f>IFERROR(Y343*I343/H343,"0")</f>
        <v>585</v>
      </c>
      <c r="BO343" s="64">
        <f>IFERROR(1/J343*(X343/H343),"0")</f>
        <v>1.3736263736263736</v>
      </c>
      <c r="BP343" s="64">
        <f>IFERROR(1/J343*(Y343/H343),"0")</f>
        <v>1.3736263736263736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534</v>
      </c>
      <c r="Y344" s="551">
        <f>IFERROR(Y341/H341,"0")+IFERROR(Y342/H342,"0")+IFERROR(Y343/H343,"0")</f>
        <v>534</v>
      </c>
      <c r="Z344" s="551">
        <f>IFERROR(IF(Z341="",0,Z341),"0")+IFERROR(IF(Z342="",0,Z342),"0")+IFERROR(IF(Z343="",0,Z343),"0")</f>
        <v>3.47634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1121.4000000000001</v>
      </c>
      <c r="Y345" s="551">
        <f>IFERROR(SUM(Y341:Y343),"0")</f>
        <v>1121.4000000000001</v>
      </c>
      <c r="Z345" s="37"/>
      <c r="AA345" s="552"/>
      <c r="AB345" s="552"/>
      <c r="AC345" s="552"/>
    </row>
    <row r="346" spans="1:68" ht="27.75" customHeight="1" x14ac:dyDescent="0.2">
      <c r="A346" s="668" t="s">
        <v>552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553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554</v>
      </c>
      <c r="B349" s="54" t="s">
        <v>555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60</v>
      </c>
      <c r="Y349" s="550">
        <f t="shared" ref="Y349:Y355" si="36">IFERROR(IF(X349="",0,CEILING((X349/$H349),1)*$H349),"")</f>
        <v>60</v>
      </c>
      <c r="Z349" s="36">
        <f>IFERROR(IF(Y349=0,"",ROUNDUP(Y349/H349,0)*0.02175),"")</f>
        <v>8.6999999999999994E-2</v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61.88</v>
      </c>
      <c r="BN349" s="64">
        <f t="shared" ref="BN349:BN355" si="38">IFERROR(Y349*I349/H349,"0")</f>
        <v>61.88</v>
      </c>
      <c r="BO349" s="64">
        <f t="shared" ref="BO349:BO355" si="39">IFERROR(1/J349*(X349/H349),"0")</f>
        <v>8.3333333333333329E-2</v>
      </c>
      <c r="BP349" s="64">
        <f t="shared" ref="BP349:BP355" si="40">IFERROR(1/J349*(Y349/H349),"0")</f>
        <v>8.3333333333333329E-2</v>
      </c>
    </row>
    <row r="350" spans="1:68" ht="27" customHeight="1" x14ac:dyDescent="0.25">
      <c r="A350" s="54" t="s">
        <v>557</v>
      </c>
      <c r="B350" s="54" t="s">
        <v>558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559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560</v>
      </c>
      <c r="B351" s="54" t="s">
        <v>561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45</v>
      </c>
      <c r="Y351" s="550">
        <f t="shared" si="36"/>
        <v>45</v>
      </c>
      <c r="Z351" s="36">
        <f>IFERROR(IF(Y351=0,"",ROUNDUP(Y351/H351,0)*0.02175),"")</f>
        <v>6.5250000000000002E-2</v>
      </c>
      <c r="AA351" s="56"/>
      <c r="AB351" s="57"/>
      <c r="AC351" s="407" t="s">
        <v>562</v>
      </c>
      <c r="AG351" s="64"/>
      <c r="AJ351" s="68"/>
      <c r="AK351" s="68">
        <v>0</v>
      </c>
      <c r="BB351" s="408" t="s">
        <v>1</v>
      </c>
      <c r="BM351" s="64">
        <f t="shared" si="37"/>
        <v>46.41</v>
      </c>
      <c r="BN351" s="64">
        <f t="shared" si="38"/>
        <v>46.41</v>
      </c>
      <c r="BO351" s="64">
        <f t="shared" si="39"/>
        <v>6.25E-2</v>
      </c>
      <c r="BP351" s="64">
        <f t="shared" si="40"/>
        <v>6.25E-2</v>
      </c>
    </row>
    <row r="352" spans="1:68" ht="27" customHeight="1" x14ac:dyDescent="0.25">
      <c r="A352" s="54" t="s">
        <v>563</v>
      </c>
      <c r="B352" s="54" t="s">
        <v>564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565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566</v>
      </c>
      <c r="B353" s="54" t="s">
        <v>567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568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569</v>
      </c>
      <c r="B354" s="54" t="s">
        <v>570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107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559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571</v>
      </c>
      <c r="B355" s="54" t="s">
        <v>572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107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562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7</v>
      </c>
      <c r="Y356" s="551">
        <f>IFERROR(Y349/H349,"0")+IFERROR(Y350/H350,"0")+IFERROR(Y351/H351,"0")+IFERROR(Y352/H352,"0")+IFERROR(Y353/H353,"0")+IFERROR(Y354/H354,"0")+IFERROR(Y355/H355,"0")</f>
        <v>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0.15225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105</v>
      </c>
      <c r="Y357" s="551">
        <f>IFERROR(SUM(Y349:Y355),"0")</f>
        <v>105</v>
      </c>
      <c r="Z357" s="37"/>
      <c r="AA357" s="552"/>
      <c r="AB357" s="552"/>
      <c r="AC357" s="552"/>
    </row>
    <row r="358" spans="1:68" ht="14.25" customHeight="1" x14ac:dyDescent="0.25">
      <c r="A358" s="564" t="s">
        <v>132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573</v>
      </c>
      <c r="B359" s="54" t="s">
        <v>574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/>
      <c r="M359" s="33" t="s">
        <v>103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45</v>
      </c>
      <c r="Y359" s="550">
        <f>IFERROR(IF(X359="",0,CEILING((X359/$H359),1)*$H359),"")</f>
        <v>45</v>
      </c>
      <c r="Z359" s="36">
        <f>IFERROR(IF(Y359=0,"",ROUNDUP(Y359/H359,0)*0.02175),"")</f>
        <v>6.5250000000000002E-2</v>
      </c>
      <c r="AA359" s="56"/>
      <c r="AB359" s="57"/>
      <c r="AC359" s="417" t="s">
        <v>575</v>
      </c>
      <c r="AG359" s="64"/>
      <c r="AJ359" s="68"/>
      <c r="AK359" s="68">
        <v>0</v>
      </c>
      <c r="BB359" s="418" t="s">
        <v>1</v>
      </c>
      <c r="BM359" s="64">
        <f>IFERROR(X359*I359/H359,"0")</f>
        <v>46.41</v>
      </c>
      <c r="BN359" s="64">
        <f>IFERROR(Y359*I359/H359,"0")</f>
        <v>46.41</v>
      </c>
      <c r="BO359" s="64">
        <f>IFERROR(1/J359*(X359/H359),"0")</f>
        <v>6.25E-2</v>
      </c>
      <c r="BP359" s="64">
        <f>IFERROR(1/J359*(Y359/H359),"0")</f>
        <v>6.25E-2</v>
      </c>
    </row>
    <row r="360" spans="1:68" ht="27" customHeight="1" x14ac:dyDescent="0.25">
      <c r="A360" s="54" t="s">
        <v>576</v>
      </c>
      <c r="B360" s="54" t="s">
        <v>577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107</v>
      </c>
      <c r="L360" s="32"/>
      <c r="M360" s="33" t="s">
        <v>103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578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3</v>
      </c>
      <c r="Y361" s="551">
        <f>IFERROR(Y359/H359,"0")+IFERROR(Y360/H360,"0")</f>
        <v>3</v>
      </c>
      <c r="Z361" s="551">
        <f>IFERROR(IF(Z359="",0,Z359),"0")+IFERROR(IF(Z360="",0,Z360),"0")</f>
        <v>6.5250000000000002E-2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45</v>
      </c>
      <c r="Y362" s="551">
        <f>IFERROR(SUM(Y359:Y360),"0")</f>
        <v>45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579</v>
      </c>
      <c r="B364" s="54" t="s">
        <v>580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581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582</v>
      </c>
      <c r="B365" s="54" t="s">
        <v>583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584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157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585</v>
      </c>
      <c r="B369" s="54" t="s">
        <v>586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587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588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589</v>
      </c>
      <c r="B374" s="54" t="s">
        <v>590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591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592</v>
      </c>
      <c r="B375" s="54" t="s">
        <v>593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107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591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594</v>
      </c>
      <c r="B379" s="54" t="s">
        <v>595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107</v>
      </c>
      <c r="L379" s="32"/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594</v>
      </c>
      <c r="B380" s="54" t="s">
        <v>597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107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598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599</v>
      </c>
      <c r="B384" s="54" t="s">
        <v>600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601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602</v>
      </c>
      <c r="B385" s="54" t="s">
        <v>603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601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602</v>
      </c>
      <c r="B386" s="54" t="s">
        <v>604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668" t="s">
        <v>606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607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608</v>
      </c>
      <c r="B392" s="54" t="s">
        <v>609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610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611</v>
      </c>
      <c r="B393" s="54" t="s">
        <v>612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107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613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614</v>
      </c>
      <c r="B394" s="54" t="s">
        <v>615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616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610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619</v>
      </c>
      <c r="B396" s="54" t="s">
        <v>620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610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621</v>
      </c>
      <c r="B397" s="54" t="s">
        <v>622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623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624</v>
      </c>
      <c r="B398" s="54" t="s">
        <v>625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626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627</v>
      </c>
      <c r="B399" s="54" t="s">
        <v>628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629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630</v>
      </c>
      <c r="B400" s="54" t="s">
        <v>631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632</v>
      </c>
      <c r="B404" s="54" t="s">
        <v>633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107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634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635</v>
      </c>
      <c r="B405" s="54" t="s">
        <v>636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637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638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132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639</v>
      </c>
      <c r="B410" s="54" t="s">
        <v>640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641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642</v>
      </c>
      <c r="B414" s="54" t="s">
        <v>643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107</v>
      </c>
      <c r="L414" s="32"/>
      <c r="M414" s="33" t="s">
        <v>103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644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645</v>
      </c>
      <c r="B415" s="54" t="s">
        <v>646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647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648</v>
      </c>
      <c r="B416" s="54" t="s">
        <v>649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650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651</v>
      </c>
      <c r="B417" s="54" t="s">
        <v>652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 t="s">
        <v>345</v>
      </c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650</v>
      </c>
      <c r="AG417" s="64"/>
      <c r="AJ417" s="68" t="s">
        <v>198</v>
      </c>
      <c r="AK417" s="68">
        <v>37.799999999999997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653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654</v>
      </c>
      <c r="B422" s="54" t="s">
        <v>655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656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657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657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658</v>
      </c>
      <c r="B428" s="54" t="s">
        <v>659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/>
      <c r="M428" s="33" t="s">
        <v>103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103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660</v>
      </c>
      <c r="B430" s="54" t="s">
        <v>663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103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103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/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669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670</v>
      </c>
      <c r="B433" s="54" t="s">
        <v>671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103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672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673</v>
      </c>
      <c r="B434" s="54" t="s">
        <v>674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/>
      <c r="M434" s="33" t="s">
        <v>103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675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104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107</v>
      </c>
      <c r="L436" s="32"/>
      <c r="M436" s="33" t="s">
        <v>103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104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107</v>
      </c>
      <c r="L437" s="32"/>
      <c r="M437" s="33" t="s">
        <v>103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682</v>
      </c>
      <c r="B438" s="54" t="s">
        <v>683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103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684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107</v>
      </c>
      <c r="L439" s="32"/>
      <c r="M439" s="33" t="s">
        <v>103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675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customHeight="1" x14ac:dyDescent="0.25">
      <c r="A442" s="564" t="s">
        <v>132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687</v>
      </c>
      <c r="B443" s="54" t="s">
        <v>688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/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689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689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692</v>
      </c>
      <c r="B445" s="54" t="s">
        <v>693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107</v>
      </c>
      <c r="L445" s="32"/>
      <c r="M445" s="33" t="s">
        <v>103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689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694</v>
      </c>
      <c r="B449" s="54" t="s">
        <v>695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/>
      <c r="M449" s="33" t="s">
        <v>103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697</v>
      </c>
      <c r="B450" s="54" t="s">
        <v>698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/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700</v>
      </c>
      <c r="B451" s="54" t="s">
        <v>701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107</v>
      </c>
      <c r="L452" s="32"/>
      <c r="M452" s="33" t="s">
        <v>103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696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107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699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707</v>
      </c>
      <c r="B454" s="54" t="s">
        <v>708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107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702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709</v>
      </c>
      <c r="B458" s="54" t="s">
        <v>710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711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712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712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713</v>
      </c>
      <c r="B464" s="54" t="s">
        <v>714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719</v>
      </c>
      <c r="B466" s="54" t="s">
        <v>720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107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400</v>
      </c>
      <c r="Y467" s="550">
        <f>IFERROR(IF(X467="",0,CEILING((X467/$H467),1)*$H467),"")</f>
        <v>400</v>
      </c>
      <c r="Z467" s="36">
        <f>IFERROR(IF(Y467=0,"",ROUNDUP(Y467/H467,0)*0.00902),"")</f>
        <v>0.90200000000000002</v>
      </c>
      <c r="AA467" s="56"/>
      <c r="AB467" s="57"/>
      <c r="AC467" s="525" t="s">
        <v>715</v>
      </c>
      <c r="AG467" s="64"/>
      <c r="AJ467" s="68"/>
      <c r="AK467" s="68">
        <v>0</v>
      </c>
      <c r="BB467" s="526" t="s">
        <v>1</v>
      </c>
      <c r="BM467" s="64">
        <f>IFERROR(X467*I467/H467,"0")</f>
        <v>419.00000000000006</v>
      </c>
      <c r="BN467" s="64">
        <f>IFERROR(Y467*I467/H467,"0")</f>
        <v>419.00000000000006</v>
      </c>
      <c r="BO467" s="64">
        <f>IFERROR(1/J467*(X467/H467),"0")</f>
        <v>0.75757575757575757</v>
      </c>
      <c r="BP467" s="64">
        <f>IFERROR(1/J467*(Y467/H467),"0")</f>
        <v>0.75757575757575757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100</v>
      </c>
      <c r="Y468" s="551">
        <f>IFERROR(Y464/H464,"0")+IFERROR(Y465/H465,"0")+IFERROR(Y466/H466,"0")+IFERROR(Y467/H467,"0")</f>
        <v>100</v>
      </c>
      <c r="Z468" s="551">
        <f>IFERROR(IF(Z464="",0,Z464),"0")+IFERROR(IF(Z465="",0,Z465),"0")+IFERROR(IF(Z466="",0,Z466),"0")+IFERROR(IF(Z467="",0,Z467),"0")</f>
        <v>0.90200000000000002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400</v>
      </c>
      <c r="Y469" s="551">
        <f>IFERROR(SUM(Y464:Y467),"0")</f>
        <v>400</v>
      </c>
      <c r="Z469" s="37"/>
      <c r="AA469" s="552"/>
      <c r="AB469" s="552"/>
      <c r="AC469" s="552"/>
    </row>
    <row r="470" spans="1:68" ht="14.25" customHeight="1" x14ac:dyDescent="0.25">
      <c r="A470" s="564" t="s">
        <v>132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724</v>
      </c>
      <c r="B471" s="54" t="s">
        <v>725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103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726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727</v>
      </c>
      <c r="B472" s="54" t="s">
        <v>728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103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729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730</v>
      </c>
      <c r="B476" s="54" t="s">
        <v>731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107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732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733</v>
      </c>
      <c r="B480" s="54" t="s">
        <v>734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735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157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736</v>
      </c>
      <c r="B484" s="54" t="s">
        <v>737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738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739</v>
      </c>
      <c r="B485" s="54" t="s">
        <v>740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741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742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132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743</v>
      </c>
      <c r="B490" s="54" t="s">
        <v>744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103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745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746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6001.119999999999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6001.119999999999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747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6427.5460000000003</v>
      </c>
      <c r="Y494" s="551">
        <f>IFERROR(SUM(BN22:BN490),"0")</f>
        <v>6427.5460000000003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748</v>
      </c>
      <c r="Q495" s="675"/>
      <c r="R495" s="675"/>
      <c r="S495" s="675"/>
      <c r="T495" s="675"/>
      <c r="U495" s="675"/>
      <c r="V495" s="676"/>
      <c r="W495" s="37" t="s">
        <v>749</v>
      </c>
      <c r="X495" s="38">
        <f>ROUNDUP(SUM(BO22:BO490),0)</f>
        <v>13</v>
      </c>
      <c r="Y495" s="38">
        <f>ROUNDUP(SUM(BP22:BP490),0)</f>
        <v>13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750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6752.5460000000003</v>
      </c>
      <c r="Y496" s="551">
        <f>GrossWeightTotalR+PalletQtyTotalR*25</f>
        <v>6752.5460000000003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751</v>
      </c>
      <c r="Q497" s="675"/>
      <c r="R497" s="675"/>
      <c r="S497" s="675"/>
      <c r="T497" s="675"/>
      <c r="U497" s="675"/>
      <c r="V497" s="676"/>
      <c r="W497" s="37" t="s">
        <v>749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1992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1992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752</v>
      </c>
      <c r="Q498" s="675"/>
      <c r="R498" s="675"/>
      <c r="S498" s="675"/>
      <c r="T498" s="675"/>
      <c r="U498" s="675"/>
      <c r="V498" s="676"/>
      <c r="W498" s="39" t="s">
        <v>753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14.404420000000002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754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265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552</v>
      </c>
      <c r="T500" s="742"/>
      <c r="U500" s="589" t="s">
        <v>606</v>
      </c>
      <c r="V500" s="741"/>
      <c r="W500" s="742"/>
      <c r="X500" s="546" t="s">
        <v>657</v>
      </c>
      <c r="Y500" s="589" t="s">
        <v>712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755</v>
      </c>
      <c r="B501" s="589" t="s">
        <v>63</v>
      </c>
      <c r="C501" s="589" t="s">
        <v>98</v>
      </c>
      <c r="D501" s="589" t="s">
        <v>113</v>
      </c>
      <c r="E501" s="589" t="s">
        <v>164</v>
      </c>
      <c r="F501" s="589" t="s">
        <v>186</v>
      </c>
      <c r="G501" s="589" t="s">
        <v>226</v>
      </c>
      <c r="H501" s="589" t="s">
        <v>97</v>
      </c>
      <c r="I501" s="589" t="s">
        <v>266</v>
      </c>
      <c r="J501" s="589" t="s">
        <v>320</v>
      </c>
      <c r="K501" s="589" t="s">
        <v>381</v>
      </c>
      <c r="L501" s="589" t="s">
        <v>422</v>
      </c>
      <c r="M501" s="589" t="s">
        <v>438</v>
      </c>
      <c r="N501" s="547"/>
      <c r="O501" s="589" t="s">
        <v>449</v>
      </c>
      <c r="P501" s="589" t="s">
        <v>458</v>
      </c>
      <c r="Q501" s="589" t="s">
        <v>471</v>
      </c>
      <c r="R501" s="589" t="s">
        <v>542</v>
      </c>
      <c r="S501" s="589" t="s">
        <v>553</v>
      </c>
      <c r="T501" s="589" t="s">
        <v>588</v>
      </c>
      <c r="U501" s="589" t="s">
        <v>607</v>
      </c>
      <c r="V501" s="589" t="s">
        <v>638</v>
      </c>
      <c r="W501" s="589" t="s">
        <v>653</v>
      </c>
      <c r="X501" s="589" t="s">
        <v>657</v>
      </c>
      <c r="Y501" s="589" t="s">
        <v>712</v>
      </c>
      <c r="Z501" s="589" t="s">
        <v>742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756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480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675</v>
      </c>
      <c r="E503" s="46">
        <f>IFERROR(Y84*1,"0")+IFERROR(Y85*1,"0")+IFERROR(Y86*1,"0")+IFERROR(Y87*1,"0")+IFERROR(Y91*1,"0")+IFERROR(Y92*1,"0")+IFERROR(Y93*1,"0")+IFERROR(Y94*1,"0")</f>
        <v>549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1485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798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27.72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315</v>
      </c>
      <c r="R503" s="46">
        <f>IFERROR(Y341*1,"0")+IFERROR(Y342*1,"0")+IFERROR(Y343*1,"0")</f>
        <v>1121.4000000000001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150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46">
        <f>IFERROR(Y464*1,"0")+IFERROR(Y465*1,"0")+IFERROR(Y466*1,"0")+IFERROR(Y467*1,"0")+IFERROR(Y471*1,"0")+IFERROR(Y472*1,"0")+IFERROR(Y476*1,"0")+IFERROR(Y480*1,"0")+IFERROR(Y484*1,"0")+IFERROR(Y485*1,"0")</f>
        <v>400</v>
      </c>
      <c r="Z503" s="46">
        <f>IFERROR(Y490*1,"0")</f>
        <v>0</v>
      </c>
      <c r="AB503" s="52"/>
      <c r="AC503" s="52"/>
      <c r="AF503" s="547"/>
    </row>
  </sheetData>
  <sheetProtection algorithmName="SHA-512" hashValue="4QBcA5EDgISKmGKl+RCJtDmSRTSZPLBes+tctybyfjibmKuK6Bo8vIlUUw2r6aIqglr1Q9WocoOrTXz5Ss7uVw==" saltValue="Bv8McPR5zCBWh4qRY1opE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2 X116 X208 X218 X220 X342:X343 X417" xr:uid="{00000000-0002-0000-0000-000011000000}">
      <formula1>IF(AK102&gt;0,OR(X102=0,AND(IF(X102-AK102&gt;=0,TRUE,FALSE),X102&gt;0,IF(X102/H102=ROUND(X102/H102,0),TRUE,FALSE))),FALSE)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757</v>
      </c>
      <c r="H1" s="52"/>
    </row>
    <row r="3" spans="2:8" x14ac:dyDescent="0.2">
      <c r="B3" s="47" t="s">
        <v>758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759</v>
      </c>
      <c r="D6" s="47" t="s">
        <v>760</v>
      </c>
      <c r="E6" s="47"/>
    </row>
    <row r="8" spans="2:8" x14ac:dyDescent="0.2">
      <c r="B8" s="47" t="s">
        <v>19</v>
      </c>
      <c r="C8" s="47" t="s">
        <v>759</v>
      </c>
      <c r="D8" s="47"/>
      <c r="E8" s="47"/>
    </row>
    <row r="10" spans="2:8" x14ac:dyDescent="0.2">
      <c r="B10" s="47" t="s">
        <v>761</v>
      </c>
      <c r="C10" s="47"/>
      <c r="D10" s="47"/>
      <c r="E10" s="47"/>
    </row>
    <row r="11" spans="2:8" x14ac:dyDescent="0.2">
      <c r="B11" s="47" t="s">
        <v>762</v>
      </c>
      <c r="C11" s="47"/>
      <c r="D11" s="47"/>
      <c r="E11" s="47"/>
    </row>
    <row r="12" spans="2:8" x14ac:dyDescent="0.2">
      <c r="B12" s="47" t="s">
        <v>763</v>
      </c>
      <c r="C12" s="47"/>
      <c r="D12" s="47"/>
      <c r="E12" s="47"/>
    </row>
    <row r="13" spans="2:8" x14ac:dyDescent="0.2">
      <c r="B13" s="47" t="s">
        <v>764</v>
      </c>
      <c r="C13" s="47"/>
      <c r="D13" s="47"/>
      <c r="E13" s="47"/>
    </row>
    <row r="14" spans="2:8" x14ac:dyDescent="0.2">
      <c r="B14" s="47" t="s">
        <v>765</v>
      </c>
      <c r="C14" s="47"/>
      <c r="D14" s="47"/>
      <c r="E14" s="47"/>
    </row>
    <row r="15" spans="2:8" x14ac:dyDescent="0.2">
      <c r="B15" s="47" t="s">
        <v>766</v>
      </c>
      <c r="C15" s="47"/>
      <c r="D15" s="47"/>
      <c r="E15" s="47"/>
    </row>
    <row r="16" spans="2:8" x14ac:dyDescent="0.2">
      <c r="B16" s="47" t="s">
        <v>767</v>
      </c>
      <c r="C16" s="47"/>
      <c r="D16" s="47"/>
      <c r="E16" s="47"/>
    </row>
    <row r="17" spans="2:5" x14ac:dyDescent="0.2">
      <c r="B17" s="47" t="s">
        <v>768</v>
      </c>
      <c r="C17" s="47"/>
      <c r="D17" s="47"/>
      <c r="E17" s="47"/>
    </row>
    <row r="18" spans="2:5" x14ac:dyDescent="0.2">
      <c r="B18" s="47" t="s">
        <v>769</v>
      </c>
      <c r="C18" s="47"/>
      <c r="D18" s="47"/>
      <c r="E18" s="47"/>
    </row>
    <row r="19" spans="2:5" x14ac:dyDescent="0.2">
      <c r="B19" s="47" t="s">
        <v>770</v>
      </c>
      <c r="C19" s="47"/>
      <c r="D19" s="47"/>
      <c r="E19" s="47"/>
    </row>
    <row r="20" spans="2:5" x14ac:dyDescent="0.2">
      <c r="B20" s="47" t="s">
        <v>771</v>
      </c>
      <c r="C20" s="47"/>
      <c r="D20" s="47"/>
      <c r="E20" s="47"/>
    </row>
  </sheetData>
  <sheetProtection algorithmName="SHA-512" hashValue="eQkSPGDGv7mThY/HEFatnkXXbT1hTzVpmdcz2ps0uVHX2aEnxvOa1BJoKWCgG1giejAyMEKf678EqPydHztT0w==" saltValue="jjwQSfd2kkxHVL6N253ew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2026-01-21T08:25:47Z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