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0BC9956B-12EF-4025-BB4E-E8B6BFC451A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Y486" i="1" s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Y293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Z204" i="1"/>
  <c r="Y204" i="1"/>
  <c r="P204" i="1"/>
  <c r="X202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Y186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Y187" i="1" s="1"/>
  <c r="P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Y144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Y80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7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Z75" i="1" s="1"/>
  <c r="BP85" i="1"/>
  <c r="BN85" i="1"/>
  <c r="Z85" i="1"/>
  <c r="Z88" i="1" s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148" i="1"/>
  <c r="BN148" i="1"/>
  <c r="Z148" i="1"/>
  <c r="Z153" i="1" s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Z196" i="1" s="1"/>
  <c r="Y197" i="1"/>
  <c r="Y202" i="1"/>
  <c r="BP199" i="1"/>
  <c r="BN199" i="1"/>
  <c r="Z199" i="1"/>
  <c r="Z201" i="1" s="1"/>
  <c r="BP298" i="1"/>
  <c r="BN298" i="1"/>
  <c r="Z298" i="1"/>
  <c r="Z302" i="1" s="1"/>
  <c r="Q503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H503" i="1"/>
  <c r="H9" i="1"/>
  <c r="B503" i="1"/>
  <c r="X494" i="1"/>
  <c r="X496" i="1" s="1"/>
  <c r="X495" i="1"/>
  <c r="Z23" i="1"/>
  <c r="Z24" i="1" s="1"/>
  <c r="BN23" i="1"/>
  <c r="Y494" i="1" s="1"/>
  <c r="Y496" i="1" s="1"/>
  <c r="Y24" i="1"/>
  <c r="X493" i="1"/>
  <c r="Z27" i="1"/>
  <c r="Z31" i="1" s="1"/>
  <c r="BN27" i="1"/>
  <c r="BP27" i="1"/>
  <c r="Y495" i="1" s="1"/>
  <c r="Z29" i="1"/>
  <c r="BN29" i="1"/>
  <c r="C503" i="1"/>
  <c r="Z41" i="1"/>
  <c r="Z43" i="1" s="1"/>
  <c r="BN41" i="1"/>
  <c r="Y44" i="1"/>
  <c r="D503" i="1"/>
  <c r="Y57" i="1"/>
  <c r="Z52" i="1"/>
  <c r="Z57" i="1" s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Z95" i="1" s="1"/>
  <c r="Y95" i="1"/>
  <c r="Z104" i="1"/>
  <c r="BP100" i="1"/>
  <c r="BN100" i="1"/>
  <c r="Z100" i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Y180" i="1"/>
  <c r="Z186" i="1"/>
  <c r="BP184" i="1"/>
  <c r="BN184" i="1"/>
  <c r="Z184" i="1"/>
  <c r="Y201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Z282" i="1" s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Z356" i="1" s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Z212" i="1" s="1"/>
  <c r="BP210" i="1"/>
  <c r="BN210" i="1"/>
  <c r="Z210" i="1"/>
  <c r="Y225" i="1"/>
  <c r="BP218" i="1"/>
  <c r="BN218" i="1"/>
  <c r="Z218" i="1"/>
  <c r="Z224" i="1" s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Z293" i="1" s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O503" i="1"/>
  <c r="Y283" i="1"/>
  <c r="P503" i="1"/>
  <c r="Y288" i="1"/>
  <c r="S503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Z387" i="1"/>
  <c r="BP385" i="1"/>
  <c r="BN385" i="1"/>
  <c r="Z385" i="1"/>
  <c r="Y402" i="1"/>
  <c r="BP395" i="1"/>
  <c r="BN395" i="1"/>
  <c r="Z395" i="1"/>
  <c r="Z401" i="1" s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Z440" i="1" s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5" i="1"/>
  <c r="BN465" i="1"/>
  <c r="Z465" i="1"/>
  <c r="Z468" i="1" s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Z275" i="1" l="1"/>
  <c r="Z258" i="1"/>
  <c r="Z318" i="1"/>
  <c r="Z180" i="1"/>
  <c r="Z455" i="1"/>
  <c r="Z418" i="1"/>
  <c r="Z337" i="1"/>
  <c r="Z267" i="1"/>
  <c r="Z242" i="1"/>
  <c r="Y497" i="1"/>
  <c r="Z118" i="1"/>
  <c r="Z63" i="1"/>
  <c r="Z498" i="1" s="1"/>
  <c r="Y493" i="1"/>
</calcChain>
</file>

<file path=xl/sharedStrings.xml><?xml version="1.0" encoding="utf-8"?>
<sst xmlns="http://schemas.openxmlformats.org/spreadsheetml/2006/main" count="2300" uniqueCount="773">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</sst>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722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0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31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24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3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6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29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38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6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2" customWidth="1"/>
    <col min="19" max="19" width="6.140625" style="54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2" customWidth="1"/>
    <col min="25" max="25" width="11" style="542" customWidth="1"/>
    <col min="26" max="26" width="10" style="542" customWidth="1"/>
    <col min="27" max="27" width="11.5703125" style="542" customWidth="1"/>
    <col min="28" max="28" width="10.42578125" style="542" customWidth="1"/>
    <col min="29" max="29" width="30" style="54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2" customWidth="1"/>
    <col min="34" max="34" width="9.140625" style="542" customWidth="1"/>
    <col min="35" max="16384" width="9.140625" style="542"/>
  </cols>
  <sheetData>
    <row r="1" spans="1:32" s="546" customFormat="1" ht="45" customHeight="1" x14ac:dyDescent="0.2">
      <c r="A1" s="41"/>
      <c r="B1" s="41"/>
      <c r="C1" s="41"/>
      <c r="D1" s="627" t="s">
        <v>0</v>
      </c>
      <c r="E1" s="578"/>
      <c r="F1" s="578"/>
      <c r="G1" s="12" t="s">
        <v>1</v>
      </c>
      <c r="H1" s="627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6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6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6" customFormat="1" ht="23.45" customHeight="1" x14ac:dyDescent="0.2">
      <c r="A5" s="674" t="s">
        <v>8</v>
      </c>
      <c r="B5" s="675"/>
      <c r="C5" s="676"/>
      <c r="D5" s="632"/>
      <c r="E5" s="633"/>
      <c r="F5" s="836" t="s">
        <v>9</v>
      </c>
      <c r="G5" s="676"/>
      <c r="H5" s="632"/>
      <c r="I5" s="783"/>
      <c r="J5" s="783"/>
      <c r="K5" s="783"/>
      <c r="L5" s="783"/>
      <c r="M5" s="633"/>
      <c r="N5" s="58"/>
      <c r="P5" s="24" t="s">
        <v>10</v>
      </c>
      <c r="Q5" s="847">
        <v>46040</v>
      </c>
      <c r="R5" s="672"/>
      <c r="T5" s="718" t="s">
        <v>11</v>
      </c>
      <c r="U5" s="719"/>
      <c r="V5" s="720" t="s">
        <v>12</v>
      </c>
      <c r="W5" s="672"/>
      <c r="AB5" s="51"/>
      <c r="AC5" s="51"/>
      <c r="AD5" s="51"/>
      <c r="AE5" s="51"/>
    </row>
    <row r="6" spans="1:32" s="546" customFormat="1" ht="24" customHeight="1" x14ac:dyDescent="0.2">
      <c r="A6" s="674" t="s">
        <v>13</v>
      </c>
      <c r="B6" s="675"/>
      <c r="C6" s="676"/>
      <c r="D6" s="784" t="s">
        <v>14</v>
      </c>
      <c r="E6" s="785"/>
      <c r="F6" s="785"/>
      <c r="G6" s="785"/>
      <c r="H6" s="785"/>
      <c r="I6" s="785"/>
      <c r="J6" s="785"/>
      <c r="K6" s="785"/>
      <c r="L6" s="785"/>
      <c r="M6" s="672"/>
      <c r="N6" s="59"/>
      <c r="P6" s="24" t="s">
        <v>15</v>
      </c>
      <c r="Q6" s="858" t="str">
        <f>IF(Q5=0," ",CHOOSE(WEEKDAY(Q5,2),"Понедельник","Вторник","Среда","Четверг","Пятница","Суббота","Воскресенье"))</f>
        <v>Воскресенье</v>
      </c>
      <c r="R6" s="557"/>
      <c r="T6" s="723" t="s">
        <v>16</v>
      </c>
      <c r="U6" s="719"/>
      <c r="V6" s="767" t="s">
        <v>17</v>
      </c>
      <c r="W6" s="597"/>
      <c r="AB6" s="51"/>
      <c r="AC6" s="51"/>
      <c r="AD6" s="51"/>
      <c r="AE6" s="51"/>
    </row>
    <row r="7" spans="1:32" s="546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2"/>
      <c r="U7" s="719"/>
      <c r="V7" s="768"/>
      <c r="W7" s="769"/>
      <c r="AB7" s="51"/>
      <c r="AC7" s="51"/>
      <c r="AD7" s="51"/>
      <c r="AE7" s="51"/>
    </row>
    <row r="8" spans="1:32" s="546" customFormat="1" ht="25.5" customHeight="1" x14ac:dyDescent="0.2">
      <c r="A8" s="871" t="s">
        <v>18</v>
      </c>
      <c r="B8" s="568"/>
      <c r="C8" s="569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83">
        <v>0.375</v>
      </c>
      <c r="R8" s="609"/>
      <c r="T8" s="562"/>
      <c r="U8" s="719"/>
      <c r="V8" s="768"/>
      <c r="W8" s="769"/>
      <c r="AB8" s="51"/>
      <c r="AC8" s="51"/>
      <c r="AD8" s="51"/>
      <c r="AE8" s="51"/>
    </row>
    <row r="9" spans="1:32" s="546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2"/>
      <c r="E9" s="566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47"/>
      <c r="P9" s="26" t="s">
        <v>21</v>
      </c>
      <c r="Q9" s="666"/>
      <c r="R9" s="667"/>
      <c r="T9" s="562"/>
      <c r="U9" s="719"/>
      <c r="V9" s="770"/>
      <c r="W9" s="771"/>
      <c r="X9" s="43"/>
      <c r="Y9" s="43"/>
      <c r="Z9" s="43"/>
      <c r="AA9" s="43"/>
      <c r="AB9" s="51"/>
      <c r="AC9" s="51"/>
      <c r="AD9" s="51"/>
      <c r="AE9" s="51"/>
    </row>
    <row r="10" spans="1:32" s="546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2"/>
      <c r="E10" s="566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58" t="str">
        <f>IFERROR(VLOOKUP($D$10,Proxy,2,FALSE),"")</f>
        <v/>
      </c>
      <c r="I10" s="562"/>
      <c r="J10" s="562"/>
      <c r="K10" s="562"/>
      <c r="L10" s="562"/>
      <c r="M10" s="562"/>
      <c r="N10" s="545"/>
      <c r="P10" s="26" t="s">
        <v>22</v>
      </c>
      <c r="Q10" s="724"/>
      <c r="R10" s="725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46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1"/>
      <c r="R11" s="672"/>
      <c r="U11" s="24" t="s">
        <v>27</v>
      </c>
      <c r="V11" s="803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6" customFormat="1" ht="18.600000000000001" customHeight="1" x14ac:dyDescent="0.2">
      <c r="A12" s="714" t="s">
        <v>29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30</v>
      </c>
      <c r="Q12" s="683"/>
      <c r="R12" s="609"/>
      <c r="S12" s="23"/>
      <c r="U12" s="24"/>
      <c r="V12" s="578"/>
      <c r="W12" s="562"/>
      <c r="AB12" s="51"/>
      <c r="AC12" s="51"/>
      <c r="AD12" s="51"/>
      <c r="AE12" s="51"/>
    </row>
    <row r="13" spans="1:32" s="546" customFormat="1" ht="23.25" customHeight="1" x14ac:dyDescent="0.2">
      <c r="A13" s="714" t="s">
        <v>31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32</v>
      </c>
      <c r="Q13" s="803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6" customFormat="1" ht="18.600000000000001" customHeight="1" x14ac:dyDescent="0.2">
      <c r="A14" s="714" t="s">
        <v>33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6" customFormat="1" ht="22.5" customHeight="1" x14ac:dyDescent="0.2">
      <c r="A15" s="736" t="s">
        <v>34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03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4"/>
      <c r="Q16" s="704"/>
      <c r="R16" s="704"/>
      <c r="S16" s="704"/>
      <c r="T16" s="7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88" t="s">
        <v>38</v>
      </c>
      <c r="D17" s="592" t="s">
        <v>39</v>
      </c>
      <c r="E17" s="650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49"/>
      <c r="R17" s="649"/>
      <c r="S17" s="649"/>
      <c r="T17" s="650"/>
      <c r="U17" s="866" t="s">
        <v>51</v>
      </c>
      <c r="V17" s="676"/>
      <c r="W17" s="592" t="s">
        <v>52</v>
      </c>
      <c r="X17" s="592" t="s">
        <v>53</v>
      </c>
      <c r="Y17" s="867" t="s">
        <v>54</v>
      </c>
      <c r="Z17" s="781" t="s">
        <v>55</v>
      </c>
      <c r="AA17" s="759" t="s">
        <v>56</v>
      </c>
      <c r="AB17" s="759" t="s">
        <v>57</v>
      </c>
      <c r="AC17" s="759" t="s">
        <v>58</v>
      </c>
      <c r="AD17" s="759" t="s">
        <v>59</v>
      </c>
      <c r="AE17" s="831"/>
      <c r="AF17" s="832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1"/>
      <c r="E18" s="653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3"/>
      <c r="X18" s="593"/>
      <c r="Y18" s="868"/>
      <c r="Z18" s="782"/>
      <c r="AA18" s="760"/>
      <c r="AB18" s="760"/>
      <c r="AC18" s="760"/>
      <c r="AD18" s="833"/>
      <c r="AE18" s="834"/>
      <c r="AF18" s="835"/>
      <c r="AG18" s="66"/>
      <c r="BD18" s="65"/>
    </row>
    <row r="19" spans="1:68" ht="27.75" customHeight="1" x14ac:dyDescent="0.2">
      <c r="A19" s="668" t="s">
        <v>63</v>
      </c>
      <c r="B19" s="669"/>
      <c r="C19" s="669"/>
      <c r="D19" s="669"/>
      <c r="E19" s="669"/>
      <c r="F19" s="669"/>
      <c r="G19" s="669"/>
      <c r="H19" s="669"/>
      <c r="I19" s="669"/>
      <c r="J19" s="669"/>
      <c r="K19" s="669"/>
      <c r="L19" s="669"/>
      <c r="M19" s="669"/>
      <c r="N19" s="669"/>
      <c r="O19" s="669"/>
      <c r="P19" s="669"/>
      <c r="Q19" s="669"/>
      <c r="R19" s="669"/>
      <c r="S19" s="669"/>
      <c r="T19" s="669"/>
      <c r="U19" s="669"/>
      <c r="V19" s="669"/>
      <c r="W19" s="669"/>
      <c r="X19" s="669"/>
      <c r="Y19" s="669"/>
      <c r="Z19" s="669"/>
      <c r="AA19" s="48"/>
      <c r="AB19" s="48"/>
      <c r="AC19" s="48"/>
    </row>
    <row r="20" spans="1:68" ht="16.5" customHeight="1" x14ac:dyDescent="0.25">
      <c r="A20" s="570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4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4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1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customHeight="1" x14ac:dyDescent="0.25">
      <c r="A33" s="564" t="s">
        <v>91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543"/>
      <c r="AB33" s="543"/>
      <c r="AC33" s="543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1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customHeight="1" x14ac:dyDescent="0.2">
      <c r="A37" s="668" t="s">
        <v>97</v>
      </c>
      <c r="B37" s="669"/>
      <c r="C37" s="669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48"/>
      <c r="AB37" s="48"/>
      <c r="AC37" s="48"/>
    </row>
    <row r="38" spans="1:68" ht="16.5" customHeight="1" x14ac:dyDescent="0.25">
      <c r="A38" s="570" t="s">
        <v>98</v>
      </c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2"/>
      <c r="P38" s="562"/>
      <c r="Q38" s="562"/>
      <c r="R38" s="562"/>
      <c r="S38" s="562"/>
      <c r="T38" s="562"/>
      <c r="U38" s="562"/>
      <c r="V38" s="562"/>
      <c r="W38" s="562"/>
      <c r="X38" s="562"/>
      <c r="Y38" s="562"/>
      <c r="Z38" s="562"/>
      <c r="AA38" s="544"/>
      <c r="AB38" s="544"/>
      <c r="AC38" s="544"/>
    </row>
    <row r="39" spans="1:68" ht="14.25" customHeight="1" x14ac:dyDescent="0.25">
      <c r="A39" s="564" t="s">
        <v>99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3"/>
      <c r="AB39" s="543"/>
      <c r="AC39" s="543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100</v>
      </c>
      <c r="Y40" s="550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280</v>
      </c>
      <c r="Y41" s="550">
        <f>IFERROR(IF(X41="",0,CEILING((X41/$H41),1)*$H41),"")</f>
        <v>280</v>
      </c>
      <c r="Z41" s="36">
        <f>IFERROR(IF(Y41=0,"",ROUNDUP(Y41/H41,0)*0.00902),"")</f>
        <v>0.63139999999999996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293.3</v>
      </c>
      <c r="BN41" s="64">
        <f>IFERROR(Y41*I41/H41,"0")</f>
        <v>293.3</v>
      </c>
      <c r="BO41" s="64">
        <f>IFERROR(1/J41*(X41/H41),"0")</f>
        <v>0.53030303030303028</v>
      </c>
      <c r="BP41" s="64">
        <f>IFERROR(1/J41*(Y41/H41),"0")</f>
        <v>0.53030303030303028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51">
        <f>IFERROR(X40/H40,"0")+IFERROR(X41/H41,"0")+IFERROR(X42/H42,"0")</f>
        <v>79.259259259259267</v>
      </c>
      <c r="Y43" s="551">
        <f>IFERROR(Y40/H40,"0")+IFERROR(Y41/H41,"0")+IFERROR(Y42/H42,"0")</f>
        <v>80</v>
      </c>
      <c r="Z43" s="551">
        <f>IFERROR(IF(Z40="",0,Z40),"0")+IFERROR(IF(Z41="",0,Z41),"0")+IFERROR(IF(Z42="",0,Z42),"0")</f>
        <v>0.82119999999999993</v>
      </c>
      <c r="AA43" s="552"/>
      <c r="AB43" s="552"/>
      <c r="AC43" s="552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51">
        <f>IFERROR(SUM(X40:X42),"0")</f>
        <v>380</v>
      </c>
      <c r="Y44" s="551">
        <f>IFERROR(SUM(Y40:Y42),"0")</f>
        <v>388</v>
      </c>
      <c r="Z44" s="37"/>
      <c r="AA44" s="552"/>
      <c r="AB44" s="552"/>
      <c r="AC44" s="552"/>
    </row>
    <row r="45" spans="1:68" ht="14.25" customHeight="1" x14ac:dyDescent="0.25">
      <c r="A45" s="564" t="s">
        <v>77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543"/>
      <c r="AB45" s="543"/>
      <c r="AC45" s="543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1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customHeight="1" x14ac:dyDescent="0.25">
      <c r="A49" s="570" t="s">
        <v>116</v>
      </c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44"/>
      <c r="AB49" s="544"/>
      <c r="AC49" s="544"/>
    </row>
    <row r="50" spans="1:68" ht="14.25" customHeight="1" x14ac:dyDescent="0.25">
      <c r="A50" s="564" t="s">
        <v>99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3"/>
      <c r="AB50" s="543"/>
      <c r="AC50" s="543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100</v>
      </c>
      <c r="Y52" s="550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450</v>
      </c>
      <c r="Y56" s="550">
        <f t="shared" si="0"/>
        <v>450</v>
      </c>
      <c r="Z56" s="36">
        <f>IFERROR(IF(Y56=0,"",ROUNDUP(Y56/H56,0)*0.00902),"")</f>
        <v>0.90200000000000002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469</v>
      </c>
      <c r="BN56" s="64">
        <f t="shared" si="2"/>
        <v>469</v>
      </c>
      <c r="BO56" s="64">
        <f t="shared" si="3"/>
        <v>0.75757575757575757</v>
      </c>
      <c r="BP56" s="64">
        <f t="shared" si="4"/>
        <v>0.75757575757575757</v>
      </c>
    </row>
    <row r="57" spans="1:68" x14ac:dyDescent="0.2">
      <c r="A57" s="561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51">
        <f>IFERROR(X51/H51,"0")+IFERROR(X52/H52,"0")+IFERROR(X53/H53,"0")+IFERROR(X54/H54,"0")+IFERROR(X55/H55,"0")+IFERROR(X56/H56,"0")</f>
        <v>109.25925925925927</v>
      </c>
      <c r="Y57" s="551">
        <f>IFERROR(Y51/H51,"0")+IFERROR(Y52/H52,"0")+IFERROR(Y53/H53,"0")+IFERROR(Y54/H54,"0")+IFERROR(Y55/H55,"0")+IFERROR(Y56/H56,"0")</f>
        <v>110</v>
      </c>
      <c r="Z57" s="551">
        <f>IFERROR(IF(Z51="",0,Z51),"0")+IFERROR(IF(Z52="",0,Z52),"0")+IFERROR(IF(Z53="",0,Z53),"0")+IFERROR(IF(Z54="",0,Z54),"0")+IFERROR(IF(Z55="",0,Z55),"0")+IFERROR(IF(Z56="",0,Z56),"0")</f>
        <v>1.0918000000000001</v>
      </c>
      <c r="AA57" s="552"/>
      <c r="AB57" s="552"/>
      <c r="AC57" s="552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51">
        <f>IFERROR(SUM(X51:X56),"0")</f>
        <v>550</v>
      </c>
      <c r="Y58" s="551">
        <f>IFERROR(SUM(Y51:Y56),"0")</f>
        <v>558</v>
      </c>
      <c r="Z58" s="37"/>
      <c r="AA58" s="552"/>
      <c r="AB58" s="552"/>
      <c r="AC58" s="552"/>
    </row>
    <row r="59" spans="1:68" ht="14.25" customHeight="1" x14ac:dyDescent="0.25">
      <c r="A59" s="564" t="s">
        <v>135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543"/>
      <c r="AB59" s="543"/>
      <c r="AC59" s="543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150</v>
      </c>
      <c r="Y60" s="550">
        <f>IFERROR(IF(X60="",0,CEILING((X60/$H60),1)*$H60),"")</f>
        <v>151.20000000000002</v>
      </c>
      <c r="Z60" s="36">
        <f>IFERROR(IF(Y60=0,"",ROUNDUP(Y60/H60,0)*0.01898),"")</f>
        <v>0.26572000000000001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155.69444444444446</v>
      </c>
      <c r="BN60" s="64">
        <f>IFERROR(Y60*I60/H60,"0")</f>
        <v>156.94</v>
      </c>
      <c r="BO60" s="64">
        <f>IFERROR(1/J60*(X60/H60),"0")</f>
        <v>0.21701388888888887</v>
      </c>
      <c r="BP60" s="64">
        <f>IFERROR(1/J60*(Y60/H60),"0")</f>
        <v>0.21875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90</v>
      </c>
      <c r="Y62" s="550">
        <f>IFERROR(IF(X62="",0,CEILING((X62/$H62),1)*$H62),"")</f>
        <v>91.800000000000011</v>
      </c>
      <c r="Z62" s="36">
        <f>IFERROR(IF(Y62=0,"",ROUNDUP(Y62/H62,0)*0.00651),"")</f>
        <v>0.22134000000000001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95.999999999999986</v>
      </c>
      <c r="BN62" s="64">
        <f>IFERROR(Y62*I62/H62,"0")</f>
        <v>97.92</v>
      </c>
      <c r="BO62" s="64">
        <f>IFERROR(1/J62*(X62/H62),"0")</f>
        <v>0.18315018315018314</v>
      </c>
      <c r="BP62" s="64">
        <f>IFERROR(1/J62*(Y62/H62),"0")</f>
        <v>0.18681318681318682</v>
      </c>
    </row>
    <row r="63" spans="1:68" x14ac:dyDescent="0.2">
      <c r="A63" s="561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51">
        <f>IFERROR(X60/H60,"0")+IFERROR(X61/H61,"0")+IFERROR(X62/H62,"0")</f>
        <v>47.222222222222214</v>
      </c>
      <c r="Y63" s="551">
        <f>IFERROR(Y60/H60,"0")+IFERROR(Y61/H61,"0")+IFERROR(Y62/H62,"0")</f>
        <v>48</v>
      </c>
      <c r="Z63" s="551">
        <f>IFERROR(IF(Z60="",0,Z60),"0")+IFERROR(IF(Z61="",0,Z61),"0")+IFERROR(IF(Z62="",0,Z62),"0")</f>
        <v>0.48706000000000005</v>
      </c>
      <c r="AA63" s="552"/>
      <c r="AB63" s="552"/>
      <c r="AC63" s="552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51">
        <f>IFERROR(SUM(X60:X62),"0")</f>
        <v>240</v>
      </c>
      <c r="Y64" s="551">
        <f>IFERROR(SUM(Y60:Y62),"0")</f>
        <v>243.00000000000003</v>
      </c>
      <c r="Z64" s="37"/>
      <c r="AA64" s="552"/>
      <c r="AB64" s="552"/>
      <c r="AC64" s="552"/>
    </row>
    <row r="65" spans="1:68" ht="14.25" customHeight="1" x14ac:dyDescent="0.25">
      <c r="A65" s="564" t="s">
        <v>64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543"/>
      <c r="AB65" s="543"/>
      <c r="AC65" s="543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1"/>
      <c r="B68" s="562"/>
      <c r="C68" s="562"/>
      <c r="D68" s="562"/>
      <c r="E68" s="562"/>
      <c r="F68" s="562"/>
      <c r="G68" s="562"/>
      <c r="H68" s="562"/>
      <c r="I68" s="562"/>
      <c r="J68" s="562"/>
      <c r="K68" s="562"/>
      <c r="L68" s="562"/>
      <c r="M68" s="562"/>
      <c r="N68" s="562"/>
      <c r="O68" s="563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customHeight="1" x14ac:dyDescent="0.25">
      <c r="A70" s="564" t="s">
        <v>77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543"/>
      <c r="AB70" s="543"/>
      <c r="AC70" s="543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1"/>
      <c r="B75" s="562"/>
      <c r="C75" s="562"/>
      <c r="D75" s="562"/>
      <c r="E75" s="562"/>
      <c r="F75" s="562"/>
      <c r="G75" s="562"/>
      <c r="H75" s="562"/>
      <c r="I75" s="562"/>
      <c r="J75" s="562"/>
      <c r="K75" s="562"/>
      <c r="L75" s="562"/>
      <c r="M75" s="562"/>
      <c r="N75" s="562"/>
      <c r="O75" s="563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x14ac:dyDescent="0.2">
      <c r="A76" s="562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customHeight="1" x14ac:dyDescent="0.25">
      <c r="A77" s="564" t="s">
        <v>160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543"/>
      <c r="AB77" s="543"/>
      <c r="AC77" s="543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62"/>
      <c r="C80" s="562"/>
      <c r="D80" s="562"/>
      <c r="E80" s="562"/>
      <c r="F80" s="562"/>
      <c r="G80" s="562"/>
      <c r="H80" s="562"/>
      <c r="I80" s="562"/>
      <c r="J80" s="562"/>
      <c r="K80" s="562"/>
      <c r="L80" s="562"/>
      <c r="M80" s="562"/>
      <c r="N80" s="562"/>
      <c r="O80" s="563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x14ac:dyDescent="0.2">
      <c r="A81" s="562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customHeight="1" x14ac:dyDescent="0.25">
      <c r="A82" s="570" t="s">
        <v>167</v>
      </c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2"/>
      <c r="P82" s="562"/>
      <c r="Q82" s="562"/>
      <c r="R82" s="562"/>
      <c r="S82" s="562"/>
      <c r="T82" s="562"/>
      <c r="U82" s="562"/>
      <c r="V82" s="562"/>
      <c r="W82" s="562"/>
      <c r="X82" s="562"/>
      <c r="Y82" s="562"/>
      <c r="Z82" s="562"/>
      <c r="AA82" s="544"/>
      <c r="AB82" s="544"/>
      <c r="AC82" s="544"/>
    </row>
    <row r="83" spans="1:68" ht="14.25" customHeight="1" x14ac:dyDescent="0.25">
      <c r="A83" s="564" t="s">
        <v>99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3"/>
      <c r="AB83" s="543"/>
      <c r="AC83" s="543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100</v>
      </c>
      <c r="Y84" s="550">
        <f>IFERROR(IF(X84="",0,CEILING((X84/$H84),1)*$H84),"")</f>
        <v>108</v>
      </c>
      <c r="Z84" s="36">
        <f>IFERROR(IF(Y84=0,"",ROUNDUP(Y84/H84,0)*0.01898),"")</f>
        <v>0.1898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103.79629629629629</v>
      </c>
      <c r="BN84" s="64">
        <f>IFERROR(Y84*I84/H84,"0")</f>
        <v>112.1</v>
      </c>
      <c r="BO84" s="64">
        <f>IFERROR(1/J84*(X84/H84),"0")</f>
        <v>0.14467592592592593</v>
      </c>
      <c r="BP84" s="64">
        <f>IFERROR(1/J84*(Y84/H84),"0")</f>
        <v>0.15625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360</v>
      </c>
      <c r="Y87" s="550">
        <f>IFERROR(IF(X87="",0,CEILING((X87/$H87),1)*$H87),"")</f>
        <v>360</v>
      </c>
      <c r="Z87" s="36">
        <f>IFERROR(IF(Y87=0,"",ROUNDUP(Y87/H87,0)*0.00902),"")</f>
        <v>0.72160000000000002</v>
      </c>
      <c r="AA87" s="56"/>
      <c r="AB87" s="57"/>
      <c r="AC87" s="131" t="s">
        <v>170</v>
      </c>
      <c r="AG87" s="64"/>
      <c r="AJ87" s="68"/>
      <c r="AK87" s="68">
        <v>0</v>
      </c>
      <c r="BB87" s="132" t="s">
        <v>1</v>
      </c>
      <c r="BM87" s="64">
        <f>IFERROR(X87*I87/H87,"0")</f>
        <v>375.20000000000005</v>
      </c>
      <c r="BN87" s="64">
        <f>IFERROR(Y87*I87/H87,"0")</f>
        <v>375.20000000000005</v>
      </c>
      <c r="BO87" s="64">
        <f>IFERROR(1/J87*(X87/H87),"0")</f>
        <v>0.60606060606060608</v>
      </c>
      <c r="BP87" s="64">
        <f>IFERROR(1/J87*(Y87/H87),"0")</f>
        <v>0.60606060606060608</v>
      </c>
    </row>
    <row r="88" spans="1:68" x14ac:dyDescent="0.2">
      <c r="A88" s="561"/>
      <c r="B88" s="562"/>
      <c r="C88" s="562"/>
      <c r="D88" s="562"/>
      <c r="E88" s="562"/>
      <c r="F88" s="562"/>
      <c r="G88" s="562"/>
      <c r="H88" s="562"/>
      <c r="I88" s="562"/>
      <c r="J88" s="562"/>
      <c r="K88" s="562"/>
      <c r="L88" s="562"/>
      <c r="M88" s="562"/>
      <c r="N88" s="562"/>
      <c r="O88" s="563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51">
        <f>IFERROR(X84/H84,"0")+IFERROR(X85/H85,"0")+IFERROR(X86/H86,"0")+IFERROR(X87/H87,"0")</f>
        <v>89.259259259259267</v>
      </c>
      <c r="Y88" s="551">
        <f>IFERROR(Y84/H84,"0")+IFERROR(Y85/H85,"0")+IFERROR(Y86/H86,"0")+IFERROR(Y87/H87,"0")</f>
        <v>90</v>
      </c>
      <c r="Z88" s="551">
        <f>IFERROR(IF(Z84="",0,Z84),"0")+IFERROR(IF(Z85="",0,Z85),"0")+IFERROR(IF(Z86="",0,Z86),"0")+IFERROR(IF(Z87="",0,Z87),"0")</f>
        <v>0.91139999999999999</v>
      </c>
      <c r="AA88" s="552"/>
      <c r="AB88" s="552"/>
      <c r="AC88" s="552"/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51">
        <f>IFERROR(SUM(X84:X87),"0")</f>
        <v>460</v>
      </c>
      <c r="Y89" s="551">
        <f>IFERROR(SUM(Y84:Y87),"0")</f>
        <v>468</v>
      </c>
      <c r="Z89" s="37"/>
      <c r="AA89" s="552"/>
      <c r="AB89" s="552"/>
      <c r="AC89" s="552"/>
    </row>
    <row r="90" spans="1:68" ht="14.25" customHeight="1" x14ac:dyDescent="0.25">
      <c r="A90" s="564" t="s">
        <v>77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543"/>
      <c r="AB90" s="543"/>
      <c r="AC90" s="543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250</v>
      </c>
      <c r="Y91" s="550">
        <f>IFERROR(IF(X91="",0,CEILING((X91/$H91),1)*$H91),"")</f>
        <v>251.1</v>
      </c>
      <c r="Z91" s="36">
        <f>IFERROR(IF(Y91=0,"",ROUNDUP(Y91/H91,0)*0.01898),"")</f>
        <v>0.58838000000000001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265.24691358024694</v>
      </c>
      <c r="BN91" s="64">
        <f>IFERROR(Y91*I91/H91,"0")</f>
        <v>266.41399999999999</v>
      </c>
      <c r="BO91" s="64">
        <f>IFERROR(1/J91*(X91/H91),"0")</f>
        <v>0.48225308641975312</v>
      </c>
      <c r="BP91" s="64">
        <f>IFERROR(1/J91*(Y91/H91),"0")</f>
        <v>0.484375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360</v>
      </c>
      <c r="Y93" s="550">
        <f>IFERROR(IF(X93="",0,CEILING((X93/$H93),1)*$H93),"")</f>
        <v>361.8</v>
      </c>
      <c r="Z93" s="36">
        <f>IFERROR(IF(Y93=0,"",ROUNDUP(Y93/H93,0)*0.00651),"")</f>
        <v>0.87234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393.59999999999997</v>
      </c>
      <c r="BN93" s="64">
        <f>IFERROR(Y93*I93/H93,"0")</f>
        <v>395.56799999999998</v>
      </c>
      <c r="BO93" s="64">
        <f>IFERROR(1/J93*(X93/H93),"0")</f>
        <v>0.73260073260073255</v>
      </c>
      <c r="BP93" s="64">
        <f>IFERROR(1/J93*(Y93/H93),"0")</f>
        <v>0.73626373626373631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62"/>
      <c r="C95" s="562"/>
      <c r="D95" s="562"/>
      <c r="E95" s="562"/>
      <c r="F95" s="562"/>
      <c r="G95" s="562"/>
      <c r="H95" s="562"/>
      <c r="I95" s="562"/>
      <c r="J95" s="562"/>
      <c r="K95" s="562"/>
      <c r="L95" s="562"/>
      <c r="M95" s="562"/>
      <c r="N95" s="562"/>
      <c r="O95" s="563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51">
        <f>IFERROR(X91/H91,"0")+IFERROR(X92/H92,"0")+IFERROR(X93/H93,"0")+IFERROR(X94/H94,"0")</f>
        <v>164.19753086419752</v>
      </c>
      <c r="Y95" s="551">
        <f>IFERROR(Y91/H91,"0")+IFERROR(Y92/H92,"0")+IFERROR(Y93/H93,"0")+IFERROR(Y94/H94,"0")</f>
        <v>165</v>
      </c>
      <c r="Z95" s="551">
        <f>IFERROR(IF(Z91="",0,Z91),"0")+IFERROR(IF(Z92="",0,Z92),"0")+IFERROR(IF(Z93="",0,Z93),"0")+IFERROR(IF(Z94="",0,Z94),"0")</f>
        <v>1.46072</v>
      </c>
      <c r="AA95" s="552"/>
      <c r="AB95" s="552"/>
      <c r="AC95" s="552"/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51">
        <f>IFERROR(SUM(X91:X94),"0")</f>
        <v>610</v>
      </c>
      <c r="Y96" s="551">
        <f>IFERROR(SUM(Y91:Y94),"0")</f>
        <v>612.9</v>
      </c>
      <c r="Z96" s="37"/>
      <c r="AA96" s="552"/>
      <c r="AB96" s="552"/>
      <c r="AC96" s="552"/>
    </row>
    <row r="97" spans="1:68" ht="16.5" customHeight="1" x14ac:dyDescent="0.25">
      <c r="A97" s="570" t="s">
        <v>189</v>
      </c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2"/>
      <c r="P97" s="562"/>
      <c r="Q97" s="562"/>
      <c r="R97" s="562"/>
      <c r="S97" s="562"/>
      <c r="T97" s="562"/>
      <c r="U97" s="562"/>
      <c r="V97" s="562"/>
      <c r="W97" s="562"/>
      <c r="X97" s="562"/>
      <c r="Y97" s="562"/>
      <c r="Z97" s="562"/>
      <c r="AA97" s="544"/>
      <c r="AB97" s="544"/>
      <c r="AC97" s="544"/>
    </row>
    <row r="98" spans="1:68" ht="14.25" customHeight="1" x14ac:dyDescent="0.25">
      <c r="A98" s="564" t="s">
        <v>99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3"/>
      <c r="AB98" s="543"/>
      <c r="AC98" s="543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60</v>
      </c>
      <c r="Y99" s="550">
        <f>IFERROR(IF(X99="",0,CEILING((X99/$H99),1)*$H99),"")</f>
        <v>64.800000000000011</v>
      </c>
      <c r="Z99" s="36">
        <f>IFERROR(IF(Y99=0,"",ROUNDUP(Y99/H99,0)*0.01898),"")</f>
        <v>0.11388000000000001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62.277777777777779</v>
      </c>
      <c r="BN99" s="64">
        <f>IFERROR(Y99*I99/H99,"0")</f>
        <v>67.260000000000005</v>
      </c>
      <c r="BO99" s="64">
        <f>IFERROR(1/J99*(X99/H99),"0")</f>
        <v>8.6805555555555552E-2</v>
      </c>
      <c r="BP99" s="64">
        <f>IFERROR(1/J99*(Y99/H99),"0")</f>
        <v>9.3750000000000014E-2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247.5</v>
      </c>
      <c r="Y102" s="550">
        <f>IFERROR(IF(X102="",0,CEILING((X102/$H102),1)*$H102),"")</f>
        <v>247.5</v>
      </c>
      <c r="Z102" s="36">
        <f>IFERROR(IF(Y102=0,"",ROUNDUP(Y102/H102,0)*0.00902),"")</f>
        <v>0.49609999999999999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257.95000000000005</v>
      </c>
      <c r="BN102" s="64">
        <f>IFERROR(Y102*I102/H102,"0")</f>
        <v>257.95000000000005</v>
      </c>
      <c r="BO102" s="64">
        <f>IFERROR(1/J102*(X102/H102),"0")</f>
        <v>0.41666666666666669</v>
      </c>
      <c r="BP102" s="64">
        <f>IFERROR(1/J102*(Y102/H102),"0")</f>
        <v>0.41666666666666669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51">
        <f>IFERROR(X99/H99,"0")+IFERROR(X100/H100,"0")+IFERROR(X101/H101,"0")+IFERROR(X102/H102,"0")+IFERROR(X103/H103,"0")</f>
        <v>60.555555555555557</v>
      </c>
      <c r="Y104" s="551">
        <f>IFERROR(Y99/H99,"0")+IFERROR(Y100/H100,"0")+IFERROR(Y101/H101,"0")+IFERROR(Y102/H102,"0")+IFERROR(Y103/H103,"0")</f>
        <v>61</v>
      </c>
      <c r="Z104" s="551">
        <f>IFERROR(IF(Z99="",0,Z99),"0")+IFERROR(IF(Z100="",0,Z100),"0")+IFERROR(IF(Z101="",0,Z101),"0")+IFERROR(IF(Z102="",0,Z102),"0")+IFERROR(IF(Z103="",0,Z103),"0")</f>
        <v>0.60997999999999997</v>
      </c>
      <c r="AA104" s="552"/>
      <c r="AB104" s="552"/>
      <c r="AC104" s="552"/>
    </row>
    <row r="105" spans="1:68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51">
        <f>IFERROR(SUM(X99:X103),"0")</f>
        <v>307.5</v>
      </c>
      <c r="Y105" s="551">
        <f>IFERROR(SUM(Y99:Y103),"0")</f>
        <v>312.3</v>
      </c>
      <c r="Z105" s="37"/>
      <c r="AA105" s="552"/>
      <c r="AB105" s="552"/>
      <c r="AC105" s="552"/>
    </row>
    <row r="106" spans="1:68" ht="14.25" customHeight="1" x14ac:dyDescent="0.25">
      <c r="A106" s="564" t="s">
        <v>135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543"/>
      <c r="AB106" s="543"/>
      <c r="AC106" s="543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1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x14ac:dyDescent="0.2">
      <c r="A112" s="562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customHeight="1" x14ac:dyDescent="0.25">
      <c r="A113" s="564" t="s">
        <v>77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543"/>
      <c r="AB113" s="543"/>
      <c r="AC113" s="543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330</v>
      </c>
      <c r="Y114" s="550">
        <f>IFERROR(IF(X114="",0,CEILING((X114/$H114),1)*$H114),"")</f>
        <v>332.09999999999997</v>
      </c>
      <c r="Z114" s="36">
        <f>IFERROR(IF(Y114=0,"",ROUNDUP(Y114/H114,0)*0.01898),"")</f>
        <v>0.77817999999999998</v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349.88148148148144</v>
      </c>
      <c r="BN114" s="64">
        <f>IFERROR(Y114*I114/H114,"0")</f>
        <v>352.10799999999995</v>
      </c>
      <c r="BO114" s="64">
        <f>IFERROR(1/J114*(X114/H114),"0")</f>
        <v>0.63657407407407407</v>
      </c>
      <c r="BP114" s="64">
        <f>IFERROR(1/J114*(Y114/H114),"0")</f>
        <v>0.640625</v>
      </c>
    </row>
    <row r="115" spans="1:68" ht="27" customHeight="1" x14ac:dyDescent="0.25">
      <c r="A115" s="54" t="s">
        <v>216</v>
      </c>
      <c r="B115" s="54" t="s">
        <v>217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630</v>
      </c>
      <c r="Y116" s="550">
        <f>IFERROR(IF(X116="",0,CEILING((X116/$H116),1)*$H116),"")</f>
        <v>631.80000000000007</v>
      </c>
      <c r="Z116" s="36">
        <f>IFERROR(IF(Y116=0,"",ROUNDUP(Y116/H116,0)*0.00651),"")</f>
        <v>1.5233400000000001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688.8</v>
      </c>
      <c r="BN116" s="64">
        <f>IFERROR(Y116*I116/H116,"0")</f>
        <v>690.76800000000003</v>
      </c>
      <c r="BO116" s="64">
        <f>IFERROR(1/J116*(X116/H116),"0")</f>
        <v>1.2820512820512819</v>
      </c>
      <c r="BP116" s="64">
        <f>IFERROR(1/J116*(Y116/H116),"0")</f>
        <v>1.2857142857142858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 t="s">
        <v>220</v>
      </c>
      <c r="M117" s="33" t="s">
        <v>80</v>
      </c>
      <c r="N117" s="33"/>
      <c r="O117" s="32">
        <v>45</v>
      </c>
      <c r="P117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45</v>
      </c>
      <c r="Y117" s="550">
        <f>IFERROR(IF(X117="",0,CEILING((X117/$H117),1)*$H117),"")</f>
        <v>45</v>
      </c>
      <c r="Z117" s="36">
        <f>IFERROR(IF(Y117=0,"",ROUNDUP(Y117/H117,0)*0.00651),"")</f>
        <v>0.16275000000000001</v>
      </c>
      <c r="AA117" s="56"/>
      <c r="AB117" s="57"/>
      <c r="AC117" s="165" t="s">
        <v>223</v>
      </c>
      <c r="AG117" s="64"/>
      <c r="AJ117" s="68" t="s">
        <v>106</v>
      </c>
      <c r="AK117" s="68">
        <v>25.2</v>
      </c>
      <c r="BB117" s="166" t="s">
        <v>1</v>
      </c>
      <c r="BM117" s="64">
        <f>IFERROR(X117*I117/H117,"0")</f>
        <v>49.499999999999993</v>
      </c>
      <c r="BN117" s="64">
        <f>IFERROR(Y117*I117/H117,"0")</f>
        <v>49.499999999999993</v>
      </c>
      <c r="BO117" s="64">
        <f>IFERROR(1/J117*(X117/H117),"0")</f>
        <v>0.13736263736263737</v>
      </c>
      <c r="BP117" s="64">
        <f>IFERROR(1/J117*(Y117/H117),"0")</f>
        <v>0.13736263736263737</v>
      </c>
    </row>
    <row r="118" spans="1:68" x14ac:dyDescent="0.2">
      <c r="A118" s="561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51">
        <f>IFERROR(X114/H114,"0")+IFERROR(X115/H115,"0")+IFERROR(X116/H116,"0")+IFERROR(X117/H117,"0")</f>
        <v>299.07407407407408</v>
      </c>
      <c r="Y118" s="551">
        <f>IFERROR(Y114/H114,"0")+IFERROR(Y115/H115,"0")+IFERROR(Y116/H116,"0")+IFERROR(Y117/H117,"0")</f>
        <v>300</v>
      </c>
      <c r="Z118" s="551">
        <f>IFERROR(IF(Z114="",0,Z114),"0")+IFERROR(IF(Z115="",0,Z115),"0")+IFERROR(IF(Z116="",0,Z116),"0")+IFERROR(IF(Z117="",0,Z117),"0")</f>
        <v>2.46427</v>
      </c>
      <c r="AA118" s="552"/>
      <c r="AB118" s="552"/>
      <c r="AC118" s="552"/>
    </row>
    <row r="119" spans="1:68" x14ac:dyDescent="0.2">
      <c r="A119" s="562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51">
        <f>IFERROR(SUM(X114:X117),"0")</f>
        <v>1005</v>
      </c>
      <c r="Y119" s="551">
        <f>IFERROR(SUM(Y114:Y117),"0")</f>
        <v>1008.9000000000001</v>
      </c>
      <c r="Z119" s="37"/>
      <c r="AA119" s="552"/>
      <c r="AB119" s="552"/>
      <c r="AC119" s="552"/>
    </row>
    <row r="120" spans="1:68" ht="14.25" customHeight="1" x14ac:dyDescent="0.25">
      <c r="A120" s="564" t="s">
        <v>160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543"/>
      <c r="AB120" s="543"/>
      <c r="AC120" s="543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 t="s">
        <v>220</v>
      </c>
      <c r="M121" s="33" t="s">
        <v>80</v>
      </c>
      <c r="N121" s="33"/>
      <c r="O121" s="32">
        <v>40</v>
      </c>
      <c r="P121" s="8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33</v>
      </c>
      <c r="Y121" s="550">
        <f>IFERROR(IF(X121="",0,CEILING((X121/$H121),1)*$H121),"")</f>
        <v>33.659999999999997</v>
      </c>
      <c r="Z121" s="36">
        <f>IFERROR(IF(Y121=0,"",ROUNDUP(Y121/H121,0)*0.00651),"")</f>
        <v>0.11067</v>
      </c>
      <c r="AA121" s="56"/>
      <c r="AB121" s="57"/>
      <c r="AC121" s="167" t="s">
        <v>226</v>
      </c>
      <c r="AG121" s="64"/>
      <c r="AJ121" s="68" t="s">
        <v>106</v>
      </c>
      <c r="AK121" s="68">
        <v>27.72</v>
      </c>
      <c r="BB121" s="168" t="s">
        <v>1</v>
      </c>
      <c r="BM121" s="64">
        <f>IFERROR(X121*I121/H121,"0")</f>
        <v>37.299999999999997</v>
      </c>
      <c r="BN121" s="64">
        <f>IFERROR(Y121*I121/H121,"0")</f>
        <v>38.045999999999992</v>
      </c>
      <c r="BO121" s="64">
        <f>IFERROR(1/J121*(X121/H121),"0")</f>
        <v>9.1575091575091583E-2</v>
      </c>
      <c r="BP121" s="64">
        <f>IFERROR(1/J121*(Y121/H121),"0")</f>
        <v>9.3406593406593408E-2</v>
      </c>
    </row>
    <row r="122" spans="1:68" x14ac:dyDescent="0.2">
      <c r="A122" s="561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51">
        <f>IFERROR(X121/H121,"0")</f>
        <v>16.666666666666668</v>
      </c>
      <c r="Y122" s="551">
        <f>IFERROR(Y121/H121,"0")</f>
        <v>17</v>
      </c>
      <c r="Z122" s="551">
        <f>IFERROR(IF(Z121="",0,Z121),"0")</f>
        <v>0.11067</v>
      </c>
      <c r="AA122" s="552"/>
      <c r="AB122" s="552"/>
      <c r="AC122" s="552"/>
    </row>
    <row r="123" spans="1:68" x14ac:dyDescent="0.2">
      <c r="A123" s="562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51">
        <f>IFERROR(SUM(X121:X121),"0")</f>
        <v>33</v>
      </c>
      <c r="Y123" s="551">
        <f>IFERROR(SUM(Y121:Y121),"0")</f>
        <v>33.659999999999997</v>
      </c>
      <c r="Z123" s="37"/>
      <c r="AA123" s="552"/>
      <c r="AB123" s="552"/>
      <c r="AC123" s="552"/>
    </row>
    <row r="124" spans="1:68" ht="16.5" customHeight="1" x14ac:dyDescent="0.25">
      <c r="A124" s="570" t="s">
        <v>227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2"/>
      <c r="Q124" s="562"/>
      <c r="R124" s="562"/>
      <c r="S124" s="562"/>
      <c r="T124" s="562"/>
      <c r="U124" s="562"/>
      <c r="V124" s="562"/>
      <c r="W124" s="562"/>
      <c r="X124" s="562"/>
      <c r="Y124" s="562"/>
      <c r="Z124" s="562"/>
      <c r="AA124" s="544"/>
      <c r="AB124" s="544"/>
      <c r="AC124" s="544"/>
    </row>
    <row r="125" spans="1:68" ht="14.25" customHeight="1" x14ac:dyDescent="0.25">
      <c r="A125" s="564" t="s">
        <v>99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3"/>
      <c r="AB125" s="543"/>
      <c r="AC125" s="543"/>
    </row>
    <row r="126" spans="1:68" ht="27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220</v>
      </c>
      <c r="M126" s="33" t="s">
        <v>94</v>
      </c>
      <c r="N126" s="33"/>
      <c r="O126" s="32">
        <v>90</v>
      </c>
      <c r="P126" s="8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80</v>
      </c>
      <c r="Y126" s="550">
        <f>IFERROR(IF(X126="",0,CEILING((X126/$H126),1)*$H126),"")</f>
        <v>80</v>
      </c>
      <c r="Z126" s="36">
        <f>IFERROR(IF(Y126=0,"",ROUNDUP(Y126/H126,0)*0.00651),"")</f>
        <v>0.16275000000000001</v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84.499999999999986</v>
      </c>
      <c r="BN126" s="64">
        <f>IFERROR(Y126*I126/H126,"0")</f>
        <v>84.499999999999986</v>
      </c>
      <c r="BO126" s="64">
        <f>IFERROR(1/J126*(X126/H126),"0")</f>
        <v>0.13736263736263737</v>
      </c>
      <c r="BP126" s="64">
        <f>IFERROR(1/J126*(Y126/H126),"0")</f>
        <v>0.13736263736263737</v>
      </c>
    </row>
    <row r="127" spans="1:68" ht="27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1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51">
        <f>IFERROR(X126/H126,"0")+IFERROR(X127/H127,"0")</f>
        <v>25</v>
      </c>
      <c r="Y128" s="551">
        <f>IFERROR(Y126/H126,"0")+IFERROR(Y127/H127,"0")</f>
        <v>25</v>
      </c>
      <c r="Z128" s="551">
        <f>IFERROR(IF(Z126="",0,Z126),"0")+IFERROR(IF(Z127="",0,Z127),"0")</f>
        <v>0.16275000000000001</v>
      </c>
      <c r="AA128" s="552"/>
      <c r="AB128" s="552"/>
      <c r="AC128" s="552"/>
    </row>
    <row r="129" spans="1:68" x14ac:dyDescent="0.2">
      <c r="A129" s="562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51">
        <f>IFERROR(SUM(X126:X127),"0")</f>
        <v>80</v>
      </c>
      <c r="Y129" s="551">
        <f>IFERROR(SUM(Y126:Y127),"0")</f>
        <v>80</v>
      </c>
      <c r="Z129" s="37"/>
      <c r="AA129" s="552"/>
      <c r="AB129" s="552"/>
      <c r="AC129" s="552"/>
    </row>
    <row r="130" spans="1:68" ht="14.25" customHeight="1" x14ac:dyDescent="0.25">
      <c r="A130" s="564" t="s">
        <v>64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543"/>
      <c r="AB130" s="543"/>
      <c r="AC130" s="543"/>
    </row>
    <row r="131" spans="1:68" ht="27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220</v>
      </c>
      <c r="M132" s="33" t="s">
        <v>94</v>
      </c>
      <c r="N132" s="33"/>
      <c r="O132" s="32">
        <v>90</v>
      </c>
      <c r="P132" s="7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87.5</v>
      </c>
      <c r="Y132" s="550">
        <f>IFERROR(IF(X132="",0,CEILING((X132/$H132),1)*$H132),"")</f>
        <v>89.6</v>
      </c>
      <c r="Z132" s="36">
        <f>IFERROR(IF(Y132=0,"",ROUNDUP(Y132/H132,0)*0.00651),"")</f>
        <v>0.20832000000000001</v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95.875</v>
      </c>
      <c r="BN132" s="64">
        <f>IFERROR(Y132*I132/H132,"0")</f>
        <v>98.175999999999988</v>
      </c>
      <c r="BO132" s="64">
        <f>IFERROR(1/J132*(X132/H132),"0")</f>
        <v>0.17170329670329673</v>
      </c>
      <c r="BP132" s="64">
        <f>IFERROR(1/J132*(Y132/H132),"0")</f>
        <v>0.17582417582417584</v>
      </c>
    </row>
    <row r="133" spans="1:68" x14ac:dyDescent="0.2">
      <c r="A133" s="561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51">
        <f>IFERROR(X131/H131,"0")+IFERROR(X132/H132,"0")</f>
        <v>31.250000000000004</v>
      </c>
      <c r="Y133" s="551">
        <f>IFERROR(Y131/H131,"0")+IFERROR(Y132/H132,"0")</f>
        <v>32</v>
      </c>
      <c r="Z133" s="551">
        <f>IFERROR(IF(Z131="",0,Z131),"0")+IFERROR(IF(Z132="",0,Z132),"0")</f>
        <v>0.20832000000000001</v>
      </c>
      <c r="AA133" s="552"/>
      <c r="AB133" s="552"/>
      <c r="AC133" s="552"/>
    </row>
    <row r="134" spans="1:68" x14ac:dyDescent="0.2">
      <c r="A134" s="562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51">
        <f>IFERROR(SUM(X131:X132),"0")</f>
        <v>87.5</v>
      </c>
      <c r="Y134" s="551">
        <f>IFERROR(SUM(Y131:Y132),"0")</f>
        <v>89.6</v>
      </c>
      <c r="Z134" s="37"/>
      <c r="AA134" s="552"/>
      <c r="AB134" s="552"/>
      <c r="AC134" s="552"/>
    </row>
    <row r="135" spans="1:68" ht="14.25" customHeight="1" x14ac:dyDescent="0.25">
      <c r="A135" s="564" t="s">
        <v>77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543"/>
      <c r="AB135" s="543"/>
      <c r="AC135" s="543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 t="s">
        <v>220</v>
      </c>
      <c r="M137" s="33" t="s">
        <v>94</v>
      </c>
      <c r="N137" s="33"/>
      <c r="O137" s="32">
        <v>60</v>
      </c>
      <c r="P137" s="6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99</v>
      </c>
      <c r="Y137" s="550">
        <f>IFERROR(IF(X137="",0,CEILING((X137/$H137),1)*$H137),"")</f>
        <v>100.32000000000001</v>
      </c>
      <c r="Z137" s="36">
        <f>IFERROR(IF(Y137=0,"",ROUNDUP(Y137/H137,0)*0.00651),"")</f>
        <v>0.24738000000000002</v>
      </c>
      <c r="AA137" s="56"/>
      <c r="AB137" s="57"/>
      <c r="AC137" s="179" t="s">
        <v>230</v>
      </c>
      <c r="AG137" s="64"/>
      <c r="AJ137" s="68" t="s">
        <v>106</v>
      </c>
      <c r="AK137" s="68">
        <v>36.96</v>
      </c>
      <c r="BB137" s="180" t="s">
        <v>1</v>
      </c>
      <c r="BM137" s="64">
        <f>IFERROR(X137*I137/H137,"0")</f>
        <v>109.05</v>
      </c>
      <c r="BN137" s="64">
        <f>IFERROR(Y137*I137/H137,"0")</f>
        <v>110.504</v>
      </c>
      <c r="BO137" s="64">
        <f>IFERROR(1/J137*(X137/H137),"0")</f>
        <v>0.20604395604395606</v>
      </c>
      <c r="BP137" s="64">
        <f>IFERROR(1/J137*(Y137/H137),"0")</f>
        <v>0.2087912087912088</v>
      </c>
    </row>
    <row r="138" spans="1:68" x14ac:dyDescent="0.2">
      <c r="A138" s="561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51">
        <f>IFERROR(X136/H136,"0")+IFERROR(X137/H137,"0")</f>
        <v>37.5</v>
      </c>
      <c r="Y138" s="551">
        <f>IFERROR(Y136/H136,"0")+IFERROR(Y137/H137,"0")</f>
        <v>38</v>
      </c>
      <c r="Z138" s="551">
        <f>IFERROR(IF(Z136="",0,Z136),"0")+IFERROR(IF(Z137="",0,Z137),"0")</f>
        <v>0.24738000000000002</v>
      </c>
      <c r="AA138" s="552"/>
      <c r="AB138" s="552"/>
      <c r="AC138" s="552"/>
    </row>
    <row r="139" spans="1:68" x14ac:dyDescent="0.2">
      <c r="A139" s="562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51">
        <f>IFERROR(SUM(X136:X137),"0")</f>
        <v>99</v>
      </c>
      <c r="Y139" s="551">
        <f>IFERROR(SUM(Y136:Y137),"0")</f>
        <v>100.32000000000001</v>
      </c>
      <c r="Z139" s="37"/>
      <c r="AA139" s="552"/>
      <c r="AB139" s="552"/>
      <c r="AC139" s="552"/>
    </row>
    <row r="140" spans="1:68" ht="16.5" customHeight="1" x14ac:dyDescent="0.25">
      <c r="A140" s="570" t="s">
        <v>97</v>
      </c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2"/>
      <c r="P140" s="562"/>
      <c r="Q140" s="562"/>
      <c r="R140" s="562"/>
      <c r="S140" s="562"/>
      <c r="T140" s="562"/>
      <c r="U140" s="562"/>
      <c r="V140" s="562"/>
      <c r="W140" s="562"/>
      <c r="X140" s="562"/>
      <c r="Y140" s="562"/>
      <c r="Z140" s="562"/>
      <c r="AA140" s="544"/>
      <c r="AB140" s="544"/>
      <c r="AC140" s="544"/>
    </row>
    <row r="141" spans="1:68" ht="14.25" customHeight="1" x14ac:dyDescent="0.25">
      <c r="A141" s="564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3"/>
      <c r="AB141" s="543"/>
      <c r="AC141" s="543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1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customHeight="1" x14ac:dyDescent="0.25">
      <c r="A146" s="564" t="s">
        <v>64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543"/>
      <c r="AB146" s="543"/>
      <c r="AC146" s="543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0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30</v>
      </c>
      <c r="Y148" s="550">
        <f t="shared" si="5"/>
        <v>33.6</v>
      </c>
      <c r="Z148" s="36">
        <f>IFERROR(IF(Y148=0,"",ROUNDUP(Y148/H148,0)*0.00902),"")</f>
        <v>7.2160000000000002E-2</v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31.357142857142854</v>
      </c>
      <c r="BN148" s="64">
        <f t="shared" si="7"/>
        <v>35.119999999999997</v>
      </c>
      <c r="BO148" s="64">
        <f t="shared" si="8"/>
        <v>5.4112554112554112E-2</v>
      </c>
      <c r="BP148" s="64">
        <f t="shared" si="9"/>
        <v>6.0606060606060608E-2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50</v>
      </c>
      <c r="Y150" s="550">
        <f t="shared" si="5"/>
        <v>50.400000000000006</v>
      </c>
      <c r="Z150" s="36">
        <f>IFERROR(IF(Y150=0,"",ROUNDUP(Y150/H150,0)*0.00902),"")</f>
        <v>0.10824</v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52.261904761904752</v>
      </c>
      <c r="BN150" s="64">
        <f t="shared" si="7"/>
        <v>52.68</v>
      </c>
      <c r="BO150" s="64">
        <f t="shared" si="8"/>
        <v>9.0187590187590191E-2</v>
      </c>
      <c r="BP150" s="64">
        <f t="shared" si="9"/>
        <v>9.0909090909090912E-2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60</v>
      </c>
      <c r="Y152" s="550">
        <f t="shared" si="5"/>
        <v>63</v>
      </c>
      <c r="Z152" s="36">
        <f>IFERROR(IF(Y152=0,"",ROUNDUP(Y152/H152,0)*0.00902),"")</f>
        <v>0.1353</v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62.714285714285708</v>
      </c>
      <c r="BN152" s="64">
        <f t="shared" si="7"/>
        <v>65.849999999999994</v>
      </c>
      <c r="BO152" s="64">
        <f t="shared" si="8"/>
        <v>0.10822510822510822</v>
      </c>
      <c r="BP152" s="64">
        <f t="shared" si="9"/>
        <v>0.11363636363636365</v>
      </c>
    </row>
    <row r="153" spans="1:68" x14ac:dyDescent="0.2">
      <c r="A153" s="561"/>
      <c r="B153" s="562"/>
      <c r="C153" s="562"/>
      <c r="D153" s="562"/>
      <c r="E153" s="562"/>
      <c r="F153" s="562"/>
      <c r="G153" s="562"/>
      <c r="H153" s="562"/>
      <c r="I153" s="562"/>
      <c r="J153" s="562"/>
      <c r="K153" s="562"/>
      <c r="L153" s="562"/>
      <c r="M153" s="562"/>
      <c r="N153" s="562"/>
      <c r="O153" s="563"/>
      <c r="P153" s="567" t="s">
        <v>75</v>
      </c>
      <c r="Q153" s="568"/>
      <c r="R153" s="568"/>
      <c r="S153" s="568"/>
      <c r="T153" s="568"/>
      <c r="U153" s="568"/>
      <c r="V153" s="569"/>
      <c r="W153" s="37" t="s">
        <v>76</v>
      </c>
      <c r="X153" s="551">
        <f>IFERROR(X147/H147,"0")+IFERROR(X148/H148,"0")+IFERROR(X149/H149,"0")+IFERROR(X150/H150,"0")+IFERROR(X151/H151,"0")+IFERROR(X152/H152,"0")</f>
        <v>33.333333333333329</v>
      </c>
      <c r="Y153" s="551">
        <f>IFERROR(Y147/H147,"0")+IFERROR(Y148/H148,"0")+IFERROR(Y149/H149,"0")+IFERROR(Y150/H150,"0")+IFERROR(Y151/H151,"0")+IFERROR(Y152/H152,"0")</f>
        <v>35</v>
      </c>
      <c r="Z153" s="551">
        <f>IFERROR(IF(Z147="",0,Z147),"0")+IFERROR(IF(Z148="",0,Z148),"0")+IFERROR(IF(Z149="",0,Z149),"0")+IFERROR(IF(Z150="",0,Z150),"0")+IFERROR(IF(Z151="",0,Z151),"0")+IFERROR(IF(Z152="",0,Z152),"0")</f>
        <v>0.31569999999999998</v>
      </c>
      <c r="AA153" s="552"/>
      <c r="AB153" s="552"/>
      <c r="AC153" s="552"/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7" t="s">
        <v>75</v>
      </c>
      <c r="Q154" s="568"/>
      <c r="R154" s="568"/>
      <c r="S154" s="568"/>
      <c r="T154" s="568"/>
      <c r="U154" s="568"/>
      <c r="V154" s="569"/>
      <c r="W154" s="37" t="s">
        <v>69</v>
      </c>
      <c r="X154" s="551">
        <f>IFERROR(SUM(X147:X152),"0")</f>
        <v>140</v>
      </c>
      <c r="Y154" s="551">
        <f>IFERROR(SUM(Y147:Y152),"0")</f>
        <v>147</v>
      </c>
      <c r="Z154" s="37"/>
      <c r="AA154" s="552"/>
      <c r="AB154" s="552"/>
      <c r="AC154" s="552"/>
    </row>
    <row r="155" spans="1:68" ht="14.25" customHeight="1" x14ac:dyDescent="0.25">
      <c r="A155" s="564" t="s">
        <v>77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543"/>
      <c r="AB155" s="543"/>
      <c r="AC155" s="543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1"/>
      <c r="B157" s="562"/>
      <c r="C157" s="562"/>
      <c r="D157" s="562"/>
      <c r="E157" s="562"/>
      <c r="F157" s="562"/>
      <c r="G157" s="562"/>
      <c r="H157" s="562"/>
      <c r="I157" s="562"/>
      <c r="J157" s="562"/>
      <c r="K157" s="562"/>
      <c r="L157" s="562"/>
      <c r="M157" s="562"/>
      <c r="N157" s="562"/>
      <c r="O157" s="563"/>
      <c r="P157" s="567" t="s">
        <v>75</v>
      </c>
      <c r="Q157" s="568"/>
      <c r="R157" s="568"/>
      <c r="S157" s="568"/>
      <c r="T157" s="568"/>
      <c r="U157" s="568"/>
      <c r="V157" s="569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7" t="s">
        <v>75</v>
      </c>
      <c r="Q158" s="568"/>
      <c r="R158" s="568"/>
      <c r="S158" s="568"/>
      <c r="T158" s="568"/>
      <c r="U158" s="568"/>
      <c r="V158" s="569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customHeight="1" x14ac:dyDescent="0.2">
      <c r="A159" s="668" t="s">
        <v>266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48"/>
      <c r="AB159" s="48"/>
      <c r="AC159" s="48"/>
    </row>
    <row r="160" spans="1:68" ht="16.5" customHeight="1" x14ac:dyDescent="0.25">
      <c r="A160" s="570" t="s">
        <v>267</v>
      </c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2"/>
      <c r="P160" s="562"/>
      <c r="Q160" s="562"/>
      <c r="R160" s="562"/>
      <c r="S160" s="562"/>
      <c r="T160" s="562"/>
      <c r="U160" s="562"/>
      <c r="V160" s="562"/>
      <c r="W160" s="562"/>
      <c r="X160" s="562"/>
      <c r="Y160" s="562"/>
      <c r="Z160" s="562"/>
      <c r="AA160" s="544"/>
      <c r="AB160" s="544"/>
      <c r="AC160" s="544"/>
    </row>
    <row r="161" spans="1:68" ht="14.25" customHeight="1" x14ac:dyDescent="0.25">
      <c r="A161" s="564" t="s">
        <v>135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3"/>
      <c r="AB161" s="543"/>
      <c r="AC161" s="543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1"/>
      <c r="B163" s="562"/>
      <c r="C163" s="562"/>
      <c r="D163" s="562"/>
      <c r="E163" s="562"/>
      <c r="F163" s="562"/>
      <c r="G163" s="562"/>
      <c r="H163" s="562"/>
      <c r="I163" s="562"/>
      <c r="J163" s="562"/>
      <c r="K163" s="562"/>
      <c r="L163" s="562"/>
      <c r="M163" s="562"/>
      <c r="N163" s="562"/>
      <c r="O163" s="563"/>
      <c r="P163" s="567" t="s">
        <v>75</v>
      </c>
      <c r="Q163" s="568"/>
      <c r="R163" s="568"/>
      <c r="S163" s="568"/>
      <c r="T163" s="568"/>
      <c r="U163" s="568"/>
      <c r="V163" s="569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7" t="s">
        <v>75</v>
      </c>
      <c r="Q164" s="568"/>
      <c r="R164" s="568"/>
      <c r="S164" s="568"/>
      <c r="T164" s="568"/>
      <c r="U164" s="568"/>
      <c r="V164" s="569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customHeight="1" x14ac:dyDescent="0.25">
      <c r="A165" s="564" t="s">
        <v>64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543"/>
      <c r="AB165" s="543"/>
      <c r="AC165" s="543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120</v>
      </c>
      <c r="Y166" s="550">
        <f t="shared" ref="Y166:Y179" si="10">IFERROR(IF(X166="",0,CEILING((X166/$H166),1)*$H166),"")</f>
        <v>121.80000000000001</v>
      </c>
      <c r="Z166" s="36">
        <f>IFERROR(IF(Y166=0,"",ROUNDUP(Y166/H166,0)*0.00902),"")</f>
        <v>0.26158000000000003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127.14285714285714</v>
      </c>
      <c r="BN166" s="64">
        <f t="shared" ref="BN166:BN179" si="12">IFERROR(Y166*I166/H166,"0")</f>
        <v>129.05000000000001</v>
      </c>
      <c r="BO166" s="64">
        <f t="shared" ref="BO166:BO179" si="13">IFERROR(1/J166*(X166/H166),"0")</f>
        <v>0.21645021645021645</v>
      </c>
      <c r="BP166" s="64">
        <f t="shared" ref="BP166:BP179" si="14">IFERROR(1/J166*(Y166/H166),"0")</f>
        <v>0.2196969696969697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80</v>
      </c>
      <c r="Y167" s="550">
        <f t="shared" si="10"/>
        <v>84</v>
      </c>
      <c r="Z167" s="36">
        <f>IFERROR(IF(Y167=0,"",ROUNDUP(Y167/H167,0)*0.00902),"")</f>
        <v>0.1804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11"/>
        <v>84.761904761904759</v>
      </c>
      <c r="BN167" s="64">
        <f t="shared" si="12"/>
        <v>89</v>
      </c>
      <c r="BO167" s="64">
        <f t="shared" si="13"/>
        <v>0.14430014430014429</v>
      </c>
      <c r="BP167" s="64">
        <f t="shared" si="14"/>
        <v>0.15151515151515152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6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30</v>
      </c>
      <c r="Y168" s="550">
        <f t="shared" si="10"/>
        <v>33.6</v>
      </c>
      <c r="Z168" s="36">
        <f>IFERROR(IF(Y168=0,"",ROUNDUP(Y168/H168,0)*0.00902),"")</f>
        <v>7.2160000000000002E-2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31.357142857142854</v>
      </c>
      <c r="BN168" s="64">
        <f t="shared" si="12"/>
        <v>35.119999999999997</v>
      </c>
      <c r="BO168" s="64">
        <f t="shared" si="13"/>
        <v>5.4112554112554112E-2</v>
      </c>
      <c r="BP168" s="64">
        <f t="shared" si="14"/>
        <v>6.0606060606060608E-2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4</v>
      </c>
      <c r="Y169" s="550">
        <f t="shared" si="10"/>
        <v>4</v>
      </c>
      <c r="Z169" s="36">
        <f>IFERROR(IF(Y169=0,"",ROUNDUP(Y169/H169,0)*0.00556),"")</f>
        <v>2.7799999999999998E-2</v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4.6500000000000004</v>
      </c>
      <c r="BN169" s="64">
        <f t="shared" si="12"/>
        <v>4.6500000000000004</v>
      </c>
      <c r="BO169" s="64">
        <f t="shared" si="13"/>
        <v>2.3148148148148147E-2</v>
      </c>
      <c r="BP169" s="64">
        <f t="shared" si="14"/>
        <v>2.3148148148148147E-2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6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70</v>
      </c>
      <c r="Y170" s="550">
        <f t="shared" si="10"/>
        <v>71.400000000000006</v>
      </c>
      <c r="Z170" s="36">
        <f>IFERROR(IF(Y170=0,"",ROUNDUP(Y170/H170,0)*0.00502),"")</f>
        <v>0.17068</v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74.333333333333329</v>
      </c>
      <c r="BN170" s="64">
        <f t="shared" si="12"/>
        <v>75.820000000000007</v>
      </c>
      <c r="BO170" s="64">
        <f t="shared" si="13"/>
        <v>0.14245014245014245</v>
      </c>
      <c r="BP170" s="64">
        <f t="shared" si="14"/>
        <v>0.14529914529914531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7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140</v>
      </c>
      <c r="Y172" s="550">
        <f t="shared" si="10"/>
        <v>140.70000000000002</v>
      </c>
      <c r="Z172" s="36">
        <f>IFERROR(IF(Y172=0,"",ROUNDUP(Y172/H172,0)*0.00502),"")</f>
        <v>0.33634000000000003</v>
      </c>
      <c r="AA172" s="56"/>
      <c r="AB172" s="57"/>
      <c r="AC172" s="213" t="s">
        <v>276</v>
      </c>
      <c r="AG172" s="64"/>
      <c r="AJ172" s="68" t="s">
        <v>106</v>
      </c>
      <c r="AK172" s="68">
        <v>37.799999999999997</v>
      </c>
      <c r="BB172" s="214" t="s">
        <v>1</v>
      </c>
      <c r="BM172" s="64">
        <f t="shared" si="11"/>
        <v>148.66666666666666</v>
      </c>
      <c r="BN172" s="64">
        <f t="shared" si="12"/>
        <v>149.41</v>
      </c>
      <c r="BO172" s="64">
        <f t="shared" si="13"/>
        <v>0.28490028490028491</v>
      </c>
      <c r="BP172" s="64">
        <f t="shared" si="14"/>
        <v>0.28632478632478636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8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8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9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157.5</v>
      </c>
      <c r="Y177" s="550">
        <f t="shared" si="10"/>
        <v>157.5</v>
      </c>
      <c r="Z177" s="36">
        <f>IFERROR(IF(Y177=0,"",ROUNDUP(Y177/H177,0)*0.00502),"")</f>
        <v>0.3765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165</v>
      </c>
      <c r="BN177" s="64">
        <f t="shared" si="12"/>
        <v>165</v>
      </c>
      <c r="BO177" s="64">
        <f t="shared" si="13"/>
        <v>0.32051282051282054</v>
      </c>
      <c r="BP177" s="64">
        <f t="shared" si="14"/>
        <v>0.32051282051282054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1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7" t="s">
        <v>75</v>
      </c>
      <c r="Q180" s="568"/>
      <c r="R180" s="568"/>
      <c r="S180" s="568"/>
      <c r="T180" s="568"/>
      <c r="U180" s="568"/>
      <c r="V180" s="569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234.76190476190476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238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1.4254600000000002</v>
      </c>
      <c r="AA180" s="552"/>
      <c r="AB180" s="552"/>
      <c r="AC180" s="552"/>
    </row>
    <row r="181" spans="1:68" x14ac:dyDescent="0.2">
      <c r="A181" s="562"/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3"/>
      <c r="P181" s="567" t="s">
        <v>75</v>
      </c>
      <c r="Q181" s="568"/>
      <c r="R181" s="568"/>
      <c r="S181" s="568"/>
      <c r="T181" s="568"/>
      <c r="U181" s="568"/>
      <c r="V181" s="569"/>
      <c r="W181" s="37" t="s">
        <v>69</v>
      </c>
      <c r="X181" s="551">
        <f>IFERROR(SUM(X166:X179),"0")</f>
        <v>601.5</v>
      </c>
      <c r="Y181" s="551">
        <f>IFERROR(SUM(Y166:Y179),"0")</f>
        <v>613</v>
      </c>
      <c r="Z181" s="37"/>
      <c r="AA181" s="552"/>
      <c r="AB181" s="552"/>
      <c r="AC181" s="552"/>
    </row>
    <row r="182" spans="1:68" ht="14.25" customHeight="1" x14ac:dyDescent="0.25">
      <c r="A182" s="564" t="s">
        <v>91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543"/>
      <c r="AB182" s="543"/>
      <c r="AC182" s="543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7.0000000000000009</v>
      </c>
      <c r="Y185" s="550">
        <f>IFERROR(IF(X185="",0,CEILING((X185/$H185),1)*$H185),"")</f>
        <v>7.5600000000000005</v>
      </c>
      <c r="Z185" s="36">
        <f>IFERROR(IF(Y185=0,"",ROUNDUP(Y185/H185,0)*0.0059),"")</f>
        <v>3.5400000000000001E-2</v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8.0555555555555554</v>
      </c>
      <c r="BN185" s="64">
        <f>IFERROR(Y185*I185/H185,"0")</f>
        <v>8.6999999999999993</v>
      </c>
      <c r="BO185" s="64">
        <f>IFERROR(1/J185*(X185/H185),"0")</f>
        <v>2.5720164609053499E-2</v>
      </c>
      <c r="BP185" s="64">
        <f>IFERROR(1/J185*(Y185/H185),"0")</f>
        <v>2.7777777777777776E-2</v>
      </c>
    </row>
    <row r="186" spans="1:68" x14ac:dyDescent="0.2">
      <c r="A186" s="561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7" t="s">
        <v>75</v>
      </c>
      <c r="Q186" s="568"/>
      <c r="R186" s="568"/>
      <c r="S186" s="568"/>
      <c r="T186" s="568"/>
      <c r="U186" s="568"/>
      <c r="V186" s="569"/>
      <c r="W186" s="37" t="s">
        <v>76</v>
      </c>
      <c r="X186" s="551">
        <f>IFERROR(X183/H183,"0")+IFERROR(X184/H184,"0")+IFERROR(X185/H185,"0")</f>
        <v>5.5555555555555562</v>
      </c>
      <c r="Y186" s="551">
        <f>IFERROR(Y183/H183,"0")+IFERROR(Y184/H184,"0")+IFERROR(Y185/H185,"0")</f>
        <v>6</v>
      </c>
      <c r="Z186" s="551">
        <f>IFERROR(IF(Z183="",0,Z183),"0")+IFERROR(IF(Z184="",0,Z184),"0")+IFERROR(IF(Z185="",0,Z185),"0")</f>
        <v>3.5400000000000001E-2</v>
      </c>
      <c r="AA186" s="552"/>
      <c r="AB186" s="552"/>
      <c r="AC186" s="552"/>
    </row>
    <row r="187" spans="1:68" x14ac:dyDescent="0.2">
      <c r="A187" s="562"/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3"/>
      <c r="P187" s="567" t="s">
        <v>75</v>
      </c>
      <c r="Q187" s="568"/>
      <c r="R187" s="568"/>
      <c r="S187" s="568"/>
      <c r="T187" s="568"/>
      <c r="U187" s="568"/>
      <c r="V187" s="569"/>
      <c r="W187" s="37" t="s">
        <v>69</v>
      </c>
      <c r="X187" s="551">
        <f>IFERROR(SUM(X183:X185),"0")</f>
        <v>7.0000000000000009</v>
      </c>
      <c r="Y187" s="551">
        <f>IFERROR(SUM(Y183:Y185),"0")</f>
        <v>7.5600000000000005</v>
      </c>
      <c r="Z187" s="37"/>
      <c r="AA187" s="552"/>
      <c r="AB187" s="552"/>
      <c r="AC187" s="552"/>
    </row>
    <row r="188" spans="1:68" ht="14.25" customHeight="1" x14ac:dyDescent="0.25">
      <c r="A188" s="564" t="s">
        <v>319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543"/>
      <c r="AB188" s="543"/>
      <c r="AC188" s="543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7.0000000000000009</v>
      </c>
      <c r="Y189" s="550">
        <f>IFERROR(IF(X189="",0,CEILING((X189/$H189),1)*$H189),"")</f>
        <v>7.5600000000000005</v>
      </c>
      <c r="Z189" s="36">
        <f>IFERROR(IF(Y189=0,"",ROUNDUP(Y189/H189,0)*0.0059),"")</f>
        <v>3.5400000000000001E-2</v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8.0555555555555554</v>
      </c>
      <c r="BN189" s="64">
        <f>IFERROR(Y189*I189/H189,"0")</f>
        <v>8.6999999999999993</v>
      </c>
      <c r="BO189" s="64">
        <f>IFERROR(1/J189*(X189/H189),"0")</f>
        <v>2.5720164609053499E-2</v>
      </c>
      <c r="BP189" s="64">
        <f>IFERROR(1/J189*(Y189/H189),"0")</f>
        <v>2.7777777777777776E-2</v>
      </c>
    </row>
    <row r="190" spans="1:68" x14ac:dyDescent="0.2">
      <c r="A190" s="561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7" t="s">
        <v>75</v>
      </c>
      <c r="Q190" s="568"/>
      <c r="R190" s="568"/>
      <c r="S190" s="568"/>
      <c r="T190" s="568"/>
      <c r="U190" s="568"/>
      <c r="V190" s="569"/>
      <c r="W190" s="37" t="s">
        <v>76</v>
      </c>
      <c r="X190" s="551">
        <f>IFERROR(X189/H189,"0")</f>
        <v>5.5555555555555562</v>
      </c>
      <c r="Y190" s="551">
        <f>IFERROR(Y189/H189,"0")</f>
        <v>6</v>
      </c>
      <c r="Z190" s="551">
        <f>IFERROR(IF(Z189="",0,Z189),"0")</f>
        <v>3.5400000000000001E-2</v>
      </c>
      <c r="AA190" s="552"/>
      <c r="AB190" s="552"/>
      <c r="AC190" s="552"/>
    </row>
    <row r="191" spans="1:68" x14ac:dyDescent="0.2">
      <c r="A191" s="562"/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3"/>
      <c r="P191" s="567" t="s">
        <v>75</v>
      </c>
      <c r="Q191" s="568"/>
      <c r="R191" s="568"/>
      <c r="S191" s="568"/>
      <c r="T191" s="568"/>
      <c r="U191" s="568"/>
      <c r="V191" s="569"/>
      <c r="W191" s="37" t="s">
        <v>69</v>
      </c>
      <c r="X191" s="551">
        <f>IFERROR(SUM(X189:X189),"0")</f>
        <v>7.0000000000000009</v>
      </c>
      <c r="Y191" s="551">
        <f>IFERROR(SUM(Y189:Y189),"0")</f>
        <v>7.5600000000000005</v>
      </c>
      <c r="Z191" s="37"/>
      <c r="AA191" s="552"/>
      <c r="AB191" s="552"/>
      <c r="AC191" s="552"/>
    </row>
    <row r="192" spans="1:68" ht="16.5" customHeight="1" x14ac:dyDescent="0.25">
      <c r="A192" s="570" t="s">
        <v>322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4"/>
      <c r="AB192" s="544"/>
      <c r="AC192" s="544"/>
    </row>
    <row r="193" spans="1:68" ht="14.25" customHeight="1" x14ac:dyDescent="0.25">
      <c r="A193" s="564" t="s">
        <v>99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543"/>
      <c r="AB193" s="543"/>
      <c r="AC193" s="543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6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1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7" t="s">
        <v>75</v>
      </c>
      <c r="Q196" s="568"/>
      <c r="R196" s="568"/>
      <c r="S196" s="568"/>
      <c r="T196" s="568"/>
      <c r="U196" s="568"/>
      <c r="V196" s="569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x14ac:dyDescent="0.2">
      <c r="A197" s="562"/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3"/>
      <c r="P197" s="567" t="s">
        <v>75</v>
      </c>
      <c r="Q197" s="568"/>
      <c r="R197" s="568"/>
      <c r="S197" s="568"/>
      <c r="T197" s="568"/>
      <c r="U197" s="568"/>
      <c r="V197" s="569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customHeight="1" x14ac:dyDescent="0.25">
      <c r="A198" s="564" t="s">
        <v>135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543"/>
      <c r="AB198" s="543"/>
      <c r="AC198" s="543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104</v>
      </c>
      <c r="N200" s="33"/>
      <c r="O200" s="32">
        <v>50</v>
      </c>
      <c r="P200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1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7" t="s">
        <v>75</v>
      </c>
      <c r="Q201" s="568"/>
      <c r="R201" s="568"/>
      <c r="S201" s="568"/>
      <c r="T201" s="568"/>
      <c r="U201" s="568"/>
      <c r="V201" s="569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x14ac:dyDescent="0.2">
      <c r="A202" s="562"/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3"/>
      <c r="P202" s="567" t="s">
        <v>75</v>
      </c>
      <c r="Q202" s="568"/>
      <c r="R202" s="568"/>
      <c r="S202" s="568"/>
      <c r="T202" s="568"/>
      <c r="U202" s="568"/>
      <c r="V202" s="569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customHeight="1" x14ac:dyDescent="0.25">
      <c r="A203" s="564" t="s">
        <v>64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543"/>
      <c r="AB203" s="543"/>
      <c r="AC203" s="543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90</v>
      </c>
      <c r="Y204" s="550">
        <f t="shared" ref="Y204:Y211" si="15">IFERROR(IF(X204="",0,CEILING((X204/$H204),1)*$H204),"")</f>
        <v>91.800000000000011</v>
      </c>
      <c r="Z204" s="36">
        <f>IFERROR(IF(Y204=0,"",ROUNDUP(Y204/H204,0)*0.00902),"")</f>
        <v>0.15334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93.166666666666657</v>
      </c>
      <c r="BN204" s="64">
        <f t="shared" ref="BN204:BN211" si="17">IFERROR(Y204*I204/H204,"0")</f>
        <v>95.03</v>
      </c>
      <c r="BO204" s="64">
        <f t="shared" ref="BO204:BO211" si="18">IFERROR(1/J204*(X204/H204),"0")</f>
        <v>0.12626262626262624</v>
      </c>
      <c r="BP204" s="64">
        <f t="shared" ref="BP204:BP211" si="19">IFERROR(1/J204*(Y204/H204),"0")</f>
        <v>0.12878787878787878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60</v>
      </c>
      <c r="Y205" s="550">
        <f t="shared" si="15"/>
        <v>64.800000000000011</v>
      </c>
      <c r="Z205" s="36">
        <f>IFERROR(IF(Y205=0,"",ROUNDUP(Y205/H205,0)*0.00902),"")</f>
        <v>0.10824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62.1111111111111</v>
      </c>
      <c r="BN205" s="64">
        <f t="shared" si="17"/>
        <v>67.08</v>
      </c>
      <c r="BO205" s="64">
        <f t="shared" si="18"/>
        <v>8.4175084175084181E-2</v>
      </c>
      <c r="BP205" s="64">
        <f t="shared" si="19"/>
        <v>9.0909090909090925E-2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350</v>
      </c>
      <c r="Y206" s="550">
        <f t="shared" si="15"/>
        <v>351</v>
      </c>
      <c r="Z206" s="36">
        <f>IFERROR(IF(Y206=0,"",ROUNDUP(Y206/H206,0)*0.00902),"")</f>
        <v>0.58630000000000004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362.31481481481478</v>
      </c>
      <c r="BN206" s="64">
        <f t="shared" si="17"/>
        <v>363.34999999999997</v>
      </c>
      <c r="BO206" s="64">
        <f t="shared" si="18"/>
        <v>0.49102132435465767</v>
      </c>
      <c r="BP206" s="64">
        <f t="shared" si="19"/>
        <v>0.49242424242424243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90</v>
      </c>
      <c r="Y207" s="550">
        <f t="shared" si="15"/>
        <v>91.800000000000011</v>
      </c>
      <c r="Z207" s="36">
        <f>IFERROR(IF(Y207=0,"",ROUNDUP(Y207/H207,0)*0.00902),"")</f>
        <v>0.15334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93.166666666666657</v>
      </c>
      <c r="BN207" s="64">
        <f t="shared" si="17"/>
        <v>95.03</v>
      </c>
      <c r="BO207" s="64">
        <f t="shared" si="18"/>
        <v>0.12626262626262624</v>
      </c>
      <c r="BP207" s="64">
        <f t="shared" si="19"/>
        <v>0.12878787878787878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90</v>
      </c>
      <c r="Y208" s="550">
        <f t="shared" si="15"/>
        <v>90</v>
      </c>
      <c r="Z208" s="36">
        <f>IFERROR(IF(Y208=0,"",ROUNDUP(Y208/H208,0)*0.00502),"")</f>
        <v>0.251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96.499999999999986</v>
      </c>
      <c r="BN208" s="64">
        <f t="shared" si="17"/>
        <v>96.499999999999986</v>
      </c>
      <c r="BO208" s="64">
        <f t="shared" si="18"/>
        <v>0.21367521367521369</v>
      </c>
      <c r="BP208" s="64">
        <f t="shared" si="19"/>
        <v>0.21367521367521369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75</v>
      </c>
      <c r="Y209" s="550">
        <f t="shared" si="15"/>
        <v>75.600000000000009</v>
      </c>
      <c r="Z209" s="36">
        <f>IFERROR(IF(Y209=0,"",ROUNDUP(Y209/H209,0)*0.00502),"")</f>
        <v>0.21084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79.166666666666671</v>
      </c>
      <c r="BN209" s="64">
        <f t="shared" si="17"/>
        <v>79.800000000000011</v>
      </c>
      <c r="BO209" s="64">
        <f t="shared" si="18"/>
        <v>0.17806267806267806</v>
      </c>
      <c r="BP209" s="64">
        <f t="shared" si="19"/>
        <v>0.17948717948717954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285</v>
      </c>
      <c r="M210" s="33" t="s">
        <v>68</v>
      </c>
      <c r="N210" s="33"/>
      <c r="O210" s="32">
        <v>40</v>
      </c>
      <c r="P210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120</v>
      </c>
      <c r="Y210" s="550">
        <f t="shared" si="15"/>
        <v>120.60000000000001</v>
      </c>
      <c r="Z210" s="36">
        <f>IFERROR(IF(Y210=0,"",ROUNDUP(Y210/H210,0)*0.00502),"")</f>
        <v>0.33634000000000003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6"/>
        <v>126.66666666666666</v>
      </c>
      <c r="BN210" s="64">
        <f t="shared" si="17"/>
        <v>127.30000000000001</v>
      </c>
      <c r="BO210" s="64">
        <f t="shared" si="18"/>
        <v>0.28490028490028496</v>
      </c>
      <c r="BP210" s="64">
        <f t="shared" si="19"/>
        <v>0.28632478632478636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90</v>
      </c>
      <c r="Y211" s="550">
        <f t="shared" si="15"/>
        <v>90</v>
      </c>
      <c r="Z211" s="36">
        <f>IFERROR(IF(Y211=0,"",ROUNDUP(Y211/H211,0)*0.00502),"")</f>
        <v>0.251</v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95</v>
      </c>
      <c r="BN211" s="64">
        <f t="shared" si="17"/>
        <v>95</v>
      </c>
      <c r="BO211" s="64">
        <f t="shared" si="18"/>
        <v>0.21367521367521369</v>
      </c>
      <c r="BP211" s="64">
        <f t="shared" si="19"/>
        <v>0.21367521367521369</v>
      </c>
    </row>
    <row r="212" spans="1:68" x14ac:dyDescent="0.2">
      <c r="A212" s="561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7" t="s">
        <v>75</v>
      </c>
      <c r="Q212" s="568"/>
      <c r="R212" s="568"/>
      <c r="S212" s="568"/>
      <c r="T212" s="568"/>
      <c r="U212" s="568"/>
      <c r="V212" s="569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317.59259259259255</v>
      </c>
      <c r="Y212" s="551">
        <f>IFERROR(Y204/H204,"0")+IFERROR(Y205/H205,"0")+IFERROR(Y206/H206,"0")+IFERROR(Y207/H207,"0")+IFERROR(Y208/H208,"0")+IFERROR(Y209/H209,"0")+IFERROR(Y210/H210,"0")+IFERROR(Y211/H211,"0")</f>
        <v>320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2.0503999999999998</v>
      </c>
      <c r="AA212" s="552"/>
      <c r="AB212" s="552"/>
      <c r="AC212" s="552"/>
    </row>
    <row r="213" spans="1:68" x14ac:dyDescent="0.2">
      <c r="A213" s="562"/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3"/>
      <c r="P213" s="567" t="s">
        <v>75</v>
      </c>
      <c r="Q213" s="568"/>
      <c r="R213" s="568"/>
      <c r="S213" s="568"/>
      <c r="T213" s="568"/>
      <c r="U213" s="568"/>
      <c r="V213" s="569"/>
      <c r="W213" s="37" t="s">
        <v>69</v>
      </c>
      <c r="X213" s="551">
        <f>IFERROR(SUM(X204:X211),"0")</f>
        <v>965</v>
      </c>
      <c r="Y213" s="551">
        <f>IFERROR(SUM(Y204:Y211),"0")</f>
        <v>975.60000000000014</v>
      </c>
      <c r="Z213" s="37"/>
      <c r="AA213" s="552"/>
      <c r="AB213" s="552"/>
      <c r="AC213" s="552"/>
    </row>
    <row r="214" spans="1:68" ht="14.25" customHeight="1" x14ac:dyDescent="0.25">
      <c r="A214" s="564" t="s">
        <v>77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543"/>
      <c r="AB214" s="543"/>
      <c r="AC214" s="543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200</v>
      </c>
      <c r="Y217" s="550">
        <f t="shared" si="20"/>
        <v>200.1</v>
      </c>
      <c r="Z217" s="36">
        <f>IFERROR(IF(Y217=0,"",ROUNDUP(Y217/H217,0)*0.01898),"")</f>
        <v>0.43653999999999998</v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211.35632183908049</v>
      </c>
      <c r="BN217" s="64">
        <f t="shared" si="22"/>
        <v>211.46200000000005</v>
      </c>
      <c r="BO217" s="64">
        <f t="shared" si="23"/>
        <v>0.35919540229885061</v>
      </c>
      <c r="BP217" s="64">
        <f t="shared" si="24"/>
        <v>0.359375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220</v>
      </c>
      <c r="M218" s="33" t="s">
        <v>80</v>
      </c>
      <c r="N218" s="33"/>
      <c r="O218" s="32">
        <v>40</v>
      </c>
      <c r="P218" s="8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180</v>
      </c>
      <c r="Y218" s="550">
        <f t="shared" si="20"/>
        <v>180</v>
      </c>
      <c r="Z218" s="36">
        <f t="shared" ref="Z218:Z223" si="25">IFERROR(IF(Y218=0,"",ROUNDUP(Y218/H218,0)*0.00651),"")</f>
        <v>0.48825000000000002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200.25</v>
      </c>
      <c r="BN218" s="64">
        <f t="shared" si="22"/>
        <v>200.25</v>
      </c>
      <c r="BO218" s="64">
        <f t="shared" si="23"/>
        <v>0.41208791208791212</v>
      </c>
      <c r="BP218" s="64">
        <f t="shared" si="24"/>
        <v>0.41208791208791212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220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200</v>
      </c>
      <c r="Y220" s="550">
        <f t="shared" si="20"/>
        <v>201.6</v>
      </c>
      <c r="Z220" s="36">
        <f t="shared" si="25"/>
        <v>0.54683999999999999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221</v>
      </c>
      <c r="BN220" s="64">
        <f t="shared" si="22"/>
        <v>222.768</v>
      </c>
      <c r="BO220" s="64">
        <f t="shared" si="23"/>
        <v>0.45787545787545797</v>
      </c>
      <c r="BP220" s="64">
        <f t="shared" si="24"/>
        <v>0.46153846153846156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/>
      <c r="M221" s="33" t="s">
        <v>80</v>
      </c>
      <c r="N221" s="33"/>
      <c r="O221" s="32">
        <v>45</v>
      </c>
      <c r="P221" s="5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/>
      <c r="AK221" s="68">
        <v>0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220</v>
      </c>
      <c r="M222" s="33" t="s">
        <v>86</v>
      </c>
      <c r="N222" s="33"/>
      <c r="O222" s="32">
        <v>40</v>
      </c>
      <c r="P222" s="7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80</v>
      </c>
      <c r="Y222" s="550">
        <f t="shared" si="20"/>
        <v>81.599999999999994</v>
      </c>
      <c r="Z222" s="36">
        <f t="shared" si="25"/>
        <v>0.22134000000000001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88.40000000000002</v>
      </c>
      <c r="BN222" s="64">
        <f t="shared" si="22"/>
        <v>90.168000000000006</v>
      </c>
      <c r="BO222" s="64">
        <f t="shared" si="23"/>
        <v>0.18315018315018317</v>
      </c>
      <c r="BP222" s="64">
        <f t="shared" si="24"/>
        <v>0.18681318681318682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220</v>
      </c>
      <c r="M223" s="33" t="s">
        <v>80</v>
      </c>
      <c r="N223" s="33"/>
      <c r="O223" s="32">
        <v>40</v>
      </c>
      <c r="P223" s="65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180</v>
      </c>
      <c r="Y223" s="550">
        <f t="shared" si="20"/>
        <v>180</v>
      </c>
      <c r="Z223" s="36">
        <f t="shared" si="25"/>
        <v>0.48825000000000002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199.35</v>
      </c>
      <c r="BN223" s="64">
        <f t="shared" si="22"/>
        <v>199.35</v>
      </c>
      <c r="BO223" s="64">
        <f t="shared" si="23"/>
        <v>0.41208791208791212</v>
      </c>
      <c r="BP223" s="64">
        <f t="shared" si="24"/>
        <v>0.41208791208791212</v>
      </c>
    </row>
    <row r="224" spans="1:68" x14ac:dyDescent="0.2">
      <c r="A224" s="561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7" t="s">
        <v>75</v>
      </c>
      <c r="Q224" s="568"/>
      <c r="R224" s="568"/>
      <c r="S224" s="568"/>
      <c r="T224" s="568"/>
      <c r="U224" s="568"/>
      <c r="V224" s="569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289.65517241379314</v>
      </c>
      <c r="Y224" s="551">
        <f>IFERROR(Y215/H215,"0")+IFERROR(Y216/H216,"0")+IFERROR(Y217/H217,"0")+IFERROR(Y218/H218,"0")+IFERROR(Y219/H219,"0")+IFERROR(Y220/H220,"0")+IFERROR(Y221/H221,"0")+IFERROR(Y222/H222,"0")+IFERROR(Y223/H223,"0")</f>
        <v>291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2.1812200000000002</v>
      </c>
      <c r="AA224" s="552"/>
      <c r="AB224" s="552"/>
      <c r="AC224" s="552"/>
    </row>
    <row r="225" spans="1:68" x14ac:dyDescent="0.2">
      <c r="A225" s="562"/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3"/>
      <c r="P225" s="567" t="s">
        <v>75</v>
      </c>
      <c r="Q225" s="568"/>
      <c r="R225" s="568"/>
      <c r="S225" s="568"/>
      <c r="T225" s="568"/>
      <c r="U225" s="568"/>
      <c r="V225" s="569"/>
      <c r="W225" s="37" t="s">
        <v>69</v>
      </c>
      <c r="X225" s="551">
        <f>IFERROR(SUM(X215:X223),"0")</f>
        <v>840</v>
      </c>
      <c r="Y225" s="551">
        <f>IFERROR(SUM(Y215:Y223),"0")</f>
        <v>843.30000000000007</v>
      </c>
      <c r="Z225" s="37"/>
      <c r="AA225" s="552"/>
      <c r="AB225" s="552"/>
      <c r="AC225" s="552"/>
    </row>
    <row r="226" spans="1:68" ht="14.25" customHeight="1" x14ac:dyDescent="0.25">
      <c r="A226" s="564" t="s">
        <v>160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543"/>
      <c r="AB226" s="543"/>
      <c r="AC226" s="543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 t="s">
        <v>220</v>
      </c>
      <c r="M227" s="33" t="s">
        <v>86</v>
      </c>
      <c r="N227" s="33"/>
      <c r="O227" s="32">
        <v>40</v>
      </c>
      <c r="P227" s="7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24</v>
      </c>
      <c r="Y227" s="550">
        <f>IFERROR(IF(X227="",0,CEILING((X227/$H227),1)*$H227),"")</f>
        <v>24</v>
      </c>
      <c r="Z227" s="36">
        <f>IFERROR(IF(Y227=0,"",ROUNDUP(Y227/H227,0)*0.00651),"")</f>
        <v>6.5100000000000005E-2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26.520000000000003</v>
      </c>
      <c r="BN227" s="64">
        <f>IFERROR(Y227*I227/H227,"0")</f>
        <v>26.520000000000003</v>
      </c>
      <c r="BO227" s="64">
        <f>IFERROR(1/J227*(X227/H227),"0")</f>
        <v>5.4945054945054951E-2</v>
      </c>
      <c r="BP227" s="64">
        <f>IFERROR(1/J227*(Y227/H227),"0")</f>
        <v>5.4945054945054951E-2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220</v>
      </c>
      <c r="M228" s="33" t="s">
        <v>80</v>
      </c>
      <c r="N228" s="33"/>
      <c r="O228" s="32">
        <v>40</v>
      </c>
      <c r="P228" s="85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24</v>
      </c>
      <c r="Y228" s="550">
        <f>IFERROR(IF(X228="",0,CEILING((X228/$H228),1)*$H228),"")</f>
        <v>24</v>
      </c>
      <c r="Z228" s="36">
        <f>IFERROR(IF(Y228=0,"",ROUNDUP(Y228/H228,0)*0.00651),"")</f>
        <v>6.5100000000000005E-2</v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26.520000000000003</v>
      </c>
      <c r="BN228" s="64">
        <f>IFERROR(Y228*I228/H228,"0")</f>
        <v>26.520000000000003</v>
      </c>
      <c r="BO228" s="64">
        <f>IFERROR(1/J228*(X228/H228),"0")</f>
        <v>5.4945054945054951E-2</v>
      </c>
      <c r="BP228" s="64">
        <f>IFERROR(1/J228*(Y228/H228),"0")</f>
        <v>5.4945054945054951E-2</v>
      </c>
    </row>
    <row r="229" spans="1:68" x14ac:dyDescent="0.2">
      <c r="A229" s="561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7" t="s">
        <v>75</v>
      </c>
      <c r="Q229" s="568"/>
      <c r="R229" s="568"/>
      <c r="S229" s="568"/>
      <c r="T229" s="568"/>
      <c r="U229" s="568"/>
      <c r="V229" s="569"/>
      <c r="W229" s="37" t="s">
        <v>76</v>
      </c>
      <c r="X229" s="551">
        <f>IFERROR(X227/H227,"0")+IFERROR(X228/H228,"0")</f>
        <v>20</v>
      </c>
      <c r="Y229" s="551">
        <f>IFERROR(Y227/H227,"0")+IFERROR(Y228/H228,"0")</f>
        <v>20</v>
      </c>
      <c r="Z229" s="551">
        <f>IFERROR(IF(Z227="",0,Z227),"0")+IFERROR(IF(Z228="",0,Z228),"0")</f>
        <v>0.13020000000000001</v>
      </c>
      <c r="AA229" s="552"/>
      <c r="AB229" s="552"/>
      <c r="AC229" s="552"/>
    </row>
    <row r="230" spans="1:68" x14ac:dyDescent="0.2">
      <c r="A230" s="562"/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3"/>
      <c r="P230" s="567" t="s">
        <v>75</v>
      </c>
      <c r="Q230" s="568"/>
      <c r="R230" s="568"/>
      <c r="S230" s="568"/>
      <c r="T230" s="568"/>
      <c r="U230" s="568"/>
      <c r="V230" s="569"/>
      <c r="W230" s="37" t="s">
        <v>69</v>
      </c>
      <c r="X230" s="551">
        <f>IFERROR(SUM(X227:X228),"0")</f>
        <v>48</v>
      </c>
      <c r="Y230" s="551">
        <f>IFERROR(SUM(Y227:Y228),"0")</f>
        <v>48</v>
      </c>
      <c r="Z230" s="37"/>
      <c r="AA230" s="552"/>
      <c r="AB230" s="552"/>
      <c r="AC230" s="552"/>
    </row>
    <row r="231" spans="1:68" ht="16.5" customHeight="1" x14ac:dyDescent="0.25">
      <c r="A231" s="570" t="s">
        <v>382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4"/>
      <c r="AB231" s="544"/>
      <c r="AC231" s="544"/>
    </row>
    <row r="232" spans="1:68" ht="14.25" customHeight="1" x14ac:dyDescent="0.25">
      <c r="A232" s="564" t="s">
        <v>99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543"/>
      <c r="AB232" s="543"/>
      <c r="AC232" s="543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 t="s">
        <v>103</v>
      </c>
      <c r="M235" s="33" t="s">
        <v>104</v>
      </c>
      <c r="N235" s="33"/>
      <c r="O235" s="32">
        <v>55</v>
      </c>
      <c r="P235" s="7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50</v>
      </c>
      <c r="Y235" s="550">
        <f t="shared" si="26"/>
        <v>58</v>
      </c>
      <c r="Z235" s="36">
        <f>IFERROR(IF(Y235=0,"",ROUNDUP(Y235/H235,0)*0.01898),"")</f>
        <v>9.4899999999999998E-2</v>
      </c>
      <c r="AA235" s="56"/>
      <c r="AB235" s="57"/>
      <c r="AC235" s="287" t="s">
        <v>391</v>
      </c>
      <c r="AG235" s="64"/>
      <c r="AJ235" s="68" t="s">
        <v>106</v>
      </c>
      <c r="AK235" s="68">
        <v>92.8</v>
      </c>
      <c r="BB235" s="288" t="s">
        <v>1</v>
      </c>
      <c r="BM235" s="64">
        <f t="shared" si="27"/>
        <v>51.767241379310349</v>
      </c>
      <c r="BN235" s="64">
        <f t="shared" si="28"/>
        <v>60.050000000000004</v>
      </c>
      <c r="BO235" s="64">
        <f t="shared" si="29"/>
        <v>6.7349137931034489E-2</v>
      </c>
      <c r="BP235" s="64">
        <f t="shared" si="30"/>
        <v>7.8125E-2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 t="s">
        <v>110</v>
      </c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12</v>
      </c>
      <c r="Y236" s="550">
        <f t="shared" si="26"/>
        <v>12</v>
      </c>
      <c r="Z236" s="36">
        <f>IFERROR(IF(Y236=0,"",ROUNDUP(Y236/H236,0)*0.00902),"")</f>
        <v>2.7060000000000001E-2</v>
      </c>
      <c r="AA236" s="56"/>
      <c r="AB236" s="57"/>
      <c r="AC236" s="289" t="s">
        <v>385</v>
      </c>
      <c r="AG236" s="64"/>
      <c r="AJ236" s="68" t="s">
        <v>106</v>
      </c>
      <c r="AK236" s="68">
        <v>48</v>
      </c>
      <c r="BB236" s="290" t="s">
        <v>1</v>
      </c>
      <c r="BM236" s="64">
        <f t="shared" si="27"/>
        <v>12.57</v>
      </c>
      <c r="BN236" s="64">
        <f t="shared" si="28"/>
        <v>12.57</v>
      </c>
      <c r="BO236" s="64">
        <f t="shared" si="29"/>
        <v>2.2727272727272728E-2</v>
      </c>
      <c r="BP236" s="64">
        <f t="shared" si="30"/>
        <v>2.2727272727272728E-2</v>
      </c>
    </row>
    <row r="237" spans="1:68" ht="27" customHeight="1" x14ac:dyDescent="0.25">
      <c r="A237" s="54" t="s">
        <v>392</v>
      </c>
      <c r="B237" s="54" t="s">
        <v>394</v>
      </c>
      <c r="C237" s="31">
        <v>4301012196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6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 t="s">
        <v>110</v>
      </c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40</v>
      </c>
      <c r="Y240" s="550">
        <f t="shared" si="26"/>
        <v>40</v>
      </c>
      <c r="Z240" s="36">
        <f>IFERROR(IF(Y240=0,"",ROUNDUP(Y240/H240,0)*0.00902),"")</f>
        <v>9.0200000000000002E-2</v>
      </c>
      <c r="AA240" s="56"/>
      <c r="AB240" s="57"/>
      <c r="AC240" s="297" t="s">
        <v>391</v>
      </c>
      <c r="AG240" s="64"/>
      <c r="AJ240" s="68" t="s">
        <v>106</v>
      </c>
      <c r="AK240" s="68">
        <v>48</v>
      </c>
      <c r="BB240" s="298" t="s">
        <v>1</v>
      </c>
      <c r="BM240" s="64">
        <f t="shared" si="27"/>
        <v>41.900000000000006</v>
      </c>
      <c r="BN240" s="64">
        <f t="shared" si="28"/>
        <v>41.900000000000006</v>
      </c>
      <c r="BO240" s="64">
        <f t="shared" si="29"/>
        <v>7.575757575757576E-2</v>
      </c>
      <c r="BP240" s="64">
        <f t="shared" si="30"/>
        <v>7.575757575757576E-2</v>
      </c>
    </row>
    <row r="241" spans="1:68" ht="27" customHeight="1" x14ac:dyDescent="0.25">
      <c r="A241" s="54" t="s">
        <v>401</v>
      </c>
      <c r="B241" s="54" t="s">
        <v>403</v>
      </c>
      <c r="C241" s="31">
        <v>4301012195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80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1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7" t="s">
        <v>75</v>
      </c>
      <c r="Q242" s="568"/>
      <c r="R242" s="568"/>
      <c r="S242" s="568"/>
      <c r="T242" s="568"/>
      <c r="U242" s="568"/>
      <c r="V242" s="569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17.310344827586206</v>
      </c>
      <c r="Y242" s="551">
        <f>IFERROR(Y233/H233,"0")+IFERROR(Y234/H234,"0")+IFERROR(Y235/H235,"0")+IFERROR(Y236/H236,"0")+IFERROR(Y237/H237,"0")+IFERROR(Y238/H238,"0")+IFERROR(Y239/H239,"0")+IFERROR(Y240/H240,"0")+IFERROR(Y241/H241,"0")</f>
        <v>18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0.21216000000000002</v>
      </c>
      <c r="AA242" s="552"/>
      <c r="AB242" s="552"/>
      <c r="AC242" s="552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67" t="s">
        <v>75</v>
      </c>
      <c r="Q243" s="568"/>
      <c r="R243" s="568"/>
      <c r="S243" s="568"/>
      <c r="T243" s="568"/>
      <c r="U243" s="568"/>
      <c r="V243" s="569"/>
      <c r="W243" s="37" t="s">
        <v>69</v>
      </c>
      <c r="X243" s="551">
        <f>IFERROR(SUM(X233:X241),"0")</f>
        <v>102</v>
      </c>
      <c r="Y243" s="551">
        <f>IFERROR(SUM(Y233:Y241),"0")</f>
        <v>110</v>
      </c>
      <c r="Z243" s="37"/>
      <c r="AA243" s="552"/>
      <c r="AB243" s="552"/>
      <c r="AC243" s="552"/>
    </row>
    <row r="244" spans="1:68" ht="14.25" customHeight="1" x14ac:dyDescent="0.25">
      <c r="A244" s="564" t="s">
        <v>135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543"/>
      <c r="AB244" s="543"/>
      <c r="AC244" s="543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1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7" t="s">
        <v>75</v>
      </c>
      <c r="Q246" s="568"/>
      <c r="R246" s="568"/>
      <c r="S246" s="568"/>
      <c r="T246" s="568"/>
      <c r="U246" s="568"/>
      <c r="V246" s="569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67" t="s">
        <v>75</v>
      </c>
      <c r="Q247" s="568"/>
      <c r="R247" s="568"/>
      <c r="S247" s="568"/>
      <c r="T247" s="568"/>
      <c r="U247" s="568"/>
      <c r="V247" s="569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customHeight="1" x14ac:dyDescent="0.25">
      <c r="A248" s="564" t="s">
        <v>407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543"/>
      <c r="AB248" s="543"/>
      <c r="AC248" s="543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1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7" t="s">
        <v>75</v>
      </c>
      <c r="Q250" s="568"/>
      <c r="R250" s="568"/>
      <c r="S250" s="568"/>
      <c r="T250" s="568"/>
      <c r="U250" s="568"/>
      <c r="V250" s="569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67" t="s">
        <v>75</v>
      </c>
      <c r="Q251" s="568"/>
      <c r="R251" s="568"/>
      <c r="S251" s="568"/>
      <c r="T251" s="568"/>
      <c r="U251" s="568"/>
      <c r="V251" s="569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customHeight="1" x14ac:dyDescent="0.25">
      <c r="A252" s="564" t="s">
        <v>411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543"/>
      <c r="AB252" s="543"/>
      <c r="AC252" s="543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12</v>
      </c>
      <c r="Y254" s="550">
        <f>IFERROR(IF(X254="",0,CEILING((X254/$H254),1)*$H254),"")</f>
        <v>12.6</v>
      </c>
      <c r="Z254" s="36">
        <f>IFERROR(IF(Y254=0,"",ROUNDUP(Y254/H254,0)*0.0059),"")</f>
        <v>4.1299999999999996E-2</v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13.166666666666668</v>
      </c>
      <c r="BN254" s="64">
        <f>IFERROR(Y254*I254/H254,"0")</f>
        <v>13.825000000000001</v>
      </c>
      <c r="BO254" s="64">
        <f>IFERROR(1/J254*(X254/H254),"0")</f>
        <v>3.0864197530864192E-2</v>
      </c>
      <c r="BP254" s="64">
        <f>IFERROR(1/J254*(Y254/H254),"0")</f>
        <v>3.2407407407407406E-2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1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7" t="s">
        <v>75</v>
      </c>
      <c r="Q258" s="568"/>
      <c r="R258" s="568"/>
      <c r="S258" s="568"/>
      <c r="T258" s="568"/>
      <c r="U258" s="568"/>
      <c r="V258" s="569"/>
      <c r="W258" s="37" t="s">
        <v>76</v>
      </c>
      <c r="X258" s="551">
        <f>IFERROR(X253/H253,"0")+IFERROR(X254/H254,"0")+IFERROR(X255/H255,"0")+IFERROR(X256/H256,"0")+IFERROR(X257/H257,"0")</f>
        <v>6.6666666666666661</v>
      </c>
      <c r="Y258" s="551">
        <f>IFERROR(Y253/H253,"0")+IFERROR(Y254/H254,"0")+IFERROR(Y255/H255,"0")+IFERROR(Y256/H256,"0")+IFERROR(Y257/H257,"0")</f>
        <v>7</v>
      </c>
      <c r="Z258" s="551">
        <f>IFERROR(IF(Z253="",0,Z253),"0")+IFERROR(IF(Z254="",0,Z254),"0")+IFERROR(IF(Z255="",0,Z255),"0")+IFERROR(IF(Z256="",0,Z256),"0")+IFERROR(IF(Z257="",0,Z257),"0")</f>
        <v>4.1299999999999996E-2</v>
      </c>
      <c r="AA258" s="552"/>
      <c r="AB258" s="552"/>
      <c r="AC258" s="552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67" t="s">
        <v>75</v>
      </c>
      <c r="Q259" s="568"/>
      <c r="R259" s="568"/>
      <c r="S259" s="568"/>
      <c r="T259" s="568"/>
      <c r="U259" s="568"/>
      <c r="V259" s="569"/>
      <c r="W259" s="37" t="s">
        <v>69</v>
      </c>
      <c r="X259" s="551">
        <f>IFERROR(SUM(X253:X257),"0")</f>
        <v>12</v>
      </c>
      <c r="Y259" s="551">
        <f>IFERROR(SUM(Y253:Y257),"0")</f>
        <v>12.6</v>
      </c>
      <c r="Z259" s="37"/>
      <c r="AA259" s="552"/>
      <c r="AB259" s="552"/>
      <c r="AC259" s="552"/>
    </row>
    <row r="260" spans="1:68" ht="16.5" customHeight="1" x14ac:dyDescent="0.25">
      <c r="A260" s="570" t="s">
        <v>423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4"/>
      <c r="AB260" s="544"/>
      <c r="AC260" s="544"/>
    </row>
    <row r="261" spans="1:68" ht="14.25" customHeight="1" x14ac:dyDescent="0.25">
      <c r="A261" s="564" t="s">
        <v>99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543"/>
      <c r="AB261" s="543"/>
      <c r="AC261" s="543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69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6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1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7" t="s">
        <v>75</v>
      </c>
      <c r="Q267" s="568"/>
      <c r="R267" s="568"/>
      <c r="S267" s="568"/>
      <c r="T267" s="568"/>
      <c r="U267" s="568"/>
      <c r="V267" s="569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67" t="s">
        <v>75</v>
      </c>
      <c r="Q268" s="568"/>
      <c r="R268" s="568"/>
      <c r="S268" s="568"/>
      <c r="T268" s="568"/>
      <c r="U268" s="568"/>
      <c r="V268" s="569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customHeight="1" x14ac:dyDescent="0.25">
      <c r="A269" s="570" t="s">
        <v>439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4"/>
      <c r="AB269" s="544"/>
      <c r="AC269" s="544"/>
    </row>
    <row r="270" spans="1:68" ht="14.25" customHeight="1" x14ac:dyDescent="0.25">
      <c r="A270" s="564" t="s">
        <v>99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543"/>
      <c r="AB270" s="543"/>
      <c r="AC270" s="543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0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7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1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7" t="s">
        <v>75</v>
      </c>
      <c r="Q275" s="568"/>
      <c r="R275" s="568"/>
      <c r="S275" s="568"/>
      <c r="T275" s="568"/>
      <c r="U275" s="568"/>
      <c r="V275" s="569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67" t="s">
        <v>75</v>
      </c>
      <c r="Q276" s="568"/>
      <c r="R276" s="568"/>
      <c r="S276" s="568"/>
      <c r="T276" s="568"/>
      <c r="U276" s="568"/>
      <c r="V276" s="569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customHeight="1" x14ac:dyDescent="0.25">
      <c r="A277" s="570" t="s">
        <v>450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4"/>
      <c r="AB277" s="544"/>
      <c r="AC277" s="544"/>
    </row>
    <row r="278" spans="1:68" ht="14.25" customHeight="1" x14ac:dyDescent="0.25">
      <c r="A278" s="564" t="s">
        <v>77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543"/>
      <c r="AB278" s="543"/>
      <c r="AC278" s="543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220</v>
      </c>
      <c r="M280" s="33" t="s">
        <v>86</v>
      </c>
      <c r="N280" s="33"/>
      <c r="O280" s="32">
        <v>40</v>
      </c>
      <c r="P280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40</v>
      </c>
      <c r="Y280" s="550">
        <f>IFERROR(IF(X280="",0,CEILING((X280/$H280),1)*$H280),"")</f>
        <v>40.799999999999997</v>
      </c>
      <c r="Z280" s="36">
        <f>IFERROR(IF(Y280=0,"",ROUNDUP(Y280/H280,0)*0.00651),"")</f>
        <v>0.11067</v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44.20000000000001</v>
      </c>
      <c r="BN280" s="64">
        <f>IFERROR(Y280*I280/H280,"0")</f>
        <v>45.084000000000003</v>
      </c>
      <c r="BO280" s="64">
        <f>IFERROR(1/J280*(X280/H280),"0")</f>
        <v>9.1575091575091583E-2</v>
      </c>
      <c r="BP280" s="64">
        <f>IFERROR(1/J280*(Y280/H280),"0")</f>
        <v>9.3406593406593408E-2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/>
      <c r="M281" s="33" t="s">
        <v>80</v>
      </c>
      <c r="N281" s="33"/>
      <c r="O281" s="32">
        <v>45</v>
      </c>
      <c r="P281" s="6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200</v>
      </c>
      <c r="Y281" s="550">
        <f>IFERROR(IF(X281="",0,CEILING((X281/$H281),1)*$H281),"")</f>
        <v>201.6</v>
      </c>
      <c r="Z281" s="36">
        <f>IFERROR(IF(Y281=0,"",ROUNDUP(Y281/H281,0)*0.00651),"")</f>
        <v>0.54683999999999999</v>
      </c>
      <c r="AA281" s="56"/>
      <c r="AB281" s="57"/>
      <c r="AC281" s="337" t="s">
        <v>453</v>
      </c>
      <c r="AG281" s="64"/>
      <c r="AJ281" s="68"/>
      <c r="AK281" s="68">
        <v>0</v>
      </c>
      <c r="BB281" s="338" t="s">
        <v>1</v>
      </c>
      <c r="BM281" s="64">
        <f>IFERROR(X281*I281/H281,"0")</f>
        <v>215</v>
      </c>
      <c r="BN281" s="64">
        <f>IFERROR(Y281*I281/H281,"0")</f>
        <v>216.72000000000003</v>
      </c>
      <c r="BO281" s="64">
        <f>IFERROR(1/J281*(X281/H281),"0")</f>
        <v>0.45787545787545797</v>
      </c>
      <c r="BP281" s="64">
        <f>IFERROR(1/J281*(Y281/H281),"0")</f>
        <v>0.46153846153846156</v>
      </c>
    </row>
    <row r="282" spans="1:68" x14ac:dyDescent="0.2">
      <c r="A282" s="561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7" t="s">
        <v>75</v>
      </c>
      <c r="Q282" s="568"/>
      <c r="R282" s="568"/>
      <c r="S282" s="568"/>
      <c r="T282" s="568"/>
      <c r="U282" s="568"/>
      <c r="V282" s="569"/>
      <c r="W282" s="37" t="s">
        <v>76</v>
      </c>
      <c r="X282" s="551">
        <f>IFERROR(X279/H279,"0")+IFERROR(X280/H280,"0")+IFERROR(X281/H281,"0")</f>
        <v>100.00000000000001</v>
      </c>
      <c r="Y282" s="551">
        <f>IFERROR(Y279/H279,"0")+IFERROR(Y280/H280,"0")+IFERROR(Y281/H281,"0")</f>
        <v>101</v>
      </c>
      <c r="Z282" s="551">
        <f>IFERROR(IF(Z279="",0,Z279),"0")+IFERROR(IF(Z280="",0,Z280),"0")+IFERROR(IF(Z281="",0,Z281),"0")</f>
        <v>0.65751000000000004</v>
      </c>
      <c r="AA282" s="552"/>
      <c r="AB282" s="552"/>
      <c r="AC282" s="552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67" t="s">
        <v>75</v>
      </c>
      <c r="Q283" s="568"/>
      <c r="R283" s="568"/>
      <c r="S283" s="568"/>
      <c r="T283" s="568"/>
      <c r="U283" s="568"/>
      <c r="V283" s="569"/>
      <c r="W283" s="37" t="s">
        <v>69</v>
      </c>
      <c r="X283" s="551">
        <f>IFERROR(SUM(X279:X281),"0")</f>
        <v>240</v>
      </c>
      <c r="Y283" s="551">
        <f>IFERROR(SUM(Y279:Y281),"0")</f>
        <v>242.39999999999998</v>
      </c>
      <c r="Z283" s="37"/>
      <c r="AA283" s="552"/>
      <c r="AB283" s="552"/>
      <c r="AC283" s="552"/>
    </row>
    <row r="284" spans="1:68" ht="16.5" customHeight="1" x14ac:dyDescent="0.25">
      <c r="A284" s="570" t="s">
        <v>459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4"/>
      <c r="AB284" s="544"/>
      <c r="AC284" s="544"/>
    </row>
    <row r="285" spans="1:68" ht="14.25" customHeight="1" x14ac:dyDescent="0.25">
      <c r="A285" s="564" t="s">
        <v>64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543"/>
      <c r="AB285" s="543"/>
      <c r="AC285" s="543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1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7" t="s">
        <v>75</v>
      </c>
      <c r="Q288" s="568"/>
      <c r="R288" s="568"/>
      <c r="S288" s="568"/>
      <c r="T288" s="568"/>
      <c r="U288" s="568"/>
      <c r="V288" s="569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67" t="s">
        <v>75</v>
      </c>
      <c r="Q289" s="568"/>
      <c r="R289" s="568"/>
      <c r="S289" s="568"/>
      <c r="T289" s="568"/>
      <c r="U289" s="568"/>
      <c r="V289" s="569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customHeight="1" x14ac:dyDescent="0.25">
      <c r="A290" s="564" t="s">
        <v>77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543"/>
      <c r="AB290" s="543"/>
      <c r="AC290" s="543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1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7" t="s">
        <v>75</v>
      </c>
      <c r="Q293" s="568"/>
      <c r="R293" s="568"/>
      <c r="S293" s="568"/>
      <c r="T293" s="568"/>
      <c r="U293" s="568"/>
      <c r="V293" s="569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67" t="s">
        <v>75</v>
      </c>
      <c r="Q294" s="568"/>
      <c r="R294" s="568"/>
      <c r="S294" s="568"/>
      <c r="T294" s="568"/>
      <c r="U294" s="568"/>
      <c r="V294" s="569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customHeight="1" x14ac:dyDescent="0.25">
      <c r="A295" s="570" t="s">
        <v>472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4"/>
      <c r="AB295" s="544"/>
      <c r="AC295" s="544"/>
    </row>
    <row r="296" spans="1:68" ht="14.25" customHeight="1" x14ac:dyDescent="0.25">
      <c r="A296" s="564" t="s">
        <v>99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543"/>
      <c r="AB296" s="543"/>
      <c r="AC296" s="543"/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8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7" t="s">
        <v>75</v>
      </c>
      <c r="Q302" s="568"/>
      <c r="R302" s="568"/>
      <c r="S302" s="568"/>
      <c r="T302" s="568"/>
      <c r="U302" s="568"/>
      <c r="V302" s="569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7" t="s">
        <v>75</v>
      </c>
      <c r="Q303" s="568"/>
      <c r="R303" s="568"/>
      <c r="S303" s="568"/>
      <c r="T303" s="568"/>
      <c r="U303" s="568"/>
      <c r="V303" s="569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customHeight="1" x14ac:dyDescent="0.25">
      <c r="A304" s="564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3"/>
      <c r="AB304" s="543"/>
      <c r="AC304" s="543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0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40</v>
      </c>
      <c r="P306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7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285</v>
      </c>
      <c r="M308" s="33" t="s">
        <v>68</v>
      </c>
      <c r="N308" s="33"/>
      <c r="O308" s="32">
        <v>40</v>
      </c>
      <c r="P308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175</v>
      </c>
      <c r="Y309" s="550">
        <f t="shared" si="31"/>
        <v>176.4</v>
      </c>
      <c r="Z309" s="36">
        <f>IFERROR(IF(Y309=0,"",ROUNDUP(Y309/H309,0)*0.00502),"")</f>
        <v>0.42168</v>
      </c>
      <c r="AA309" s="56"/>
      <c r="AB309" s="57"/>
      <c r="AC309" s="365" t="s">
        <v>500</v>
      </c>
      <c r="AG309" s="64"/>
      <c r="AJ309" s="68" t="s">
        <v>106</v>
      </c>
      <c r="AK309" s="68">
        <v>37.799999999999997</v>
      </c>
      <c r="BB309" s="366" t="s">
        <v>1</v>
      </c>
      <c r="BM309" s="64">
        <f t="shared" si="32"/>
        <v>183.33333333333334</v>
      </c>
      <c r="BN309" s="64">
        <f t="shared" si="33"/>
        <v>184.8</v>
      </c>
      <c r="BO309" s="64">
        <f t="shared" si="34"/>
        <v>0.35612535612535612</v>
      </c>
      <c r="BP309" s="64">
        <f t="shared" si="35"/>
        <v>0.35897435897435903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220</v>
      </c>
      <c r="M310" s="33" t="s">
        <v>68</v>
      </c>
      <c r="N310" s="33"/>
      <c r="O310" s="32">
        <v>40</v>
      </c>
      <c r="P310" s="7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18</v>
      </c>
      <c r="Y310" s="550">
        <f t="shared" si="31"/>
        <v>18</v>
      </c>
      <c r="Z310" s="36">
        <f>IFERROR(IF(Y310=0,"",ROUNDUP(Y310/H310,0)*0.00651),"")</f>
        <v>6.5100000000000005E-2</v>
      </c>
      <c r="AA310" s="56"/>
      <c r="AB310" s="57"/>
      <c r="AC310" s="367" t="s">
        <v>503</v>
      </c>
      <c r="AG310" s="64"/>
      <c r="AJ310" s="68" t="s">
        <v>106</v>
      </c>
      <c r="AK310" s="68">
        <v>25.2</v>
      </c>
      <c r="BB310" s="368" t="s">
        <v>1</v>
      </c>
      <c r="BM310" s="64">
        <f t="shared" si="32"/>
        <v>20.279999999999998</v>
      </c>
      <c r="BN310" s="64">
        <f t="shared" si="33"/>
        <v>20.279999999999998</v>
      </c>
      <c r="BO310" s="64">
        <f t="shared" si="34"/>
        <v>5.4945054945054951E-2</v>
      </c>
      <c r="BP310" s="64">
        <f t="shared" si="35"/>
        <v>5.4945054945054951E-2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7" t="s">
        <v>75</v>
      </c>
      <c r="Q311" s="568"/>
      <c r="R311" s="568"/>
      <c r="S311" s="568"/>
      <c r="T311" s="568"/>
      <c r="U311" s="568"/>
      <c r="V311" s="569"/>
      <c r="W311" s="37" t="s">
        <v>76</v>
      </c>
      <c r="X311" s="551">
        <f>IFERROR(X305/H305,"0")+IFERROR(X306/H306,"0")+IFERROR(X307/H307,"0")+IFERROR(X308/H308,"0")+IFERROR(X309/H309,"0")+IFERROR(X310/H310,"0")</f>
        <v>93.333333333333329</v>
      </c>
      <c r="Y311" s="551">
        <f>IFERROR(Y305/H305,"0")+IFERROR(Y306/H306,"0")+IFERROR(Y307/H307,"0")+IFERROR(Y308/H308,"0")+IFERROR(Y309/H309,"0")+IFERROR(Y310/H310,"0")</f>
        <v>94</v>
      </c>
      <c r="Z311" s="551">
        <f>IFERROR(IF(Z305="",0,Z305),"0")+IFERROR(IF(Z306="",0,Z306),"0")+IFERROR(IF(Z307="",0,Z307),"0")+IFERROR(IF(Z308="",0,Z308),"0")+IFERROR(IF(Z309="",0,Z309),"0")+IFERROR(IF(Z310="",0,Z310),"0")</f>
        <v>0.48677999999999999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7" t="s">
        <v>75</v>
      </c>
      <c r="Q312" s="568"/>
      <c r="R312" s="568"/>
      <c r="S312" s="568"/>
      <c r="T312" s="568"/>
      <c r="U312" s="568"/>
      <c r="V312" s="569"/>
      <c r="W312" s="37" t="s">
        <v>69</v>
      </c>
      <c r="X312" s="551">
        <f>IFERROR(SUM(X305:X310),"0")</f>
        <v>193</v>
      </c>
      <c r="Y312" s="551">
        <f>IFERROR(SUM(Y305:Y310),"0")</f>
        <v>194.4</v>
      </c>
      <c r="Z312" s="37"/>
      <c r="AA312" s="552"/>
      <c r="AB312" s="552"/>
      <c r="AC312" s="552"/>
    </row>
    <row r="313" spans="1:68" ht="14.25" customHeight="1" x14ac:dyDescent="0.25">
      <c r="A313" s="564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3"/>
      <c r="AB313" s="543"/>
      <c r="AC313" s="543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7" t="s">
        <v>75</v>
      </c>
      <c r="Q318" s="568"/>
      <c r="R318" s="568"/>
      <c r="S318" s="568"/>
      <c r="T318" s="568"/>
      <c r="U318" s="568"/>
      <c r="V318" s="569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7" t="s">
        <v>75</v>
      </c>
      <c r="Q319" s="568"/>
      <c r="R319" s="568"/>
      <c r="S319" s="568"/>
      <c r="T319" s="568"/>
      <c r="U319" s="568"/>
      <c r="V319" s="569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4" t="s">
        <v>160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3"/>
      <c r="AB320" s="543"/>
      <c r="AC320" s="543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40</v>
      </c>
      <c r="Y321" s="550">
        <f>IFERROR(IF(X321="",0,CEILING((X321/$H321),1)*$H321),"")</f>
        <v>42</v>
      </c>
      <c r="Z321" s="36">
        <f>IFERROR(IF(Y321=0,"",ROUNDUP(Y321/H321,0)*0.01898),"")</f>
        <v>9.4899999999999998E-2</v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42.352380952380948</v>
      </c>
      <c r="BN321" s="64">
        <f>IFERROR(Y321*I321/H321,"0")</f>
        <v>44.47</v>
      </c>
      <c r="BO321" s="64">
        <f>IFERROR(1/J321*(X321/H321),"0")</f>
        <v>7.4404761904761904E-2</v>
      </c>
      <c r="BP321" s="64">
        <f>IFERROR(1/J321*(Y321/H321),"0")</f>
        <v>7.8125E-2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450</v>
      </c>
      <c r="Y322" s="550">
        <f>IFERROR(IF(X322="",0,CEILING((X322/$H322),1)*$H322),"")</f>
        <v>452.4</v>
      </c>
      <c r="Z322" s="36">
        <f>IFERROR(IF(Y322=0,"",ROUNDUP(Y322/H322,0)*0.01898),"")</f>
        <v>1.10084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478.50000000000006</v>
      </c>
      <c r="BN322" s="64">
        <f>IFERROR(Y322*I322/H322,"0")</f>
        <v>481.05200000000002</v>
      </c>
      <c r="BO322" s="64">
        <f>IFERROR(1/J322*(X322/H322),"0")</f>
        <v>0.90144230769230771</v>
      </c>
      <c r="BP322" s="64">
        <f>IFERROR(1/J322*(Y322/H322),"0")</f>
        <v>0.90625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80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150</v>
      </c>
      <c r="Y323" s="550">
        <f>IFERROR(IF(X323="",0,CEILING((X323/$H323),1)*$H323),"")</f>
        <v>151.20000000000002</v>
      </c>
      <c r="Z323" s="36">
        <f>IFERROR(IF(Y323=0,"",ROUNDUP(Y323/H323,0)*0.01898),"")</f>
        <v>0.34164</v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158.82142857142856</v>
      </c>
      <c r="BN323" s="64">
        <f>IFERROR(Y323*I323/H323,"0")</f>
        <v>160.09200000000001</v>
      </c>
      <c r="BO323" s="64">
        <f>IFERROR(1/J323*(X323/H323),"0")</f>
        <v>0.27901785714285715</v>
      </c>
      <c r="BP323" s="64">
        <f>IFERROR(1/J323*(Y323/H323),"0")</f>
        <v>0.28125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7" t="s">
        <v>75</v>
      </c>
      <c r="Q324" s="568"/>
      <c r="R324" s="568"/>
      <c r="S324" s="568"/>
      <c r="T324" s="568"/>
      <c r="U324" s="568"/>
      <c r="V324" s="569"/>
      <c r="W324" s="37" t="s">
        <v>76</v>
      </c>
      <c r="X324" s="551">
        <f>IFERROR(X321/H321,"0")+IFERROR(X322/H322,"0")+IFERROR(X323/H323,"0")</f>
        <v>80.311355311355314</v>
      </c>
      <c r="Y324" s="551">
        <f>IFERROR(Y321/H321,"0")+IFERROR(Y322/H322,"0")+IFERROR(Y323/H323,"0")</f>
        <v>81</v>
      </c>
      <c r="Z324" s="551">
        <f>IFERROR(IF(Z321="",0,Z321),"0")+IFERROR(IF(Z322="",0,Z322),"0")+IFERROR(IF(Z323="",0,Z323),"0")</f>
        <v>1.53738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7" t="s">
        <v>75</v>
      </c>
      <c r="Q325" s="568"/>
      <c r="R325" s="568"/>
      <c r="S325" s="568"/>
      <c r="T325" s="568"/>
      <c r="U325" s="568"/>
      <c r="V325" s="569"/>
      <c r="W325" s="37" t="s">
        <v>69</v>
      </c>
      <c r="X325" s="551">
        <f>IFERROR(SUM(X321:X323),"0")</f>
        <v>640</v>
      </c>
      <c r="Y325" s="551">
        <f>IFERROR(SUM(Y321:Y323),"0")</f>
        <v>645.6</v>
      </c>
      <c r="Z325" s="37"/>
      <c r="AA325" s="552"/>
      <c r="AB325" s="552"/>
      <c r="AC325" s="552"/>
    </row>
    <row r="326" spans="1:68" ht="14.25" customHeight="1" x14ac:dyDescent="0.25">
      <c r="A326" s="564" t="s">
        <v>91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3"/>
      <c r="AB326" s="543"/>
      <c r="AC326" s="543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220</v>
      </c>
      <c r="M329" s="33" t="s">
        <v>94</v>
      </c>
      <c r="N329" s="33"/>
      <c r="O329" s="32">
        <v>180</v>
      </c>
      <c r="P329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220</v>
      </c>
      <c r="M330" s="33" t="s">
        <v>94</v>
      </c>
      <c r="N330" s="33"/>
      <c r="O330" s="32">
        <v>180</v>
      </c>
      <c r="P330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119</v>
      </c>
      <c r="Y330" s="550">
        <f>IFERROR(IF(X330="",0,CEILING((X330/$H330),1)*$H330),"")</f>
        <v>119.85</v>
      </c>
      <c r="Z330" s="36">
        <f>IFERROR(IF(Y330=0,"",ROUNDUP(Y330/H330,0)*0.00651),"")</f>
        <v>0.30597000000000002</v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134.4</v>
      </c>
      <c r="BN330" s="64">
        <f>IFERROR(Y330*I330/H330,"0")</f>
        <v>135.35999999999999</v>
      </c>
      <c r="BO330" s="64">
        <f>IFERROR(1/J330*(X330/H330),"0")</f>
        <v>0.25641025641025644</v>
      </c>
      <c r="BP330" s="64">
        <f>IFERROR(1/J330*(Y330/H330),"0")</f>
        <v>0.25824175824175827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7" t="s">
        <v>75</v>
      </c>
      <c r="Q331" s="568"/>
      <c r="R331" s="568"/>
      <c r="S331" s="568"/>
      <c r="T331" s="568"/>
      <c r="U331" s="568"/>
      <c r="V331" s="569"/>
      <c r="W331" s="37" t="s">
        <v>76</v>
      </c>
      <c r="X331" s="551">
        <f>IFERROR(X327/H327,"0")+IFERROR(X328/H328,"0")+IFERROR(X329/H329,"0")+IFERROR(X330/H330,"0")</f>
        <v>46.666666666666671</v>
      </c>
      <c r="Y331" s="551">
        <f>IFERROR(Y327/H327,"0")+IFERROR(Y328/H328,"0")+IFERROR(Y329/H329,"0")+IFERROR(Y330/H330,"0")</f>
        <v>47</v>
      </c>
      <c r="Z331" s="551">
        <f>IFERROR(IF(Z327="",0,Z327),"0")+IFERROR(IF(Z328="",0,Z328),"0")+IFERROR(IF(Z329="",0,Z329),"0")+IFERROR(IF(Z330="",0,Z330),"0")</f>
        <v>0.30597000000000002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7" t="s">
        <v>75</v>
      </c>
      <c r="Q332" s="568"/>
      <c r="R332" s="568"/>
      <c r="S332" s="568"/>
      <c r="T332" s="568"/>
      <c r="U332" s="568"/>
      <c r="V332" s="569"/>
      <c r="W332" s="37" t="s">
        <v>69</v>
      </c>
      <c r="X332" s="551">
        <f>IFERROR(SUM(X327:X330),"0")</f>
        <v>119</v>
      </c>
      <c r="Y332" s="551">
        <f>IFERROR(SUM(Y327:Y330),"0")</f>
        <v>119.85</v>
      </c>
      <c r="Z332" s="37"/>
      <c r="AA332" s="552"/>
      <c r="AB332" s="552"/>
      <c r="AC332" s="552"/>
    </row>
    <row r="333" spans="1:68" ht="14.25" customHeight="1" x14ac:dyDescent="0.25">
      <c r="A333" s="564" t="s">
        <v>534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3"/>
      <c r="AB333" s="543"/>
      <c r="AC333" s="543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 t="s">
        <v>220</v>
      </c>
      <c r="M334" s="33" t="s">
        <v>537</v>
      </c>
      <c r="N334" s="33"/>
      <c r="O334" s="32">
        <v>730</v>
      </c>
      <c r="P334" s="6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 t="s">
        <v>220</v>
      </c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100</v>
      </c>
      <c r="Y336" s="550">
        <f>IFERROR(IF(X336="",0,CEILING((X336/$H336),1)*$H336),"")</f>
        <v>100</v>
      </c>
      <c r="Z336" s="36">
        <f>IFERROR(IF(Y336=0,"",ROUNDUP(Y336/H336,0)*0.00474),"")</f>
        <v>0.23700000000000002</v>
      </c>
      <c r="AA336" s="56"/>
      <c r="AB336" s="57"/>
      <c r="AC336" s="395" t="s">
        <v>538</v>
      </c>
      <c r="AG336" s="64"/>
      <c r="AJ336" s="68" t="s">
        <v>106</v>
      </c>
      <c r="AK336" s="68">
        <v>28</v>
      </c>
      <c r="BB336" s="396" t="s">
        <v>1</v>
      </c>
      <c r="BM336" s="64">
        <f>IFERROR(X336*I336/H336,"0")</f>
        <v>112.00000000000001</v>
      </c>
      <c r="BN336" s="64">
        <f>IFERROR(Y336*I336/H336,"0")</f>
        <v>112.00000000000001</v>
      </c>
      <c r="BO336" s="64">
        <f>IFERROR(1/J336*(X336/H336),"0")</f>
        <v>0.21008403361344538</v>
      </c>
      <c r="BP336" s="64">
        <f>IFERROR(1/J336*(Y336/H336),"0")</f>
        <v>0.21008403361344538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7" t="s">
        <v>75</v>
      </c>
      <c r="Q337" s="568"/>
      <c r="R337" s="568"/>
      <c r="S337" s="568"/>
      <c r="T337" s="568"/>
      <c r="U337" s="568"/>
      <c r="V337" s="569"/>
      <c r="W337" s="37" t="s">
        <v>76</v>
      </c>
      <c r="X337" s="551">
        <f>IFERROR(X334/H334,"0")+IFERROR(X335/H335,"0")+IFERROR(X336/H336,"0")</f>
        <v>50</v>
      </c>
      <c r="Y337" s="551">
        <f>IFERROR(Y334/H334,"0")+IFERROR(Y335/H335,"0")+IFERROR(Y336/H336,"0")</f>
        <v>50</v>
      </c>
      <c r="Z337" s="551">
        <f>IFERROR(IF(Z334="",0,Z334),"0")+IFERROR(IF(Z335="",0,Z335),"0")+IFERROR(IF(Z336="",0,Z336),"0")</f>
        <v>0.23700000000000002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7" t="s">
        <v>75</v>
      </c>
      <c r="Q338" s="568"/>
      <c r="R338" s="568"/>
      <c r="S338" s="568"/>
      <c r="T338" s="568"/>
      <c r="U338" s="568"/>
      <c r="V338" s="569"/>
      <c r="W338" s="37" t="s">
        <v>69</v>
      </c>
      <c r="X338" s="551">
        <f>IFERROR(SUM(X334:X336),"0")</f>
        <v>100</v>
      </c>
      <c r="Y338" s="551">
        <f>IFERROR(SUM(Y334:Y336),"0")</f>
        <v>100</v>
      </c>
      <c r="Z338" s="37"/>
      <c r="AA338" s="552"/>
      <c r="AB338" s="552"/>
      <c r="AC338" s="552"/>
    </row>
    <row r="339" spans="1:68" ht="16.5" customHeight="1" x14ac:dyDescent="0.25">
      <c r="A339" s="570" t="s">
        <v>543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4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3"/>
      <c r="AB340" s="543"/>
      <c r="AC340" s="543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220</v>
      </c>
      <c r="M342" s="33" t="s">
        <v>80</v>
      </c>
      <c r="N342" s="33"/>
      <c r="O342" s="32">
        <v>45</v>
      </c>
      <c r="P342" s="83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489.99999999999989</v>
      </c>
      <c r="Y342" s="550">
        <f>IFERROR(IF(X342="",0,CEILING((X342/$H342),1)*$H342),"")</f>
        <v>491.40000000000003</v>
      </c>
      <c r="Z342" s="36">
        <f>IFERROR(IF(Y342=0,"",ROUNDUP(Y342/H342,0)*0.00651),"")</f>
        <v>1.5233400000000001</v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548.79999999999973</v>
      </c>
      <c r="BN342" s="64">
        <f>IFERROR(Y342*I342/H342,"0")</f>
        <v>550.36799999999994</v>
      </c>
      <c r="BO342" s="64">
        <f>IFERROR(1/J342*(X342/H342),"0")</f>
        <v>1.2820512820512817</v>
      </c>
      <c r="BP342" s="64">
        <f>IFERROR(1/J342*(Y342/H342),"0")</f>
        <v>1.2857142857142858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220</v>
      </c>
      <c r="M343" s="33" t="s">
        <v>86</v>
      </c>
      <c r="N343" s="33"/>
      <c r="O343" s="32">
        <v>40</v>
      </c>
      <c r="P343" s="7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560</v>
      </c>
      <c r="Y343" s="550">
        <f>IFERROR(IF(X343="",0,CEILING((X343/$H343),1)*$H343),"")</f>
        <v>560.70000000000005</v>
      </c>
      <c r="Z343" s="36">
        <f>IFERROR(IF(Y343=0,"",ROUNDUP(Y343/H343,0)*0.00651),"")</f>
        <v>1.73817</v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623.99999999999989</v>
      </c>
      <c r="BN343" s="64">
        <f>IFERROR(Y343*I343/H343,"0")</f>
        <v>624.78</v>
      </c>
      <c r="BO343" s="64">
        <f>IFERROR(1/J343*(X343/H343),"0")</f>
        <v>1.4652014652014651</v>
      </c>
      <c r="BP343" s="64">
        <f>IFERROR(1/J343*(Y343/H343),"0")</f>
        <v>1.4670329670329672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7" t="s">
        <v>75</v>
      </c>
      <c r="Q344" s="568"/>
      <c r="R344" s="568"/>
      <c r="S344" s="568"/>
      <c r="T344" s="568"/>
      <c r="U344" s="568"/>
      <c r="V344" s="569"/>
      <c r="W344" s="37" t="s">
        <v>76</v>
      </c>
      <c r="X344" s="551">
        <f>IFERROR(X341/H341,"0")+IFERROR(X342/H342,"0")+IFERROR(X343/H343,"0")</f>
        <v>499.99999999999989</v>
      </c>
      <c r="Y344" s="551">
        <f>IFERROR(Y341/H341,"0")+IFERROR(Y342/H342,"0")+IFERROR(Y343/H343,"0")</f>
        <v>501</v>
      </c>
      <c r="Z344" s="551">
        <f>IFERROR(IF(Z341="",0,Z341),"0")+IFERROR(IF(Z342="",0,Z342),"0")+IFERROR(IF(Z343="",0,Z343),"0")</f>
        <v>3.2615100000000004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7" t="s">
        <v>75</v>
      </c>
      <c r="Q345" s="568"/>
      <c r="R345" s="568"/>
      <c r="S345" s="568"/>
      <c r="T345" s="568"/>
      <c r="U345" s="568"/>
      <c r="V345" s="569"/>
      <c r="W345" s="37" t="s">
        <v>69</v>
      </c>
      <c r="X345" s="551">
        <f>IFERROR(SUM(X341:X343),"0")</f>
        <v>1050</v>
      </c>
      <c r="Y345" s="551">
        <f>IFERROR(SUM(Y341:Y343),"0")</f>
        <v>1052.1000000000001</v>
      </c>
      <c r="Z345" s="37"/>
      <c r="AA345" s="552"/>
      <c r="AB345" s="552"/>
      <c r="AC345" s="552"/>
    </row>
    <row r="346" spans="1:68" ht="27.75" customHeight="1" x14ac:dyDescent="0.2">
      <c r="A346" s="668" t="s">
        <v>553</v>
      </c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69"/>
      <c r="P346" s="669"/>
      <c r="Q346" s="669"/>
      <c r="R346" s="669"/>
      <c r="S346" s="669"/>
      <c r="T346" s="669"/>
      <c r="U346" s="669"/>
      <c r="V346" s="669"/>
      <c r="W346" s="669"/>
      <c r="X346" s="669"/>
      <c r="Y346" s="669"/>
      <c r="Z346" s="669"/>
      <c r="AA346" s="48"/>
      <c r="AB346" s="48"/>
      <c r="AC346" s="48"/>
    </row>
    <row r="347" spans="1:68" ht="16.5" customHeight="1" x14ac:dyDescent="0.25">
      <c r="A347" s="570" t="s">
        <v>554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4" t="s">
        <v>99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1000</v>
      </c>
      <c r="Y349" s="550">
        <f t="shared" ref="Y349:Y355" si="36">IFERROR(IF(X349="",0,CEILING((X349/$H349),1)*$H349),"")</f>
        <v>1005</v>
      </c>
      <c r="Z349" s="36">
        <f>IFERROR(IF(Y349=0,"",ROUNDUP(Y349/H349,0)*0.02175),"")</f>
        <v>1.4572499999999999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1031.3333333333333</v>
      </c>
      <c r="BN349" s="64">
        <f t="shared" ref="BN349:BN355" si="38">IFERROR(Y349*I349/H349,"0")</f>
        <v>1036.49</v>
      </c>
      <c r="BO349" s="64">
        <f t="shared" ref="BO349:BO355" si="39">IFERROR(1/J349*(X349/H349),"0")</f>
        <v>1.3888888888888888</v>
      </c>
      <c r="BP349" s="64">
        <f t="shared" ref="BP349:BP355" si="40">IFERROR(1/J349*(Y349/H349),"0")</f>
        <v>1.3958333333333333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/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1400</v>
      </c>
      <c r="Y350" s="550">
        <f t="shared" si="36"/>
        <v>1410</v>
      </c>
      <c r="Z350" s="36">
        <f>IFERROR(IF(Y350=0,"",ROUNDUP(Y350/H350,0)*0.02175),"")</f>
        <v>2.0444999999999998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1443.8666666666666</v>
      </c>
      <c r="BN350" s="64">
        <f t="shared" si="38"/>
        <v>1454.18</v>
      </c>
      <c r="BO350" s="64">
        <f t="shared" si="39"/>
        <v>1.9444444444444442</v>
      </c>
      <c r="BP350" s="64">
        <f t="shared" si="40"/>
        <v>1.9583333333333333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6">
        <v>4680115884830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/>
      <c r="M351" s="33" t="s">
        <v>68</v>
      </c>
      <c r="N351" s="33"/>
      <c r="O351" s="32">
        <v>60</v>
      </c>
      <c r="P351" s="6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1000</v>
      </c>
      <c r="Y351" s="550">
        <f t="shared" si="36"/>
        <v>1005</v>
      </c>
      <c r="Z351" s="36">
        <f>IFERROR(IF(Y351=0,"",ROUNDUP(Y351/H351,0)*0.02175),"")</f>
        <v>1.4572499999999999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1031.3333333333333</v>
      </c>
      <c r="BN351" s="64">
        <f t="shared" si="38"/>
        <v>1036.49</v>
      </c>
      <c r="BO351" s="64">
        <f t="shared" si="39"/>
        <v>1.3888888888888888</v>
      </c>
      <c r="BP351" s="64">
        <f t="shared" si="40"/>
        <v>1.3958333333333333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6">
        <v>4680115887046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66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600</v>
      </c>
      <c r="Y352" s="550">
        <f t="shared" si="36"/>
        <v>600</v>
      </c>
      <c r="Z352" s="36">
        <f>IFERROR(IF(Y352=0,"",ROUNDUP(Y352/H352,0)*0.02175),"")</f>
        <v>0.86999999999999988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618.79999999999995</v>
      </c>
      <c r="BN352" s="64">
        <f t="shared" si="38"/>
        <v>618.79999999999995</v>
      </c>
      <c r="BO352" s="64">
        <f t="shared" si="39"/>
        <v>0.83333333333333326</v>
      </c>
      <c r="BP352" s="64">
        <f t="shared" si="40"/>
        <v>0.83333333333333326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5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7" t="s">
        <v>75</v>
      </c>
      <c r="Q356" s="568"/>
      <c r="R356" s="568"/>
      <c r="S356" s="568"/>
      <c r="T356" s="568"/>
      <c r="U356" s="568"/>
      <c r="V356" s="569"/>
      <c r="W356" s="37" t="s">
        <v>76</v>
      </c>
      <c r="X356" s="551">
        <f>IFERROR(X349/H349,"0")+IFERROR(X350/H350,"0")+IFERROR(X351/H351,"0")+IFERROR(X352/H352,"0")+IFERROR(X353/H353,"0")+IFERROR(X354/H354,"0")+IFERROR(X355/H355,"0")</f>
        <v>266.66666666666669</v>
      </c>
      <c r="Y356" s="551">
        <f>IFERROR(Y349/H349,"0")+IFERROR(Y350/H350,"0")+IFERROR(Y351/H351,"0")+IFERROR(Y352/H352,"0")+IFERROR(Y353/H353,"0")+IFERROR(Y354/H354,"0")+IFERROR(Y355/H355,"0")</f>
        <v>268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5.8289999999999997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7" t="s">
        <v>75</v>
      </c>
      <c r="Q357" s="568"/>
      <c r="R357" s="568"/>
      <c r="S357" s="568"/>
      <c r="T357" s="568"/>
      <c r="U357" s="568"/>
      <c r="V357" s="569"/>
      <c r="W357" s="37" t="s">
        <v>69</v>
      </c>
      <c r="X357" s="551">
        <f>IFERROR(SUM(X349:X355),"0")</f>
        <v>4000</v>
      </c>
      <c r="Y357" s="551">
        <f>IFERROR(SUM(Y349:Y355),"0")</f>
        <v>4020</v>
      </c>
      <c r="Z357" s="37"/>
      <c r="AA357" s="552"/>
      <c r="AB357" s="552"/>
      <c r="AC357" s="552"/>
    </row>
    <row r="358" spans="1:68" ht="14.25" customHeight="1" x14ac:dyDescent="0.25">
      <c r="A358" s="564" t="s">
        <v>135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/>
      <c r="M359" s="33" t="s">
        <v>104</v>
      </c>
      <c r="N359" s="33"/>
      <c r="O359" s="32">
        <v>50</v>
      </c>
      <c r="P359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1500</v>
      </c>
      <c r="Y359" s="550">
        <f>IFERROR(IF(X359="",0,CEILING((X359/$H359),1)*$H359),"")</f>
        <v>1500</v>
      </c>
      <c r="Z359" s="36">
        <f>IFERROR(IF(Y359=0,"",ROUNDUP(Y359/H359,0)*0.02175),"")</f>
        <v>2.1749999999999998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1547</v>
      </c>
      <c r="BN359" s="64">
        <f>IFERROR(Y359*I359/H359,"0")</f>
        <v>1547</v>
      </c>
      <c r="BO359" s="64">
        <f>IFERROR(1/J359*(X359/H359),"0")</f>
        <v>2.083333333333333</v>
      </c>
      <c r="BP359" s="64">
        <f>IFERROR(1/J359*(Y359/H359),"0")</f>
        <v>2.083333333333333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8</v>
      </c>
      <c r="Y360" s="550">
        <f>IFERROR(IF(X360="",0,CEILING((X360/$H360),1)*$H360),"")</f>
        <v>8</v>
      </c>
      <c r="Z360" s="36">
        <f>IFERROR(IF(Y360=0,"",ROUNDUP(Y360/H360,0)*0.00902),"")</f>
        <v>1.804E-2</v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8.3800000000000008</v>
      </c>
      <c r="BN360" s="64">
        <f>IFERROR(Y360*I360/H360,"0")</f>
        <v>8.3800000000000008</v>
      </c>
      <c r="BO360" s="64">
        <f>IFERROR(1/J360*(X360/H360),"0")</f>
        <v>1.5151515151515152E-2</v>
      </c>
      <c r="BP360" s="64">
        <f>IFERROR(1/J360*(Y360/H360),"0")</f>
        <v>1.5151515151515152E-2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7" t="s">
        <v>75</v>
      </c>
      <c r="Q361" s="568"/>
      <c r="R361" s="568"/>
      <c r="S361" s="568"/>
      <c r="T361" s="568"/>
      <c r="U361" s="568"/>
      <c r="V361" s="569"/>
      <c r="W361" s="37" t="s">
        <v>76</v>
      </c>
      <c r="X361" s="551">
        <f>IFERROR(X359/H359,"0")+IFERROR(X360/H360,"0")</f>
        <v>102</v>
      </c>
      <c r="Y361" s="551">
        <f>IFERROR(Y359/H359,"0")+IFERROR(Y360/H360,"0")</f>
        <v>102</v>
      </c>
      <c r="Z361" s="551">
        <f>IFERROR(IF(Z359="",0,Z359),"0")+IFERROR(IF(Z360="",0,Z360),"0")</f>
        <v>2.1930399999999999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7" t="s">
        <v>75</v>
      </c>
      <c r="Q362" s="568"/>
      <c r="R362" s="568"/>
      <c r="S362" s="568"/>
      <c r="T362" s="568"/>
      <c r="U362" s="568"/>
      <c r="V362" s="569"/>
      <c r="W362" s="37" t="s">
        <v>69</v>
      </c>
      <c r="X362" s="551">
        <f>IFERROR(SUM(X359:X360),"0")</f>
        <v>1508</v>
      </c>
      <c r="Y362" s="551">
        <f>IFERROR(SUM(Y359:Y360),"0")</f>
        <v>1508</v>
      </c>
      <c r="Z362" s="37"/>
      <c r="AA362" s="552"/>
      <c r="AB362" s="552"/>
      <c r="AC362" s="552"/>
    </row>
    <row r="363" spans="1:68" ht="14.25" customHeight="1" x14ac:dyDescent="0.25">
      <c r="A363" s="564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3"/>
      <c r="AB363" s="543"/>
      <c r="AC363" s="543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 t="s">
        <v>103</v>
      </c>
      <c r="M365" s="33" t="s">
        <v>80</v>
      </c>
      <c r="N365" s="33"/>
      <c r="O365" s="32">
        <v>40</v>
      </c>
      <c r="P365" s="88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20</v>
      </c>
      <c r="Y365" s="550">
        <f>IFERROR(IF(X365="",0,CEILING((X365/$H365),1)*$H365),"")</f>
        <v>27</v>
      </c>
      <c r="Z365" s="36">
        <f>IFERROR(IF(Y365=0,"",ROUNDUP(Y365/H365,0)*0.01898),"")</f>
        <v>5.6940000000000004E-2</v>
      </c>
      <c r="AA365" s="56"/>
      <c r="AB365" s="57"/>
      <c r="AC365" s="423" t="s">
        <v>585</v>
      </c>
      <c r="AG365" s="64"/>
      <c r="AJ365" s="68" t="s">
        <v>106</v>
      </c>
      <c r="AK365" s="68">
        <v>72</v>
      </c>
      <c r="BB365" s="424" t="s">
        <v>1</v>
      </c>
      <c r="BM365" s="64">
        <f>IFERROR(X365*I365/H365,"0")</f>
        <v>21.097777777777779</v>
      </c>
      <c r="BN365" s="64">
        <f>IFERROR(Y365*I365/H365,"0")</f>
        <v>28.481999999999996</v>
      </c>
      <c r="BO365" s="64">
        <f>IFERROR(1/J365*(X365/H365),"0")</f>
        <v>3.4722222222222224E-2</v>
      </c>
      <c r="BP365" s="64">
        <f>IFERROR(1/J365*(Y365/H365),"0")</f>
        <v>4.6875E-2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7" t="s">
        <v>75</v>
      </c>
      <c r="Q366" s="568"/>
      <c r="R366" s="568"/>
      <c r="S366" s="568"/>
      <c r="T366" s="568"/>
      <c r="U366" s="568"/>
      <c r="V366" s="569"/>
      <c r="W366" s="37" t="s">
        <v>76</v>
      </c>
      <c r="X366" s="551">
        <f>IFERROR(X364/H364,"0")+IFERROR(X365/H365,"0")</f>
        <v>2.2222222222222223</v>
      </c>
      <c r="Y366" s="551">
        <f>IFERROR(Y364/H364,"0")+IFERROR(Y365/H365,"0")</f>
        <v>3</v>
      </c>
      <c r="Z366" s="551">
        <f>IFERROR(IF(Z364="",0,Z364),"0")+IFERROR(IF(Z365="",0,Z365),"0")</f>
        <v>5.6940000000000004E-2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7" t="s">
        <v>75</v>
      </c>
      <c r="Q367" s="568"/>
      <c r="R367" s="568"/>
      <c r="S367" s="568"/>
      <c r="T367" s="568"/>
      <c r="U367" s="568"/>
      <c r="V367" s="569"/>
      <c r="W367" s="37" t="s">
        <v>69</v>
      </c>
      <c r="X367" s="551">
        <f>IFERROR(SUM(X364:X365),"0")</f>
        <v>20</v>
      </c>
      <c r="Y367" s="551">
        <f>IFERROR(SUM(Y364:Y365),"0")</f>
        <v>27</v>
      </c>
      <c r="Z367" s="37"/>
      <c r="AA367" s="552"/>
      <c r="AB367" s="552"/>
      <c r="AC367" s="552"/>
    </row>
    <row r="368" spans="1:68" ht="14.25" customHeight="1" x14ac:dyDescent="0.25">
      <c r="A368" s="564" t="s">
        <v>160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3"/>
      <c r="AB368" s="543"/>
      <c r="AC368" s="543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7" t="s">
        <v>75</v>
      </c>
      <c r="Q370" s="568"/>
      <c r="R370" s="568"/>
      <c r="S370" s="568"/>
      <c r="T370" s="568"/>
      <c r="U370" s="568"/>
      <c r="V370" s="569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7" t="s">
        <v>75</v>
      </c>
      <c r="Q371" s="568"/>
      <c r="R371" s="568"/>
      <c r="S371" s="568"/>
      <c r="T371" s="568"/>
      <c r="U371" s="568"/>
      <c r="V371" s="569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customHeight="1" x14ac:dyDescent="0.25">
      <c r="A372" s="570" t="s">
        <v>589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4" t="s">
        <v>99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3"/>
      <c r="AB373" s="543"/>
      <c r="AC373" s="543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40</v>
      </c>
      <c r="Y374" s="550">
        <f>IFERROR(IF(X374="",0,CEILING((X374/$H374),1)*$H374),"")</f>
        <v>48</v>
      </c>
      <c r="Z374" s="36">
        <f>IFERROR(IF(Y374=0,"",ROUNDUP(Y374/H374,0)*0.01898),"")</f>
        <v>7.5920000000000001E-2</v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41.366666666666667</v>
      </c>
      <c r="BN374" s="64">
        <f>IFERROR(Y374*I374/H374,"0")</f>
        <v>49.640000000000008</v>
      </c>
      <c r="BO374" s="64">
        <f>IFERROR(1/J374*(X374/H374),"0")</f>
        <v>5.2083333333333336E-2</v>
      </c>
      <c r="BP374" s="64">
        <f>IFERROR(1/J374*(Y374/H374),"0")</f>
        <v>6.25E-2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4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7" t="s">
        <v>75</v>
      </c>
      <c r="Q376" s="568"/>
      <c r="R376" s="568"/>
      <c r="S376" s="568"/>
      <c r="T376" s="568"/>
      <c r="U376" s="568"/>
      <c r="V376" s="569"/>
      <c r="W376" s="37" t="s">
        <v>76</v>
      </c>
      <c r="X376" s="551">
        <f>IFERROR(X374/H374,"0")+IFERROR(X375/H375,"0")</f>
        <v>3.3333333333333335</v>
      </c>
      <c r="Y376" s="551">
        <f>IFERROR(Y374/H374,"0")+IFERROR(Y375/H375,"0")</f>
        <v>4</v>
      </c>
      <c r="Z376" s="551">
        <f>IFERROR(IF(Z374="",0,Z374),"0")+IFERROR(IF(Z375="",0,Z375),"0")</f>
        <v>7.5920000000000001E-2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7" t="s">
        <v>75</v>
      </c>
      <c r="Q377" s="568"/>
      <c r="R377" s="568"/>
      <c r="S377" s="568"/>
      <c r="T377" s="568"/>
      <c r="U377" s="568"/>
      <c r="V377" s="569"/>
      <c r="W377" s="37" t="s">
        <v>69</v>
      </c>
      <c r="X377" s="551">
        <f>IFERROR(SUM(X374:X375),"0")</f>
        <v>40</v>
      </c>
      <c r="Y377" s="551">
        <f>IFERROR(SUM(Y374:Y375),"0")</f>
        <v>48</v>
      </c>
      <c r="Z377" s="37"/>
      <c r="AA377" s="552"/>
      <c r="AB377" s="552"/>
      <c r="AC377" s="552"/>
    </row>
    <row r="378" spans="1:68" ht="14.25" customHeight="1" x14ac:dyDescent="0.25">
      <c r="A378" s="564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3"/>
      <c r="AB378" s="543"/>
      <c r="AC378" s="543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6">
        <v>4607091384802</v>
      </c>
      <c r="E379" s="557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35</v>
      </c>
      <c r="P379" s="59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56">
        <v>4607091384802</v>
      </c>
      <c r="E380" s="557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3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7" t="s">
        <v>75</v>
      </c>
      <c r="Q381" s="568"/>
      <c r="R381" s="568"/>
      <c r="S381" s="568"/>
      <c r="T381" s="568"/>
      <c r="U381" s="568"/>
      <c r="V381" s="569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7" t="s">
        <v>75</v>
      </c>
      <c r="Q382" s="568"/>
      <c r="R382" s="568"/>
      <c r="S382" s="568"/>
      <c r="T382" s="568"/>
      <c r="U382" s="568"/>
      <c r="V382" s="569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4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3"/>
      <c r="AB383" s="543"/>
      <c r="AC383" s="543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7" t="s">
        <v>75</v>
      </c>
      <c r="Q387" s="568"/>
      <c r="R387" s="568"/>
      <c r="S387" s="568"/>
      <c r="T387" s="568"/>
      <c r="U387" s="568"/>
      <c r="V387" s="569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7" t="s">
        <v>75</v>
      </c>
      <c r="Q388" s="568"/>
      <c r="R388" s="568"/>
      <c r="S388" s="568"/>
      <c r="T388" s="568"/>
      <c r="U388" s="568"/>
      <c r="V388" s="569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customHeight="1" x14ac:dyDescent="0.2">
      <c r="A389" s="668" t="s">
        <v>607</v>
      </c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48"/>
      <c r="AB389" s="48"/>
      <c r="AC389" s="48"/>
    </row>
    <row r="390" spans="1:68" ht="16.5" customHeight="1" x14ac:dyDescent="0.25">
      <c r="A390" s="570" t="s">
        <v>608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4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3"/>
      <c r="AB391" s="543"/>
      <c r="AC391" s="543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 t="s">
        <v>285</v>
      </c>
      <c r="M396" s="33" t="s">
        <v>68</v>
      </c>
      <c r="N396" s="33"/>
      <c r="O396" s="32">
        <v>50</v>
      </c>
      <c r="P396" s="78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38.5</v>
      </c>
      <c r="Y396" s="550">
        <f t="shared" si="41"/>
        <v>39.9</v>
      </c>
      <c r="Z396" s="36">
        <f t="shared" si="46"/>
        <v>9.5380000000000006E-2</v>
      </c>
      <c r="AA396" s="56"/>
      <c r="AB396" s="57"/>
      <c r="AC396" s="449" t="s">
        <v>611</v>
      </c>
      <c r="AG396" s="64"/>
      <c r="AJ396" s="68" t="s">
        <v>106</v>
      </c>
      <c r="AK396" s="68">
        <v>37.799999999999997</v>
      </c>
      <c r="BB396" s="450" t="s">
        <v>1</v>
      </c>
      <c r="BM396" s="64">
        <f t="shared" si="42"/>
        <v>40.883333333333333</v>
      </c>
      <c r="BN396" s="64">
        <f t="shared" si="43"/>
        <v>42.36999999999999</v>
      </c>
      <c r="BO396" s="64">
        <f t="shared" si="44"/>
        <v>7.8347578347578356E-2</v>
      </c>
      <c r="BP396" s="64">
        <f t="shared" si="45"/>
        <v>8.11965811965812E-2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 t="s">
        <v>285</v>
      </c>
      <c r="M397" s="33" t="s">
        <v>68</v>
      </c>
      <c r="N397" s="33"/>
      <c r="O397" s="32">
        <v>50</v>
      </c>
      <c r="P397" s="7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7</v>
      </c>
      <c r="Y397" s="550">
        <f t="shared" si="41"/>
        <v>8.4</v>
      </c>
      <c r="Z397" s="36">
        <f t="shared" si="46"/>
        <v>2.0080000000000001E-2</v>
      </c>
      <c r="AA397" s="56"/>
      <c r="AB397" s="57"/>
      <c r="AC397" s="451" t="s">
        <v>624</v>
      </c>
      <c r="AG397" s="64"/>
      <c r="AJ397" s="68" t="s">
        <v>106</v>
      </c>
      <c r="AK397" s="68">
        <v>37.799999999999997</v>
      </c>
      <c r="BB397" s="452" t="s">
        <v>1</v>
      </c>
      <c r="BM397" s="64">
        <f t="shared" si="42"/>
        <v>7.4333333333333327</v>
      </c>
      <c r="BN397" s="64">
        <f t="shared" si="43"/>
        <v>8.92</v>
      </c>
      <c r="BO397" s="64">
        <f t="shared" si="44"/>
        <v>1.4245014245014245E-2</v>
      </c>
      <c r="BP397" s="64">
        <f t="shared" si="45"/>
        <v>1.7094017094017096E-2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 t="s">
        <v>285</v>
      </c>
      <c r="M399" s="33" t="s">
        <v>68</v>
      </c>
      <c r="N399" s="33"/>
      <c r="O399" s="32">
        <v>50</v>
      </c>
      <c r="P399" s="7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35</v>
      </c>
      <c r="Y399" s="550">
        <f t="shared" si="41"/>
        <v>35.700000000000003</v>
      </c>
      <c r="Z399" s="36">
        <f t="shared" si="46"/>
        <v>8.5339999999999999E-2</v>
      </c>
      <c r="AA399" s="56"/>
      <c r="AB399" s="57"/>
      <c r="AC399" s="455" t="s">
        <v>630</v>
      </c>
      <c r="AG399" s="64"/>
      <c r="AJ399" s="68" t="s">
        <v>106</v>
      </c>
      <c r="AK399" s="68">
        <v>37.799999999999997</v>
      </c>
      <c r="BB399" s="456" t="s">
        <v>1</v>
      </c>
      <c r="BM399" s="64">
        <f t="shared" si="42"/>
        <v>37.166666666666664</v>
      </c>
      <c r="BN399" s="64">
        <f t="shared" si="43"/>
        <v>37.910000000000004</v>
      </c>
      <c r="BO399" s="64">
        <f t="shared" si="44"/>
        <v>7.1225071225071226E-2</v>
      </c>
      <c r="BP399" s="64">
        <f t="shared" si="45"/>
        <v>7.2649572649572655E-2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7" t="s">
        <v>75</v>
      </c>
      <c r="Q401" s="568"/>
      <c r="R401" s="568"/>
      <c r="S401" s="568"/>
      <c r="T401" s="568"/>
      <c r="U401" s="568"/>
      <c r="V401" s="569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38.333333333333329</v>
      </c>
      <c r="Y401" s="551">
        <f>IFERROR(Y392/H392,"0")+IFERROR(Y393/H393,"0")+IFERROR(Y394/H394,"0")+IFERROR(Y395/H395,"0")+IFERROR(Y396/H396,"0")+IFERROR(Y397/H397,"0")+IFERROR(Y398/H398,"0")+IFERROR(Y399/H399,"0")+IFERROR(Y400/H400,"0")</f>
        <v>40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0.20080000000000001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7" t="s">
        <v>75</v>
      </c>
      <c r="Q402" s="568"/>
      <c r="R402" s="568"/>
      <c r="S402" s="568"/>
      <c r="T402" s="568"/>
      <c r="U402" s="568"/>
      <c r="V402" s="569"/>
      <c r="W402" s="37" t="s">
        <v>69</v>
      </c>
      <c r="X402" s="551">
        <f>IFERROR(SUM(X392:X400),"0")</f>
        <v>80.5</v>
      </c>
      <c r="Y402" s="551">
        <f>IFERROR(SUM(Y392:Y400),"0")</f>
        <v>84</v>
      </c>
      <c r="Z402" s="37"/>
      <c r="AA402" s="552"/>
      <c r="AB402" s="552"/>
      <c r="AC402" s="552"/>
    </row>
    <row r="403" spans="1:68" ht="14.25" customHeight="1" x14ac:dyDescent="0.25">
      <c r="A403" s="564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3"/>
      <c r="AB403" s="543"/>
      <c r="AC403" s="543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7" t="s">
        <v>75</v>
      </c>
      <c r="Q406" s="568"/>
      <c r="R406" s="568"/>
      <c r="S406" s="568"/>
      <c r="T406" s="568"/>
      <c r="U406" s="568"/>
      <c r="V406" s="569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7" t="s">
        <v>75</v>
      </c>
      <c r="Q407" s="568"/>
      <c r="R407" s="568"/>
      <c r="S407" s="568"/>
      <c r="T407" s="568"/>
      <c r="U407" s="568"/>
      <c r="V407" s="569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70" t="s">
        <v>639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4" t="s">
        <v>135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3"/>
      <c r="AB409" s="543"/>
      <c r="AC409" s="543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7" t="s">
        <v>75</v>
      </c>
      <c r="Q411" s="568"/>
      <c r="R411" s="568"/>
      <c r="S411" s="568"/>
      <c r="T411" s="568"/>
      <c r="U411" s="568"/>
      <c r="V411" s="569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7" t="s">
        <v>75</v>
      </c>
      <c r="Q412" s="568"/>
      <c r="R412" s="568"/>
      <c r="S412" s="568"/>
      <c r="T412" s="568"/>
      <c r="U412" s="568"/>
      <c r="V412" s="569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4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3"/>
      <c r="AB413" s="543"/>
      <c r="AC413" s="543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7" t="s">
        <v>75</v>
      </c>
      <c r="Q418" s="568"/>
      <c r="R418" s="568"/>
      <c r="S418" s="568"/>
      <c r="T418" s="568"/>
      <c r="U418" s="568"/>
      <c r="V418" s="569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7" t="s">
        <v>75</v>
      </c>
      <c r="Q419" s="568"/>
      <c r="R419" s="568"/>
      <c r="S419" s="568"/>
      <c r="T419" s="568"/>
      <c r="U419" s="568"/>
      <c r="V419" s="569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customHeight="1" x14ac:dyDescent="0.25">
      <c r="A420" s="570" t="s">
        <v>654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4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3"/>
      <c r="AB421" s="543"/>
      <c r="AC421" s="543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 t="s">
        <v>220</v>
      </c>
      <c r="M422" s="33" t="s">
        <v>68</v>
      </c>
      <c r="N422" s="33"/>
      <c r="O422" s="32">
        <v>50</v>
      </c>
      <c r="P422" s="6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40</v>
      </c>
      <c r="Y422" s="550">
        <f>IFERROR(IF(X422="",0,CEILING((X422/$H422),1)*$H422),"")</f>
        <v>40.799999999999997</v>
      </c>
      <c r="Z422" s="36">
        <f>IFERROR(IF(Y422=0,"",ROUNDUP(Y422/H422,0)*0.00651),"")</f>
        <v>0.22134000000000001</v>
      </c>
      <c r="AA422" s="56"/>
      <c r="AB422" s="57"/>
      <c r="AC422" s="473" t="s">
        <v>657</v>
      </c>
      <c r="AG422" s="64"/>
      <c r="AJ422" s="68" t="s">
        <v>106</v>
      </c>
      <c r="AK422" s="68">
        <v>16.8</v>
      </c>
      <c r="BB422" s="474" t="s">
        <v>1</v>
      </c>
      <c r="BM422" s="64">
        <f>IFERROR(X422*I422/H422,"0")</f>
        <v>70</v>
      </c>
      <c r="BN422" s="64">
        <f>IFERROR(Y422*I422/H422,"0")</f>
        <v>71.399999999999991</v>
      </c>
      <c r="BO422" s="64">
        <f>IFERROR(1/J422*(X422/H422),"0")</f>
        <v>0.18315018315018317</v>
      </c>
      <c r="BP422" s="64">
        <f>IFERROR(1/J422*(Y422/H422),"0")</f>
        <v>0.18681318681318682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7" t="s">
        <v>75</v>
      </c>
      <c r="Q423" s="568"/>
      <c r="R423" s="568"/>
      <c r="S423" s="568"/>
      <c r="T423" s="568"/>
      <c r="U423" s="568"/>
      <c r="V423" s="569"/>
      <c r="W423" s="37" t="s">
        <v>76</v>
      </c>
      <c r="X423" s="551">
        <f>IFERROR(X422/H422,"0")</f>
        <v>33.333333333333336</v>
      </c>
      <c r="Y423" s="551">
        <f>IFERROR(Y422/H422,"0")</f>
        <v>34</v>
      </c>
      <c r="Z423" s="551">
        <f>IFERROR(IF(Z422="",0,Z422),"0")</f>
        <v>0.22134000000000001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7" t="s">
        <v>75</v>
      </c>
      <c r="Q424" s="568"/>
      <c r="R424" s="568"/>
      <c r="S424" s="568"/>
      <c r="T424" s="568"/>
      <c r="U424" s="568"/>
      <c r="V424" s="569"/>
      <c r="W424" s="37" t="s">
        <v>69</v>
      </c>
      <c r="X424" s="551">
        <f>IFERROR(SUM(X422:X422),"0")</f>
        <v>40</v>
      </c>
      <c r="Y424" s="551">
        <f>IFERROR(SUM(Y422:Y422),"0")</f>
        <v>40.799999999999997</v>
      </c>
      <c r="Z424" s="37"/>
      <c r="AA424" s="552"/>
      <c r="AB424" s="552"/>
      <c r="AC424" s="552"/>
    </row>
    <row r="425" spans="1:68" ht="27.75" customHeight="1" x14ac:dyDescent="0.2">
      <c r="A425" s="668" t="s">
        <v>658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48"/>
      <c r="AB425" s="48"/>
      <c r="AC425" s="48"/>
    </row>
    <row r="426" spans="1:68" ht="16.5" customHeight="1" x14ac:dyDescent="0.25">
      <c r="A426" s="570" t="s">
        <v>658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4" t="s">
        <v>99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3"/>
      <c r="AB427" s="543"/>
      <c r="AC427" s="543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6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100</v>
      </c>
      <c r="Y428" s="550">
        <f t="shared" ref="Y428:Y439" si="47">IFERROR(IF(X428="",0,CEILING((X428/$H428),1)*$H428),"")</f>
        <v>100.32000000000001</v>
      </c>
      <c r="Z428" s="36">
        <f t="shared" ref="Z428:Z434" si="48">IFERROR(IF(Y428=0,"",ROUNDUP(Y428/H428,0)*0.01196),"")</f>
        <v>0.22724</v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106.62878787878788</v>
      </c>
      <c r="BN428" s="64">
        <f t="shared" ref="BN428:BN439" si="50">IFERROR(Y428*I428/H428,"0")</f>
        <v>106.97</v>
      </c>
      <c r="BO428" s="64">
        <f t="shared" ref="BO428:BO439" si="51">IFERROR(1/J428*(X428/H428),"0")</f>
        <v>0.18210955710955709</v>
      </c>
      <c r="BP428" s="64">
        <f t="shared" ref="BP428:BP439" si="52">IFERROR(1/J428*(Y428/H428),"0")</f>
        <v>0.18269230769230771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/>
      <c r="M431" s="33" t="s">
        <v>104</v>
      </c>
      <c r="N431" s="33"/>
      <c r="O431" s="32">
        <v>60</v>
      </c>
      <c r="P431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300</v>
      </c>
      <c r="Y432" s="550">
        <f t="shared" si="47"/>
        <v>300.96000000000004</v>
      </c>
      <c r="Z432" s="36">
        <f t="shared" si="48"/>
        <v>0.68171999999999999</v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319.88636363636363</v>
      </c>
      <c r="BN432" s="64">
        <f t="shared" si="50"/>
        <v>320.91000000000003</v>
      </c>
      <c r="BO432" s="64">
        <f t="shared" si="51"/>
        <v>0.54632867132867136</v>
      </c>
      <c r="BP432" s="64">
        <f t="shared" si="52"/>
        <v>0.54807692307692313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450</v>
      </c>
      <c r="Y434" s="550">
        <f t="shared" si="47"/>
        <v>454.08000000000004</v>
      </c>
      <c r="Z434" s="36">
        <f t="shared" si="48"/>
        <v>1.0285599999999999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479.82954545454544</v>
      </c>
      <c r="BN434" s="64">
        <f t="shared" si="50"/>
        <v>484.18</v>
      </c>
      <c r="BO434" s="64">
        <f t="shared" si="51"/>
        <v>0.81949300699300698</v>
      </c>
      <c r="BP434" s="64">
        <f t="shared" si="52"/>
        <v>0.82692307692307698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120</v>
      </c>
      <c r="Y436" s="550">
        <f t="shared" si="47"/>
        <v>120</v>
      </c>
      <c r="Z436" s="36">
        <f>IFERROR(IF(Y436=0,"",ROUNDUP(Y436/H436,0)*0.00902),"")</f>
        <v>0.22550000000000001</v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172.75000000000003</v>
      </c>
      <c r="BN436" s="64">
        <f t="shared" si="50"/>
        <v>172.75000000000003</v>
      </c>
      <c r="BO436" s="64">
        <f t="shared" si="51"/>
        <v>0.18939393939393939</v>
      </c>
      <c r="BP436" s="64">
        <f t="shared" si="52"/>
        <v>0.18939393939393939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6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4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60</v>
      </c>
      <c r="Y439" s="550">
        <f t="shared" si="47"/>
        <v>62.4</v>
      </c>
      <c r="Z439" s="36">
        <f>IFERROR(IF(Y439=0,"",ROUNDUP(Y439/H439,0)*0.00902),"")</f>
        <v>0.11726</v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86.375000000000014</v>
      </c>
      <c r="BN439" s="64">
        <f t="shared" si="50"/>
        <v>89.830000000000013</v>
      </c>
      <c r="BO439" s="64">
        <f t="shared" si="51"/>
        <v>9.4696969696969696E-2</v>
      </c>
      <c r="BP439" s="64">
        <f t="shared" si="52"/>
        <v>9.8484848484848481E-2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7" t="s">
        <v>75</v>
      </c>
      <c r="Q440" s="568"/>
      <c r="R440" s="568"/>
      <c r="S440" s="568"/>
      <c r="T440" s="568"/>
      <c r="U440" s="568"/>
      <c r="V440" s="569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198.48484848484847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200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2.2802799999999999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7" t="s">
        <v>75</v>
      </c>
      <c r="Q441" s="568"/>
      <c r="R441" s="568"/>
      <c r="S441" s="568"/>
      <c r="T441" s="568"/>
      <c r="U441" s="568"/>
      <c r="V441" s="569"/>
      <c r="W441" s="37" t="s">
        <v>69</v>
      </c>
      <c r="X441" s="551">
        <f>IFERROR(SUM(X428:X439),"0")</f>
        <v>1030</v>
      </c>
      <c r="Y441" s="551">
        <f>IFERROR(SUM(Y428:Y439),"0")</f>
        <v>1037.7600000000002</v>
      </c>
      <c r="Z441" s="37"/>
      <c r="AA441" s="552"/>
      <c r="AB441" s="552"/>
      <c r="AC441" s="552"/>
    </row>
    <row r="442" spans="1:68" ht="14.25" customHeight="1" x14ac:dyDescent="0.25">
      <c r="A442" s="564" t="s">
        <v>135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300</v>
      </c>
      <c r="Y443" s="550">
        <f>IFERROR(IF(X443="",0,CEILING((X443/$H443),1)*$H443),"")</f>
        <v>300.96000000000004</v>
      </c>
      <c r="Z443" s="36">
        <f>IFERROR(IF(Y443=0,"",ROUNDUP(Y443/H443,0)*0.01196),"")</f>
        <v>0.68171999999999999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319.88636363636363</v>
      </c>
      <c r="BN443" s="64">
        <f>IFERROR(Y443*I443/H443,"0")</f>
        <v>320.91000000000003</v>
      </c>
      <c r="BO443" s="64">
        <f>IFERROR(1/J443*(X443/H443),"0")</f>
        <v>0.54632867132867136</v>
      </c>
      <c r="BP443" s="64">
        <f>IFERROR(1/J443*(Y443/H443),"0")</f>
        <v>0.54807692307692313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/>
      <c r="M445" s="33" t="s">
        <v>104</v>
      </c>
      <c r="N445" s="33"/>
      <c r="O445" s="32">
        <v>70</v>
      </c>
      <c r="P445" s="6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7" t="s">
        <v>75</v>
      </c>
      <c r="Q446" s="568"/>
      <c r="R446" s="568"/>
      <c r="S446" s="568"/>
      <c r="T446" s="568"/>
      <c r="U446" s="568"/>
      <c r="V446" s="569"/>
      <c r="W446" s="37" t="s">
        <v>76</v>
      </c>
      <c r="X446" s="551">
        <f>IFERROR(X443/H443,"0")+IFERROR(X444/H444,"0")+IFERROR(X445/H445,"0")</f>
        <v>56.818181818181813</v>
      </c>
      <c r="Y446" s="551">
        <f>IFERROR(Y443/H443,"0")+IFERROR(Y444/H444,"0")+IFERROR(Y445/H445,"0")</f>
        <v>57.000000000000007</v>
      </c>
      <c r="Z446" s="551">
        <f>IFERROR(IF(Z443="",0,Z443),"0")+IFERROR(IF(Z444="",0,Z444),"0")+IFERROR(IF(Z445="",0,Z445),"0")</f>
        <v>0.68171999999999999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7" t="s">
        <v>75</v>
      </c>
      <c r="Q447" s="568"/>
      <c r="R447" s="568"/>
      <c r="S447" s="568"/>
      <c r="T447" s="568"/>
      <c r="U447" s="568"/>
      <c r="V447" s="569"/>
      <c r="W447" s="37" t="s">
        <v>69</v>
      </c>
      <c r="X447" s="551">
        <f>IFERROR(SUM(X443:X445),"0")</f>
        <v>300</v>
      </c>
      <c r="Y447" s="551">
        <f>IFERROR(SUM(Y443:Y445),"0")</f>
        <v>300.96000000000004</v>
      </c>
      <c r="Z447" s="37"/>
      <c r="AA447" s="552"/>
      <c r="AB447" s="552"/>
      <c r="AC447" s="552"/>
    </row>
    <row r="448" spans="1:68" ht="14.25" customHeight="1" x14ac:dyDescent="0.25">
      <c r="A448" s="564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120</v>
      </c>
      <c r="Y449" s="550">
        <f t="shared" ref="Y449:Y454" si="53">IFERROR(IF(X449="",0,CEILING((X449/$H449),1)*$H449),"")</f>
        <v>121.44000000000001</v>
      </c>
      <c r="Z449" s="36">
        <f>IFERROR(IF(Y449=0,"",ROUNDUP(Y449/H449,0)*0.01196),"")</f>
        <v>0.27507999999999999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127.95454545454545</v>
      </c>
      <c r="BN449" s="64">
        <f t="shared" ref="BN449:BN454" si="55">IFERROR(Y449*I449/H449,"0")</f>
        <v>129.49</v>
      </c>
      <c r="BO449" s="64">
        <f t="shared" ref="BO449:BO454" si="56">IFERROR(1/J449*(X449/H449),"0")</f>
        <v>0.21853146853146854</v>
      </c>
      <c r="BP449" s="64">
        <f t="shared" ref="BP449:BP454" si="57">IFERROR(1/J449*(Y449/H449),"0")</f>
        <v>0.22115384615384617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90</v>
      </c>
      <c r="Y450" s="550">
        <f t="shared" si="53"/>
        <v>95.04</v>
      </c>
      <c r="Z450" s="36">
        <f>IFERROR(IF(Y450=0,"",ROUNDUP(Y450/H450,0)*0.01196),"")</f>
        <v>0.21528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95.965909090909079</v>
      </c>
      <c r="BN450" s="64">
        <f t="shared" si="55"/>
        <v>101.33999999999999</v>
      </c>
      <c r="BO450" s="64">
        <f t="shared" si="56"/>
        <v>0.16389860139860138</v>
      </c>
      <c r="BP450" s="64">
        <f t="shared" si="57"/>
        <v>0.17307692307692307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70</v>
      </c>
      <c r="Y451" s="550">
        <f t="shared" si="53"/>
        <v>73.92</v>
      </c>
      <c r="Z451" s="36">
        <f>IFERROR(IF(Y451=0,"",ROUNDUP(Y451/H451,0)*0.01196),"")</f>
        <v>0.16744000000000001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74.640151515151501</v>
      </c>
      <c r="BN451" s="64">
        <f t="shared" si="55"/>
        <v>78.819999999999993</v>
      </c>
      <c r="BO451" s="64">
        <f t="shared" si="56"/>
        <v>0.12747668997668998</v>
      </c>
      <c r="BP451" s="64">
        <f t="shared" si="57"/>
        <v>0.13461538461538464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 t="s">
        <v>110</v>
      </c>
      <c r="M452" s="33" t="s">
        <v>104</v>
      </c>
      <c r="N452" s="33"/>
      <c r="O452" s="32">
        <v>70</v>
      </c>
      <c r="P452" s="5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54</v>
      </c>
      <c r="Y452" s="550">
        <f t="shared" si="53"/>
        <v>57.599999999999994</v>
      </c>
      <c r="Z452" s="36">
        <f>IFERROR(IF(Y452=0,"",ROUNDUP(Y452/H452,0)*0.00902),"")</f>
        <v>0.10824</v>
      </c>
      <c r="AA452" s="56"/>
      <c r="AB452" s="57"/>
      <c r="AC452" s="511" t="s">
        <v>697</v>
      </c>
      <c r="AG452" s="64"/>
      <c r="AJ452" s="68" t="s">
        <v>106</v>
      </c>
      <c r="AK452" s="68">
        <v>57.6</v>
      </c>
      <c r="BB452" s="512" t="s">
        <v>1</v>
      </c>
      <c r="BM452" s="64">
        <f t="shared" si="54"/>
        <v>77.737499999999997</v>
      </c>
      <c r="BN452" s="64">
        <f t="shared" si="55"/>
        <v>82.92</v>
      </c>
      <c r="BO452" s="64">
        <f t="shared" si="56"/>
        <v>8.5227272727272735E-2</v>
      </c>
      <c r="BP452" s="64">
        <f t="shared" si="57"/>
        <v>9.0909090909090912E-2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 t="s">
        <v>110</v>
      </c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 t="s">
        <v>106</v>
      </c>
      <c r="AK453" s="68">
        <v>57.6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 t="s">
        <v>110</v>
      </c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60</v>
      </c>
      <c r="Y454" s="550">
        <f t="shared" si="53"/>
        <v>62.4</v>
      </c>
      <c r="Z454" s="36">
        <f>IFERROR(IF(Y454=0,"",ROUNDUP(Y454/H454,0)*0.00902),"")</f>
        <v>0.11726</v>
      </c>
      <c r="AA454" s="56"/>
      <c r="AB454" s="57"/>
      <c r="AC454" s="515" t="s">
        <v>703</v>
      </c>
      <c r="AG454" s="64"/>
      <c r="AJ454" s="68" t="s">
        <v>106</v>
      </c>
      <c r="AK454" s="68">
        <v>57.6</v>
      </c>
      <c r="BB454" s="516" t="s">
        <v>1</v>
      </c>
      <c r="BM454" s="64">
        <f t="shared" si="54"/>
        <v>83.375</v>
      </c>
      <c r="BN454" s="64">
        <f t="shared" si="55"/>
        <v>86.71</v>
      </c>
      <c r="BO454" s="64">
        <f t="shared" si="56"/>
        <v>9.4696969696969696E-2</v>
      </c>
      <c r="BP454" s="64">
        <f t="shared" si="57"/>
        <v>9.8484848484848481E-2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7" t="s">
        <v>75</v>
      </c>
      <c r="Q455" s="568"/>
      <c r="R455" s="568"/>
      <c r="S455" s="568"/>
      <c r="T455" s="568"/>
      <c r="U455" s="568"/>
      <c r="V455" s="569"/>
      <c r="W455" s="37" t="s">
        <v>76</v>
      </c>
      <c r="X455" s="551">
        <f>IFERROR(X449/H449,"0")+IFERROR(X450/H450,"0")+IFERROR(X451/H451,"0")+IFERROR(X452/H452,"0")+IFERROR(X453/H453,"0")+IFERROR(X454/H454,"0")</f>
        <v>76.780303030303031</v>
      </c>
      <c r="Y455" s="551">
        <f>IFERROR(Y449/H449,"0")+IFERROR(Y450/H450,"0")+IFERROR(Y451/H451,"0")+IFERROR(Y452/H452,"0")+IFERROR(Y453/H453,"0")+IFERROR(Y454/H454,"0")</f>
        <v>80</v>
      </c>
      <c r="Z455" s="551">
        <f>IFERROR(IF(Z449="",0,Z449),"0")+IFERROR(IF(Z450="",0,Z450),"0")+IFERROR(IF(Z451="",0,Z451),"0")+IFERROR(IF(Z452="",0,Z452),"0")+IFERROR(IF(Z453="",0,Z453),"0")+IFERROR(IF(Z454="",0,Z454),"0")</f>
        <v>0.88330000000000009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7" t="s">
        <v>75</v>
      </c>
      <c r="Q456" s="568"/>
      <c r="R456" s="568"/>
      <c r="S456" s="568"/>
      <c r="T456" s="568"/>
      <c r="U456" s="568"/>
      <c r="V456" s="569"/>
      <c r="W456" s="37" t="s">
        <v>69</v>
      </c>
      <c r="X456" s="551">
        <f>IFERROR(SUM(X449:X454),"0")</f>
        <v>394</v>
      </c>
      <c r="Y456" s="551">
        <f>IFERROR(SUM(Y449:Y454),"0")</f>
        <v>410.4</v>
      </c>
      <c r="Z456" s="37"/>
      <c r="AA456" s="552"/>
      <c r="AB456" s="552"/>
      <c r="AC456" s="552"/>
    </row>
    <row r="457" spans="1:68" ht="14.25" customHeight="1" x14ac:dyDescent="0.25">
      <c r="A457" s="564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3"/>
      <c r="AB457" s="543"/>
      <c r="AC457" s="543"/>
    </row>
    <row r="458" spans="1:68" ht="27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7" t="s">
        <v>75</v>
      </c>
      <c r="Q459" s="568"/>
      <c r="R459" s="568"/>
      <c r="S459" s="568"/>
      <c r="T459" s="568"/>
      <c r="U459" s="568"/>
      <c r="V459" s="569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7" t="s">
        <v>75</v>
      </c>
      <c r="Q460" s="568"/>
      <c r="R460" s="568"/>
      <c r="S460" s="568"/>
      <c r="T460" s="568"/>
      <c r="U460" s="568"/>
      <c r="V460" s="569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668" t="s">
        <v>713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48"/>
      <c r="AB461" s="48"/>
      <c r="AC461" s="48"/>
    </row>
    <row r="462" spans="1:68" ht="16.5" customHeight="1" x14ac:dyDescent="0.25">
      <c r="A462" s="570" t="s">
        <v>713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4" t="s">
        <v>99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3"/>
      <c r="AB463" s="543"/>
      <c r="AC463" s="543"/>
    </row>
    <row r="464" spans="1:68" ht="27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1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64" t="s">
        <v>135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3"/>
      <c r="AB470" s="543"/>
      <c r="AC470" s="543"/>
    </row>
    <row r="471" spans="1:68" ht="27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6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7" t="s">
        <v>75</v>
      </c>
      <c r="Q473" s="568"/>
      <c r="R473" s="568"/>
      <c r="S473" s="568"/>
      <c r="T473" s="568"/>
      <c r="U473" s="568"/>
      <c r="V473" s="569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7" t="s">
        <v>75</v>
      </c>
      <c r="Q474" s="568"/>
      <c r="R474" s="568"/>
      <c r="S474" s="568"/>
      <c r="T474" s="568"/>
      <c r="U474" s="568"/>
      <c r="V474" s="569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4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3"/>
      <c r="AB475" s="543"/>
      <c r="AC475" s="543"/>
    </row>
    <row r="476" spans="1:68" ht="27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7" t="s">
        <v>75</v>
      </c>
      <c r="Q477" s="568"/>
      <c r="R477" s="568"/>
      <c r="S477" s="568"/>
      <c r="T477" s="568"/>
      <c r="U477" s="568"/>
      <c r="V477" s="569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7" t="s">
        <v>75</v>
      </c>
      <c r="Q478" s="568"/>
      <c r="R478" s="568"/>
      <c r="S478" s="568"/>
      <c r="T478" s="568"/>
      <c r="U478" s="568"/>
      <c r="V478" s="569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4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3"/>
      <c r="AB479" s="543"/>
      <c r="AC479" s="543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1200</v>
      </c>
      <c r="Y480" s="550">
        <f>IFERROR(IF(X480="",0,CEILING((X480/$H480),1)*$H480),"")</f>
        <v>1206</v>
      </c>
      <c r="Z480" s="36">
        <f>IFERROR(IF(Y480=0,"",ROUNDUP(Y480/H480,0)*0.01898),"")</f>
        <v>2.54332</v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1265.8666666666666</v>
      </c>
      <c r="BN480" s="64">
        <f>IFERROR(Y480*I480/H480,"0")</f>
        <v>1272.1959999999999</v>
      </c>
      <c r="BO480" s="64">
        <f>IFERROR(1/J480*(X480/H480),"0")</f>
        <v>2.0833333333333335</v>
      </c>
      <c r="BP480" s="64">
        <f>IFERROR(1/J480*(Y480/H480),"0")</f>
        <v>2.09375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51">
        <f>IFERROR(X480/H480,"0")</f>
        <v>133.33333333333334</v>
      </c>
      <c r="Y481" s="551">
        <f>IFERROR(Y480/H480,"0")</f>
        <v>134</v>
      </c>
      <c r="Z481" s="551">
        <f>IFERROR(IF(Z480="",0,Z480),"0")</f>
        <v>2.54332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51">
        <f>IFERROR(SUM(X480:X480),"0")</f>
        <v>1200</v>
      </c>
      <c r="Y482" s="551">
        <f>IFERROR(SUM(Y480:Y480),"0")</f>
        <v>1206</v>
      </c>
      <c r="Z482" s="37"/>
      <c r="AA482" s="552"/>
      <c r="AB482" s="552"/>
      <c r="AC482" s="552"/>
    </row>
    <row r="483" spans="1:68" ht="14.25" customHeight="1" x14ac:dyDescent="0.25">
      <c r="A483" s="564" t="s">
        <v>160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3"/>
      <c r="AB483" s="543"/>
      <c r="AC483" s="543"/>
    </row>
    <row r="484" spans="1:68" ht="27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70" t="s">
        <v>743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4" t="s">
        <v>135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3"/>
      <c r="AB489" s="543"/>
      <c r="AC489" s="543"/>
    </row>
    <row r="490" spans="1:68" ht="27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80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7" t="s">
        <v>75</v>
      </c>
      <c r="Q491" s="568"/>
      <c r="R491" s="568"/>
      <c r="S491" s="568"/>
      <c r="T491" s="568"/>
      <c r="U491" s="568"/>
      <c r="V491" s="569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7" t="s">
        <v>75</v>
      </c>
      <c r="Q492" s="568"/>
      <c r="R492" s="568"/>
      <c r="S492" s="568"/>
      <c r="T492" s="568"/>
      <c r="U492" s="568"/>
      <c r="V492" s="569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4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19"/>
      <c r="P493" s="713" t="s">
        <v>747</v>
      </c>
      <c r="Q493" s="675"/>
      <c r="R493" s="675"/>
      <c r="S493" s="675"/>
      <c r="T493" s="675"/>
      <c r="U493" s="675"/>
      <c r="V493" s="676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17529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17696.570000000003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19"/>
      <c r="P494" s="713" t="s">
        <v>748</v>
      </c>
      <c r="Q494" s="675"/>
      <c r="R494" s="675"/>
      <c r="S494" s="675"/>
      <c r="T494" s="675"/>
      <c r="U494" s="675"/>
      <c r="V494" s="676"/>
      <c r="W494" s="37" t="s">
        <v>69</v>
      </c>
      <c r="X494" s="551">
        <f>IFERROR(SUM(BM22:BM490),"0")</f>
        <v>18665.057765158424</v>
      </c>
      <c r="Y494" s="551">
        <f>IFERROR(SUM(BN22:BN490),"0")</f>
        <v>18845.120999999999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19"/>
      <c r="P495" s="713" t="s">
        <v>749</v>
      </c>
      <c r="Q495" s="675"/>
      <c r="R495" s="675"/>
      <c r="S495" s="675"/>
      <c r="T495" s="675"/>
      <c r="U495" s="675"/>
      <c r="V495" s="676"/>
      <c r="W495" s="37" t="s">
        <v>750</v>
      </c>
      <c r="X495" s="38">
        <f>ROUNDUP(SUM(BO22:BO490),0)</f>
        <v>32</v>
      </c>
      <c r="Y495" s="38">
        <f>ROUNDUP(SUM(BP22:BP490),0)</f>
        <v>32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19"/>
      <c r="P496" s="713" t="s">
        <v>751</v>
      </c>
      <c r="Q496" s="675"/>
      <c r="R496" s="675"/>
      <c r="S496" s="675"/>
      <c r="T496" s="675"/>
      <c r="U496" s="675"/>
      <c r="V496" s="676"/>
      <c r="W496" s="37" t="s">
        <v>69</v>
      </c>
      <c r="X496" s="551">
        <f>GrossWeightTotal+PalletQtyTotal*25</f>
        <v>19465.057765158424</v>
      </c>
      <c r="Y496" s="551">
        <f>GrossWeightTotalR+PalletQtyTotalR*25</f>
        <v>19645.120999999999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19"/>
      <c r="P497" s="713" t="s">
        <v>752</v>
      </c>
      <c r="Q497" s="675"/>
      <c r="R497" s="675"/>
      <c r="S497" s="675"/>
      <c r="T497" s="675"/>
      <c r="U497" s="675"/>
      <c r="V497" s="676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3671.2918637343937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3703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19"/>
      <c r="P498" s="713" t="s">
        <v>753</v>
      </c>
      <c r="Q498" s="675"/>
      <c r="R498" s="675"/>
      <c r="S498" s="675"/>
      <c r="T498" s="675"/>
      <c r="U498" s="675"/>
      <c r="V498" s="676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36.454599999999999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1" t="s">
        <v>63</v>
      </c>
      <c r="C500" s="589" t="s">
        <v>97</v>
      </c>
      <c r="D500" s="741"/>
      <c r="E500" s="741"/>
      <c r="F500" s="741"/>
      <c r="G500" s="741"/>
      <c r="H500" s="742"/>
      <c r="I500" s="589" t="s">
        <v>266</v>
      </c>
      <c r="J500" s="741"/>
      <c r="K500" s="741"/>
      <c r="L500" s="741"/>
      <c r="M500" s="741"/>
      <c r="N500" s="741"/>
      <c r="O500" s="741"/>
      <c r="P500" s="741"/>
      <c r="Q500" s="741"/>
      <c r="R500" s="742"/>
      <c r="S500" s="589" t="s">
        <v>553</v>
      </c>
      <c r="T500" s="742"/>
      <c r="U500" s="589" t="s">
        <v>607</v>
      </c>
      <c r="V500" s="741"/>
      <c r="W500" s="742"/>
      <c r="X500" s="541" t="s">
        <v>658</v>
      </c>
      <c r="Y500" s="589" t="s">
        <v>713</v>
      </c>
      <c r="Z500" s="742"/>
      <c r="AB500" s="52"/>
      <c r="AC500" s="52"/>
      <c r="AF500" s="542"/>
    </row>
    <row r="501" spans="1:32" ht="14.25" customHeight="1" thickTop="1" x14ac:dyDescent="0.2">
      <c r="A501" s="794" t="s">
        <v>756</v>
      </c>
      <c r="B501" s="589" t="s">
        <v>63</v>
      </c>
      <c r="C501" s="589" t="s">
        <v>98</v>
      </c>
      <c r="D501" s="589" t="s">
        <v>116</v>
      </c>
      <c r="E501" s="589" t="s">
        <v>167</v>
      </c>
      <c r="F501" s="589" t="s">
        <v>189</v>
      </c>
      <c r="G501" s="589" t="s">
        <v>227</v>
      </c>
      <c r="H501" s="589" t="s">
        <v>97</v>
      </c>
      <c r="I501" s="589" t="s">
        <v>267</v>
      </c>
      <c r="J501" s="589" t="s">
        <v>322</v>
      </c>
      <c r="K501" s="589" t="s">
        <v>382</v>
      </c>
      <c r="L501" s="589" t="s">
        <v>423</v>
      </c>
      <c r="M501" s="589" t="s">
        <v>439</v>
      </c>
      <c r="N501" s="542"/>
      <c r="O501" s="589" t="s">
        <v>450</v>
      </c>
      <c r="P501" s="589" t="s">
        <v>459</v>
      </c>
      <c r="Q501" s="589" t="s">
        <v>472</v>
      </c>
      <c r="R501" s="589" t="s">
        <v>543</v>
      </c>
      <c r="S501" s="589" t="s">
        <v>554</v>
      </c>
      <c r="T501" s="589" t="s">
        <v>589</v>
      </c>
      <c r="U501" s="589" t="s">
        <v>608</v>
      </c>
      <c r="V501" s="589" t="s">
        <v>639</v>
      </c>
      <c r="W501" s="589" t="s">
        <v>654</v>
      </c>
      <c r="X501" s="589" t="s">
        <v>658</v>
      </c>
      <c r="Y501" s="589" t="s">
        <v>713</v>
      </c>
      <c r="Z501" s="589" t="s">
        <v>743</v>
      </c>
      <c r="AB501" s="52"/>
      <c r="AC501" s="52"/>
      <c r="AF501" s="542"/>
    </row>
    <row r="502" spans="1:32" ht="13.5" customHeight="1" thickBot="1" x14ac:dyDescent="0.25">
      <c r="A502" s="795"/>
      <c r="B502" s="590"/>
      <c r="C502" s="590"/>
      <c r="D502" s="590"/>
      <c r="E502" s="590"/>
      <c r="F502" s="590"/>
      <c r="G502" s="590"/>
      <c r="H502" s="590"/>
      <c r="I502" s="590"/>
      <c r="J502" s="590"/>
      <c r="K502" s="590"/>
      <c r="L502" s="590"/>
      <c r="M502" s="590"/>
      <c r="N502" s="542"/>
      <c r="O502" s="590"/>
      <c r="P502" s="590"/>
      <c r="Q502" s="590"/>
      <c r="R502" s="590"/>
      <c r="S502" s="590"/>
      <c r="T502" s="590"/>
      <c r="U502" s="590"/>
      <c r="V502" s="590"/>
      <c r="W502" s="590"/>
      <c r="X502" s="590"/>
      <c r="Y502" s="590"/>
      <c r="Z502" s="590"/>
      <c r="AB502" s="52"/>
      <c r="AC502" s="52"/>
      <c r="AF502" s="542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388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801</v>
      </c>
      <c r="E503" s="46">
        <f>IFERROR(Y84*1,"0")+IFERROR(Y85*1,"0")+IFERROR(Y86*1,"0")+IFERROR(Y87*1,"0")+IFERROR(Y91*1,"0")+IFERROR(Y92*1,"0")+IFERROR(Y93*1,"0")+IFERROR(Y94*1,"0")</f>
        <v>1080.9000000000001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1354.8600000000001</v>
      </c>
      <c r="G503" s="46">
        <f>IFERROR(Y126*1,"0")+IFERROR(Y127*1,"0")+IFERROR(Y131*1,"0")+IFERROR(Y132*1,"0")+IFERROR(Y136*1,"0")+IFERROR(Y137*1,"0")</f>
        <v>269.92</v>
      </c>
      <c r="H503" s="46">
        <f>IFERROR(Y142*1,"0")+IFERROR(Y143*1,"0")+IFERROR(Y147*1,"0")+IFERROR(Y148*1,"0")+IFERROR(Y149*1,"0")+IFERROR(Y150*1,"0")+IFERROR(Y151*1,"0")+IFERROR(Y152*1,"0")+IFERROR(Y156*1,"0")</f>
        <v>147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628.11999999999989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1866.8999999999999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122.6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2"/>
      <c r="O503" s="46">
        <f>IFERROR(Y279*1,"0")+IFERROR(Y280*1,"0")+IFERROR(Y281*1,"0")</f>
        <v>242.39999999999998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1059.8499999999999</v>
      </c>
      <c r="R503" s="46">
        <f>IFERROR(Y341*1,"0")+IFERROR(Y342*1,"0")+IFERROR(Y343*1,"0")</f>
        <v>1052.1000000000001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5555</v>
      </c>
      <c r="T503" s="46">
        <f>IFERROR(Y374*1,"0")+IFERROR(Y375*1,"0")+IFERROR(Y379*1,"0")+IFERROR(Y380*1,"0")+IFERROR(Y384*1,"0")+IFERROR(Y385*1,"0")+IFERROR(Y386*1,"0")</f>
        <v>48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84</v>
      </c>
      <c r="V503" s="46">
        <f>IFERROR(Y410*1,"0")+IFERROR(Y414*1,"0")+IFERROR(Y415*1,"0")+IFERROR(Y416*1,"0")+IFERROR(Y417*1,"0")</f>
        <v>0</v>
      </c>
      <c r="W503" s="46">
        <f>IFERROR(Y422*1,"0")</f>
        <v>40.799999999999997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1749.1200000000003</v>
      </c>
      <c r="Y503" s="46">
        <f>IFERROR(Y464*1,"0")+IFERROR(Y465*1,"0")+IFERROR(Y466*1,"0")+IFERROR(Y467*1,"0")+IFERROR(Y471*1,"0")+IFERROR(Y472*1,"0")+IFERROR(Y476*1,"0")+IFERROR(Y480*1,"0")+IFERROR(Y484*1,"0")+IFERROR(Y485*1,"0")</f>
        <v>1206</v>
      </c>
      <c r="Z503" s="46">
        <f>IFERROR(Y490*1,"0")</f>
        <v>0</v>
      </c>
      <c r="AB503" s="52"/>
      <c r="AC503" s="52"/>
      <c r="AF503" s="542"/>
    </row>
  </sheetData>
  <sheetProtection algorithmName="SHA-512" hashValue="3c4cUvZozU7TVPA1SdM19GCshhOvAsQB1EPtzWTv4zqEzxrVeIkc+Xmit+bi0X46iNC9C9PuwH+pK/tXCuxK6Q==" saltValue="EawbfKbxb5/y1jAmRhEHQg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S501:S502"/>
    <mergeCell ref="X17:X18"/>
    <mergeCell ref="P307:T307"/>
    <mergeCell ref="A163:O164"/>
    <mergeCell ref="P444:T444"/>
    <mergeCell ref="D110:E110"/>
    <mergeCell ref="P365:T365"/>
    <mergeCell ref="P387:V387"/>
    <mergeCell ref="P496:V496"/>
    <mergeCell ref="J501:J502"/>
    <mergeCell ref="A426:Z426"/>
    <mergeCell ref="A10:C10"/>
    <mergeCell ref="P126:T126"/>
    <mergeCell ref="D501:D502"/>
    <mergeCell ref="P361:V361"/>
    <mergeCell ref="L501:L502"/>
    <mergeCell ref="A413:Z413"/>
    <mergeCell ref="P218:T218"/>
    <mergeCell ref="P69:V69"/>
    <mergeCell ref="P311:V311"/>
    <mergeCell ref="A21:Z21"/>
    <mergeCell ref="A192:Z192"/>
    <mergeCell ref="D184:E184"/>
    <mergeCell ref="D121:E121"/>
    <mergeCell ref="A366:O367"/>
    <mergeCell ref="D42:E42"/>
    <mergeCell ref="P356:V356"/>
    <mergeCell ref="A468:O469"/>
    <mergeCell ref="D17:E18"/>
    <mergeCell ref="D173:E173"/>
    <mergeCell ref="A479:Z479"/>
    <mergeCell ref="D471:E471"/>
    <mergeCell ref="Y17:Y18"/>
    <mergeCell ref="P385:T385"/>
    <mergeCell ref="P410:T410"/>
    <mergeCell ref="A8:C8"/>
    <mergeCell ref="D355:E355"/>
    <mergeCell ref="P163:V163"/>
    <mergeCell ref="P360:T360"/>
    <mergeCell ref="A477:O478"/>
    <mergeCell ref="P138:V138"/>
    <mergeCell ref="P151:T151"/>
    <mergeCell ref="P76:V76"/>
    <mergeCell ref="D395:E395"/>
    <mergeCell ref="P449:T449"/>
    <mergeCell ref="P71:T71"/>
    <mergeCell ref="D458:E458"/>
    <mergeCell ref="D262:E262"/>
    <mergeCell ref="P122:V122"/>
    <mergeCell ref="D433:E433"/>
    <mergeCell ref="P43:V43"/>
    <mergeCell ref="A39:Z39"/>
    <mergeCell ref="D237:E237"/>
    <mergeCell ref="P85:T85"/>
    <mergeCell ref="P60:T60"/>
    <mergeCell ref="D291:E291"/>
    <mergeCell ref="D239:E239"/>
    <mergeCell ref="P174:T174"/>
    <mergeCell ref="P149:T149"/>
    <mergeCell ref="D266:E266"/>
    <mergeCell ref="A339:Z339"/>
    <mergeCell ref="P484:T484"/>
    <mergeCell ref="A24:O25"/>
    <mergeCell ref="P136:T136"/>
    <mergeCell ref="P263:T263"/>
    <mergeCell ref="P434:T434"/>
    <mergeCell ref="P228:T228"/>
    <mergeCell ref="D171:E171"/>
    <mergeCell ref="D342:E342"/>
    <mergeCell ref="P355:T355"/>
    <mergeCell ref="D336:E336"/>
    <mergeCell ref="P200:T200"/>
    <mergeCell ref="P436:T436"/>
    <mergeCell ref="A118:O119"/>
    <mergeCell ref="P292:T292"/>
    <mergeCell ref="A425:Z425"/>
    <mergeCell ref="D102:E102"/>
    <mergeCell ref="P81:V81"/>
    <mergeCell ref="A33:Z33"/>
    <mergeCell ref="A269:Z269"/>
    <mergeCell ref="P419:V419"/>
    <mergeCell ref="P145:V145"/>
    <mergeCell ref="A231:Z231"/>
    <mergeCell ref="P381:V381"/>
    <mergeCell ref="A333:Z333"/>
    <mergeCell ref="N17:N18"/>
    <mergeCell ref="P72:T72"/>
    <mergeCell ref="Q5:R5"/>
    <mergeCell ref="F17:F18"/>
    <mergeCell ref="P199:T199"/>
    <mergeCell ref="P303:V303"/>
    <mergeCell ref="P297:T297"/>
    <mergeCell ref="P435:T435"/>
    <mergeCell ref="D107:E107"/>
    <mergeCell ref="P291:T291"/>
    <mergeCell ref="D234:E234"/>
    <mergeCell ref="D405:E405"/>
    <mergeCell ref="Q6:R6"/>
    <mergeCell ref="D54:E54"/>
    <mergeCell ref="P283:V283"/>
    <mergeCell ref="D271:E271"/>
    <mergeCell ref="V12:W12"/>
    <mergeCell ref="U17:V17"/>
    <mergeCell ref="I501:I502"/>
    <mergeCell ref="K501:K502"/>
    <mergeCell ref="P342:T342"/>
    <mergeCell ref="P317:T317"/>
    <mergeCell ref="D152:E152"/>
    <mergeCell ref="D323:E323"/>
    <mergeCell ref="D223:E223"/>
    <mergeCell ref="D279:E279"/>
    <mergeCell ref="D394:E394"/>
    <mergeCell ref="P406:V406"/>
    <mergeCell ref="D450:E450"/>
    <mergeCell ref="D216:E216"/>
    <mergeCell ref="D265:E265"/>
    <mergeCell ref="P371:V371"/>
    <mergeCell ref="D452:E452"/>
    <mergeCell ref="P493:V493"/>
    <mergeCell ref="A411:O412"/>
    <mergeCell ref="A348:Z348"/>
    <mergeCell ref="D218:E218"/>
    <mergeCell ref="P197:V197"/>
    <mergeCell ref="A258:O259"/>
    <mergeCell ref="P495:V495"/>
    <mergeCell ref="A320:Z320"/>
    <mergeCell ref="A347:Z34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221:E221"/>
    <mergeCell ref="V11:W11"/>
    <mergeCell ref="D392:E392"/>
    <mergeCell ref="P469:V469"/>
    <mergeCell ref="A370:O371"/>
    <mergeCell ref="P121:T121"/>
    <mergeCell ref="D29:E29"/>
    <mergeCell ref="D23:E23"/>
    <mergeCell ref="A20:Z20"/>
    <mergeCell ref="A125:Z125"/>
    <mergeCell ref="P2:W3"/>
    <mergeCell ref="P498:V498"/>
    <mergeCell ref="A57:O58"/>
    <mergeCell ref="P127:T127"/>
    <mergeCell ref="D241:E241"/>
    <mergeCell ref="P298:T298"/>
    <mergeCell ref="P54:T54"/>
    <mergeCell ref="P369:T369"/>
    <mergeCell ref="D437:E437"/>
    <mergeCell ref="D228:E228"/>
    <mergeCell ref="P312:V312"/>
    <mergeCell ref="D404:E404"/>
    <mergeCell ref="D10:E10"/>
    <mergeCell ref="F10:G10"/>
    <mergeCell ref="D34:E34"/>
    <mergeCell ref="D305:E305"/>
    <mergeCell ref="D99:E99"/>
    <mergeCell ref="P349:T349"/>
    <mergeCell ref="D397:E397"/>
    <mergeCell ref="A130:Z130"/>
    <mergeCell ref="A344:O345"/>
    <mergeCell ref="P376:V376"/>
    <mergeCell ref="D310:E310"/>
    <mergeCell ref="P364:T364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430:T430"/>
    <mergeCell ref="P102:T102"/>
    <mergeCell ref="P417:T417"/>
    <mergeCell ref="D177:E177"/>
    <mergeCell ref="A106:Z106"/>
    <mergeCell ref="P183:T183"/>
    <mergeCell ref="P354:T354"/>
    <mergeCell ref="P62:T62"/>
    <mergeCell ref="P110:T110"/>
    <mergeCell ref="P289:V289"/>
    <mergeCell ref="P68:V68"/>
    <mergeCell ref="D249:E249"/>
    <mergeCell ref="P262:T262"/>
    <mergeCell ref="D170:E170"/>
    <mergeCell ref="D341:E341"/>
    <mergeCell ref="A31:O32"/>
    <mergeCell ref="P34:T34"/>
    <mergeCell ref="D86:E86"/>
    <mergeCell ref="D257:E257"/>
    <mergeCell ref="P341:T341"/>
    <mergeCell ref="D384:E384"/>
    <mergeCell ref="D151:E151"/>
    <mergeCell ref="A387:O388"/>
    <mergeCell ref="A457:Z457"/>
    <mergeCell ref="D449:E449"/>
    <mergeCell ref="P107:T107"/>
    <mergeCell ref="D150:E150"/>
    <mergeCell ref="P129:V129"/>
    <mergeCell ref="P63:V63"/>
    <mergeCell ref="P101:T101"/>
    <mergeCell ref="A128:O129"/>
    <mergeCell ref="D215:E215"/>
    <mergeCell ref="D321:E321"/>
    <mergeCell ref="P250:V250"/>
    <mergeCell ref="D386:E386"/>
    <mergeCell ref="P415:T415"/>
    <mergeCell ref="P456:V456"/>
    <mergeCell ref="P439:T439"/>
    <mergeCell ref="P433:T433"/>
    <mergeCell ref="A9:C9"/>
    <mergeCell ref="P321:T321"/>
    <mergeCell ref="A242:O243"/>
    <mergeCell ref="P323:T323"/>
    <mergeCell ref="P337:V337"/>
    <mergeCell ref="A389:Z389"/>
    <mergeCell ref="P32:V32"/>
    <mergeCell ref="P474:V474"/>
    <mergeCell ref="Q13:R13"/>
    <mergeCell ref="P134:V134"/>
    <mergeCell ref="A155:Z155"/>
    <mergeCell ref="P268:V268"/>
    <mergeCell ref="P401:V401"/>
    <mergeCell ref="A391:Z391"/>
    <mergeCell ref="A318:O319"/>
    <mergeCell ref="P47:V47"/>
    <mergeCell ref="P176:T176"/>
    <mergeCell ref="P114:T114"/>
    <mergeCell ref="P241:T241"/>
    <mergeCell ref="P41:T41"/>
    <mergeCell ref="D84:E84"/>
    <mergeCell ref="D22:E22"/>
    <mergeCell ref="A35:O36"/>
    <mergeCell ref="D149:E149"/>
    <mergeCell ref="P482:V482"/>
    <mergeCell ref="P61:T61"/>
    <mergeCell ref="D200:E200"/>
    <mergeCell ref="P359:T359"/>
    <mergeCell ref="V501:V502"/>
    <mergeCell ref="D436:E436"/>
    <mergeCell ref="P490:T490"/>
    <mergeCell ref="D292:E292"/>
    <mergeCell ref="X501:X502"/>
    <mergeCell ref="D227:E227"/>
    <mergeCell ref="I500:R500"/>
    <mergeCell ref="A493:O498"/>
    <mergeCell ref="A284:Z284"/>
    <mergeCell ref="Y500:Z500"/>
    <mergeCell ref="P301:T301"/>
    <mergeCell ref="D385:E385"/>
    <mergeCell ref="P178:T178"/>
    <mergeCell ref="P465:T465"/>
    <mergeCell ref="P492:V492"/>
    <mergeCell ref="P494:V494"/>
    <mergeCell ref="P481:V481"/>
    <mergeCell ref="B501:B502"/>
    <mergeCell ref="A483:Z483"/>
    <mergeCell ref="U500:W500"/>
    <mergeCell ref="H5:M5"/>
    <mergeCell ref="P31:V31"/>
    <mergeCell ref="P473:V473"/>
    <mergeCell ref="P158:V158"/>
    <mergeCell ref="A214:Z214"/>
    <mergeCell ref="D317:E317"/>
    <mergeCell ref="A285:Z285"/>
    <mergeCell ref="A390:Z390"/>
    <mergeCell ref="D6:M6"/>
    <mergeCell ref="A75:O76"/>
    <mergeCell ref="P396:T396"/>
    <mergeCell ref="D439:E439"/>
    <mergeCell ref="P175:T175"/>
    <mergeCell ref="P95:V95"/>
    <mergeCell ref="P162:T162"/>
    <mergeCell ref="P331:V331"/>
    <mergeCell ref="D143:E143"/>
    <mergeCell ref="A278:Z278"/>
    <mergeCell ref="P227:T227"/>
    <mergeCell ref="P398:T398"/>
    <mergeCell ref="P177:T177"/>
    <mergeCell ref="P93:T93"/>
    <mergeCell ref="D85:E85"/>
    <mergeCell ref="D207:E207"/>
    <mergeCell ref="V6:W9"/>
    <mergeCell ref="P256:T256"/>
    <mergeCell ref="D199:E199"/>
    <mergeCell ref="P109:T109"/>
    <mergeCell ref="A59:Z59"/>
    <mergeCell ref="D364:E364"/>
    <mergeCell ref="P274:T274"/>
    <mergeCell ref="D435:E435"/>
    <mergeCell ref="D217:E217"/>
    <mergeCell ref="P84:T84"/>
    <mergeCell ref="P222:T222"/>
    <mergeCell ref="P22:T22"/>
    <mergeCell ref="P314:T314"/>
    <mergeCell ref="P40:T40"/>
    <mergeCell ref="D428:E428"/>
    <mergeCell ref="D415:E415"/>
    <mergeCell ref="P257:T257"/>
    <mergeCell ref="A346:Z346"/>
    <mergeCell ref="D194:E194"/>
    <mergeCell ref="Z17:Z18"/>
    <mergeCell ref="A90:Z90"/>
    <mergeCell ref="A277:Z277"/>
    <mergeCell ref="P44:V44"/>
    <mergeCell ref="D256:E256"/>
    <mergeCell ref="AC17:AC18"/>
    <mergeCell ref="P485:T485"/>
    <mergeCell ref="P108:T108"/>
    <mergeCell ref="P279:T279"/>
    <mergeCell ref="D393:E393"/>
    <mergeCell ref="A420:Z420"/>
    <mergeCell ref="P472:T472"/>
    <mergeCell ref="P254:T254"/>
    <mergeCell ref="A104:O105"/>
    <mergeCell ref="P343:T343"/>
    <mergeCell ref="D484:E484"/>
    <mergeCell ref="A455:O456"/>
    <mergeCell ref="AB17:AB18"/>
    <mergeCell ref="A448:Z448"/>
    <mergeCell ref="P335:T335"/>
    <mergeCell ref="D299:E299"/>
    <mergeCell ref="D222:E222"/>
    <mergeCell ref="G17:G18"/>
    <mergeCell ref="P57:V57"/>
    <mergeCell ref="A295:Z295"/>
    <mergeCell ref="D314:E314"/>
    <mergeCell ref="P399:T399"/>
    <mergeCell ref="P242:V242"/>
    <mergeCell ref="P407:V407"/>
    <mergeCell ref="P468:V468"/>
    <mergeCell ref="A160:Z160"/>
    <mergeCell ref="A489:Z489"/>
    <mergeCell ref="A141:Z141"/>
    <mergeCell ref="A144:O145"/>
    <mergeCell ref="W501:W502"/>
    <mergeCell ref="H10:M10"/>
    <mergeCell ref="AA17:AA18"/>
    <mergeCell ref="A135:Z135"/>
    <mergeCell ref="F501:F502"/>
    <mergeCell ref="H501:H502"/>
    <mergeCell ref="S500:T500"/>
    <mergeCell ref="Y501:Y502"/>
    <mergeCell ref="A501:A502"/>
    <mergeCell ref="A232:Z232"/>
    <mergeCell ref="A403:Z403"/>
    <mergeCell ref="P382:V382"/>
    <mergeCell ref="P357:V357"/>
    <mergeCell ref="A182:Z182"/>
    <mergeCell ref="A296:Z296"/>
    <mergeCell ref="A461:Z461"/>
    <mergeCell ref="P123:V123"/>
    <mergeCell ref="D136:E136"/>
    <mergeCell ref="P46:T46"/>
    <mergeCell ref="D438:E438"/>
    <mergeCell ref="A340:Z340"/>
    <mergeCell ref="D359:E359"/>
    <mergeCell ref="H17:H18"/>
    <mergeCell ref="A146:Z146"/>
    <mergeCell ref="D204:E204"/>
    <mergeCell ref="P217:T217"/>
    <mergeCell ref="D465:E465"/>
    <mergeCell ref="P104:V104"/>
    <mergeCell ref="A252:Z252"/>
    <mergeCell ref="P275:V275"/>
    <mergeCell ref="A157:O158"/>
    <mergeCell ref="P27:T27"/>
    <mergeCell ref="D206:E206"/>
    <mergeCell ref="P247:V247"/>
    <mergeCell ref="D298:E298"/>
    <mergeCell ref="P91:T91"/>
    <mergeCell ref="D273:E273"/>
    <mergeCell ref="P156:T156"/>
    <mergeCell ref="P327:T327"/>
    <mergeCell ref="A80:O81"/>
    <mergeCell ref="P105:V105"/>
    <mergeCell ref="P366:V366"/>
    <mergeCell ref="D434:E434"/>
    <mergeCell ref="J9:M9"/>
    <mergeCell ref="D62:E62"/>
    <mergeCell ref="C500:H500"/>
    <mergeCell ref="D56:E56"/>
    <mergeCell ref="D127:E127"/>
    <mergeCell ref="P206:T206"/>
    <mergeCell ref="P233:T233"/>
    <mergeCell ref="D176:E176"/>
    <mergeCell ref="D114:E114"/>
    <mergeCell ref="P143:T143"/>
    <mergeCell ref="D51:E51"/>
    <mergeCell ref="P235:T235"/>
    <mergeCell ref="P306:T306"/>
    <mergeCell ref="D349:E349"/>
    <mergeCell ref="P157:V157"/>
    <mergeCell ref="P213:V213"/>
    <mergeCell ref="A38:Z38"/>
    <mergeCell ref="P455:V455"/>
    <mergeCell ref="D476:E476"/>
    <mergeCell ref="P207:T207"/>
    <mergeCell ref="A302:O303"/>
    <mergeCell ref="A372:Z372"/>
    <mergeCell ref="P299:T299"/>
    <mergeCell ref="P393:T393"/>
    <mergeCell ref="M501:M502"/>
    <mergeCell ref="P202:V202"/>
    <mergeCell ref="O501:O502"/>
    <mergeCell ref="P58:V58"/>
    <mergeCell ref="A13:M13"/>
    <mergeCell ref="P380:T380"/>
    <mergeCell ref="Q501:Q502"/>
    <mergeCell ref="D61:E61"/>
    <mergeCell ref="P115:T115"/>
    <mergeCell ref="D254:E254"/>
    <mergeCell ref="A15:M15"/>
    <mergeCell ref="P238:T238"/>
    <mergeCell ref="P302:V302"/>
    <mergeCell ref="A427:Z427"/>
    <mergeCell ref="D490:E490"/>
    <mergeCell ref="A88:O89"/>
    <mergeCell ref="A153:O154"/>
    <mergeCell ref="A193:Z193"/>
    <mergeCell ref="P204:T204"/>
    <mergeCell ref="P179:T179"/>
    <mergeCell ref="A198:Z198"/>
    <mergeCell ref="P375:T375"/>
    <mergeCell ref="D374:E374"/>
    <mergeCell ref="A82:Z82"/>
    <mergeCell ref="T5:U5"/>
    <mergeCell ref="V5:W5"/>
    <mergeCell ref="P374:T374"/>
    <mergeCell ref="D46:E46"/>
    <mergeCell ref="P294:V294"/>
    <mergeCell ref="D40:E40"/>
    <mergeCell ref="A224:O225"/>
    <mergeCell ref="D233:E233"/>
    <mergeCell ref="A491:O492"/>
    <mergeCell ref="P212:V212"/>
    <mergeCell ref="Q8:R8"/>
    <mergeCell ref="D183:E183"/>
    <mergeCell ref="A186:O187"/>
    <mergeCell ref="P438:T438"/>
    <mergeCell ref="D444:E444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A14:M14"/>
    <mergeCell ref="D109:E109"/>
    <mergeCell ref="D280:E280"/>
    <mergeCell ref="D480:E480"/>
    <mergeCell ref="D467:E467"/>
    <mergeCell ref="P25:V25"/>
    <mergeCell ref="P318:V318"/>
    <mergeCell ref="A37:Z37"/>
    <mergeCell ref="D485:E485"/>
    <mergeCell ref="P447:V447"/>
    <mergeCell ref="D137:E13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A138:O139"/>
    <mergeCell ref="P208:T208"/>
    <mergeCell ref="D396:E396"/>
    <mergeCell ref="P450:T450"/>
    <mergeCell ref="D116:E116"/>
    <mergeCell ref="D414:E414"/>
    <mergeCell ref="D352:E352"/>
    <mergeCell ref="D91:E91"/>
    <mergeCell ref="D162:E162"/>
    <mergeCell ref="P501:P502"/>
    <mergeCell ref="P219:T219"/>
    <mergeCell ref="P272:T272"/>
    <mergeCell ref="E501:E502"/>
    <mergeCell ref="P128:V128"/>
    <mergeCell ref="A17:A18"/>
    <mergeCell ref="K17:K18"/>
    <mergeCell ref="P195:T195"/>
    <mergeCell ref="C17:C18"/>
    <mergeCell ref="P300:T300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P186:V186"/>
    <mergeCell ref="A418:O419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191:V191"/>
    <mergeCell ref="P362:V362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A122:O123"/>
    <mergeCell ref="P367:V367"/>
    <mergeCell ref="D52:E52"/>
    <mergeCell ref="D27:E27"/>
    <mergeCell ref="P15:T16"/>
    <mergeCell ref="P23:T23"/>
    <mergeCell ref="D156:E156"/>
    <mergeCell ref="P210:T210"/>
    <mergeCell ref="P480:T480"/>
    <mergeCell ref="Q12:R12"/>
    <mergeCell ref="P280:T280"/>
    <mergeCell ref="P169:T169"/>
    <mergeCell ref="P467:T467"/>
    <mergeCell ref="A68:O69"/>
    <mergeCell ref="P196:V196"/>
    <mergeCell ref="A43:O44"/>
    <mergeCell ref="P133:V133"/>
    <mergeCell ref="A196:O197"/>
    <mergeCell ref="A275:O276"/>
    <mergeCell ref="A267:O268"/>
    <mergeCell ref="P308:T308"/>
    <mergeCell ref="D327:E327"/>
    <mergeCell ref="D398:E398"/>
    <mergeCell ref="D454:E454"/>
    <mergeCell ref="P185:T185"/>
    <mergeCell ref="D416:E416"/>
    <mergeCell ref="D93:E93"/>
    <mergeCell ref="D264:E264"/>
    <mergeCell ref="A133:O134"/>
    <mergeCell ref="D220:E220"/>
    <mergeCell ref="P370:V370"/>
    <mergeCell ref="P216:T216"/>
    <mergeCell ref="A6:C6"/>
    <mergeCell ref="D309:E309"/>
    <mergeCell ref="P416:T416"/>
    <mergeCell ref="P167:T167"/>
    <mergeCell ref="P142:T142"/>
    <mergeCell ref="D148:E148"/>
    <mergeCell ref="A161:Z161"/>
    <mergeCell ref="P117:T117"/>
    <mergeCell ref="P55:T55"/>
    <mergeCell ref="D115:E115"/>
    <mergeCell ref="A324:O325"/>
    <mergeCell ref="P80:V80"/>
    <mergeCell ref="D74:E74"/>
    <mergeCell ref="P87:T87"/>
    <mergeCell ref="A203:Z203"/>
    <mergeCell ref="D335:E335"/>
    <mergeCell ref="P245:T245"/>
    <mergeCell ref="D286:E286"/>
    <mergeCell ref="P322:T322"/>
    <mergeCell ref="D132:E132"/>
    <mergeCell ref="P211:T211"/>
    <mergeCell ref="D399:E399"/>
    <mergeCell ref="P309:T309"/>
    <mergeCell ref="D178:E178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P205:T205"/>
    <mergeCell ref="A290:Z290"/>
    <mergeCell ref="D322:E322"/>
    <mergeCell ref="D453:E453"/>
    <mergeCell ref="D422:E422"/>
    <mergeCell ref="P451:T451"/>
    <mergeCell ref="A470:Z470"/>
    <mergeCell ref="A440:O441"/>
    <mergeCell ref="P225:V225"/>
    <mergeCell ref="D172:E172"/>
    <mergeCell ref="P51:T51"/>
    <mergeCell ref="A261:Z261"/>
    <mergeCell ref="P338:V338"/>
    <mergeCell ref="A246:O247"/>
    <mergeCell ref="P287:T287"/>
    <mergeCell ref="P281:T281"/>
    <mergeCell ref="P414:T414"/>
    <mergeCell ref="P352:T352"/>
    <mergeCell ref="D72:E72"/>
    <mergeCell ref="A326:Z326"/>
    <mergeCell ref="A120:Z120"/>
    <mergeCell ref="D235:E235"/>
    <mergeCell ref="P276:V276"/>
    <mergeCell ref="P330:T330"/>
    <mergeCell ref="P395:T395"/>
    <mergeCell ref="P466:T466"/>
    <mergeCell ref="A313:Z313"/>
    <mergeCell ref="P111:V111"/>
    <mergeCell ref="P282:V282"/>
    <mergeCell ref="J17:J18"/>
    <mergeCell ref="L17:L18"/>
    <mergeCell ref="D240:E240"/>
    <mergeCell ref="P48:V48"/>
    <mergeCell ref="A244:Z244"/>
    <mergeCell ref="P255:T255"/>
    <mergeCell ref="D334:E334"/>
    <mergeCell ref="A165:Z165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P286:T286"/>
    <mergeCell ref="D329:E329"/>
    <mergeCell ref="D400:E400"/>
    <mergeCell ref="P131:T131"/>
    <mergeCell ref="D445:E445"/>
    <mergeCell ref="P116:T116"/>
    <mergeCell ref="A423:O424"/>
    <mergeCell ref="P464:T464"/>
    <mergeCell ref="A26:Z26"/>
    <mergeCell ref="P103:T103"/>
    <mergeCell ref="P168:T168"/>
    <mergeCell ref="D211:E211"/>
    <mergeCell ref="D1:F1"/>
    <mergeCell ref="P190:V190"/>
    <mergeCell ref="D108:E108"/>
    <mergeCell ref="D375:E375"/>
    <mergeCell ref="P429:T429"/>
    <mergeCell ref="A111:O112"/>
    <mergeCell ref="D369:E369"/>
    <mergeCell ref="P52:T52"/>
    <mergeCell ref="P223:T223"/>
    <mergeCell ref="P350:T350"/>
    <mergeCell ref="P201:V201"/>
    <mergeCell ref="P139:V139"/>
    <mergeCell ref="I17:I18"/>
    <mergeCell ref="D306:E306"/>
    <mergeCell ref="P189:T189"/>
    <mergeCell ref="P424:V424"/>
    <mergeCell ref="U501:U502"/>
    <mergeCell ref="D67:E67"/>
    <mergeCell ref="D5:E5"/>
    <mergeCell ref="A140:Z140"/>
    <mergeCell ref="P453:T453"/>
    <mergeCell ref="P42:T42"/>
    <mergeCell ref="D94:E94"/>
    <mergeCell ref="D417:E417"/>
    <mergeCell ref="A401:O402"/>
    <mergeCell ref="P471:T471"/>
    <mergeCell ref="P148:T148"/>
    <mergeCell ref="A47:O48"/>
    <mergeCell ref="P240:T240"/>
    <mergeCell ref="D354:E354"/>
    <mergeCell ref="A475:Z475"/>
    <mergeCell ref="P460:V460"/>
    <mergeCell ref="P164:V164"/>
    <mergeCell ref="A45:Z45"/>
    <mergeCell ref="P35:V35"/>
    <mergeCell ref="P273:T273"/>
    <mergeCell ref="D316:E316"/>
    <mergeCell ref="D272:E272"/>
    <mergeCell ref="P400:T400"/>
    <mergeCell ref="D210:E210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432:E432"/>
    <mergeCell ref="D236:E236"/>
    <mergeCell ref="D117:E117"/>
    <mergeCell ref="D92:E92"/>
    <mergeCell ref="D55:E55"/>
    <mergeCell ref="D30:E30"/>
    <mergeCell ref="A95:O96"/>
    <mergeCell ref="P171:T171"/>
    <mergeCell ref="D353:E353"/>
    <mergeCell ref="D443:E443"/>
    <mergeCell ref="A250:O251"/>
    <mergeCell ref="D308:E308"/>
    <mergeCell ref="D87:E87"/>
    <mergeCell ref="P166:T166"/>
    <mergeCell ref="D7:M7"/>
    <mergeCell ref="A373:Z373"/>
    <mergeCell ref="D365:E365"/>
    <mergeCell ref="P236:T236"/>
    <mergeCell ref="D79:E79"/>
    <mergeCell ref="P92:T92"/>
    <mergeCell ref="P334:T334"/>
    <mergeCell ref="D315:E315"/>
    <mergeCell ref="P394:T394"/>
    <mergeCell ref="P173:T173"/>
    <mergeCell ref="P29:T29"/>
    <mergeCell ref="P100:T100"/>
    <mergeCell ref="P271:T271"/>
    <mergeCell ref="P94:T94"/>
    <mergeCell ref="P265:T265"/>
    <mergeCell ref="D208:E208"/>
    <mergeCell ref="D8:M8"/>
    <mergeCell ref="D379:E379"/>
    <mergeCell ref="D300:E300"/>
    <mergeCell ref="P237:T237"/>
    <mergeCell ref="A226:Z226"/>
    <mergeCell ref="P329:T329"/>
    <mergeCell ref="P180:V180"/>
    <mergeCell ref="P118:V118"/>
    <mergeCell ref="A473:O474"/>
    <mergeCell ref="P209:T209"/>
    <mergeCell ref="P147:T147"/>
    <mergeCell ref="P445:T445"/>
    <mergeCell ref="W17:W18"/>
    <mergeCell ref="A50:Z50"/>
    <mergeCell ref="P96:V96"/>
    <mergeCell ref="P332:V332"/>
    <mergeCell ref="P388:V388"/>
    <mergeCell ref="A331:O332"/>
    <mergeCell ref="P459:V459"/>
    <mergeCell ref="A376:O377"/>
    <mergeCell ref="P234:T234"/>
    <mergeCell ref="P154:V154"/>
    <mergeCell ref="P325:V325"/>
    <mergeCell ref="D142:E142"/>
    <mergeCell ref="D429:E429"/>
    <mergeCell ref="P458:T458"/>
    <mergeCell ref="A459:O460"/>
    <mergeCell ref="A462:Z462"/>
    <mergeCell ref="P251:V251"/>
    <mergeCell ref="A446:O447"/>
    <mergeCell ref="A70:Z70"/>
    <mergeCell ref="D147:E147"/>
    <mergeCell ref="R501:R502"/>
    <mergeCell ref="P452:T452"/>
    <mergeCell ref="P377:V377"/>
    <mergeCell ref="T501:T502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189:E189"/>
    <mergeCell ref="A124:Z124"/>
    <mergeCell ref="A229:O230"/>
    <mergeCell ref="P99:T99"/>
    <mergeCell ref="D287:E287"/>
    <mergeCell ref="P170:T170"/>
    <mergeCell ref="D360:E360"/>
    <mergeCell ref="R1:T1"/>
    <mergeCell ref="P172:T172"/>
    <mergeCell ref="P28:T28"/>
    <mergeCell ref="D71:E71"/>
    <mergeCell ref="P150:T150"/>
    <mergeCell ref="P221:T221"/>
    <mergeCell ref="P392:T392"/>
    <mergeCell ref="P215:T215"/>
    <mergeCell ref="D307:E307"/>
    <mergeCell ref="P386:T386"/>
    <mergeCell ref="A381:O382"/>
    <mergeCell ref="P229:V229"/>
    <mergeCell ref="A282:O283"/>
    <mergeCell ref="P30:T30"/>
    <mergeCell ref="D73:E73"/>
    <mergeCell ref="P152:T152"/>
    <mergeCell ref="A311:O312"/>
    <mergeCell ref="V10:W10"/>
    <mergeCell ref="D66:E66"/>
    <mergeCell ref="P316:T316"/>
    <mergeCell ref="D126:E126"/>
    <mergeCell ref="D253:E253"/>
    <mergeCell ref="D53:E53"/>
    <mergeCell ref="D351:E351"/>
    <mergeCell ref="H9:I9"/>
    <mergeCell ref="P224:V224"/>
    <mergeCell ref="A49:Z49"/>
    <mergeCell ref="P24:V24"/>
    <mergeCell ref="D281:E281"/>
    <mergeCell ref="P89:V89"/>
    <mergeCell ref="A383:Z383"/>
    <mergeCell ref="P454:T454"/>
    <mergeCell ref="D297:E297"/>
    <mergeCell ref="P88:V88"/>
    <mergeCell ref="P259:V259"/>
    <mergeCell ref="P153:V153"/>
    <mergeCell ref="P324:V324"/>
    <mergeCell ref="P220:T220"/>
    <mergeCell ref="A65:Z65"/>
    <mergeCell ref="D263:E263"/>
    <mergeCell ref="A363:Z363"/>
    <mergeCell ref="D238:E238"/>
    <mergeCell ref="P86:T86"/>
    <mergeCell ref="D78:E78"/>
    <mergeCell ref="P328:T328"/>
    <mergeCell ref="P384:T384"/>
    <mergeCell ref="D205:E205"/>
    <mergeCell ref="A378:Z378"/>
    <mergeCell ref="P79:T79"/>
    <mergeCell ref="D60:E60"/>
    <mergeCell ref="P73:T73"/>
    <mergeCell ref="P315:T315"/>
    <mergeCell ref="P437:T437"/>
    <mergeCell ref="A190:O191"/>
    <mergeCell ref="A361:O362"/>
    <mergeCell ref="D174:E174"/>
    <mergeCell ref="D472:E472"/>
    <mergeCell ref="A83:Z83"/>
    <mergeCell ref="D410:E410"/>
    <mergeCell ref="A270:Z270"/>
    <mergeCell ref="A368:Z368"/>
    <mergeCell ref="P249:T249"/>
    <mergeCell ref="P432:T432"/>
    <mergeCell ref="P446:V446"/>
    <mergeCell ref="P402:V402"/>
    <mergeCell ref="D431:E431"/>
    <mergeCell ref="P443:T443"/>
    <mergeCell ref="D209:E209"/>
    <mergeCell ref="D380:E380"/>
    <mergeCell ref="D274:E274"/>
    <mergeCell ref="D245:E245"/>
    <mergeCell ref="D301:E30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8 X84 X91 X99 X102 X107 X114 X116:X117 X121 X126 X132 X137 X166:X168 X170 X172 X177 X204:X211 X217:X218 X220 X222:X223 X227:X228 X233 X235:X236 X240 X280 X308:X310 X321:X323 X329:X330 X334 X336 X342:X343 X365 X374 X384 X396:X397 X399 X422 X428 X432 X434 X443 X449:X454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TuA5dqvBPoxXiwBi31f/kj29OwRxJi+2epTUa89xPKQDtC2Hm7HqMt7XCkY13e84yhmWqNgkEm0NEeYHjEvidA==" saltValue="ueXSHp+Ulw04OMAuBYwmd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2026-01-21T08:58:37Z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