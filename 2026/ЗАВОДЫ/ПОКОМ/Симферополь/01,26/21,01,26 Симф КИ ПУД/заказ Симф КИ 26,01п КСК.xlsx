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775EA73-D6BF-44F4-B64B-D770CBBF231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28" i="1" l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Z302" i="1" s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258" i="1"/>
  <c r="Z318" i="1"/>
  <c r="Z180" i="1"/>
  <c r="Z468" i="1"/>
  <c r="Z455" i="1"/>
  <c r="Z418" i="1"/>
  <c r="Z337" i="1"/>
  <c r="Z267" i="1"/>
  <c r="Z242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<sst xmlns="http://schemas.openxmlformats.org/spreadsheetml/2006/main" count="2300" uniqueCount="773">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</sst>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4" t="s">
        <v>8</v>
      </c>
      <c r="B5" s="675"/>
      <c r="C5" s="676"/>
      <c r="D5" s="632"/>
      <c r="E5" s="633"/>
      <c r="F5" s="836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7">
        <v>46040</v>
      </c>
      <c r="R5" s="672"/>
      <c r="T5" s="718" t="s">
        <v>11</v>
      </c>
      <c r="U5" s="719"/>
      <c r="V5" s="720" t="s">
        <v>12</v>
      </c>
      <c r="W5" s="672"/>
      <c r="AB5" s="51"/>
      <c r="AC5" s="51"/>
      <c r="AD5" s="51"/>
      <c r="AE5" s="51"/>
    </row>
    <row r="6" spans="1:32" s="546" customFormat="1" ht="24" customHeight="1" x14ac:dyDescent="0.2">
      <c r="A6" s="674" t="s">
        <v>13</v>
      </c>
      <c r="B6" s="675"/>
      <c r="C6" s="67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2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7" t="s">
        <v>17</v>
      </c>
      <c r="W6" s="597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8"/>
      <c r="W7" s="769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8"/>
      <c r="C8" s="569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3">
        <v>0.375</v>
      </c>
      <c r="R8" s="609"/>
      <c r="T8" s="562"/>
      <c r="U8" s="719"/>
      <c r="V8" s="768"/>
      <c r="W8" s="769"/>
      <c r="AB8" s="51"/>
      <c r="AC8" s="51"/>
      <c r="AD8" s="51"/>
      <c r="AE8" s="51"/>
    </row>
    <row r="9" spans="1:32" s="546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2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7"/>
      <c r="P9" s="26" t="s">
        <v>21</v>
      </c>
      <c r="Q9" s="666"/>
      <c r="R9" s="667"/>
      <c r="T9" s="562"/>
      <c r="U9" s="71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2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58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4"/>
      <c r="R10" s="725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3"/>
      <c r="R12" s="609"/>
      <c r="S12" s="23"/>
      <c r="U12" s="24"/>
      <c r="V12" s="578"/>
      <c r="W12" s="562"/>
      <c r="AB12" s="51"/>
      <c r="AC12" s="51"/>
      <c r="AD12" s="51"/>
      <c r="AE12" s="51"/>
    </row>
    <row r="13" spans="1:32" s="546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36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3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8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6" t="s">
        <v>51</v>
      </c>
      <c r="V17" s="676"/>
      <c r="W17" s="592" t="s">
        <v>52</v>
      </c>
      <c r="X17" s="592" t="s">
        <v>53</v>
      </c>
      <c r="Y17" s="867" t="s">
        <v>54</v>
      </c>
      <c r="Z17" s="781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68"/>
      <c r="Z18" s="782"/>
      <c r="AA18" s="760"/>
      <c r="AB18" s="760"/>
      <c r="AC18" s="760"/>
      <c r="AD18" s="833"/>
      <c r="AE18" s="834"/>
      <c r="AF18" s="835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3"/>
      <c r="AB33" s="543"/>
      <c r="AC33" s="543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160</v>
      </c>
      <c r="Y41" s="55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40</v>
      </c>
      <c r="Y43" s="551">
        <f>IFERROR(Y40/H40,"0")+IFERROR(Y41/H41,"0")+IFERROR(Y42/H42,"0")</f>
        <v>40</v>
      </c>
      <c r="Z43" s="551">
        <f>IFERROR(IF(Z40="",0,Z40),"0")+IFERROR(IF(Z41="",0,Z41),"0")+IFERROR(IF(Z42="",0,Z42),"0")</f>
        <v>0.36080000000000001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160</v>
      </c>
      <c r="Y44" s="551">
        <f>IFERROR(SUM(Y40:Y42),"0")</f>
        <v>160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3"/>
      <c r="AB45" s="543"/>
      <c r="AC45" s="543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225</v>
      </c>
      <c r="Y56" s="55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50</v>
      </c>
      <c r="Y57" s="551">
        <f>IFERROR(Y51/H51,"0")+IFERROR(Y52/H52,"0")+IFERROR(Y53/H53,"0")+IFERROR(Y54/H54,"0")+IFERROR(Y55/H55,"0")+IFERROR(Y56/H56,"0")</f>
        <v>50</v>
      </c>
      <c r="Z57" s="551">
        <f>IFERROR(IF(Z51="",0,Z51),"0")+IFERROR(IF(Z52="",0,Z52),"0")+IFERROR(IF(Z53="",0,Z53),"0")+IFERROR(IF(Z54="",0,Z54),"0")+IFERROR(IF(Z55="",0,Z55),"0")+IFERROR(IF(Z56="",0,Z56),"0")</f>
        <v>0.45100000000000001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225</v>
      </c>
      <c r="Y58" s="551">
        <f>IFERROR(SUM(Y51:Y56),"0")</f>
        <v>225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100</v>
      </c>
      <c r="Y60" s="55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90</v>
      </c>
      <c r="Y62" s="550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42.592592592592588</v>
      </c>
      <c r="Y63" s="551">
        <f>IFERROR(Y60/H60,"0")+IFERROR(Y61/H61,"0")+IFERROR(Y62/H62,"0")</f>
        <v>44</v>
      </c>
      <c r="Z63" s="551">
        <f>IFERROR(IF(Z60="",0,Z60),"0")+IFERROR(IF(Z61="",0,Z61),"0")+IFERROR(IF(Z62="",0,Z62),"0")</f>
        <v>0.41114000000000001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190</v>
      </c>
      <c r="Y64" s="551">
        <f>IFERROR(SUM(Y60:Y62),"0")</f>
        <v>199.8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3"/>
      <c r="AB65" s="543"/>
      <c r="AC65" s="543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3"/>
      <c r="AB70" s="543"/>
      <c r="AC70" s="543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225</v>
      </c>
      <c r="Y87" s="55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50</v>
      </c>
      <c r="Y88" s="551">
        <f>IFERROR(Y84/H84,"0")+IFERROR(Y85/H85,"0")+IFERROR(Y86/H86,"0")+IFERROR(Y87/H87,"0")</f>
        <v>50</v>
      </c>
      <c r="Z88" s="551">
        <f>IFERROR(IF(Z84="",0,Z84),"0")+IFERROR(IF(Z85="",0,Z85),"0")+IFERROR(IF(Z86="",0,Z86),"0")+IFERROR(IF(Z87="",0,Z87),"0")</f>
        <v>0.45100000000000001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225</v>
      </c>
      <c r="Y89" s="551">
        <f>IFERROR(SUM(Y84:Y87),"0")</f>
        <v>225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150</v>
      </c>
      <c r="Y91" s="550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180</v>
      </c>
      <c r="Y93" s="550">
        <f>IFERROR(IF(X93="",0,CEILING((X93/$H93),1)*$H93),"")</f>
        <v>180.9</v>
      </c>
      <c r="Z93" s="36">
        <f>IFERROR(IF(Y93=0,"",ROUNDUP(Y93/H93,0)*0.00651),"")</f>
        <v>0.43617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196.79999999999998</v>
      </c>
      <c r="BN93" s="64">
        <f>IFERROR(Y93*I93/H93,"0")</f>
        <v>197.78399999999999</v>
      </c>
      <c r="BO93" s="64">
        <f>IFERROR(1/J93*(X93/H93),"0")</f>
        <v>0.36630036630036628</v>
      </c>
      <c r="BP93" s="64">
        <f>IFERROR(1/J93*(Y93/H93),"0")</f>
        <v>0.36813186813186816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85.185185185185176</v>
      </c>
      <c r="Y95" s="551">
        <f>IFERROR(Y91/H91,"0")+IFERROR(Y92/H92,"0")+IFERROR(Y93/H93,"0")+IFERROR(Y94/H94,"0")</f>
        <v>86</v>
      </c>
      <c r="Z95" s="551">
        <f>IFERROR(IF(Z91="",0,Z91),"0")+IFERROR(IF(Z92="",0,Z92),"0")+IFERROR(IF(Z93="",0,Z93),"0")+IFERROR(IF(Z94="",0,Z94),"0")</f>
        <v>0.79679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330</v>
      </c>
      <c r="Y96" s="551">
        <f>IFERROR(SUM(Y91:Y94),"0")</f>
        <v>334.8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180</v>
      </c>
      <c r="Y102" s="550">
        <f>IFERROR(IF(X102="",0,CEILING((X102/$H102),1)*$H102),"")</f>
        <v>180</v>
      </c>
      <c r="Z102" s="36">
        <f>IFERROR(IF(Y102=0,"",ROUNDUP(Y102/H102,0)*0.00902),"")</f>
        <v>0.36080000000000001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187.60000000000002</v>
      </c>
      <c r="BN102" s="64">
        <f>IFERROR(Y102*I102/H102,"0")</f>
        <v>187.60000000000002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40</v>
      </c>
      <c r="Y104" s="551">
        <f>IFERROR(Y99/H99,"0")+IFERROR(Y100/H100,"0")+IFERROR(Y101/H101,"0")+IFERROR(Y102/H102,"0")+IFERROR(Y103/H103,"0")</f>
        <v>40</v>
      </c>
      <c r="Z104" s="551">
        <f>IFERROR(IF(Z99="",0,Z99),"0")+IFERROR(IF(Z100="",0,Z100),"0")+IFERROR(IF(Z101="",0,Z101),"0")+IFERROR(IF(Z102="",0,Z102),"0")+IFERROR(IF(Z103="",0,Z103),"0")</f>
        <v>0.36080000000000001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180</v>
      </c>
      <c r="Y105" s="551">
        <f>IFERROR(SUM(Y99:Y103),"0")</f>
        <v>180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3"/>
      <c r="AB106" s="543"/>
      <c r="AC106" s="543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450</v>
      </c>
      <c r="Y116" s="550">
        <f>IFERROR(IF(X116="",0,CEILING((X116/$H116),1)*$H116),"")</f>
        <v>450.90000000000003</v>
      </c>
      <c r="Z116" s="36">
        <f>IFERROR(IF(Y116=0,"",ROUNDUP(Y116/H116,0)*0.00651),"")</f>
        <v>1.08717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492</v>
      </c>
      <c r="BN116" s="64">
        <f>IFERROR(Y116*I116/H116,"0")</f>
        <v>492.98399999999998</v>
      </c>
      <c r="BO116" s="64">
        <f>IFERROR(1/J116*(X116/H116),"0")</f>
        <v>0.91575091575091572</v>
      </c>
      <c r="BP116" s="64">
        <f>IFERROR(1/J116*(Y116/H116),"0")</f>
        <v>0.91758241758241765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179.01234567901233</v>
      </c>
      <c r="Y118" s="551">
        <f>IFERROR(Y114/H114,"0")+IFERROR(Y115/H115,"0")+IFERROR(Y116/H116,"0")+IFERROR(Y117/H117,"0")</f>
        <v>180</v>
      </c>
      <c r="Z118" s="551">
        <f>IFERROR(IF(Z114="",0,Z114),"0")+IFERROR(IF(Z115="",0,Z115),"0")+IFERROR(IF(Z116="",0,Z116),"0")+IFERROR(IF(Z117="",0,Z117),"0")</f>
        <v>1.3339099999999999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550</v>
      </c>
      <c r="Y119" s="551">
        <f>IFERROR(SUM(Y114:Y117),"0")</f>
        <v>556.20000000000005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33</v>
      </c>
      <c r="Y121" s="550">
        <f>IFERROR(IF(X121="",0,CEILING((X121/$H121),1)*$H121),"")</f>
        <v>33.659999999999997</v>
      </c>
      <c r="Z121" s="36">
        <f>IFERROR(IF(Y121=0,"",ROUNDUP(Y121/H121,0)*0.00651),"")</f>
        <v>0.11067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37.299999999999997</v>
      </c>
      <c r="BN121" s="64">
        <f>IFERROR(Y121*I121/H121,"0")</f>
        <v>38.045999999999992</v>
      </c>
      <c r="BO121" s="64">
        <f>IFERROR(1/J121*(X121/H121),"0")</f>
        <v>9.1575091575091583E-2</v>
      </c>
      <c r="BP121" s="64">
        <f>IFERROR(1/J121*(Y121/H121),"0")</f>
        <v>9.3406593406593408E-2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16.666666666666668</v>
      </c>
      <c r="Y122" s="551">
        <f>IFERROR(Y121/H121,"0")</f>
        <v>17</v>
      </c>
      <c r="Z122" s="551">
        <f>IFERROR(IF(Z121="",0,Z121),"0")</f>
        <v>0.11067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33</v>
      </c>
      <c r="Y123" s="551">
        <f>IFERROR(SUM(Y121:Y121),"0")</f>
        <v>33.659999999999997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40</v>
      </c>
      <c r="Y126" s="550">
        <f>IFERROR(IF(X126="",0,CEILING((X126/$H126),1)*$H126),"")</f>
        <v>41.6</v>
      </c>
      <c r="Z126" s="36">
        <f>IFERROR(IF(Y126=0,"",ROUNDUP(Y126/H126,0)*0.00651),"")</f>
        <v>8.4629999999999997E-2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42.249999999999993</v>
      </c>
      <c r="BN126" s="64">
        <f>IFERROR(Y126*I126/H126,"0")</f>
        <v>43.94</v>
      </c>
      <c r="BO126" s="64">
        <f>IFERROR(1/J126*(X126/H126),"0")</f>
        <v>6.8681318681318687E-2</v>
      </c>
      <c r="BP126" s="64">
        <f>IFERROR(1/J126*(Y126/H126),"0")</f>
        <v>7.1428571428571438E-2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12.5</v>
      </c>
      <c r="Y128" s="551">
        <f>IFERROR(Y126/H126,"0")+IFERROR(Y127/H127,"0")</f>
        <v>13</v>
      </c>
      <c r="Z128" s="551">
        <f>IFERROR(IF(Z126="",0,Z126),"0")+IFERROR(IF(Z127="",0,Z127),"0")</f>
        <v>8.4629999999999997E-2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40</v>
      </c>
      <c r="Y129" s="551">
        <f>IFERROR(SUM(Y126:Y127),"0")</f>
        <v>41.6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35</v>
      </c>
      <c r="Y132" s="550">
        <f>IFERROR(IF(X132="",0,CEILING((X132/$H132),1)*$H132),"")</f>
        <v>36.4</v>
      </c>
      <c r="Z132" s="36">
        <f>IFERROR(IF(Y132=0,"",ROUNDUP(Y132/H132,0)*0.00651),"")</f>
        <v>8.4629999999999997E-2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38.35</v>
      </c>
      <c r="BN132" s="64">
        <f>IFERROR(Y132*I132/H132,"0")</f>
        <v>39.884</v>
      </c>
      <c r="BO132" s="64">
        <f>IFERROR(1/J132*(X132/H132),"0")</f>
        <v>6.8681318681318687E-2</v>
      </c>
      <c r="BP132" s="64">
        <f>IFERROR(1/J132*(Y132/H132),"0")</f>
        <v>7.1428571428571438E-2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12.5</v>
      </c>
      <c r="Y133" s="551">
        <f>IFERROR(Y131/H131,"0")+IFERROR(Y132/H132,"0")</f>
        <v>13</v>
      </c>
      <c r="Z133" s="551">
        <f>IFERROR(IF(Z131="",0,Z131),"0")+IFERROR(IF(Z132="",0,Z132),"0")</f>
        <v>8.4629999999999997E-2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35</v>
      </c>
      <c r="Y134" s="551">
        <f>IFERROR(SUM(Y131:Y132),"0")</f>
        <v>36.4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33</v>
      </c>
      <c r="Y137" s="550">
        <f>IFERROR(IF(X137="",0,CEILING((X137/$H137),1)*$H137),"")</f>
        <v>34.32</v>
      </c>
      <c r="Z137" s="36">
        <f>IFERROR(IF(Y137=0,"",ROUNDUP(Y137/H137,0)*0.00651),"")</f>
        <v>8.4629999999999997E-2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36.349999999999994</v>
      </c>
      <c r="BN137" s="64">
        <f>IFERROR(Y137*I137/H137,"0")</f>
        <v>37.803999999999995</v>
      </c>
      <c r="BO137" s="64">
        <f>IFERROR(1/J137*(X137/H137),"0")</f>
        <v>6.8681318681318687E-2</v>
      </c>
      <c r="BP137" s="64">
        <f>IFERROR(1/J137*(Y137/H137),"0")</f>
        <v>7.1428571428571438E-2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12.5</v>
      </c>
      <c r="Y138" s="551">
        <f>IFERROR(Y136/H136,"0")+IFERROR(Y137/H137,"0")</f>
        <v>13</v>
      </c>
      <c r="Z138" s="551">
        <f>IFERROR(IF(Z136="",0,Z136),"0")+IFERROR(IF(Z137="",0,Z137),"0")</f>
        <v>8.4629999999999997E-2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33</v>
      </c>
      <c r="Y139" s="551">
        <f>IFERROR(SUM(Y136:Y137),"0")</f>
        <v>34.32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3"/>
      <c r="AB155" s="543"/>
      <c r="AC155" s="543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70</v>
      </c>
      <c r="Y172" s="550">
        <f t="shared" si="10"/>
        <v>71.400000000000006</v>
      </c>
      <c r="Z172" s="36">
        <f>IFERROR(IF(Y172=0,"",ROUNDUP(Y172/H172,0)*0.00502),"")</f>
        <v>0.17068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74.333333333333329</v>
      </c>
      <c r="BN172" s="64">
        <f t="shared" si="12"/>
        <v>75.820000000000007</v>
      </c>
      <c r="BO172" s="64">
        <f t="shared" si="13"/>
        <v>0.14245014245014245</v>
      </c>
      <c r="BP172" s="64">
        <f t="shared" si="14"/>
        <v>0.14529914529914531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105</v>
      </c>
      <c r="Y177" s="550">
        <f t="shared" si="10"/>
        <v>105</v>
      </c>
      <c r="Z177" s="36">
        <f>IFERROR(IF(Y177=0,"",ROUNDUP(Y177/H177,0)*0.00502),"")</f>
        <v>0.251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110.00000000000001</v>
      </c>
      <c r="BN177" s="64">
        <f t="shared" si="12"/>
        <v>110.00000000000001</v>
      </c>
      <c r="BO177" s="64">
        <f t="shared" si="13"/>
        <v>0.21367521367521369</v>
      </c>
      <c r="BP177" s="64">
        <f t="shared" si="14"/>
        <v>0.21367521367521369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83.333333333333329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84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0.42168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175</v>
      </c>
      <c r="Y181" s="551">
        <f>IFERROR(SUM(Y166:Y179),"0")</f>
        <v>176.4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3"/>
      <c r="AB193" s="543"/>
      <c r="AC193" s="543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3"/>
      <c r="AB198" s="543"/>
      <c r="AC198" s="543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50</v>
      </c>
      <c r="Y204" s="550">
        <f t="shared" ref="Y204:Y211" si="15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51.759259259259252</v>
      </c>
      <c r="BN204" s="64">
        <f t="shared" ref="BN204:BN211" si="17">IFERROR(Y204*I204/H204,"0")</f>
        <v>55.9</v>
      </c>
      <c r="BO204" s="64">
        <f t="shared" ref="BO204:BO211" si="18">IFERROR(1/J204*(X204/H204),"0")</f>
        <v>7.0145903479236812E-2</v>
      </c>
      <c r="BP204" s="64">
        <f t="shared" ref="BP204:BP211" si="19">IFERROR(1/J204*(Y204/H204),"0")</f>
        <v>7.575757575757576E-2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200</v>
      </c>
      <c r="Y206" s="550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50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30</v>
      </c>
      <c r="Y208" s="550">
        <f t="shared" si="15"/>
        <v>30.6</v>
      </c>
      <c r="Z208" s="36">
        <f>IFERROR(IF(Y208=0,"",ROUNDUP(Y208/H208,0)*0.00502),"")</f>
        <v>8.5339999999999999E-2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32.166666666666664</v>
      </c>
      <c r="BN208" s="64">
        <f t="shared" si="17"/>
        <v>32.81</v>
      </c>
      <c r="BO208" s="64">
        <f t="shared" si="18"/>
        <v>7.122507122507124E-2</v>
      </c>
      <c r="BP208" s="64">
        <f t="shared" si="19"/>
        <v>7.2649572649572655E-2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30</v>
      </c>
      <c r="Y209" s="550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31.666666666666664</v>
      </c>
      <c r="BN209" s="64">
        <f t="shared" si="17"/>
        <v>32.299999999999997</v>
      </c>
      <c r="BO209" s="64">
        <f t="shared" si="18"/>
        <v>7.122507122507124E-2</v>
      </c>
      <c r="BP209" s="64">
        <f t="shared" si="19"/>
        <v>7.2649572649572655E-2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30</v>
      </c>
      <c r="Y210" s="550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30</v>
      </c>
      <c r="Y211" s="550">
        <f t="shared" si="15"/>
        <v>30.6</v>
      </c>
      <c r="Z211" s="36">
        <f>IFERROR(IF(Y211=0,"",ROUNDUP(Y211/H211,0)*0.00502),"")</f>
        <v>8.5339999999999999E-2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31.666666666666664</v>
      </c>
      <c r="BN211" s="64">
        <f t="shared" si="17"/>
        <v>32.299999999999997</v>
      </c>
      <c r="BO211" s="64">
        <f t="shared" si="18"/>
        <v>7.122507122507124E-2</v>
      </c>
      <c r="BP211" s="64">
        <f t="shared" si="19"/>
        <v>7.2649572649572655E-2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122.22222222222224</v>
      </c>
      <c r="Y212" s="551">
        <f>IFERROR(Y204/H204,"0")+IFERROR(Y205/H205,"0")+IFERROR(Y206/H206,"0")+IFERROR(Y207/H207,"0")+IFERROR(Y208/H208,"0")+IFERROR(Y209/H209,"0")+IFERROR(Y210/H210,"0")+IFERROR(Y211/H211,"0")</f>
        <v>126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0.86451999999999996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420</v>
      </c>
      <c r="Y213" s="551">
        <f>IFERROR(SUM(Y204:Y211),"0")</f>
        <v>435.60000000000014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3"/>
      <c r="AB214" s="543"/>
      <c r="AC214" s="543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120</v>
      </c>
      <c r="Y218" s="550">
        <f t="shared" si="20"/>
        <v>120</v>
      </c>
      <c r="Z218" s="36">
        <f t="shared" ref="Z218:Z223" si="25">IFERROR(IF(Y218=0,"",ROUNDUP(Y218/H218,0)*0.00651),"")</f>
        <v>0.32550000000000001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133.5</v>
      </c>
      <c r="BN218" s="64">
        <f t="shared" si="22"/>
        <v>133.5</v>
      </c>
      <c r="BO218" s="64">
        <f t="shared" si="23"/>
        <v>0.27472527472527475</v>
      </c>
      <c r="BP218" s="64">
        <f t="shared" si="24"/>
        <v>0.27472527472527475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120</v>
      </c>
      <c r="Y220" s="550">
        <f t="shared" si="20"/>
        <v>120</v>
      </c>
      <c r="Z220" s="36">
        <f t="shared" si="25"/>
        <v>0.32550000000000001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132.60000000000002</v>
      </c>
      <c r="BN220" s="64">
        <f t="shared" si="22"/>
        <v>132.60000000000002</v>
      </c>
      <c r="BO220" s="64">
        <f t="shared" si="23"/>
        <v>0.27472527472527475</v>
      </c>
      <c r="BP220" s="64">
        <f t="shared" si="24"/>
        <v>0.27472527472527475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60</v>
      </c>
      <c r="Y222" s="550">
        <f t="shared" si="20"/>
        <v>60</v>
      </c>
      <c r="Z222" s="36">
        <f t="shared" si="25"/>
        <v>0.16275000000000001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66.300000000000011</v>
      </c>
      <c r="BN222" s="64">
        <f t="shared" si="22"/>
        <v>66.300000000000011</v>
      </c>
      <c r="BO222" s="64">
        <f t="shared" si="23"/>
        <v>0.13736263736263737</v>
      </c>
      <c r="BP222" s="64">
        <f t="shared" si="24"/>
        <v>0.13736263736263737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186.49425287356323</v>
      </c>
      <c r="Y224" s="551">
        <f>IFERROR(Y215/H215,"0")+IFERROR(Y216/H216,"0")+IFERROR(Y217/H217,"0")+IFERROR(Y218/H218,"0")+IFERROR(Y219/H219,"0")+IFERROR(Y220/H220,"0")+IFERROR(Y221/H221,"0")+IFERROR(Y222/H222,"0")+IFERROR(Y223/H223,"0")</f>
        <v>187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1.3670100000000001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520</v>
      </c>
      <c r="Y225" s="551">
        <f>IFERROR(SUM(Y215:Y223),"0")</f>
        <v>524.4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3"/>
      <c r="AB244" s="543"/>
      <c r="AC244" s="543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3"/>
      <c r="AB252" s="543"/>
      <c r="AC252" s="543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3"/>
      <c r="AB261" s="543"/>
      <c r="AC261" s="543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3"/>
      <c r="AB270" s="543"/>
      <c r="AC270" s="543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3"/>
      <c r="AB278" s="543"/>
      <c r="AC278" s="543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80</v>
      </c>
      <c r="Y281" s="550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86</v>
      </c>
      <c r="BN281" s="64">
        <f>IFERROR(Y281*I281/H281,"0")</f>
        <v>87.72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50</v>
      </c>
      <c r="Y282" s="551">
        <f>IFERROR(Y279/H279,"0")+IFERROR(Y280/H280,"0")+IFERROR(Y281/H281,"0")</f>
        <v>51</v>
      </c>
      <c r="Z282" s="551">
        <f>IFERROR(IF(Z279="",0,Z279),"0")+IFERROR(IF(Z280="",0,Z280),"0")+IFERROR(IF(Z281="",0,Z281),"0")</f>
        <v>0.33201000000000003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120</v>
      </c>
      <c r="Y283" s="551">
        <f>IFERROR(SUM(Y279:Y281),"0")</f>
        <v>122.39999999999999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3"/>
      <c r="AB285" s="543"/>
      <c r="AC285" s="543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3"/>
      <c r="AB290" s="543"/>
      <c r="AC290" s="543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3"/>
      <c r="AB296" s="543"/>
      <c r="AC296" s="543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140</v>
      </c>
      <c r="Y309" s="550">
        <f t="shared" si="31"/>
        <v>140.70000000000002</v>
      </c>
      <c r="Z309" s="36">
        <f>IFERROR(IF(Y309=0,"",ROUNDUP(Y309/H309,0)*0.00502),"")</f>
        <v>0.33634000000000003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146.66666666666666</v>
      </c>
      <c r="BN309" s="64">
        <f t="shared" si="33"/>
        <v>147.40000000000003</v>
      </c>
      <c r="BO309" s="64">
        <f t="shared" si="34"/>
        <v>0.28490028490028491</v>
      </c>
      <c r="BP309" s="64">
        <f t="shared" si="35"/>
        <v>0.28632478632478636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66.666666666666657</v>
      </c>
      <c r="Y311" s="551">
        <f>IFERROR(Y305/H305,"0")+IFERROR(Y306/H306,"0")+IFERROR(Y307/H307,"0")+IFERROR(Y308/H308,"0")+IFERROR(Y309/H309,"0")+IFERROR(Y310/H310,"0")</f>
        <v>67</v>
      </c>
      <c r="Z311" s="551">
        <f>IFERROR(IF(Z305="",0,Z305),"0")+IFERROR(IF(Z306="",0,Z306),"0")+IFERROR(IF(Z307="",0,Z307),"0")+IFERROR(IF(Z308="",0,Z308),"0")+IFERROR(IF(Z309="",0,Z309),"0")+IFERROR(IF(Z310="",0,Z310),"0")</f>
        <v>0.33634000000000003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140</v>
      </c>
      <c r="Y312" s="551">
        <f>IFERROR(SUM(Y305:Y310),"0")</f>
        <v>140.70000000000002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150</v>
      </c>
      <c r="Y323" s="550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72.710622710622715</v>
      </c>
      <c r="Y324" s="551">
        <f>IFERROR(Y321/H321,"0")+IFERROR(Y322/H322,"0")+IFERROR(Y323/H323,"0")</f>
        <v>74</v>
      </c>
      <c r="Z324" s="551">
        <f>IFERROR(IF(Z321="",0,Z321),"0")+IFERROR(IF(Z322="",0,Z322),"0")+IFERROR(IF(Z323="",0,Z323),"0")</f>
        <v>1.40452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580</v>
      </c>
      <c r="Y325" s="551">
        <f>IFERROR(SUM(Y321:Y323),"0")</f>
        <v>590.4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350</v>
      </c>
      <c r="Y342" s="550">
        <f>IFERROR(IF(X342="",0,CEILING((X342/$H342),1)*$H342),"")</f>
        <v>350.7</v>
      </c>
      <c r="Z342" s="36">
        <f>IFERROR(IF(Y342=0,"",ROUNDUP(Y342/H342,0)*0.00651),"")</f>
        <v>1.08717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391.99999999999994</v>
      </c>
      <c r="BN342" s="64">
        <f>IFERROR(Y342*I342/H342,"0")</f>
        <v>392.78399999999993</v>
      </c>
      <c r="BO342" s="64">
        <f>IFERROR(1/J342*(X342/H342),"0")</f>
        <v>0.91575091575091572</v>
      </c>
      <c r="BP342" s="64">
        <f>IFERROR(1/J342*(Y342/H342),"0")</f>
        <v>0.91758241758241765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350</v>
      </c>
      <c r="Y343" s="550">
        <f>IFERROR(IF(X343="",0,CEILING((X343/$H343),1)*$H343),"")</f>
        <v>350.7</v>
      </c>
      <c r="Z343" s="36">
        <f>IFERROR(IF(Y343=0,"",ROUNDUP(Y343/H343,0)*0.00651),"")</f>
        <v>1.08717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390</v>
      </c>
      <c r="BN343" s="64">
        <f>IFERROR(Y343*I343/H343,"0")</f>
        <v>390.78</v>
      </c>
      <c r="BO343" s="64">
        <f>IFERROR(1/J343*(X343/H343),"0")</f>
        <v>0.91575091575091572</v>
      </c>
      <c r="BP343" s="64">
        <f>IFERROR(1/J343*(Y343/H343),"0")</f>
        <v>0.91758241758241765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333.33333333333331</v>
      </c>
      <c r="Y344" s="551">
        <f>IFERROR(Y341/H341,"0")+IFERROR(Y342/H342,"0")+IFERROR(Y343/H343,"0")</f>
        <v>334</v>
      </c>
      <c r="Z344" s="551">
        <f>IFERROR(IF(Z341="",0,Z341),"0")+IFERROR(IF(Z342="",0,Z342),"0")+IFERROR(IF(Z343="",0,Z343),"0")</f>
        <v>2.1743399999999999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700</v>
      </c>
      <c r="Y345" s="551">
        <f>IFERROR(SUM(Y341:Y343),"0")</f>
        <v>701.4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1400</v>
      </c>
      <c r="Y350" s="550">
        <f t="shared" si="36"/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1443.8666666666666</v>
      </c>
      <c r="BN350" s="64">
        <f t="shared" si="38"/>
        <v>1454.18</v>
      </c>
      <c r="BO350" s="64">
        <f t="shared" si="39"/>
        <v>1.9444444444444442</v>
      </c>
      <c r="BP350" s="64">
        <f t="shared" si="40"/>
        <v>1.9583333333333333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1000</v>
      </c>
      <c r="Y351" s="550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226.66666666666669</v>
      </c>
      <c r="Y356" s="551">
        <f>IFERROR(Y349/H349,"0")+IFERROR(Y350/H350,"0")+IFERROR(Y351/H351,"0")+IFERROR(Y352/H352,"0")+IFERROR(Y353/H353,"0")+IFERROR(Y354/H354,"0")+IFERROR(Y355/H355,"0")</f>
        <v>228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4.9589999999999996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3400</v>
      </c>
      <c r="Y357" s="551">
        <f>IFERROR(SUM(Y349:Y355),"0")</f>
        <v>3420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4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17.5</v>
      </c>
      <c r="Y396" s="550">
        <f t="shared" si="41"/>
        <v>18.900000000000002</v>
      </c>
      <c r="Z396" s="36">
        <f t="shared" si="46"/>
        <v>4.5179999999999998E-2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18.583333333333332</v>
      </c>
      <c r="BN396" s="64">
        <f t="shared" si="43"/>
        <v>20.07</v>
      </c>
      <c r="BO396" s="64">
        <f t="shared" si="44"/>
        <v>3.5612535612535613E-2</v>
      </c>
      <c r="BP396" s="64">
        <f t="shared" si="45"/>
        <v>3.8461538461538464E-2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8.3333333333333321</v>
      </c>
      <c r="Y401" s="551">
        <f>IFERROR(Y392/H392,"0")+IFERROR(Y393/H393,"0")+IFERROR(Y394/H394,"0")+IFERROR(Y395/H395,"0")+IFERROR(Y396/H396,"0")+IFERROR(Y397/H397,"0")+IFERROR(Y398/H398,"0")+IFERROR(Y399/H399,"0")+IFERROR(Y400/H400,"0")</f>
        <v>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4.5179999999999998E-2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17.5</v>
      </c>
      <c r="Y402" s="551">
        <f>IFERROR(SUM(Y392:Y400),"0")</f>
        <v>18.900000000000002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70</v>
      </c>
      <c r="Y428" s="550">
        <f t="shared" ref="Y428:Y439" si="47">IFERROR(IF(X428="",0,CEILING((X428/$H428),1)*$H428),"")</f>
        <v>73.92</v>
      </c>
      <c r="Z428" s="36">
        <f t="shared" ref="Z428:Z434" si="48">IFERROR(IF(Y428=0,"",ROUNDUP(Y428/H428,0)*0.01196),"")</f>
        <v>0.16744000000000001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74.640151515151501</v>
      </c>
      <c r="BN428" s="64">
        <f t="shared" ref="BN428:BN439" si="50">IFERROR(Y428*I428/H428,"0")</f>
        <v>78.819999999999993</v>
      </c>
      <c r="BO428" s="64">
        <f t="shared" ref="BO428:BO439" si="51">IFERROR(1/J428*(X428/H428),"0")</f>
        <v>0.12747668997668998</v>
      </c>
      <c r="BP428" s="64">
        <f t="shared" ref="BP428:BP439" si="52">IFERROR(1/J428*(Y428/H428),"0")</f>
        <v>0.13461538461538464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200</v>
      </c>
      <c r="Y432" s="550">
        <f t="shared" si="47"/>
        <v>200.64000000000001</v>
      </c>
      <c r="Z432" s="36">
        <f t="shared" si="48"/>
        <v>0.45448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47"/>
        <v>200.64000000000001</v>
      </c>
      <c r="Z434" s="36">
        <f t="shared" si="48"/>
        <v>0.45448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213.25757575757575</v>
      </c>
      <c r="BN434" s="64">
        <f t="shared" si="50"/>
        <v>213.94</v>
      </c>
      <c r="BO434" s="64">
        <f t="shared" si="51"/>
        <v>0.36421911421911418</v>
      </c>
      <c r="BP434" s="64">
        <f t="shared" si="52"/>
        <v>0.36538461538461542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90</v>
      </c>
      <c r="Y436" s="550">
        <f t="shared" si="47"/>
        <v>91.2</v>
      </c>
      <c r="Z436" s="36">
        <f>IFERROR(IF(Y436=0,"",ROUNDUP(Y436/H436,0)*0.00902),"")</f>
        <v>0.17138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129.5625</v>
      </c>
      <c r="BN436" s="64">
        <f t="shared" si="50"/>
        <v>131.29000000000002</v>
      </c>
      <c r="BO436" s="64">
        <f t="shared" si="51"/>
        <v>0.14204545454545456</v>
      </c>
      <c r="BP436" s="64">
        <f t="shared" si="52"/>
        <v>0.14393939393939395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60</v>
      </c>
      <c r="Y439" s="550">
        <f t="shared" si="47"/>
        <v>62.4</v>
      </c>
      <c r="Z439" s="36">
        <f>IFERROR(IF(Y439=0,"",ROUNDUP(Y439/H439,0)*0.00902),"")</f>
        <v>0.11726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86.375000000000014</v>
      </c>
      <c r="BN439" s="64">
        <f t="shared" si="50"/>
        <v>89.830000000000013</v>
      </c>
      <c r="BO439" s="64">
        <f t="shared" si="51"/>
        <v>9.4696969696969696E-2</v>
      </c>
      <c r="BP439" s="64">
        <f t="shared" si="52"/>
        <v>9.8484848484848481E-2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120.2651515151515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1.36504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620</v>
      </c>
      <c r="Y441" s="551">
        <f>IFERROR(SUM(Y428:Y439),"0")</f>
        <v>628.80000000000007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100</v>
      </c>
      <c r="Y449" s="550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50</v>
      </c>
      <c r="Y450" s="550">
        <f t="shared" si="53"/>
        <v>52.800000000000004</v>
      </c>
      <c r="Z450" s="36">
        <f>IFERROR(IF(Y450=0,"",ROUNDUP(Y450/H450,0)*0.01196),"")</f>
        <v>0.1196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53.314393939393938</v>
      </c>
      <c r="BN450" s="64">
        <f t="shared" si="55"/>
        <v>56.3</v>
      </c>
      <c r="BO450" s="64">
        <f t="shared" si="56"/>
        <v>9.1054778554778545E-2</v>
      </c>
      <c r="BP450" s="64">
        <f t="shared" si="57"/>
        <v>9.6153846153846159E-2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48</v>
      </c>
      <c r="Y454" s="550">
        <f t="shared" si="53"/>
        <v>48</v>
      </c>
      <c r="Z454" s="36">
        <f>IFERROR(IF(Y454=0,"",ROUNDUP(Y454/H454,0)*0.00902),"")</f>
        <v>9.0200000000000002E-2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66.7</v>
      </c>
      <c r="BN454" s="64">
        <f t="shared" si="55"/>
        <v>66.7</v>
      </c>
      <c r="BO454" s="64">
        <f t="shared" si="56"/>
        <v>7.575757575757576E-2</v>
      </c>
      <c r="BP454" s="64">
        <f t="shared" si="57"/>
        <v>7.575757575757576E-2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38.409090909090907</v>
      </c>
      <c r="Y455" s="551">
        <f>IFERROR(Y449/H449,"0")+IFERROR(Y450/H450,"0")+IFERROR(Y451/H451,"0")+IFERROR(Y452/H452,"0")+IFERROR(Y453/H453,"0")+IFERROR(Y454/H454,"0")</f>
        <v>39</v>
      </c>
      <c r="Z455" s="551">
        <f>IFERROR(IF(Z449="",0,Z449),"0")+IFERROR(IF(Z450="",0,Z450),"0")+IFERROR(IF(Z451="",0,Z451),"0")+IFERROR(IF(Z452="",0,Z452),"0")+IFERROR(IF(Z453="",0,Z453),"0")+IFERROR(IF(Z454="",0,Z454),"0")</f>
        <v>0.43703999999999998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198</v>
      </c>
      <c r="Y456" s="551">
        <f>IFERROR(SUM(Y449:Y454),"0")</f>
        <v>201.12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3"/>
      <c r="AB457" s="543"/>
      <c r="AC457" s="543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3"/>
      <c r="AB463" s="543"/>
      <c r="AC463" s="543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3"/>
      <c r="AB470" s="543"/>
      <c r="AC470" s="543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3"/>
      <c r="AB483" s="543"/>
      <c r="AC483" s="543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3"/>
      <c r="AB489" s="543"/>
      <c r="AC489" s="543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11091.5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11200.539999999999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11768.37101605823</v>
      </c>
      <c r="Y494" s="551">
        <f>IFERROR(SUM(BN22:BN490),"0")</f>
        <v>11884.472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20</v>
      </c>
      <c r="Y495" s="38">
        <f>ROUNDUP(SUM(BP22:BP490),0)</f>
        <v>20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12268.37101605823</v>
      </c>
      <c r="Y496" s="551">
        <f>GrossWeightTotalR+PalletQtyTotalR*25</f>
        <v>12384.472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2065.0480293440069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2084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22.274169999999994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1" t="s">
        <v>658</v>
      </c>
      <c r="Y500" s="589" t="s">
        <v>713</v>
      </c>
      <c r="Z500" s="742"/>
      <c r="AB500" s="52"/>
      <c r="AC500" s="52"/>
      <c r="AF500" s="542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2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2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2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160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424.8</v>
      </c>
      <c r="E503" s="46">
        <f>IFERROR(Y84*1,"0")+IFERROR(Y85*1,"0")+IFERROR(Y86*1,"0")+IFERROR(Y87*1,"0")+IFERROR(Y91*1,"0")+IFERROR(Y92*1,"0")+IFERROR(Y93*1,"0")+IFERROR(Y94*1,"0")</f>
        <v>559.79999999999995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769.86</v>
      </c>
      <c r="G503" s="46">
        <f>IFERROR(Y126*1,"0")+IFERROR(Y127*1,"0")+IFERROR(Y131*1,"0")+IFERROR(Y132*1,"0")+IFERROR(Y136*1,"0")+IFERROR(Y137*1,"0")</f>
        <v>112.32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176.4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960.00000000000011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122.39999999999999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731.1</v>
      </c>
      <c r="R503" s="46">
        <f>IFERROR(Y341*1,"0")+IFERROR(Y342*1,"0")+IFERROR(Y343*1,"0")</f>
        <v>701.4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4425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18.900000000000002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1030.56</v>
      </c>
      <c r="Y503" s="46">
        <f>IFERROR(Y464*1,"0")+IFERROR(Y465*1,"0")+IFERROR(Y466*1,"0")+IFERROR(Y467*1,"0")+IFERROR(Y471*1,"0")+IFERROR(Y472*1,"0")+IFERROR(Y476*1,"0")+IFERROR(Y480*1,"0")+IFERROR(Y484*1,"0")+IFERROR(Y485*1,"0")</f>
        <v>1008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P289:V289"/>
    <mergeCell ref="P68:V68"/>
    <mergeCell ref="D249:E249"/>
    <mergeCell ref="P262:T262"/>
    <mergeCell ref="D170:E170"/>
    <mergeCell ref="D341:E341"/>
    <mergeCell ref="A31:O32"/>
    <mergeCell ref="P34:T34"/>
    <mergeCell ref="D86:E86"/>
    <mergeCell ref="D257:E257"/>
    <mergeCell ref="P341:T341"/>
    <mergeCell ref="D384:E384"/>
    <mergeCell ref="D151:E151"/>
    <mergeCell ref="A387:O388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D438:E438"/>
    <mergeCell ref="A340:Z340"/>
    <mergeCell ref="D359:E359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A6:C6"/>
    <mergeCell ref="D309:E309"/>
    <mergeCell ref="P416:T416"/>
    <mergeCell ref="P167:T167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A246:O247"/>
    <mergeCell ref="P287:T287"/>
    <mergeCell ref="P281:T281"/>
    <mergeCell ref="P414:T414"/>
    <mergeCell ref="P352:T352"/>
    <mergeCell ref="D72:E72"/>
    <mergeCell ref="A326:Z326"/>
    <mergeCell ref="A120:Z120"/>
    <mergeCell ref="D235:E235"/>
    <mergeCell ref="P276:V276"/>
    <mergeCell ref="P330:T330"/>
    <mergeCell ref="P395:T395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131:T131"/>
    <mergeCell ref="D445:E445"/>
    <mergeCell ref="P116:T116"/>
    <mergeCell ref="A423:O424"/>
    <mergeCell ref="P464:T464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79:T79"/>
    <mergeCell ref="D60:E60"/>
    <mergeCell ref="P73:T73"/>
    <mergeCell ref="P315:T315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