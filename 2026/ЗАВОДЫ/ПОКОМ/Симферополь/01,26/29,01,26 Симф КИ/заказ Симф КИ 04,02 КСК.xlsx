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030C629A-58BA-47C9-BEE6-5C325DD746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6" i="1" l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Y479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Y470" i="1"/>
  <c r="X470" i="1"/>
  <c r="BP469" i="1"/>
  <c r="BO469" i="1"/>
  <c r="BN469" i="1"/>
  <c r="BM469" i="1"/>
  <c r="Z469" i="1"/>
  <c r="Z470" i="1" s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Y378" i="1"/>
  <c r="X378" i="1"/>
  <c r="BP377" i="1"/>
  <c r="BO377" i="1"/>
  <c r="BN377" i="1"/>
  <c r="BM377" i="1"/>
  <c r="Z377" i="1"/>
  <c r="Z378" i="1" s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Y301" i="1" s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P247" i="1"/>
  <c r="X245" i="1"/>
  <c r="X244" i="1"/>
  <c r="BO243" i="1"/>
  <c r="BM243" i="1"/>
  <c r="Y243" i="1"/>
  <c r="P243" i="1"/>
  <c r="X241" i="1"/>
  <c r="X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N198" i="1"/>
  <c r="BM198" i="1"/>
  <c r="Z198" i="1"/>
  <c r="Y198" i="1"/>
  <c r="BP198" i="1" s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5" i="1"/>
  <c r="Y184" i="1"/>
  <c r="X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2" i="1"/>
  <c r="X161" i="1"/>
  <c r="BO160" i="1"/>
  <c r="BM160" i="1"/>
  <c r="Y160" i="1"/>
  <c r="P160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BP90" i="1"/>
  <c r="BO90" i="1"/>
  <c r="BN90" i="1"/>
  <c r="BM90" i="1"/>
  <c r="Z90" i="1"/>
  <c r="Y90" i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Y67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0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Y58" i="1"/>
  <c r="Y64" i="1"/>
  <c r="Y68" i="1"/>
  <c r="Y74" i="1"/>
  <c r="BP78" i="1"/>
  <c r="BN78" i="1"/>
  <c r="Z78" i="1"/>
  <c r="Z79" i="1" s="1"/>
  <c r="Y80" i="1"/>
  <c r="E496" i="1"/>
  <c r="Y88" i="1"/>
  <c r="BP83" i="1"/>
  <c r="BN83" i="1"/>
  <c r="Z83" i="1"/>
  <c r="Y87" i="1"/>
  <c r="BP91" i="1"/>
  <c r="BN91" i="1"/>
  <c r="Z91" i="1"/>
  <c r="Z94" i="1" s="1"/>
  <c r="BP100" i="1"/>
  <c r="BN100" i="1"/>
  <c r="Z10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496" i="1"/>
  <c r="Y128" i="1"/>
  <c r="BP125" i="1"/>
  <c r="BN125" i="1"/>
  <c r="Z125" i="1"/>
  <c r="Z127" i="1" s="1"/>
  <c r="BP142" i="1"/>
  <c r="BN142" i="1"/>
  <c r="Z142" i="1"/>
  <c r="Z143" i="1" s="1"/>
  <c r="Y144" i="1"/>
  <c r="Y151" i="1"/>
  <c r="BP146" i="1"/>
  <c r="BN146" i="1"/>
  <c r="Z146" i="1"/>
  <c r="BP150" i="1"/>
  <c r="BN150" i="1"/>
  <c r="Z150" i="1"/>
  <c r="Y152" i="1"/>
  <c r="Y155" i="1"/>
  <c r="BP154" i="1"/>
  <c r="BN154" i="1"/>
  <c r="Z154" i="1"/>
  <c r="Z155" i="1" s="1"/>
  <c r="Y156" i="1"/>
  <c r="I496" i="1"/>
  <c r="Y161" i="1"/>
  <c r="BP160" i="1"/>
  <c r="BN160" i="1"/>
  <c r="Z160" i="1"/>
  <c r="Z161" i="1" s="1"/>
  <c r="Y162" i="1"/>
  <c r="Y179" i="1"/>
  <c r="BP164" i="1"/>
  <c r="BN164" i="1"/>
  <c r="Z164" i="1"/>
  <c r="BP168" i="1"/>
  <c r="BN168" i="1"/>
  <c r="Z168" i="1"/>
  <c r="BP172" i="1"/>
  <c r="BN172" i="1"/>
  <c r="Z172" i="1"/>
  <c r="BP176" i="1"/>
  <c r="BN176" i="1"/>
  <c r="Z176" i="1"/>
  <c r="BP193" i="1"/>
  <c r="BN193" i="1"/>
  <c r="Z193" i="1"/>
  <c r="Z194" i="1" s="1"/>
  <c r="Y195" i="1"/>
  <c r="Y199" i="1"/>
  <c r="Y200" i="1"/>
  <c r="BP197" i="1"/>
  <c r="BN197" i="1"/>
  <c r="Z197" i="1"/>
  <c r="Z199" i="1" s="1"/>
  <c r="BP216" i="1"/>
  <c r="BN216" i="1"/>
  <c r="Z216" i="1"/>
  <c r="BP220" i="1"/>
  <c r="BN220" i="1"/>
  <c r="Z220" i="1"/>
  <c r="BP285" i="1"/>
  <c r="BN285" i="1"/>
  <c r="Z285" i="1"/>
  <c r="Z286" i="1" s="1"/>
  <c r="Y287" i="1"/>
  <c r="Y292" i="1"/>
  <c r="BP289" i="1"/>
  <c r="BN289" i="1"/>
  <c r="Z289" i="1"/>
  <c r="Z291" i="1" s="1"/>
  <c r="Y291" i="1"/>
  <c r="BP306" i="1"/>
  <c r="BN306" i="1"/>
  <c r="Z306" i="1"/>
  <c r="BP314" i="1"/>
  <c r="BN314" i="1"/>
  <c r="Z314" i="1"/>
  <c r="H496" i="1"/>
  <c r="H9" i="1"/>
  <c r="B496" i="1"/>
  <c r="X487" i="1"/>
  <c r="X488" i="1"/>
  <c r="Z23" i="1"/>
  <c r="Z24" i="1" s="1"/>
  <c r="BN23" i="1"/>
  <c r="Y487" i="1" s="1"/>
  <c r="Y24" i="1"/>
  <c r="X486" i="1"/>
  <c r="Z27" i="1"/>
  <c r="BN27" i="1"/>
  <c r="BP27" i="1"/>
  <c r="Y488" i="1" s="1"/>
  <c r="Z29" i="1"/>
  <c r="BN29" i="1"/>
  <c r="C496" i="1"/>
  <c r="Z41" i="1"/>
  <c r="Z43" i="1" s="1"/>
  <c r="BN41" i="1"/>
  <c r="Y44" i="1"/>
  <c r="D496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7" i="1" s="1"/>
  <c r="BN66" i="1"/>
  <c r="BP66" i="1"/>
  <c r="Z70" i="1"/>
  <c r="Z74" i="1" s="1"/>
  <c r="BN70" i="1"/>
  <c r="BP70" i="1"/>
  <c r="Z72" i="1"/>
  <c r="BN72" i="1"/>
  <c r="Y79" i="1"/>
  <c r="BP85" i="1"/>
  <c r="BN85" i="1"/>
  <c r="Z85" i="1"/>
  <c r="Y94" i="1"/>
  <c r="BP93" i="1"/>
  <c r="BN93" i="1"/>
  <c r="Z93" i="1"/>
  <c r="Y95" i="1"/>
  <c r="F496" i="1"/>
  <c r="Y103" i="1"/>
  <c r="BP98" i="1"/>
  <c r="BN98" i="1"/>
  <c r="Z98" i="1"/>
  <c r="Z103" i="1" s="1"/>
  <c r="BP102" i="1"/>
  <c r="BN102" i="1"/>
  <c r="Z102" i="1"/>
  <c r="Y104" i="1"/>
  <c r="Y111" i="1"/>
  <c r="BP106" i="1"/>
  <c r="BN106" i="1"/>
  <c r="Z106" i="1"/>
  <c r="Z110" i="1" s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Y143" i="1"/>
  <c r="BP148" i="1"/>
  <c r="BN148" i="1"/>
  <c r="Z148" i="1"/>
  <c r="BP166" i="1"/>
  <c r="BN166" i="1"/>
  <c r="Z166" i="1"/>
  <c r="BP170" i="1"/>
  <c r="BN170" i="1"/>
  <c r="Z170" i="1"/>
  <c r="BP174" i="1"/>
  <c r="BN174" i="1"/>
  <c r="Z174" i="1"/>
  <c r="Y178" i="1"/>
  <c r="Z184" i="1"/>
  <c r="BP182" i="1"/>
  <c r="BN182" i="1"/>
  <c r="Z182" i="1"/>
  <c r="BP204" i="1"/>
  <c r="BN204" i="1"/>
  <c r="Z204" i="1"/>
  <c r="BP208" i="1"/>
  <c r="BN208" i="1"/>
  <c r="Z208" i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496" i="1"/>
  <c r="Y342" i="1"/>
  <c r="BP339" i="1"/>
  <c r="BN339" i="1"/>
  <c r="Z339" i="1"/>
  <c r="Y343" i="1"/>
  <c r="BP390" i="1"/>
  <c r="BN390" i="1"/>
  <c r="Z390" i="1"/>
  <c r="U496" i="1"/>
  <c r="BP394" i="1"/>
  <c r="BN394" i="1"/>
  <c r="Z394" i="1"/>
  <c r="Y398" i="1"/>
  <c r="BP402" i="1"/>
  <c r="BN402" i="1"/>
  <c r="Z402" i="1"/>
  <c r="Z403" i="1" s="1"/>
  <c r="Y404" i="1"/>
  <c r="V496" i="1"/>
  <c r="Y408" i="1"/>
  <c r="BP407" i="1"/>
  <c r="BN407" i="1"/>
  <c r="Z407" i="1"/>
  <c r="Z408" i="1" s="1"/>
  <c r="Y409" i="1"/>
  <c r="Y416" i="1"/>
  <c r="BP411" i="1"/>
  <c r="BN411" i="1"/>
  <c r="Z411" i="1"/>
  <c r="Y415" i="1"/>
  <c r="BP426" i="1"/>
  <c r="BN426" i="1"/>
  <c r="Z426" i="1"/>
  <c r="Y438" i="1"/>
  <c r="BP430" i="1"/>
  <c r="BN430" i="1"/>
  <c r="Z430" i="1"/>
  <c r="BP434" i="1"/>
  <c r="BN434" i="1"/>
  <c r="Z434" i="1"/>
  <c r="BP442" i="1"/>
  <c r="BN442" i="1"/>
  <c r="Z442" i="1"/>
  <c r="Y444" i="1"/>
  <c r="Y453" i="1"/>
  <c r="BP446" i="1"/>
  <c r="BN446" i="1"/>
  <c r="Z446" i="1"/>
  <c r="Y452" i="1"/>
  <c r="BP450" i="1"/>
  <c r="BN450" i="1"/>
  <c r="Z450" i="1"/>
  <c r="J496" i="1"/>
  <c r="Y194" i="1"/>
  <c r="Y211" i="1"/>
  <c r="BP202" i="1"/>
  <c r="BN202" i="1"/>
  <c r="Z202" i="1"/>
  <c r="Z210" i="1" s="1"/>
  <c r="BP206" i="1"/>
  <c r="BN206" i="1"/>
  <c r="Z206" i="1"/>
  <c r="Y210" i="1"/>
  <c r="BP214" i="1"/>
  <c r="BN214" i="1"/>
  <c r="Z214" i="1"/>
  <c r="Z222" i="1" s="1"/>
  <c r="BP218" i="1"/>
  <c r="BN218" i="1"/>
  <c r="Z218" i="1"/>
  <c r="Y222" i="1"/>
  <c r="BP226" i="1"/>
  <c r="BN226" i="1"/>
  <c r="Z226" i="1"/>
  <c r="Z227" i="1" s="1"/>
  <c r="Y228" i="1"/>
  <c r="K496" i="1"/>
  <c r="Y240" i="1"/>
  <c r="BP231" i="1"/>
  <c r="BN231" i="1"/>
  <c r="Z231" i="1"/>
  <c r="BP235" i="1"/>
  <c r="BN235" i="1"/>
  <c r="Z235" i="1"/>
  <c r="BP239" i="1"/>
  <c r="BN239" i="1"/>
  <c r="Z239" i="1"/>
  <c r="Y241" i="1"/>
  <c r="Y244" i="1"/>
  <c r="BP243" i="1"/>
  <c r="BN243" i="1"/>
  <c r="Z243" i="1"/>
  <c r="Z244" i="1" s="1"/>
  <c r="Y245" i="1"/>
  <c r="Y248" i="1"/>
  <c r="BP247" i="1"/>
  <c r="BN247" i="1"/>
  <c r="Z247" i="1"/>
  <c r="Z248" i="1" s="1"/>
  <c r="Y249" i="1"/>
  <c r="Y256" i="1"/>
  <c r="BP251" i="1"/>
  <c r="BN251" i="1"/>
  <c r="Z251" i="1"/>
  <c r="Z256" i="1" s="1"/>
  <c r="BP255" i="1"/>
  <c r="BN255" i="1"/>
  <c r="Z255" i="1"/>
  <c r="Y257" i="1"/>
  <c r="L496" i="1"/>
  <c r="Y265" i="1"/>
  <c r="BP260" i="1"/>
  <c r="BN260" i="1"/>
  <c r="Z260" i="1"/>
  <c r="BP264" i="1"/>
  <c r="BN264" i="1"/>
  <c r="Z264" i="1"/>
  <c r="Y266" i="1"/>
  <c r="M496" i="1"/>
  <c r="Y274" i="1"/>
  <c r="BP269" i="1"/>
  <c r="BN269" i="1"/>
  <c r="Z269" i="1"/>
  <c r="Z273" i="1" s="1"/>
  <c r="Y273" i="1"/>
  <c r="Z280" i="1"/>
  <c r="BP278" i="1"/>
  <c r="BN278" i="1"/>
  <c r="Z278" i="1"/>
  <c r="Z30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S496" i="1"/>
  <c r="Y354" i="1"/>
  <c r="BP347" i="1"/>
  <c r="BN347" i="1"/>
  <c r="Z347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496" i="1"/>
  <c r="Y375" i="1"/>
  <c r="BP372" i="1"/>
  <c r="BN372" i="1"/>
  <c r="Z372" i="1"/>
  <c r="Z374" i="1" s="1"/>
  <c r="Y374" i="1"/>
  <c r="Q496" i="1"/>
  <c r="O496" i="1"/>
  <c r="Y281" i="1"/>
  <c r="P496" i="1"/>
  <c r="Y286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Z384" i="1"/>
  <c r="BP382" i="1"/>
  <c r="BN382" i="1"/>
  <c r="Z382" i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BP460" i="1"/>
  <c r="BN460" i="1"/>
  <c r="Z460" i="1"/>
  <c r="Y462" i="1"/>
  <c r="Y467" i="1"/>
  <c r="BP464" i="1"/>
  <c r="BN464" i="1"/>
  <c r="Z464" i="1"/>
  <c r="Z466" i="1" s="1"/>
  <c r="Y466" i="1"/>
  <c r="Y496" i="1"/>
  <c r="X496" i="1"/>
  <c r="BP428" i="1"/>
  <c r="BN428" i="1"/>
  <c r="Z428" i="1"/>
  <c r="Z437" i="1" s="1"/>
  <c r="BP432" i="1"/>
  <c r="BN432" i="1"/>
  <c r="Z432" i="1"/>
  <c r="BP436" i="1"/>
  <c r="BN436" i="1"/>
  <c r="Z436" i="1"/>
  <c r="Y443" i="1"/>
  <c r="BP440" i="1"/>
  <c r="BN440" i="1"/>
  <c r="Z440" i="1"/>
  <c r="Z443" i="1" s="1"/>
  <c r="BP448" i="1"/>
  <c r="BN448" i="1"/>
  <c r="Z448" i="1"/>
  <c r="BP458" i="1"/>
  <c r="BN458" i="1"/>
  <c r="Z458" i="1"/>
  <c r="Z461" i="1" s="1"/>
  <c r="BP478" i="1"/>
  <c r="BN478" i="1"/>
  <c r="Z478" i="1"/>
  <c r="Z479" i="1" s="1"/>
  <c r="Y480" i="1"/>
  <c r="Z496" i="1"/>
  <c r="Y484" i="1"/>
  <c r="BP483" i="1"/>
  <c r="BN483" i="1"/>
  <c r="Z483" i="1"/>
  <c r="Z484" i="1" s="1"/>
  <c r="Y485" i="1"/>
  <c r="Y437" i="1"/>
  <c r="Y489" i="1" l="1"/>
  <c r="Z265" i="1"/>
  <c r="Z240" i="1"/>
  <c r="Z31" i="1"/>
  <c r="Z491" i="1" s="1"/>
  <c r="Y490" i="1"/>
  <c r="X489" i="1"/>
  <c r="Z151" i="1"/>
  <c r="Z87" i="1"/>
  <c r="Z354" i="1"/>
  <c r="Z452" i="1"/>
  <c r="Z415" i="1"/>
  <c r="Z342" i="1"/>
  <c r="Z178" i="1"/>
  <c r="Y486" i="1"/>
</calcChain>
</file>

<file path=xl/sharedStrings.xml><?xml version="1.0" encoding="utf-8"?>
<sst xmlns="http://schemas.openxmlformats.org/spreadsheetml/2006/main" count="2267" uniqueCount="762">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</sst>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topLeftCell="A469" zoomScaleNormal="100" zoomScaleSheetLayoutView="100" workbookViewId="0">
      <selection activeCell="AA492" sqref="AA49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0"/>
      <c r="F1" s="570"/>
      <c r="G1" s="12" t="s">
        <v>1</v>
      </c>
      <c r="H1" s="620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3" t="s">
        <v>8</v>
      </c>
      <c r="B5" s="618"/>
      <c r="C5" s="619"/>
      <c r="D5" s="625"/>
      <c r="E5" s="626"/>
      <c r="F5" s="826" t="s">
        <v>9</v>
      </c>
      <c r="G5" s="619"/>
      <c r="H5" s="625"/>
      <c r="I5" s="770"/>
      <c r="J5" s="770"/>
      <c r="K5" s="770"/>
      <c r="L5" s="770"/>
      <c r="M5" s="626"/>
      <c r="N5" s="58"/>
      <c r="P5" s="24" t="s">
        <v>10</v>
      </c>
      <c r="Q5" s="835">
        <v>46054</v>
      </c>
      <c r="R5" s="661"/>
      <c r="T5" s="704" t="s">
        <v>11</v>
      </c>
      <c r="U5" s="705"/>
      <c r="V5" s="706" t="s">
        <v>12</v>
      </c>
      <c r="W5" s="661"/>
      <c r="AB5" s="51"/>
      <c r="AC5" s="51"/>
      <c r="AD5" s="51"/>
      <c r="AE5" s="51"/>
    </row>
    <row r="6" spans="1:32" s="535" customFormat="1" ht="24" customHeight="1" x14ac:dyDescent="0.2">
      <c r="A6" s="663" t="s">
        <v>13</v>
      </c>
      <c r="B6" s="618"/>
      <c r="C6" s="619"/>
      <c r="D6" s="774" t="s">
        <v>14</v>
      </c>
      <c r="E6" s="775"/>
      <c r="F6" s="775"/>
      <c r="G6" s="775"/>
      <c r="H6" s="775"/>
      <c r="I6" s="775"/>
      <c r="J6" s="775"/>
      <c r="K6" s="775"/>
      <c r="L6" s="775"/>
      <c r="M6" s="661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09" t="s">
        <v>16</v>
      </c>
      <c r="U6" s="705"/>
      <c r="V6" s="756" t="s">
        <v>17</v>
      </c>
      <c r="W6" s="588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0" t="str">
        <f>IFERROR(VLOOKUP(DeliveryAddress,Table,3,0),1)</f>
        <v>1</v>
      </c>
      <c r="E7" s="601"/>
      <c r="F7" s="601"/>
      <c r="G7" s="601"/>
      <c r="H7" s="601"/>
      <c r="I7" s="601"/>
      <c r="J7" s="601"/>
      <c r="K7" s="601"/>
      <c r="L7" s="601"/>
      <c r="M7" s="602"/>
      <c r="N7" s="60"/>
      <c r="P7" s="24"/>
      <c r="Q7" s="42"/>
      <c r="R7" s="42"/>
      <c r="T7" s="556"/>
      <c r="U7" s="705"/>
      <c r="V7" s="757"/>
      <c r="W7" s="758"/>
      <c r="AB7" s="51"/>
      <c r="AC7" s="51"/>
      <c r="AD7" s="51"/>
      <c r="AE7" s="51"/>
    </row>
    <row r="8" spans="1:32" s="535" customFormat="1" ht="25.5" customHeight="1" x14ac:dyDescent="0.2">
      <c r="A8" s="859" t="s">
        <v>18</v>
      </c>
      <c r="B8" s="553"/>
      <c r="C8" s="554"/>
      <c r="D8" s="612" t="s">
        <v>19</v>
      </c>
      <c r="E8" s="613"/>
      <c r="F8" s="613"/>
      <c r="G8" s="613"/>
      <c r="H8" s="613"/>
      <c r="I8" s="613"/>
      <c r="J8" s="613"/>
      <c r="K8" s="613"/>
      <c r="L8" s="613"/>
      <c r="M8" s="614"/>
      <c r="N8" s="61"/>
      <c r="P8" s="24" t="s">
        <v>20</v>
      </c>
      <c r="Q8" s="668">
        <v>0.375</v>
      </c>
      <c r="R8" s="602"/>
      <c r="T8" s="556"/>
      <c r="U8" s="705"/>
      <c r="V8" s="757"/>
      <c r="W8" s="758"/>
      <c r="AB8" s="51"/>
      <c r="AC8" s="51"/>
      <c r="AD8" s="51"/>
      <c r="AE8" s="51"/>
    </row>
    <row r="9" spans="1:32" s="535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8"/>
      <c r="E9" s="558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3"/>
      <c r="P9" s="26" t="s">
        <v>21</v>
      </c>
      <c r="Q9" s="656"/>
      <c r="R9" s="657"/>
      <c r="T9" s="556"/>
      <c r="U9" s="705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8"/>
      <c r="E10" s="558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1" t="str">
        <f>IFERROR(VLOOKUP($D$10,Proxy,2,FALSE),"")</f>
        <v/>
      </c>
      <c r="I10" s="556"/>
      <c r="J10" s="556"/>
      <c r="K10" s="556"/>
      <c r="L10" s="556"/>
      <c r="M10" s="556"/>
      <c r="N10" s="534"/>
      <c r="P10" s="26" t="s">
        <v>22</v>
      </c>
      <c r="Q10" s="710"/>
      <c r="R10" s="711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0"/>
      <c r="R11" s="661"/>
      <c r="U11" s="24" t="s">
        <v>27</v>
      </c>
      <c r="V11" s="79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01" t="s">
        <v>29</v>
      </c>
      <c r="B12" s="618"/>
      <c r="C12" s="618"/>
      <c r="D12" s="618"/>
      <c r="E12" s="618"/>
      <c r="F12" s="618"/>
      <c r="G12" s="618"/>
      <c r="H12" s="618"/>
      <c r="I12" s="618"/>
      <c r="J12" s="618"/>
      <c r="K12" s="618"/>
      <c r="L12" s="618"/>
      <c r="M12" s="619"/>
      <c r="N12" s="62"/>
      <c r="P12" s="24" t="s">
        <v>30</v>
      </c>
      <c r="Q12" s="668"/>
      <c r="R12" s="602"/>
      <c r="S12" s="23"/>
      <c r="U12" s="24"/>
      <c r="V12" s="570"/>
      <c r="W12" s="556"/>
      <c r="AB12" s="51"/>
      <c r="AC12" s="51"/>
      <c r="AD12" s="51"/>
      <c r="AE12" s="51"/>
    </row>
    <row r="13" spans="1:32" s="535" customFormat="1" ht="23.25" customHeight="1" x14ac:dyDescent="0.2">
      <c r="A13" s="701" t="s">
        <v>31</v>
      </c>
      <c r="B13" s="618"/>
      <c r="C13" s="618"/>
      <c r="D13" s="618"/>
      <c r="E13" s="618"/>
      <c r="F13" s="618"/>
      <c r="G13" s="618"/>
      <c r="H13" s="618"/>
      <c r="I13" s="618"/>
      <c r="J13" s="618"/>
      <c r="K13" s="618"/>
      <c r="L13" s="618"/>
      <c r="M13" s="619"/>
      <c r="N13" s="62"/>
      <c r="O13" s="26"/>
      <c r="P13" s="26" t="s">
        <v>32</v>
      </c>
      <c r="Q13" s="79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01" t="s">
        <v>33</v>
      </c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9" t="s">
        <v>34</v>
      </c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8"/>
      <c r="M15" s="619"/>
      <c r="N15" s="63"/>
      <c r="P15" s="69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4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8" t="s">
        <v>51</v>
      </c>
      <c r="V17" s="619"/>
      <c r="W17" s="581" t="s">
        <v>52</v>
      </c>
      <c r="X17" s="581" t="s">
        <v>53</v>
      </c>
      <c r="Y17" s="856" t="s">
        <v>54</v>
      </c>
      <c r="Z17" s="768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57"/>
      <c r="Z18" s="769"/>
      <c r="AA18" s="750"/>
      <c r="AB18" s="750"/>
      <c r="AC18" s="750"/>
      <c r="AD18" s="823"/>
      <c r="AE18" s="824"/>
      <c r="AF18" s="825"/>
      <c r="AG18" s="66"/>
      <c r="BD18" s="65"/>
    </row>
    <row r="19" spans="1:68" ht="27.75" customHeight="1" x14ac:dyDescent="0.2">
      <c r="A19" s="590" t="s">
        <v>63</v>
      </c>
      <c r="B19" s="591"/>
      <c r="C19" s="591"/>
      <c r="D19" s="591"/>
      <c r="E19" s="591"/>
      <c r="F19" s="591"/>
      <c r="G19" s="591"/>
      <c r="H19" s="591"/>
      <c r="I19" s="591"/>
      <c r="J19" s="591"/>
      <c r="K19" s="591"/>
      <c r="L19" s="591"/>
      <c r="M19" s="591"/>
      <c r="N19" s="591"/>
      <c r="O19" s="591"/>
      <c r="P19" s="591"/>
      <c r="Q19" s="591"/>
      <c r="R19" s="591"/>
      <c r="S19" s="591"/>
      <c r="T19" s="591"/>
      <c r="U19" s="591"/>
      <c r="V19" s="591"/>
      <c r="W19" s="591"/>
      <c r="X19" s="591"/>
      <c r="Y19" s="591"/>
      <c r="Z19" s="591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5">
        <v>4680115887510</v>
      </c>
      <c r="E22" s="546"/>
      <c r="F22" s="540">
        <v>0.2</v>
      </c>
      <c r="G22" s="32">
        <v>6</v>
      </c>
      <c r="H22" s="540">
        <v>1.2</v>
      </c>
      <c r="I22" s="54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6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5">
        <v>4680115886643</v>
      </c>
      <c r="E23" s="546"/>
      <c r="F23" s="540">
        <v>0.19</v>
      </c>
      <c r="G23" s="32">
        <v>10</v>
      </c>
      <c r="H23" s="540">
        <v>1.9</v>
      </c>
      <c r="I23" s="54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48"/>
      <c r="R23" s="548"/>
      <c r="S23" s="548"/>
      <c r="T23" s="549"/>
      <c r="U23" s="34"/>
      <c r="V23" s="34"/>
      <c r="W23" s="35" t="s">
        <v>69</v>
      </c>
      <c r="X23" s="541">
        <v>0</v>
      </c>
      <c r="Y23" s="5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2"/>
      <c r="P24" s="552" t="s">
        <v>75</v>
      </c>
      <c r="Q24" s="553"/>
      <c r="R24" s="553"/>
      <c r="S24" s="553"/>
      <c r="T24" s="553"/>
      <c r="U24" s="553"/>
      <c r="V24" s="554"/>
      <c r="W24" s="37" t="s">
        <v>76</v>
      </c>
      <c r="X24" s="543">
        <f>IFERROR(X22/H22,"0")+IFERROR(X23/H23,"0")</f>
        <v>0</v>
      </c>
      <c r="Y24" s="543">
        <f>IFERROR(Y22/H22,"0")+IFERROR(Y23/H23,"0")</f>
        <v>0</v>
      </c>
      <c r="Z24" s="543">
        <f>IFERROR(IF(Z22="",0,Z22),"0")+IFERROR(IF(Z23="",0,Z23),"0")</f>
        <v>0</v>
      </c>
      <c r="AA24" s="544"/>
      <c r="AB24" s="544"/>
      <c r="AC24" s="544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2"/>
      <c r="P25" s="552" t="s">
        <v>75</v>
      </c>
      <c r="Q25" s="553"/>
      <c r="R25" s="553"/>
      <c r="S25" s="553"/>
      <c r="T25" s="553"/>
      <c r="U25" s="553"/>
      <c r="V25" s="554"/>
      <c r="W25" s="37" t="s">
        <v>69</v>
      </c>
      <c r="X25" s="543">
        <f>IFERROR(SUM(X22:X23),"0")</f>
        <v>0</v>
      </c>
      <c r="Y25" s="543">
        <f>IFERROR(SUM(Y22:Y23),"0")</f>
        <v>0</v>
      </c>
      <c r="Z25" s="37"/>
      <c r="AA25" s="544"/>
      <c r="AB25" s="544"/>
      <c r="AC25" s="544"/>
    </row>
    <row r="26" spans="1:68" ht="14.25" customHeight="1" x14ac:dyDescent="0.25">
      <c r="A26" s="555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7"/>
      <c r="AB26" s="537"/>
      <c r="AC26" s="53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5">
        <v>4680115885912</v>
      </c>
      <c r="E27" s="546"/>
      <c r="F27" s="540">
        <v>0.3</v>
      </c>
      <c r="G27" s="32">
        <v>6</v>
      </c>
      <c r="H27" s="540">
        <v>1.8</v>
      </c>
      <c r="I27" s="54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5">
        <v>4607091388237</v>
      </c>
      <c r="E28" s="546"/>
      <c r="F28" s="540">
        <v>0.42</v>
      </c>
      <c r="G28" s="32">
        <v>6</v>
      </c>
      <c r="H28" s="540">
        <v>2.52</v>
      </c>
      <c r="I28" s="54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45">
        <v>4680115887350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45">
        <v>4680115885905</v>
      </c>
      <c r="E30" s="546"/>
      <c r="F30" s="540">
        <v>0.3</v>
      </c>
      <c r="G30" s="32">
        <v>6</v>
      </c>
      <c r="H30" s="540">
        <v>1.8</v>
      </c>
      <c r="I30" s="540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62"/>
      <c r="P31" s="552" t="s">
        <v>75</v>
      </c>
      <c r="Q31" s="553"/>
      <c r="R31" s="553"/>
      <c r="S31" s="553"/>
      <c r="T31" s="553"/>
      <c r="U31" s="553"/>
      <c r="V31" s="554"/>
      <c r="W31" s="37" t="s">
        <v>76</v>
      </c>
      <c r="X31" s="543">
        <f>IFERROR(X27/H27,"0")+IFERROR(X28/H28,"0")+IFERROR(X29/H29,"0")+IFERROR(X30/H30,"0")</f>
        <v>0</v>
      </c>
      <c r="Y31" s="543">
        <f>IFERROR(Y27/H27,"0")+IFERROR(Y28/H28,"0")+IFERROR(Y29/H29,"0")+IFERROR(Y30/H30,"0")</f>
        <v>0</v>
      </c>
      <c r="Z31" s="543">
        <f>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2"/>
      <c r="P32" s="552" t="s">
        <v>75</v>
      </c>
      <c r="Q32" s="553"/>
      <c r="R32" s="553"/>
      <c r="S32" s="553"/>
      <c r="T32" s="553"/>
      <c r="U32" s="553"/>
      <c r="V32" s="554"/>
      <c r="W32" s="37" t="s">
        <v>69</v>
      </c>
      <c r="X32" s="543">
        <f>IFERROR(SUM(X27:X30),"0")</f>
        <v>0</v>
      </c>
      <c r="Y32" s="543">
        <f>IFERROR(SUM(Y27:Y30),"0")</f>
        <v>0</v>
      </c>
      <c r="Z32" s="37"/>
      <c r="AA32" s="544"/>
      <c r="AB32" s="544"/>
      <c r="AC32" s="544"/>
    </row>
    <row r="33" spans="1:68" ht="14.25" customHeight="1" x14ac:dyDescent="0.25">
      <c r="A33" s="555" t="s">
        <v>91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62"/>
      <c r="P35" s="552" t="s">
        <v>75</v>
      </c>
      <c r="Q35" s="553"/>
      <c r="R35" s="553"/>
      <c r="S35" s="553"/>
      <c r="T35" s="553"/>
      <c r="U35" s="553"/>
      <c r="V35" s="554"/>
      <c r="W35" s="37" t="s">
        <v>76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2"/>
      <c r="P36" s="552" t="s">
        <v>75</v>
      </c>
      <c r="Q36" s="553"/>
      <c r="R36" s="553"/>
      <c r="S36" s="553"/>
      <c r="T36" s="553"/>
      <c r="U36" s="553"/>
      <c r="V36" s="55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590" t="s">
        <v>97</v>
      </c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48"/>
      <c r="AB37" s="48"/>
      <c r="AC37" s="48"/>
    </row>
    <row r="38" spans="1:68" ht="16.5" customHeight="1" x14ac:dyDescent="0.25">
      <c r="A38" s="559" t="s">
        <v>98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5" t="s">
        <v>99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150</v>
      </c>
      <c r="Y40" s="542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62"/>
      <c r="P43" s="552" t="s">
        <v>75</v>
      </c>
      <c r="Q43" s="553"/>
      <c r="R43" s="553"/>
      <c r="S43" s="553"/>
      <c r="T43" s="553"/>
      <c r="U43" s="553"/>
      <c r="V43" s="554"/>
      <c r="W43" s="37" t="s">
        <v>76</v>
      </c>
      <c r="X43" s="543">
        <f>IFERROR(X40/H40,"0")+IFERROR(X41/H41,"0")+IFERROR(X42/H42,"0")</f>
        <v>73.888888888888886</v>
      </c>
      <c r="Y43" s="543">
        <f>IFERROR(Y40/H40,"0")+IFERROR(Y41/H41,"0")+IFERROR(Y42/H42,"0")</f>
        <v>74</v>
      </c>
      <c r="Z43" s="543">
        <f>IFERROR(IF(Z40="",0,Z40),"0")+IFERROR(IF(Z41="",0,Z41),"0")+IFERROR(IF(Z42="",0,Z42),"0")</f>
        <v>0.80692000000000008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2"/>
      <c r="P44" s="552" t="s">
        <v>75</v>
      </c>
      <c r="Q44" s="553"/>
      <c r="R44" s="553"/>
      <c r="S44" s="553"/>
      <c r="T44" s="553"/>
      <c r="U44" s="553"/>
      <c r="V44" s="554"/>
      <c r="W44" s="37" t="s">
        <v>69</v>
      </c>
      <c r="X44" s="543">
        <f>IFERROR(SUM(X40:X42),"0")</f>
        <v>390</v>
      </c>
      <c r="Y44" s="543">
        <f>IFERROR(SUM(Y40:Y42),"0")</f>
        <v>391.20000000000005</v>
      </c>
      <c r="Z44" s="37"/>
      <c r="AA44" s="544"/>
      <c r="AB44" s="544"/>
      <c r="AC44" s="544"/>
    </row>
    <row r="45" spans="1:68" ht="14.25" customHeight="1" x14ac:dyDescent="0.25">
      <c r="A45" s="555" t="s">
        <v>77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62"/>
      <c r="P47" s="552" t="s">
        <v>75</v>
      </c>
      <c r="Q47" s="553"/>
      <c r="R47" s="553"/>
      <c r="S47" s="553"/>
      <c r="T47" s="553"/>
      <c r="U47" s="553"/>
      <c r="V47" s="554"/>
      <c r="W47" s="37" t="s">
        <v>76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2"/>
      <c r="P48" s="552" t="s">
        <v>75</v>
      </c>
      <c r="Q48" s="553"/>
      <c r="R48" s="553"/>
      <c r="S48" s="553"/>
      <c r="T48" s="553"/>
      <c r="U48" s="553"/>
      <c r="V48" s="55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5" t="s">
        <v>99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315</v>
      </c>
      <c r="Y56" s="542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1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62"/>
      <c r="P57" s="552" t="s">
        <v>75</v>
      </c>
      <c r="Q57" s="553"/>
      <c r="R57" s="553"/>
      <c r="S57" s="553"/>
      <c r="T57" s="553"/>
      <c r="U57" s="553"/>
      <c r="V57" s="554"/>
      <c r="W57" s="37" t="s">
        <v>76</v>
      </c>
      <c r="X57" s="543">
        <f>IFERROR(X51/H51,"0")+IFERROR(X52/H52,"0")+IFERROR(X53/H53,"0")+IFERROR(X54/H54,"0")+IFERROR(X55/H55,"0")+IFERROR(X56/H56,"0")</f>
        <v>79.259259259259267</v>
      </c>
      <c r="Y57" s="543">
        <f>IFERROR(Y51/H51,"0")+IFERROR(Y52/H52,"0")+IFERROR(Y53/H53,"0")+IFERROR(Y54/H54,"0")+IFERROR(Y55/H55,"0")+IFERROR(Y56/H56,"0")</f>
        <v>80</v>
      </c>
      <c r="Z57" s="543">
        <f>IFERROR(IF(Z51="",0,Z51),"0")+IFERROR(IF(Z52="",0,Z52),"0")+IFERROR(IF(Z53="",0,Z53),"0")+IFERROR(IF(Z54="",0,Z54),"0")+IFERROR(IF(Z55="",0,Z55),"0")+IFERROR(IF(Z56="",0,Z56),"0")</f>
        <v>0.82119999999999993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2"/>
      <c r="P58" s="552" t="s">
        <v>75</v>
      </c>
      <c r="Q58" s="553"/>
      <c r="R58" s="553"/>
      <c r="S58" s="553"/>
      <c r="T58" s="553"/>
      <c r="U58" s="553"/>
      <c r="V58" s="554"/>
      <c r="W58" s="37" t="s">
        <v>69</v>
      </c>
      <c r="X58" s="543">
        <f>IFERROR(SUM(X51:X56),"0")</f>
        <v>415</v>
      </c>
      <c r="Y58" s="543">
        <f>IFERROR(SUM(Y51:Y56),"0")</f>
        <v>423</v>
      </c>
      <c r="Z58" s="37"/>
      <c r="AA58" s="544"/>
      <c r="AB58" s="544"/>
      <c r="AC58" s="544"/>
    </row>
    <row r="59" spans="1:68" ht="14.25" customHeight="1" x14ac:dyDescent="0.25">
      <c r="A59" s="555" t="s">
        <v>135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150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62"/>
      <c r="P63" s="552" t="s">
        <v>75</v>
      </c>
      <c r="Q63" s="553"/>
      <c r="R63" s="553"/>
      <c r="S63" s="553"/>
      <c r="T63" s="553"/>
      <c r="U63" s="553"/>
      <c r="V63" s="554"/>
      <c r="W63" s="37" t="s">
        <v>76</v>
      </c>
      <c r="X63" s="543">
        <f>IFERROR(X60/H60,"0")+IFERROR(X61/H61,"0")+IFERROR(X62/H62,"0")</f>
        <v>13.888888888888888</v>
      </c>
      <c r="Y63" s="543">
        <f>IFERROR(Y60/H60,"0")+IFERROR(Y61/H61,"0")+IFERROR(Y62/H62,"0")</f>
        <v>14</v>
      </c>
      <c r="Z63" s="543">
        <f>IFERROR(IF(Z60="",0,Z60),"0")+IFERROR(IF(Z61="",0,Z61),"0")+IFERROR(IF(Z62="",0,Z62),"0")</f>
        <v>0.26572000000000001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2"/>
      <c r="P64" s="552" t="s">
        <v>75</v>
      </c>
      <c r="Q64" s="553"/>
      <c r="R64" s="553"/>
      <c r="S64" s="553"/>
      <c r="T64" s="553"/>
      <c r="U64" s="553"/>
      <c r="V64" s="554"/>
      <c r="W64" s="37" t="s">
        <v>69</v>
      </c>
      <c r="X64" s="543">
        <f>IFERROR(SUM(X60:X62),"0")</f>
        <v>150</v>
      </c>
      <c r="Y64" s="543">
        <f>IFERROR(SUM(Y60:Y62),"0")</f>
        <v>151.20000000000002</v>
      </c>
      <c r="Z64" s="37"/>
      <c r="AA64" s="544"/>
      <c r="AB64" s="544"/>
      <c r="AC64" s="544"/>
    </row>
    <row r="65" spans="1:68" ht="14.25" customHeight="1" x14ac:dyDescent="0.25">
      <c r="A65" s="555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4301031316</v>
      </c>
      <c r="D66" s="545">
        <v>4680115885097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561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62"/>
      <c r="P67" s="552" t="s">
        <v>75</v>
      </c>
      <c r="Q67" s="553"/>
      <c r="R67" s="553"/>
      <c r="S67" s="553"/>
      <c r="T67" s="553"/>
      <c r="U67" s="553"/>
      <c r="V67" s="554"/>
      <c r="W67" s="37" t="s">
        <v>76</v>
      </c>
      <c r="X67" s="543">
        <f>IFERROR(X66/H66,"0")</f>
        <v>0</v>
      </c>
      <c r="Y67" s="543">
        <f>IFERROR(Y66/H66,"0")</f>
        <v>0</v>
      </c>
      <c r="Z67" s="543">
        <f>IFERROR(IF(Z66="",0,Z66),"0")</f>
        <v>0</v>
      </c>
      <c r="AA67" s="544"/>
      <c r="AB67" s="544"/>
      <c r="AC67" s="544"/>
    </row>
    <row r="68" spans="1:68" x14ac:dyDescent="0.2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62"/>
      <c r="P68" s="552" t="s">
        <v>75</v>
      </c>
      <c r="Q68" s="553"/>
      <c r="R68" s="553"/>
      <c r="S68" s="553"/>
      <c r="T68" s="553"/>
      <c r="U68" s="553"/>
      <c r="V68" s="554"/>
      <c r="W68" s="37" t="s">
        <v>69</v>
      </c>
      <c r="X68" s="543">
        <f>IFERROR(SUM(X66:X66),"0")</f>
        <v>0</v>
      </c>
      <c r="Y68" s="543">
        <f>IFERROR(SUM(Y66:Y66),"0")</f>
        <v>0</v>
      </c>
      <c r="Z68" s="37"/>
      <c r="AA68" s="544"/>
      <c r="AB68" s="544"/>
      <c r="AC68" s="544"/>
    </row>
    <row r="69" spans="1:68" ht="14.25" customHeight="1" x14ac:dyDescent="0.25">
      <c r="A69" s="555" t="s">
        <v>77</v>
      </c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37"/>
      <c r="AB69" s="537"/>
      <c r="AC69" s="537"/>
    </row>
    <row r="70" spans="1:68" ht="27" customHeight="1" x14ac:dyDescent="0.25">
      <c r="A70" s="54" t="s">
        <v>146</v>
      </c>
      <c r="B70" s="54" t="s">
        <v>147</v>
      </c>
      <c r="C70" s="31">
        <v>4301051846</v>
      </c>
      <c r="D70" s="545">
        <v>4680115885769</v>
      </c>
      <c r="E70" s="546"/>
      <c r="F70" s="540">
        <v>1.4</v>
      </c>
      <c r="G70" s="32">
        <v>6</v>
      </c>
      <c r="H70" s="540">
        <v>8.4</v>
      </c>
      <c r="I70" s="540">
        <v>8.81</v>
      </c>
      <c r="J70" s="32">
        <v>64</v>
      </c>
      <c r="K70" s="32" t="s">
        <v>102</v>
      </c>
      <c r="L70" s="32"/>
      <c r="M70" s="33" t="s">
        <v>80</v>
      </c>
      <c r="N70" s="33"/>
      <c r="O70" s="32">
        <v>45</v>
      </c>
      <c r="P70" s="83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48"/>
      <c r="R70" s="548"/>
      <c r="S70" s="548"/>
      <c r="T70" s="549"/>
      <c r="U70" s="34"/>
      <c r="V70" s="34"/>
      <c r="W70" s="35" t="s">
        <v>69</v>
      </c>
      <c r="X70" s="541">
        <v>0</v>
      </c>
      <c r="Y70" s="542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148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149</v>
      </c>
      <c r="B71" s="54" t="s">
        <v>150</v>
      </c>
      <c r="C71" s="31">
        <v>4301051837</v>
      </c>
      <c r="D71" s="545">
        <v>4680115884311</v>
      </c>
      <c r="E71" s="546"/>
      <c r="F71" s="540">
        <v>0.3</v>
      </c>
      <c r="G71" s="32">
        <v>6</v>
      </c>
      <c r="H71" s="540">
        <v>1.8</v>
      </c>
      <c r="I71" s="540">
        <v>2.0459999999999998</v>
      </c>
      <c r="J71" s="32">
        <v>182</v>
      </c>
      <c r="K71" s="32" t="s">
        <v>67</v>
      </c>
      <c r="L71" s="32"/>
      <c r="M71" s="33" t="s">
        <v>80</v>
      </c>
      <c r="N71" s="33"/>
      <c r="O71" s="32">
        <v>40</v>
      </c>
      <c r="P71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48"/>
      <c r="R71" s="548"/>
      <c r="S71" s="548"/>
      <c r="T71" s="549"/>
      <c r="U71" s="34"/>
      <c r="V71" s="34"/>
      <c r="W71" s="35" t="s">
        <v>69</v>
      </c>
      <c r="X71" s="541">
        <v>0</v>
      </c>
      <c r="Y71" s="5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4301051844</v>
      </c>
      <c r="D72" s="545">
        <v>4680115885929</v>
      </c>
      <c r="E72" s="546"/>
      <c r="F72" s="540">
        <v>0.42</v>
      </c>
      <c r="G72" s="32">
        <v>6</v>
      </c>
      <c r="H72" s="540">
        <v>2.52</v>
      </c>
      <c r="I72" s="540">
        <v>2.7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45</v>
      </c>
      <c r="P72" s="83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148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4301051929</v>
      </c>
      <c r="D73" s="545">
        <v>4680115884403</v>
      </c>
      <c r="E73" s="546"/>
      <c r="F73" s="540">
        <v>0.3</v>
      </c>
      <c r="G73" s="32">
        <v>6</v>
      </c>
      <c r="H73" s="540">
        <v>1.8</v>
      </c>
      <c r="I73" s="540">
        <v>1.98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561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62"/>
      <c r="P74" s="552" t="s">
        <v>75</v>
      </c>
      <c r="Q74" s="553"/>
      <c r="R74" s="553"/>
      <c r="S74" s="553"/>
      <c r="T74" s="553"/>
      <c r="U74" s="553"/>
      <c r="V74" s="554"/>
      <c r="W74" s="37" t="s">
        <v>76</v>
      </c>
      <c r="X74" s="543">
        <f>IFERROR(X70/H70,"0")+IFERROR(X71/H71,"0")+IFERROR(X72/H72,"0")+IFERROR(X73/H73,"0")</f>
        <v>0</v>
      </c>
      <c r="Y74" s="543">
        <f>IFERROR(Y70/H70,"0")+IFERROR(Y71/H71,"0")+IFERROR(Y72/H72,"0")+IFERROR(Y73/H73,"0")</f>
        <v>0</v>
      </c>
      <c r="Z74" s="543">
        <f>IFERROR(IF(Z70="",0,Z70),"0")+IFERROR(IF(Z71="",0,Z71),"0")+IFERROR(IF(Z72="",0,Z72),"0")+IFERROR(IF(Z73="",0,Z73),"0")</f>
        <v>0</v>
      </c>
      <c r="AA74" s="544"/>
      <c r="AB74" s="544"/>
      <c r="AC74" s="544"/>
    </row>
    <row r="75" spans="1:68" x14ac:dyDescent="0.2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62"/>
      <c r="P75" s="552" t="s">
        <v>75</v>
      </c>
      <c r="Q75" s="553"/>
      <c r="R75" s="553"/>
      <c r="S75" s="553"/>
      <c r="T75" s="553"/>
      <c r="U75" s="553"/>
      <c r="V75" s="554"/>
      <c r="W75" s="37" t="s">
        <v>69</v>
      </c>
      <c r="X75" s="543">
        <f>IFERROR(SUM(X70:X73),"0")</f>
        <v>0</v>
      </c>
      <c r="Y75" s="543">
        <f>IFERROR(SUM(Y70:Y73),"0")</f>
        <v>0</v>
      </c>
      <c r="Z75" s="37"/>
      <c r="AA75" s="544"/>
      <c r="AB75" s="544"/>
      <c r="AC75" s="544"/>
    </row>
    <row r="76" spans="1:68" ht="14.25" customHeight="1" x14ac:dyDescent="0.25">
      <c r="A76" s="555" t="s">
        <v>157</v>
      </c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37"/>
      <c r="AB76" s="537"/>
      <c r="AC76" s="537"/>
    </row>
    <row r="77" spans="1:68" ht="27" customHeight="1" x14ac:dyDescent="0.25">
      <c r="A77" s="54" t="s">
        <v>158</v>
      </c>
      <c r="B77" s="54" t="s">
        <v>159</v>
      </c>
      <c r="C77" s="31">
        <v>4301060455</v>
      </c>
      <c r="D77" s="545">
        <v>4680115881532</v>
      </c>
      <c r="E77" s="546"/>
      <c r="F77" s="540">
        <v>1.3</v>
      </c>
      <c r="G77" s="32">
        <v>6</v>
      </c>
      <c r="H77" s="540">
        <v>7.8</v>
      </c>
      <c r="I77" s="540">
        <v>8.2100000000000009</v>
      </c>
      <c r="J77" s="32">
        <v>64</v>
      </c>
      <c r="K77" s="32" t="s">
        <v>102</v>
      </c>
      <c r="L77" s="32" t="s">
        <v>103</v>
      </c>
      <c r="M77" s="33" t="s">
        <v>86</v>
      </c>
      <c r="N77" s="33"/>
      <c r="O77" s="32">
        <v>30</v>
      </c>
      <c r="P77" s="7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48"/>
      <c r="R77" s="548"/>
      <c r="S77" s="548"/>
      <c r="T77" s="549"/>
      <c r="U77" s="34"/>
      <c r="V77" s="34"/>
      <c r="W77" s="35" t="s">
        <v>69</v>
      </c>
      <c r="X77" s="541">
        <v>0</v>
      </c>
      <c r="Y77" s="54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19" t="s">
        <v>160</v>
      </c>
      <c r="AG77" s="64"/>
      <c r="AJ77" s="68" t="s">
        <v>106</v>
      </c>
      <c r="AK77" s="68">
        <v>62.4</v>
      </c>
      <c r="BB77" s="120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161</v>
      </c>
      <c r="B78" s="54" t="s">
        <v>162</v>
      </c>
      <c r="C78" s="31">
        <v>4301060351</v>
      </c>
      <c r="D78" s="545">
        <v>4680115881464</v>
      </c>
      <c r="E78" s="546"/>
      <c r="F78" s="540">
        <v>0.4</v>
      </c>
      <c r="G78" s="32">
        <v>6</v>
      </c>
      <c r="H78" s="540">
        <v>2.4</v>
      </c>
      <c r="I78" s="540">
        <v>2.59</v>
      </c>
      <c r="J78" s="32">
        <v>132</v>
      </c>
      <c r="K78" s="32" t="s">
        <v>109</v>
      </c>
      <c r="L78" s="32"/>
      <c r="M78" s="33" t="s">
        <v>80</v>
      </c>
      <c r="N78" s="33"/>
      <c r="O78" s="32">
        <v>30</v>
      </c>
      <c r="P78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48"/>
      <c r="R78" s="548"/>
      <c r="S78" s="548"/>
      <c r="T78" s="549"/>
      <c r="U78" s="34"/>
      <c r="V78" s="34"/>
      <c r="W78" s="35" t="s">
        <v>69</v>
      </c>
      <c r="X78" s="541">
        <v>0</v>
      </c>
      <c r="Y78" s="542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163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561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62"/>
      <c r="P79" s="552" t="s">
        <v>75</v>
      </c>
      <c r="Q79" s="553"/>
      <c r="R79" s="553"/>
      <c r="S79" s="553"/>
      <c r="T79" s="553"/>
      <c r="U79" s="553"/>
      <c r="V79" s="554"/>
      <c r="W79" s="37" t="s">
        <v>76</v>
      </c>
      <c r="X79" s="543">
        <f>IFERROR(X77/H77,"0")+IFERROR(X78/H78,"0")</f>
        <v>0</v>
      </c>
      <c r="Y79" s="543">
        <f>IFERROR(Y77/H77,"0")+IFERROR(Y78/H78,"0")</f>
        <v>0</v>
      </c>
      <c r="Z79" s="543">
        <f>IFERROR(IF(Z77="",0,Z77),"0")+IFERROR(IF(Z78="",0,Z78),"0")</f>
        <v>0</v>
      </c>
      <c r="AA79" s="544"/>
      <c r="AB79" s="544"/>
      <c r="AC79" s="544"/>
    </row>
    <row r="80" spans="1:68" x14ac:dyDescent="0.2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62"/>
      <c r="P80" s="552" t="s">
        <v>75</v>
      </c>
      <c r="Q80" s="553"/>
      <c r="R80" s="553"/>
      <c r="S80" s="553"/>
      <c r="T80" s="553"/>
      <c r="U80" s="553"/>
      <c r="V80" s="554"/>
      <c r="W80" s="37" t="s">
        <v>69</v>
      </c>
      <c r="X80" s="543">
        <f>IFERROR(SUM(X77:X78),"0")</f>
        <v>0</v>
      </c>
      <c r="Y80" s="543">
        <f>IFERROR(SUM(Y77:Y78),"0")</f>
        <v>0</v>
      </c>
      <c r="Z80" s="37"/>
      <c r="AA80" s="544"/>
      <c r="AB80" s="544"/>
      <c r="AC80" s="544"/>
    </row>
    <row r="81" spans="1:68" ht="16.5" customHeight="1" x14ac:dyDescent="0.25">
      <c r="A81" s="559" t="s">
        <v>164</v>
      </c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36"/>
      <c r="AB81" s="536"/>
      <c r="AC81" s="536"/>
    </row>
    <row r="82" spans="1:68" ht="14.25" customHeight="1" x14ac:dyDescent="0.25">
      <c r="A82" s="555" t="s">
        <v>99</v>
      </c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37"/>
      <c r="AB82" s="537"/>
      <c r="AC82" s="537"/>
    </row>
    <row r="83" spans="1:68" ht="27" customHeight="1" x14ac:dyDescent="0.25">
      <c r="A83" s="54" t="s">
        <v>165</v>
      </c>
      <c r="B83" s="54" t="s">
        <v>166</v>
      </c>
      <c r="C83" s="31">
        <v>4301011468</v>
      </c>
      <c r="D83" s="545">
        <v>4680115881327</v>
      </c>
      <c r="E83" s="546"/>
      <c r="F83" s="540">
        <v>1.35</v>
      </c>
      <c r="G83" s="32">
        <v>8</v>
      </c>
      <c r="H83" s="540">
        <v>10.8</v>
      </c>
      <c r="I83" s="540">
        <v>11.21</v>
      </c>
      <c r="J83" s="32">
        <v>64</v>
      </c>
      <c r="K83" s="32" t="s">
        <v>102</v>
      </c>
      <c r="L83" s="32" t="s">
        <v>103</v>
      </c>
      <c r="M83" s="33" t="s">
        <v>86</v>
      </c>
      <c r="N83" s="33"/>
      <c r="O83" s="32">
        <v>50</v>
      </c>
      <c r="P83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48"/>
      <c r="R83" s="548"/>
      <c r="S83" s="548"/>
      <c r="T83" s="549"/>
      <c r="U83" s="34"/>
      <c r="V83" s="34"/>
      <c r="W83" s="35" t="s">
        <v>69</v>
      </c>
      <c r="X83" s="541">
        <v>80</v>
      </c>
      <c r="Y83" s="542">
        <f>IFERROR(IF(X83="",0,CEILING((X83/$H83),1)*$H83),"")</f>
        <v>86.4</v>
      </c>
      <c r="Z83" s="36">
        <f>IFERROR(IF(Y83=0,"",ROUNDUP(Y83/H83,0)*0.01898),"")</f>
        <v>0.15184</v>
      </c>
      <c r="AA83" s="56"/>
      <c r="AB83" s="57"/>
      <c r="AC83" s="123" t="s">
        <v>167</v>
      </c>
      <c r="AG83" s="64"/>
      <c r="AJ83" s="68" t="s">
        <v>106</v>
      </c>
      <c r="AK83" s="68">
        <v>86.4</v>
      </c>
      <c r="BB83" s="124" t="s">
        <v>1</v>
      </c>
      <c r="BM83" s="64">
        <f>IFERROR(X83*I83/H83,"0")</f>
        <v>83.037037037037038</v>
      </c>
      <c r="BN83" s="64">
        <f>IFERROR(Y83*I83/H83,"0")</f>
        <v>89.68</v>
      </c>
      <c r="BO83" s="64">
        <f>IFERROR(1/J83*(X83/H83),"0")</f>
        <v>0.11574074074074073</v>
      </c>
      <c r="BP83" s="64">
        <f>IFERROR(1/J83*(Y83/H83),"0")</f>
        <v>0.125</v>
      </c>
    </row>
    <row r="84" spans="1:68" ht="27" customHeight="1" x14ac:dyDescent="0.25">
      <c r="A84" s="54" t="s">
        <v>168</v>
      </c>
      <c r="B84" s="54" t="s">
        <v>169</v>
      </c>
      <c r="C84" s="31">
        <v>4301011261</v>
      </c>
      <c r="D84" s="545">
        <v>4680115887732</v>
      </c>
      <c r="E84" s="546"/>
      <c r="F84" s="540">
        <v>0.17</v>
      </c>
      <c r="G84" s="32">
        <v>10</v>
      </c>
      <c r="H84" s="540">
        <v>1.7</v>
      </c>
      <c r="I84" s="540">
        <v>1.8</v>
      </c>
      <c r="J84" s="32">
        <v>192</v>
      </c>
      <c r="K84" s="32" t="s">
        <v>170</v>
      </c>
      <c r="L84" s="32"/>
      <c r="M84" s="33" t="s">
        <v>68</v>
      </c>
      <c r="N84" s="33"/>
      <c r="O84" s="32">
        <v>30</v>
      </c>
      <c r="P84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48"/>
      <c r="R84" s="548"/>
      <c r="S84" s="548"/>
      <c r="T84" s="549"/>
      <c r="U84" s="34"/>
      <c r="V84" s="34"/>
      <c r="W84" s="35" t="s">
        <v>69</v>
      </c>
      <c r="X84" s="541">
        <v>0</v>
      </c>
      <c r="Y84" s="542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171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4301011476</v>
      </c>
      <c r="D85" s="545">
        <v>4680115881518</v>
      </c>
      <c r="E85" s="546"/>
      <c r="F85" s="540">
        <v>0.4</v>
      </c>
      <c r="G85" s="32">
        <v>10</v>
      </c>
      <c r="H85" s="540">
        <v>4</v>
      </c>
      <c r="I85" s="540">
        <v>4.1900000000000004</v>
      </c>
      <c r="J85" s="32">
        <v>132</v>
      </c>
      <c r="K85" s="32" t="s">
        <v>109</v>
      </c>
      <c r="L85" s="32"/>
      <c r="M85" s="33" t="s">
        <v>80</v>
      </c>
      <c r="N85" s="33"/>
      <c r="O85" s="32">
        <v>50</v>
      </c>
      <c r="P85" s="8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167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4301011443</v>
      </c>
      <c r="D86" s="545">
        <v>4680115881303</v>
      </c>
      <c r="E86" s="546"/>
      <c r="F86" s="540">
        <v>0.45</v>
      </c>
      <c r="G86" s="32">
        <v>10</v>
      </c>
      <c r="H86" s="540">
        <v>4.5</v>
      </c>
      <c r="I86" s="540">
        <v>4.6900000000000004</v>
      </c>
      <c r="J86" s="32">
        <v>132</v>
      </c>
      <c r="K86" s="32" t="s">
        <v>109</v>
      </c>
      <c r="L86" s="32"/>
      <c r="M86" s="33" t="s">
        <v>86</v>
      </c>
      <c r="N86" s="33"/>
      <c r="O86" s="32">
        <v>50</v>
      </c>
      <c r="P86" s="5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540</v>
      </c>
      <c r="Y86" s="542">
        <f>IFERROR(IF(X86="",0,CEILING((X86/$H86),1)*$H86),"")</f>
        <v>540</v>
      </c>
      <c r="Z86" s="36">
        <f>IFERROR(IF(Y86=0,"",ROUNDUP(Y86/H86,0)*0.00902),"")</f>
        <v>1.0824</v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562.80000000000007</v>
      </c>
      <c r="BN86" s="64">
        <f>IFERROR(Y86*I86/H86,"0")</f>
        <v>562.80000000000007</v>
      </c>
      <c r="BO86" s="64">
        <f>IFERROR(1/J86*(X86/H86),"0")</f>
        <v>0.90909090909090917</v>
      </c>
      <c r="BP86" s="64">
        <f>IFERROR(1/J86*(Y86/H86),"0")</f>
        <v>0.90909090909090917</v>
      </c>
    </row>
    <row r="87" spans="1:68" x14ac:dyDescent="0.2">
      <c r="A87" s="561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62"/>
      <c r="P87" s="552" t="s">
        <v>75</v>
      </c>
      <c r="Q87" s="553"/>
      <c r="R87" s="553"/>
      <c r="S87" s="553"/>
      <c r="T87" s="553"/>
      <c r="U87" s="553"/>
      <c r="V87" s="554"/>
      <c r="W87" s="37" t="s">
        <v>76</v>
      </c>
      <c r="X87" s="543">
        <f>IFERROR(X83/H83,"0")+IFERROR(X84/H84,"0")+IFERROR(X85/H85,"0")+IFERROR(X86/H86,"0")</f>
        <v>127.4074074074074</v>
      </c>
      <c r="Y87" s="543">
        <f>IFERROR(Y83/H83,"0")+IFERROR(Y84/H84,"0")+IFERROR(Y85/H85,"0")+IFERROR(Y86/H86,"0")</f>
        <v>128</v>
      </c>
      <c r="Z87" s="543">
        <f>IFERROR(IF(Z83="",0,Z83),"0")+IFERROR(IF(Z84="",0,Z84),"0")+IFERROR(IF(Z85="",0,Z85),"0")+IFERROR(IF(Z86="",0,Z86),"0")</f>
        <v>1.23424</v>
      </c>
      <c r="AA87" s="544"/>
      <c r="AB87" s="544"/>
      <c r="AC87" s="544"/>
    </row>
    <row r="88" spans="1:68" x14ac:dyDescent="0.2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62"/>
      <c r="P88" s="552" t="s">
        <v>75</v>
      </c>
      <c r="Q88" s="553"/>
      <c r="R88" s="553"/>
      <c r="S88" s="553"/>
      <c r="T88" s="553"/>
      <c r="U88" s="553"/>
      <c r="V88" s="554"/>
      <c r="W88" s="37" t="s">
        <v>69</v>
      </c>
      <c r="X88" s="543">
        <f>IFERROR(SUM(X83:X86),"0")</f>
        <v>620</v>
      </c>
      <c r="Y88" s="543">
        <f>IFERROR(SUM(Y83:Y86),"0")</f>
        <v>626.4</v>
      </c>
      <c r="Z88" s="37"/>
      <c r="AA88" s="544"/>
      <c r="AB88" s="544"/>
      <c r="AC88" s="544"/>
    </row>
    <row r="89" spans="1:68" ht="14.25" customHeight="1" x14ac:dyDescent="0.25">
      <c r="A89" s="555" t="s">
        <v>77</v>
      </c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37"/>
      <c r="AB89" s="537"/>
      <c r="AC89" s="537"/>
    </row>
    <row r="90" spans="1:68" ht="27" customHeight="1" x14ac:dyDescent="0.25">
      <c r="A90" s="54" t="s">
        <v>176</v>
      </c>
      <c r="B90" s="54" t="s">
        <v>177</v>
      </c>
      <c r="C90" s="31">
        <v>4301051712</v>
      </c>
      <c r="D90" s="545">
        <v>4607091386967</v>
      </c>
      <c r="E90" s="546"/>
      <c r="F90" s="540">
        <v>1.35</v>
      </c>
      <c r="G90" s="32">
        <v>6</v>
      </c>
      <c r="H90" s="540">
        <v>8.1</v>
      </c>
      <c r="I90" s="540">
        <v>8.5939999999999994</v>
      </c>
      <c r="J90" s="32">
        <v>64</v>
      </c>
      <c r="K90" s="32" t="s">
        <v>102</v>
      </c>
      <c r="L90" s="32" t="s">
        <v>103</v>
      </c>
      <c r="M90" s="33" t="s">
        <v>86</v>
      </c>
      <c r="N90" s="33"/>
      <c r="O90" s="32">
        <v>45</v>
      </c>
      <c r="P90" s="8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48"/>
      <c r="R90" s="548"/>
      <c r="S90" s="548"/>
      <c r="T90" s="549"/>
      <c r="U90" s="34"/>
      <c r="V90" s="34"/>
      <c r="W90" s="35" t="s">
        <v>69</v>
      </c>
      <c r="X90" s="541">
        <v>200</v>
      </c>
      <c r="Y90" s="542">
        <f>IFERROR(IF(X90="",0,CEILING((X90/$H90),1)*$H90),"")</f>
        <v>202.5</v>
      </c>
      <c r="Z90" s="36">
        <f>IFERROR(IF(Y90=0,"",ROUNDUP(Y90/H90,0)*0.01898),"")</f>
        <v>0.47450000000000003</v>
      </c>
      <c r="AA90" s="56"/>
      <c r="AB90" s="57"/>
      <c r="AC90" s="131" t="s">
        <v>178</v>
      </c>
      <c r="AG90" s="64"/>
      <c r="AJ90" s="68" t="s">
        <v>106</v>
      </c>
      <c r="AK90" s="68">
        <v>64.8</v>
      </c>
      <c r="BB90" s="132" t="s">
        <v>1</v>
      </c>
      <c r="BM90" s="64">
        <f>IFERROR(X90*I90/H90,"0")</f>
        <v>212.19753086419755</v>
      </c>
      <c r="BN90" s="64">
        <f>IFERROR(Y90*I90/H90,"0")</f>
        <v>214.85</v>
      </c>
      <c r="BO90" s="64">
        <f>IFERROR(1/J90*(X90/H90),"0")</f>
        <v>0.38580246913580246</v>
      </c>
      <c r="BP90" s="64">
        <f>IFERROR(1/J90*(Y90/H90),"0")</f>
        <v>0.390625</v>
      </c>
    </row>
    <row r="91" spans="1:68" ht="27" customHeight="1" x14ac:dyDescent="0.25">
      <c r="A91" s="54" t="s">
        <v>179</v>
      </c>
      <c r="B91" s="54" t="s">
        <v>180</v>
      </c>
      <c r="C91" s="31">
        <v>4301051788</v>
      </c>
      <c r="D91" s="545">
        <v>4680115884953</v>
      </c>
      <c r="E91" s="546"/>
      <c r="F91" s="540">
        <v>0.37</v>
      </c>
      <c r="G91" s="32">
        <v>6</v>
      </c>
      <c r="H91" s="540">
        <v>2.2200000000000002</v>
      </c>
      <c r="I91" s="540">
        <v>2.472</v>
      </c>
      <c r="J91" s="32">
        <v>182</v>
      </c>
      <c r="K91" s="32" t="s">
        <v>67</v>
      </c>
      <c r="L91" s="32"/>
      <c r="M91" s="33" t="s">
        <v>80</v>
      </c>
      <c r="N91" s="33"/>
      <c r="O91" s="32">
        <v>45</v>
      </c>
      <c r="P91" s="74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4301051718</v>
      </c>
      <c r="D92" s="545">
        <v>4607091385731</v>
      </c>
      <c r="E92" s="546"/>
      <c r="F92" s="540">
        <v>0.45</v>
      </c>
      <c r="G92" s="32">
        <v>6</v>
      </c>
      <c r="H92" s="540">
        <v>2.7</v>
      </c>
      <c r="I92" s="540">
        <v>2.952</v>
      </c>
      <c r="J92" s="32">
        <v>182</v>
      </c>
      <c r="K92" s="32" t="s">
        <v>67</v>
      </c>
      <c r="L92" s="32"/>
      <c r="M92" s="33" t="s">
        <v>86</v>
      </c>
      <c r="N92" s="33"/>
      <c r="O92" s="32">
        <v>45</v>
      </c>
      <c r="P92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315</v>
      </c>
      <c r="Y92" s="542">
        <f>IFERROR(IF(X92="",0,CEILING((X92/$H92),1)*$H92),"")</f>
        <v>315.90000000000003</v>
      </c>
      <c r="Z92" s="36">
        <f>IFERROR(IF(Y92=0,"",ROUNDUP(Y92/H92,0)*0.00651),"")</f>
        <v>0.76167000000000007</v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344.4</v>
      </c>
      <c r="BN92" s="64">
        <f>IFERROR(Y92*I92/H92,"0")</f>
        <v>345.38400000000001</v>
      </c>
      <c r="BO92" s="64">
        <f>IFERROR(1/J92*(X92/H92),"0")</f>
        <v>0.64102564102564097</v>
      </c>
      <c r="BP92" s="64">
        <f>IFERROR(1/J92*(Y92/H92),"0")</f>
        <v>0.6428571428571429</v>
      </c>
    </row>
    <row r="93" spans="1:68" ht="16.5" customHeight="1" x14ac:dyDescent="0.25">
      <c r="A93" s="54" t="s">
        <v>183</v>
      </c>
      <c r="B93" s="54" t="s">
        <v>184</v>
      </c>
      <c r="C93" s="31">
        <v>4301051438</v>
      </c>
      <c r="D93" s="545">
        <v>4680115880894</v>
      </c>
      <c r="E93" s="546"/>
      <c r="F93" s="540">
        <v>0.33</v>
      </c>
      <c r="G93" s="32">
        <v>6</v>
      </c>
      <c r="H93" s="540">
        <v>1.98</v>
      </c>
      <c r="I93" s="540">
        <v>2.238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8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1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62"/>
      <c r="P94" s="552" t="s">
        <v>75</v>
      </c>
      <c r="Q94" s="553"/>
      <c r="R94" s="553"/>
      <c r="S94" s="553"/>
      <c r="T94" s="553"/>
      <c r="U94" s="553"/>
      <c r="V94" s="554"/>
      <c r="W94" s="37" t="s">
        <v>76</v>
      </c>
      <c r="X94" s="543">
        <f>IFERROR(X90/H90,"0")+IFERROR(X91/H91,"0")+IFERROR(X92/H92,"0")+IFERROR(X93/H93,"0")</f>
        <v>141.35802469135803</v>
      </c>
      <c r="Y94" s="543">
        <f>IFERROR(Y90/H90,"0")+IFERROR(Y91/H91,"0")+IFERROR(Y92/H92,"0")+IFERROR(Y93/H93,"0")</f>
        <v>142</v>
      </c>
      <c r="Z94" s="543">
        <f>IFERROR(IF(Z90="",0,Z90),"0")+IFERROR(IF(Z91="",0,Z91),"0")+IFERROR(IF(Z92="",0,Z92),"0")+IFERROR(IF(Z93="",0,Z93),"0")</f>
        <v>1.23617</v>
      </c>
      <c r="AA94" s="544"/>
      <c r="AB94" s="544"/>
      <c r="AC94" s="544"/>
    </row>
    <row r="95" spans="1:68" x14ac:dyDescent="0.2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62"/>
      <c r="P95" s="552" t="s">
        <v>75</v>
      </c>
      <c r="Q95" s="553"/>
      <c r="R95" s="553"/>
      <c r="S95" s="553"/>
      <c r="T95" s="553"/>
      <c r="U95" s="553"/>
      <c r="V95" s="554"/>
      <c r="W95" s="37" t="s">
        <v>69</v>
      </c>
      <c r="X95" s="543">
        <f>IFERROR(SUM(X90:X93),"0")</f>
        <v>515</v>
      </c>
      <c r="Y95" s="543">
        <f>IFERROR(SUM(Y90:Y93),"0")</f>
        <v>518.40000000000009</v>
      </c>
      <c r="Z95" s="37"/>
      <c r="AA95" s="544"/>
      <c r="AB95" s="544"/>
      <c r="AC95" s="544"/>
    </row>
    <row r="96" spans="1:68" ht="16.5" customHeight="1" x14ac:dyDescent="0.25">
      <c r="A96" s="559" t="s">
        <v>186</v>
      </c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36"/>
      <c r="AB96" s="536"/>
      <c r="AC96" s="536"/>
    </row>
    <row r="97" spans="1:68" ht="14.25" customHeight="1" x14ac:dyDescent="0.25">
      <c r="A97" s="555" t="s">
        <v>99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7"/>
      <c r="AB97" s="537"/>
      <c r="AC97" s="537"/>
    </row>
    <row r="98" spans="1:68" ht="37.5" customHeight="1" x14ac:dyDescent="0.25">
      <c r="A98" s="54" t="s">
        <v>187</v>
      </c>
      <c r="B98" s="54" t="s">
        <v>188</v>
      </c>
      <c r="C98" s="31">
        <v>4301011514</v>
      </c>
      <c r="D98" s="545">
        <v>4680115882133</v>
      </c>
      <c r="E98" s="546"/>
      <c r="F98" s="540">
        <v>1.35</v>
      </c>
      <c r="G98" s="32">
        <v>8</v>
      </c>
      <c r="H98" s="540">
        <v>10.8</v>
      </c>
      <c r="I98" s="540">
        <v>11.21</v>
      </c>
      <c r="J98" s="32">
        <v>64</v>
      </c>
      <c r="K98" s="32" t="s">
        <v>102</v>
      </c>
      <c r="L98" s="32" t="s">
        <v>103</v>
      </c>
      <c r="M98" s="33" t="s">
        <v>104</v>
      </c>
      <c r="N98" s="33"/>
      <c r="O98" s="32">
        <v>50</v>
      </c>
      <c r="P98" s="7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48"/>
      <c r="R98" s="548"/>
      <c r="S98" s="548"/>
      <c r="T98" s="549"/>
      <c r="U98" s="34"/>
      <c r="V98" s="34"/>
      <c r="W98" s="35" t="s">
        <v>69</v>
      </c>
      <c r="X98" s="541">
        <v>20</v>
      </c>
      <c r="Y98" s="542">
        <f>IFERROR(IF(X98="",0,CEILING((X98/$H98),1)*$H98),"")</f>
        <v>21.6</v>
      </c>
      <c r="Z98" s="36">
        <f>IFERROR(IF(Y98=0,"",ROUNDUP(Y98/H98,0)*0.01898),"")</f>
        <v>3.7960000000000001E-2</v>
      </c>
      <c r="AA98" s="56"/>
      <c r="AB98" s="57"/>
      <c r="AC98" s="139" t="s">
        <v>189</v>
      </c>
      <c r="AG98" s="64"/>
      <c r="AJ98" s="68" t="s">
        <v>106</v>
      </c>
      <c r="AK98" s="68">
        <v>86.4</v>
      </c>
      <c r="BB98" s="140" t="s">
        <v>1</v>
      </c>
      <c r="BM98" s="64">
        <f>IFERROR(X98*I98/H98,"0")</f>
        <v>20.75925925925926</v>
      </c>
      <c r="BN98" s="64">
        <f>IFERROR(Y98*I98/H98,"0")</f>
        <v>22.42</v>
      </c>
      <c r="BO98" s="64">
        <f>IFERROR(1/J98*(X98/H98),"0")</f>
        <v>2.8935185185185182E-2</v>
      </c>
      <c r="BP98" s="64">
        <f>IFERROR(1/J98*(Y98/H98),"0")</f>
        <v>3.125E-2</v>
      </c>
    </row>
    <row r="99" spans="1:68" ht="27" customHeight="1" x14ac:dyDescent="0.25">
      <c r="A99" s="54" t="s">
        <v>190</v>
      </c>
      <c r="B99" s="54" t="s">
        <v>191</v>
      </c>
      <c r="C99" s="31">
        <v>4301012051</v>
      </c>
      <c r="D99" s="545">
        <v>4680115887718</v>
      </c>
      <c r="E99" s="546"/>
      <c r="F99" s="540">
        <v>0.11</v>
      </c>
      <c r="G99" s="32">
        <v>10</v>
      </c>
      <c r="H99" s="540">
        <v>1.1000000000000001</v>
      </c>
      <c r="I99" s="540">
        <v>1.31</v>
      </c>
      <c r="J99" s="32">
        <v>192</v>
      </c>
      <c r="K99" s="32" t="s">
        <v>170</v>
      </c>
      <c r="L99" s="32"/>
      <c r="M99" s="33" t="s">
        <v>68</v>
      </c>
      <c r="N99" s="33"/>
      <c r="O99" s="32">
        <v>30</v>
      </c>
      <c r="P99" s="5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IFERROR(IF(Y99=0,"",ROUNDUP(Y99/H99,0)*0.00726),"")</f>
        <v/>
      </c>
      <c r="AA99" s="56"/>
      <c r="AB99" s="57"/>
      <c r="AC99" s="141" t="s">
        <v>192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80</v>
      </c>
      <c r="N100" s="33"/>
      <c r="O100" s="32">
        <v>50</v>
      </c>
      <c r="P100" s="61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225</v>
      </c>
      <c r="Y101" s="542">
        <f>IFERROR(IF(X101="",0,CEILING((X101/$H101),1)*$H101),"")</f>
        <v>225</v>
      </c>
      <c r="Z101" s="36">
        <f>IFERROR(IF(Y101=0,"",ROUNDUP(Y101/H101,0)*0.00902),"")</f>
        <v>0.45100000000000001</v>
      </c>
      <c r="AA101" s="56"/>
      <c r="AB101" s="57"/>
      <c r="AC101" s="145" t="s">
        <v>189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234.5</v>
      </c>
      <c r="BN101" s="64">
        <f>IFERROR(Y101*I101/H101,"0")</f>
        <v>234.5</v>
      </c>
      <c r="BO101" s="64">
        <f>IFERROR(1/J101*(X101/H101),"0")</f>
        <v>0.37878787878787878</v>
      </c>
      <c r="BP101" s="64">
        <f>IFERROR(1/J101*(Y101/H101),"0")</f>
        <v>0.37878787878787878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1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62"/>
      <c r="P103" s="552" t="s">
        <v>75</v>
      </c>
      <c r="Q103" s="553"/>
      <c r="R103" s="553"/>
      <c r="S103" s="553"/>
      <c r="T103" s="553"/>
      <c r="U103" s="553"/>
      <c r="V103" s="554"/>
      <c r="W103" s="37" t="s">
        <v>76</v>
      </c>
      <c r="X103" s="543">
        <f>IFERROR(X98/H98,"0")+IFERROR(X99/H99,"0")+IFERROR(X100/H100,"0")+IFERROR(X101/H101,"0")+IFERROR(X102/H102,"0")</f>
        <v>51.851851851851855</v>
      </c>
      <c r="Y103" s="543">
        <f>IFERROR(Y98/H98,"0")+IFERROR(Y99/H99,"0")+IFERROR(Y100/H100,"0")+IFERROR(Y101/H101,"0")+IFERROR(Y102/H102,"0")</f>
        <v>52</v>
      </c>
      <c r="Z103" s="543">
        <f>IFERROR(IF(Z98="",0,Z98),"0")+IFERROR(IF(Z99="",0,Z99),"0")+IFERROR(IF(Z100="",0,Z100),"0")+IFERROR(IF(Z101="",0,Z101),"0")+IFERROR(IF(Z102="",0,Z102),"0")</f>
        <v>0.48896000000000001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2"/>
      <c r="P104" s="552" t="s">
        <v>75</v>
      </c>
      <c r="Q104" s="553"/>
      <c r="R104" s="553"/>
      <c r="S104" s="553"/>
      <c r="T104" s="553"/>
      <c r="U104" s="553"/>
      <c r="V104" s="554"/>
      <c r="W104" s="37" t="s">
        <v>69</v>
      </c>
      <c r="X104" s="543">
        <f>IFERROR(SUM(X98:X102),"0")</f>
        <v>245</v>
      </c>
      <c r="Y104" s="543">
        <f>IFERROR(SUM(Y98:Y102),"0")</f>
        <v>246.6</v>
      </c>
      <c r="Z104" s="37"/>
      <c r="AA104" s="544"/>
      <c r="AB104" s="544"/>
      <c r="AC104" s="544"/>
    </row>
    <row r="105" spans="1:68" ht="14.25" customHeight="1" x14ac:dyDescent="0.25">
      <c r="A105" s="555" t="s">
        <v>135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customHeight="1" x14ac:dyDescent="0.25">
      <c r="A107" s="54" t="s">
        <v>202</v>
      </c>
      <c r="B107" s="54" t="s">
        <v>203</v>
      </c>
      <c r="C107" s="31">
        <v>4301020186</v>
      </c>
      <c r="D107" s="545">
        <v>4680115887664</v>
      </c>
      <c r="E107" s="546"/>
      <c r="F107" s="540">
        <v>0.1</v>
      </c>
      <c r="G107" s="32">
        <v>10</v>
      </c>
      <c r="H107" s="540">
        <v>1</v>
      </c>
      <c r="I107" s="540">
        <v>1.21</v>
      </c>
      <c r="J107" s="32">
        <v>392</v>
      </c>
      <c r="K107" s="32" t="s">
        <v>204</v>
      </c>
      <c r="L107" s="32"/>
      <c r="M107" s="33" t="s">
        <v>68</v>
      </c>
      <c r="N107" s="33"/>
      <c r="O107" s="32">
        <v>30</v>
      </c>
      <c r="P107" s="8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3</v>
      </c>
      <c r="Y107" s="542">
        <f>IFERROR(IF(X107="",0,CEILING((X107/$H107),1)*$H107),"")</f>
        <v>3</v>
      </c>
      <c r="Z107" s="36">
        <f>IFERROR(IF(Y107=0,"",ROUNDUP(Y107/H107,0)*0.00358),"")</f>
        <v>1.074E-2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3.63</v>
      </c>
      <c r="BN107" s="64">
        <f>IFERROR(Y107*I107/H107,"0")</f>
        <v>3.63</v>
      </c>
      <c r="BO107" s="64">
        <f>IFERROR(1/J107*(X107/H107),"0")</f>
        <v>7.6530612244897957E-3</v>
      </c>
      <c r="BP107" s="64">
        <f>IFERROR(1/J107*(Y107/H107),"0")</f>
        <v>7.6530612244897957E-3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73</v>
      </c>
      <c r="L108" s="32"/>
      <c r="M108" s="33" t="s">
        <v>104</v>
      </c>
      <c r="N108" s="33"/>
      <c r="O108" s="32">
        <v>55</v>
      </c>
      <c r="P108" s="7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67</v>
      </c>
      <c r="L109" s="32"/>
      <c r="M109" s="33" t="s">
        <v>104</v>
      </c>
      <c r="N109" s="33"/>
      <c r="O109" s="32">
        <v>55</v>
      </c>
      <c r="P109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1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2"/>
      <c r="P110" s="552" t="s">
        <v>75</v>
      </c>
      <c r="Q110" s="553"/>
      <c r="R110" s="553"/>
      <c r="S110" s="553"/>
      <c r="T110" s="553"/>
      <c r="U110" s="553"/>
      <c r="V110" s="554"/>
      <c r="W110" s="37" t="s">
        <v>76</v>
      </c>
      <c r="X110" s="543">
        <f>IFERROR(X106/H106,"0")+IFERROR(X107/H107,"0")+IFERROR(X108/H108,"0")+IFERROR(X109/H109,"0")</f>
        <v>3</v>
      </c>
      <c r="Y110" s="543">
        <f>IFERROR(Y106/H106,"0")+IFERROR(Y107/H107,"0")+IFERROR(Y108/H108,"0")+IFERROR(Y109/H109,"0")</f>
        <v>3</v>
      </c>
      <c r="Z110" s="543">
        <f>IFERROR(IF(Z106="",0,Z106),"0")+IFERROR(IF(Z107="",0,Z107),"0")+IFERROR(IF(Z108="",0,Z108),"0")+IFERROR(IF(Z109="",0,Z109),"0")</f>
        <v>1.074E-2</v>
      </c>
      <c r="AA110" s="544"/>
      <c r="AB110" s="544"/>
      <c r="AC110" s="544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2"/>
      <c r="P111" s="552" t="s">
        <v>75</v>
      </c>
      <c r="Q111" s="553"/>
      <c r="R111" s="553"/>
      <c r="S111" s="553"/>
      <c r="T111" s="553"/>
      <c r="U111" s="553"/>
      <c r="V111" s="554"/>
      <c r="W111" s="37" t="s">
        <v>69</v>
      </c>
      <c r="X111" s="543">
        <f>IFERROR(SUM(X106:X109),"0")</f>
        <v>3</v>
      </c>
      <c r="Y111" s="543">
        <f>IFERROR(SUM(Y106:Y109),"0")</f>
        <v>3</v>
      </c>
      <c r="Z111" s="37"/>
      <c r="AA111" s="544"/>
      <c r="AB111" s="544"/>
      <c r="AC111" s="544"/>
    </row>
    <row r="112" spans="1:68" ht="14.25" customHeight="1" x14ac:dyDescent="0.25">
      <c r="A112" s="555" t="s">
        <v>77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7"/>
      <c r="AB112" s="537"/>
      <c r="AC112" s="537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8.5879999999999992</v>
      </c>
      <c r="J113" s="32">
        <v>64</v>
      </c>
      <c r="K113" s="32" t="s">
        <v>102</v>
      </c>
      <c r="L113" s="32" t="s">
        <v>103</v>
      </c>
      <c r="M113" s="33" t="s">
        <v>86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300</v>
      </c>
      <c r="Y113" s="542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212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67</v>
      </c>
      <c r="L114" s="32"/>
      <c r="M114" s="33" t="s">
        <v>86</v>
      </c>
      <c r="N114" s="33"/>
      <c r="O114" s="32">
        <v>45</v>
      </c>
      <c r="P114" s="79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67</v>
      </c>
      <c r="L115" s="32" t="s">
        <v>217</v>
      </c>
      <c r="M115" s="33" t="s">
        <v>86</v>
      </c>
      <c r="N115" s="33"/>
      <c r="O115" s="32">
        <v>45</v>
      </c>
      <c r="P115" s="71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360</v>
      </c>
      <c r="Y115" s="542">
        <f>IFERROR(IF(X115="",0,CEILING((X115/$H115),1)*$H115),"")</f>
        <v>361.8</v>
      </c>
      <c r="Z115" s="36">
        <f>IFERROR(IF(Y115=0,"",ROUNDUP(Y115/H115,0)*0.00651),"")</f>
        <v>0.87234</v>
      </c>
      <c r="AA115" s="56"/>
      <c r="AB115" s="57"/>
      <c r="AC115" s="161" t="s">
        <v>212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393.59999999999997</v>
      </c>
      <c r="BN115" s="64">
        <f>IFERROR(Y115*I115/H115,"0")</f>
        <v>395.56799999999998</v>
      </c>
      <c r="BO115" s="64">
        <f>IFERROR(1/J115*(X115/H115),"0")</f>
        <v>0.73260073260073255</v>
      </c>
      <c r="BP115" s="64">
        <f>IFERROR(1/J115*(Y115/H115),"0")</f>
        <v>0.73626373626373631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67</v>
      </c>
      <c r="L116" s="32" t="s">
        <v>217</v>
      </c>
      <c r="M116" s="33" t="s">
        <v>80</v>
      </c>
      <c r="N116" s="33"/>
      <c r="O116" s="32">
        <v>45</v>
      </c>
      <c r="P116" s="6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36</v>
      </c>
      <c r="Y116" s="542">
        <f>IFERROR(IF(X116="",0,CEILING((X116/$H116),1)*$H116),"")</f>
        <v>36</v>
      </c>
      <c r="Z116" s="36">
        <f>IFERROR(IF(Y116=0,"",ROUNDUP(Y116/H116,0)*0.00651),"")</f>
        <v>0.13020000000000001</v>
      </c>
      <c r="AA116" s="56"/>
      <c r="AB116" s="57"/>
      <c r="AC116" s="163" t="s">
        <v>220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39.6</v>
      </c>
      <c r="BN116" s="64">
        <f>IFERROR(Y116*I116/H116,"0")</f>
        <v>39.6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x14ac:dyDescent="0.2">
      <c r="A117" s="561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2"/>
      <c r="P117" s="552" t="s">
        <v>75</v>
      </c>
      <c r="Q117" s="553"/>
      <c r="R117" s="553"/>
      <c r="S117" s="553"/>
      <c r="T117" s="553"/>
      <c r="U117" s="553"/>
      <c r="V117" s="554"/>
      <c r="W117" s="37" t="s">
        <v>76</v>
      </c>
      <c r="X117" s="543">
        <f>IFERROR(X113/H113,"0")+IFERROR(X114/H114,"0")+IFERROR(X115/H115,"0")+IFERROR(X116/H116,"0")</f>
        <v>190.37037037037035</v>
      </c>
      <c r="Y117" s="543">
        <f>IFERROR(Y113/H113,"0")+IFERROR(Y114/H114,"0")+IFERROR(Y115/H115,"0")+IFERROR(Y116/H116,"0")</f>
        <v>192</v>
      </c>
      <c r="Z117" s="543">
        <f>IFERROR(IF(Z113="",0,Z113),"0")+IFERROR(IF(Z114="",0,Z114),"0")+IFERROR(IF(Z115="",0,Z115),"0")+IFERROR(IF(Z116="",0,Z116),"0")</f>
        <v>1.7237800000000001</v>
      </c>
      <c r="AA117" s="544"/>
      <c r="AB117" s="544"/>
      <c r="AC117" s="544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2"/>
      <c r="P118" s="552" t="s">
        <v>75</v>
      </c>
      <c r="Q118" s="553"/>
      <c r="R118" s="553"/>
      <c r="S118" s="553"/>
      <c r="T118" s="553"/>
      <c r="U118" s="553"/>
      <c r="V118" s="554"/>
      <c r="W118" s="37" t="s">
        <v>69</v>
      </c>
      <c r="X118" s="543">
        <f>IFERROR(SUM(X113:X116),"0")</f>
        <v>696</v>
      </c>
      <c r="Y118" s="543">
        <f>IFERROR(SUM(Y113:Y116),"0")</f>
        <v>705.6</v>
      </c>
      <c r="Z118" s="37"/>
      <c r="AA118" s="544"/>
      <c r="AB118" s="544"/>
      <c r="AC118" s="544"/>
    </row>
    <row r="119" spans="1:68" ht="14.25" customHeight="1" x14ac:dyDescent="0.25">
      <c r="A119" s="555" t="s">
        <v>157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7"/>
      <c r="AB119" s="537"/>
      <c r="AC119" s="537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67</v>
      </c>
      <c r="L120" s="32" t="s">
        <v>217</v>
      </c>
      <c r="M120" s="33" t="s">
        <v>80</v>
      </c>
      <c r="N120" s="33"/>
      <c r="O120" s="32">
        <v>40</v>
      </c>
      <c r="P120" s="6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33</v>
      </c>
      <c r="Y120" s="542">
        <f>IFERROR(IF(X120="",0,CEILING((X120/$H120),1)*$H120),"")</f>
        <v>33.659999999999997</v>
      </c>
      <c r="Z120" s="36">
        <f>IFERROR(IF(Y120=0,"",ROUNDUP(Y120/H120,0)*0.00651),"")</f>
        <v>0.11067</v>
      </c>
      <c r="AA120" s="56"/>
      <c r="AB120" s="57"/>
      <c r="AC120" s="165" t="s">
        <v>223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37.299999999999997</v>
      </c>
      <c r="BN120" s="64">
        <f>IFERROR(Y120*I120/H120,"0")</f>
        <v>38.045999999999992</v>
      </c>
      <c r="BO120" s="64">
        <f>IFERROR(1/J120*(X120/H120),"0")</f>
        <v>9.1575091575091583E-2</v>
      </c>
      <c r="BP120" s="64">
        <f>IFERROR(1/J120*(Y120/H120),"0")</f>
        <v>9.3406593406593408E-2</v>
      </c>
    </row>
    <row r="121" spans="1:68" x14ac:dyDescent="0.2">
      <c r="A121" s="561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2"/>
      <c r="P121" s="552" t="s">
        <v>75</v>
      </c>
      <c r="Q121" s="553"/>
      <c r="R121" s="553"/>
      <c r="S121" s="553"/>
      <c r="T121" s="553"/>
      <c r="U121" s="553"/>
      <c r="V121" s="554"/>
      <c r="W121" s="37" t="s">
        <v>76</v>
      </c>
      <c r="X121" s="543">
        <f>IFERROR(X120/H120,"0")</f>
        <v>16.666666666666668</v>
      </c>
      <c r="Y121" s="543">
        <f>IFERROR(Y120/H120,"0")</f>
        <v>17</v>
      </c>
      <c r="Z121" s="543">
        <f>IFERROR(IF(Z120="",0,Z120),"0")</f>
        <v>0.11067</v>
      </c>
      <c r="AA121" s="544"/>
      <c r="AB121" s="544"/>
      <c r="AC121" s="544"/>
    </row>
    <row r="122" spans="1:68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2"/>
      <c r="P122" s="552" t="s">
        <v>75</v>
      </c>
      <c r="Q122" s="553"/>
      <c r="R122" s="553"/>
      <c r="S122" s="553"/>
      <c r="T122" s="553"/>
      <c r="U122" s="553"/>
      <c r="V122" s="554"/>
      <c r="W122" s="37" t="s">
        <v>69</v>
      </c>
      <c r="X122" s="543">
        <f>IFERROR(SUM(X120:X120),"0")</f>
        <v>33</v>
      </c>
      <c r="Y122" s="543">
        <f>IFERROR(SUM(Y120:Y120),"0")</f>
        <v>33.659999999999997</v>
      </c>
      <c r="Z122" s="37"/>
      <c r="AA122" s="544"/>
      <c r="AB122" s="544"/>
      <c r="AC122" s="544"/>
    </row>
    <row r="123" spans="1:68" ht="16.5" customHeight="1" x14ac:dyDescent="0.25">
      <c r="A123" s="559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6"/>
      <c r="AB123" s="536"/>
      <c r="AC123" s="536"/>
    </row>
    <row r="124" spans="1:68" ht="14.25" customHeight="1" x14ac:dyDescent="0.25">
      <c r="A124" s="555" t="s">
        <v>99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7"/>
      <c r="AB124" s="537"/>
      <c r="AC124" s="537"/>
    </row>
    <row r="125" spans="1:68" ht="27" customHeight="1" x14ac:dyDescent="0.25">
      <c r="A125" s="54" t="s">
        <v>225</v>
      </c>
      <c r="B125" s="54" t="s">
        <v>226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67</v>
      </c>
      <c r="L125" s="32"/>
      <c r="M125" s="33" t="s">
        <v>94</v>
      </c>
      <c r="N125" s="33"/>
      <c r="O125" s="32">
        <v>90</v>
      </c>
      <c r="P125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4301011562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67</v>
      </c>
      <c r="L126" s="32" t="s">
        <v>217</v>
      </c>
      <c r="M126" s="33" t="s">
        <v>94</v>
      </c>
      <c r="N126" s="33"/>
      <c r="O126" s="32">
        <v>90</v>
      </c>
      <c r="P126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48</v>
      </c>
      <c r="Y126" s="542">
        <f>IFERROR(IF(X126="",0,CEILING((X126/$H126),1)*$H126),"")</f>
        <v>48</v>
      </c>
      <c r="Z126" s="36">
        <f>IFERROR(IF(Y126=0,"",ROUNDUP(Y126/H126,0)*0.00651),"")</f>
        <v>9.7650000000000001E-2</v>
      </c>
      <c r="AA126" s="56"/>
      <c r="AB126" s="57"/>
      <c r="AC126" s="169" t="s">
        <v>227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50.7</v>
      </c>
      <c r="BN126" s="64">
        <f>IFERROR(Y126*I126/H126,"0")</f>
        <v>50.7</v>
      </c>
      <c r="BO126" s="64">
        <f>IFERROR(1/J126*(X126/H126),"0")</f>
        <v>8.241758241758243E-2</v>
      </c>
      <c r="BP126" s="64">
        <f>IFERROR(1/J126*(Y126/H126),"0")</f>
        <v>8.241758241758243E-2</v>
      </c>
    </row>
    <row r="127" spans="1:68" x14ac:dyDescent="0.2">
      <c r="A127" s="561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2"/>
      <c r="P127" s="552" t="s">
        <v>75</v>
      </c>
      <c r="Q127" s="553"/>
      <c r="R127" s="553"/>
      <c r="S127" s="553"/>
      <c r="T127" s="553"/>
      <c r="U127" s="553"/>
      <c r="V127" s="554"/>
      <c r="W127" s="37" t="s">
        <v>76</v>
      </c>
      <c r="X127" s="543">
        <f>IFERROR(X125/H125,"0")+IFERROR(X126/H126,"0")</f>
        <v>15</v>
      </c>
      <c r="Y127" s="543">
        <f>IFERROR(Y125/H125,"0")+IFERROR(Y126/H126,"0")</f>
        <v>15</v>
      </c>
      <c r="Z127" s="543">
        <f>IFERROR(IF(Z125="",0,Z125),"0")+IFERROR(IF(Z126="",0,Z126),"0")</f>
        <v>9.7650000000000001E-2</v>
      </c>
      <c r="AA127" s="544"/>
      <c r="AB127" s="544"/>
      <c r="AC127" s="544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2"/>
      <c r="P128" s="552" t="s">
        <v>75</v>
      </c>
      <c r="Q128" s="553"/>
      <c r="R128" s="553"/>
      <c r="S128" s="553"/>
      <c r="T128" s="553"/>
      <c r="U128" s="553"/>
      <c r="V128" s="554"/>
      <c r="W128" s="37" t="s">
        <v>69</v>
      </c>
      <c r="X128" s="543">
        <f>IFERROR(SUM(X125:X126),"0")</f>
        <v>48</v>
      </c>
      <c r="Y128" s="543">
        <f>IFERROR(SUM(Y125:Y126),"0")</f>
        <v>48</v>
      </c>
      <c r="Z128" s="37"/>
      <c r="AA128" s="544"/>
      <c r="AB128" s="544"/>
      <c r="AC128" s="544"/>
    </row>
    <row r="129" spans="1:68" ht="14.25" customHeight="1" x14ac:dyDescent="0.25">
      <c r="A129" s="55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7"/>
      <c r="AB129" s="537"/>
      <c r="AC129" s="537"/>
    </row>
    <row r="130" spans="1:68" ht="27" customHeight="1" x14ac:dyDescent="0.25">
      <c r="A130" s="54" t="s">
        <v>229</v>
      </c>
      <c r="B130" s="54" t="s">
        <v>230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67</v>
      </c>
      <c r="L130" s="32" t="s">
        <v>217</v>
      </c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21</v>
      </c>
      <c r="Y130" s="542">
        <f>IFERROR(IF(X130="",0,CEILING((X130/$H130),1)*$H130),"")</f>
        <v>22.4</v>
      </c>
      <c r="Z130" s="36">
        <f>IFERROR(IF(Y130=0,"",ROUNDUP(Y130/H130,0)*0.00651),"")</f>
        <v>5.2080000000000001E-2</v>
      </c>
      <c r="AA130" s="56"/>
      <c r="AB130" s="57"/>
      <c r="AC130" s="171" t="s">
        <v>231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23.01</v>
      </c>
      <c r="BN130" s="64">
        <f>IFERROR(Y130*I130/H130,"0")</f>
        <v>24.543999999999997</v>
      </c>
      <c r="BO130" s="64">
        <f>IFERROR(1/J130*(X130/H130),"0")</f>
        <v>4.1208791208791215E-2</v>
      </c>
      <c r="BP130" s="64">
        <f>IFERROR(1/J130*(Y130/H130),"0")</f>
        <v>4.3956043956043959E-2</v>
      </c>
    </row>
    <row r="131" spans="1:68" ht="27" customHeight="1" x14ac:dyDescent="0.25">
      <c r="A131" s="54" t="s">
        <v>229</v>
      </c>
      <c r="B131" s="54" t="s">
        <v>232</v>
      </c>
      <c r="C131" s="31">
        <v>4301031235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1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2"/>
      <c r="P132" s="552" t="s">
        <v>75</v>
      </c>
      <c r="Q132" s="553"/>
      <c r="R132" s="553"/>
      <c r="S132" s="553"/>
      <c r="T132" s="553"/>
      <c r="U132" s="553"/>
      <c r="V132" s="554"/>
      <c r="W132" s="37" t="s">
        <v>76</v>
      </c>
      <c r="X132" s="543">
        <f>IFERROR(X130/H130,"0")+IFERROR(X131/H131,"0")</f>
        <v>7.5000000000000009</v>
      </c>
      <c r="Y132" s="543">
        <f>IFERROR(Y130/H130,"0")+IFERROR(Y131/H131,"0")</f>
        <v>8</v>
      </c>
      <c r="Z132" s="543">
        <f>IFERROR(IF(Z130="",0,Z130),"0")+IFERROR(IF(Z131="",0,Z131),"0")</f>
        <v>5.2080000000000001E-2</v>
      </c>
      <c r="AA132" s="544"/>
      <c r="AB132" s="544"/>
      <c r="AC132" s="544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2"/>
      <c r="P133" s="552" t="s">
        <v>75</v>
      </c>
      <c r="Q133" s="553"/>
      <c r="R133" s="553"/>
      <c r="S133" s="553"/>
      <c r="T133" s="553"/>
      <c r="U133" s="553"/>
      <c r="V133" s="554"/>
      <c r="W133" s="37" t="s">
        <v>69</v>
      </c>
      <c r="X133" s="543">
        <f>IFERROR(SUM(X130:X131),"0")</f>
        <v>21</v>
      </c>
      <c r="Y133" s="543">
        <f>IFERROR(SUM(Y130:Y131),"0")</f>
        <v>22.4</v>
      </c>
      <c r="Z133" s="37"/>
      <c r="AA133" s="544"/>
      <c r="AB133" s="544"/>
      <c r="AC133" s="544"/>
    </row>
    <row r="134" spans="1:68" ht="14.25" customHeight="1" x14ac:dyDescent="0.25">
      <c r="A134" s="555" t="s">
        <v>77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7"/>
      <c r="AB134" s="537"/>
      <c r="AC134" s="537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67</v>
      </c>
      <c r="L135" s="32"/>
      <c r="M135" s="33" t="s">
        <v>94</v>
      </c>
      <c r="N135" s="33"/>
      <c r="O135" s="32">
        <v>60</v>
      </c>
      <c r="P135" s="8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67</v>
      </c>
      <c r="L136" s="32" t="s">
        <v>217</v>
      </c>
      <c r="M136" s="33" t="s">
        <v>94</v>
      </c>
      <c r="N136" s="33"/>
      <c r="O136" s="32">
        <v>60</v>
      </c>
      <c r="P136" s="8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33</v>
      </c>
      <c r="Y136" s="542">
        <f>IFERROR(IF(X136="",0,CEILING((X136/$H136),1)*$H136),"")</f>
        <v>34.32</v>
      </c>
      <c r="Z136" s="36">
        <f>IFERROR(IF(Y136=0,"",ROUNDUP(Y136/H136,0)*0.00651),"")</f>
        <v>8.4629999999999997E-2</v>
      </c>
      <c r="AA136" s="56"/>
      <c r="AB136" s="57"/>
      <c r="AC136" s="177" t="s">
        <v>227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36.349999999999994</v>
      </c>
      <c r="BN136" s="64">
        <f>IFERROR(Y136*I136/H136,"0")</f>
        <v>37.803999999999995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x14ac:dyDescent="0.2">
      <c r="A137" s="561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2"/>
      <c r="P137" s="552" t="s">
        <v>75</v>
      </c>
      <c r="Q137" s="553"/>
      <c r="R137" s="553"/>
      <c r="S137" s="553"/>
      <c r="T137" s="553"/>
      <c r="U137" s="553"/>
      <c r="V137" s="554"/>
      <c r="W137" s="37" t="s">
        <v>76</v>
      </c>
      <c r="X137" s="543">
        <f>IFERROR(X135/H135,"0")+IFERROR(X136/H136,"0")</f>
        <v>12.5</v>
      </c>
      <c r="Y137" s="543">
        <f>IFERROR(Y135/H135,"0")+IFERROR(Y136/H136,"0")</f>
        <v>13</v>
      </c>
      <c r="Z137" s="543">
        <f>IFERROR(IF(Z135="",0,Z135),"0")+IFERROR(IF(Z136="",0,Z136),"0")</f>
        <v>8.4629999999999997E-2</v>
      </c>
      <c r="AA137" s="544"/>
      <c r="AB137" s="544"/>
      <c r="AC137" s="544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2"/>
      <c r="P138" s="552" t="s">
        <v>75</v>
      </c>
      <c r="Q138" s="553"/>
      <c r="R138" s="553"/>
      <c r="S138" s="553"/>
      <c r="T138" s="553"/>
      <c r="U138" s="553"/>
      <c r="V138" s="554"/>
      <c r="W138" s="37" t="s">
        <v>69</v>
      </c>
      <c r="X138" s="543">
        <f>IFERROR(SUM(X135:X136),"0")</f>
        <v>33</v>
      </c>
      <c r="Y138" s="543">
        <f>IFERROR(SUM(Y135:Y136),"0")</f>
        <v>34.32</v>
      </c>
      <c r="Z138" s="37"/>
      <c r="AA138" s="544"/>
      <c r="AB138" s="544"/>
      <c r="AC138" s="544"/>
    </row>
    <row r="139" spans="1:68" ht="16.5" customHeight="1" x14ac:dyDescent="0.25">
      <c r="A139" s="559" t="s">
        <v>97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6"/>
      <c r="AB139" s="536"/>
      <c r="AC139" s="536"/>
    </row>
    <row r="140" spans="1:68" ht="14.25" customHeight="1" x14ac:dyDescent="0.25">
      <c r="A140" s="555" t="s">
        <v>99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7"/>
      <c r="AB140" s="537"/>
      <c r="AC140" s="537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13.21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2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4.1900000000000004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1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2"/>
      <c r="P143" s="552" t="s">
        <v>75</v>
      </c>
      <c r="Q143" s="553"/>
      <c r="R143" s="553"/>
      <c r="S143" s="553"/>
      <c r="T143" s="553"/>
      <c r="U143" s="553"/>
      <c r="V143" s="554"/>
      <c r="W143" s="37" t="s">
        <v>76</v>
      </c>
      <c r="X143" s="543">
        <f>IFERROR(X141/H141,"0")+IFERROR(X142/H142,"0")</f>
        <v>0</v>
      </c>
      <c r="Y143" s="543">
        <f>IFERROR(Y141/H141,"0")+IFERROR(Y142/H142,"0")</f>
        <v>0</v>
      </c>
      <c r="Z143" s="543">
        <f>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2"/>
      <c r="P144" s="552" t="s">
        <v>75</v>
      </c>
      <c r="Q144" s="553"/>
      <c r="R144" s="553"/>
      <c r="S144" s="553"/>
      <c r="T144" s="553"/>
      <c r="U144" s="553"/>
      <c r="V144" s="554"/>
      <c r="W144" s="37" t="s">
        <v>69</v>
      </c>
      <c r="X144" s="543">
        <f>IFERROR(SUM(X141:X142),"0")</f>
        <v>0</v>
      </c>
      <c r="Y144" s="543">
        <f>IFERROR(SUM(Y141:Y142),"0")</f>
        <v>0</v>
      </c>
      <c r="Z144" s="37"/>
      <c r="AA144" s="544"/>
      <c r="AB144" s="544"/>
      <c r="AC144" s="544"/>
    </row>
    <row r="145" spans="1:68" ht="14.25" customHeight="1" x14ac:dyDescent="0.25">
      <c r="A145" s="55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4301031450</v>
      </c>
      <c r="D146" s="545">
        <v>4680115887428</v>
      </c>
      <c r="E146" s="546"/>
      <c r="F146" s="540">
        <v>0.7</v>
      </c>
      <c r="G146" s="32">
        <v>6</v>
      </c>
      <c r="H146" s="540">
        <v>4.2</v>
      </c>
      <c r="I146" s="540">
        <v>4.3899999999999997</v>
      </c>
      <c r="J146" s="32">
        <v>132</v>
      </c>
      <c r="K146" s="32" t="s">
        <v>109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50</v>
      </c>
      <c r="Y146" s="542">
        <f>IFERROR(IF(X146="",0,CEILING((X146/$H146),1)*$H146),"")</f>
        <v>50.400000000000006</v>
      </c>
      <c r="Z146" s="36">
        <f>IFERROR(IF(Y146=0,"",ROUNDUP(Y146/H146,0)*0.00902),"")</f>
        <v>0.10824</v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52.261904761904752</v>
      </c>
      <c r="BN146" s="64">
        <f>IFERROR(Y146*I146/H146,"0")</f>
        <v>52.68</v>
      </c>
      <c r="BO146" s="64">
        <f>IFERROR(1/J146*(X146/H146),"0")</f>
        <v>9.0187590187590191E-2</v>
      </c>
      <c r="BP146" s="64">
        <f>IFERROR(1/J146*(Y146/H146),"0")</f>
        <v>9.0909090909090912E-2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59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4301031453</v>
      </c>
      <c r="D148" s="545">
        <v>4680115887336</v>
      </c>
      <c r="E148" s="546"/>
      <c r="F148" s="540">
        <v>0.7</v>
      </c>
      <c r="G148" s="32">
        <v>6</v>
      </c>
      <c r="H148" s="540">
        <v>4.2</v>
      </c>
      <c r="I148" s="540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100</v>
      </c>
      <c r="Y148" s="542">
        <f>IFERROR(IF(X148="",0,CEILING((X148/$H148),1)*$H148),"")</f>
        <v>100.80000000000001</v>
      </c>
      <c r="Z148" s="36">
        <f>IFERROR(IF(Y148=0,"",ROUNDUP(Y148/H148,0)*0.00902),"")</f>
        <v>0.21648000000000001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104.5238095238095</v>
      </c>
      <c r="BN148" s="64">
        <f>IFERROR(Y148*I148/H148,"0")</f>
        <v>105.36</v>
      </c>
      <c r="BO148" s="64">
        <f>IFERROR(1/J148*(X148/H148),"0")</f>
        <v>0.18037518037518038</v>
      </c>
      <c r="BP148" s="64">
        <f>IFERROR(1/J148*(Y148/H148),"0")</f>
        <v>0.18181818181818182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9.56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45">
        <v>4680115887398</v>
      </c>
      <c r="E150" s="546"/>
      <c r="F150" s="540">
        <v>0.7</v>
      </c>
      <c r="G150" s="32">
        <v>6</v>
      </c>
      <c r="H150" s="540">
        <v>4.2</v>
      </c>
      <c r="I150" s="540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48"/>
      <c r="R150" s="548"/>
      <c r="S150" s="548"/>
      <c r="T150" s="549"/>
      <c r="U150" s="34"/>
      <c r="V150" s="34"/>
      <c r="W150" s="35" t="s">
        <v>69</v>
      </c>
      <c r="X150" s="541">
        <v>120</v>
      </c>
      <c r="Y150" s="542">
        <f>IFERROR(IF(X150="",0,CEILING((X150/$H150),1)*$H150),"")</f>
        <v>121.80000000000001</v>
      </c>
      <c r="Z150" s="36">
        <f>IFERROR(IF(Y150=0,"",ROUNDUP(Y150/H150,0)*0.00902),"")</f>
        <v>0.26158000000000003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125.42857142857142</v>
      </c>
      <c r="BN150" s="64">
        <f>IFERROR(Y150*I150/H150,"0")</f>
        <v>127.30999999999999</v>
      </c>
      <c r="BO150" s="64">
        <f>IFERROR(1/J150*(X150/H150),"0")</f>
        <v>0.21645021645021645</v>
      </c>
      <c r="BP150" s="64">
        <f>IFERROR(1/J150*(Y150/H150),"0")</f>
        <v>0.2196969696969697</v>
      </c>
    </row>
    <row r="151" spans="1:68" x14ac:dyDescent="0.2">
      <c r="A151" s="561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62"/>
      <c r="P151" s="552" t="s">
        <v>75</v>
      </c>
      <c r="Q151" s="553"/>
      <c r="R151" s="553"/>
      <c r="S151" s="553"/>
      <c r="T151" s="553"/>
      <c r="U151" s="553"/>
      <c r="V151" s="554"/>
      <c r="W151" s="37" t="s">
        <v>76</v>
      </c>
      <c r="X151" s="543">
        <f>IFERROR(X146/H146,"0")+IFERROR(X147/H147,"0")+IFERROR(X148/H148,"0")+IFERROR(X149/H149,"0")+IFERROR(X150/H150,"0")</f>
        <v>64.285714285714278</v>
      </c>
      <c r="Y151" s="543">
        <f>IFERROR(Y146/H146,"0")+IFERROR(Y147/H147,"0")+IFERROR(Y148/H148,"0")+IFERROR(Y149/H149,"0")+IFERROR(Y150/H150,"0")</f>
        <v>65</v>
      </c>
      <c r="Z151" s="543">
        <f>IFERROR(IF(Z146="",0,Z146),"0")+IFERROR(IF(Z147="",0,Z147),"0")+IFERROR(IF(Z148="",0,Z148),"0")+IFERROR(IF(Z149="",0,Z149),"0")+IFERROR(IF(Z150="",0,Z150),"0")</f>
        <v>0.58630000000000004</v>
      </c>
      <c r="AA151" s="544"/>
      <c r="AB151" s="544"/>
      <c r="AC151" s="544"/>
    </row>
    <row r="152" spans="1:68" x14ac:dyDescent="0.2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62"/>
      <c r="P152" s="552" t="s">
        <v>75</v>
      </c>
      <c r="Q152" s="553"/>
      <c r="R152" s="553"/>
      <c r="S152" s="553"/>
      <c r="T152" s="553"/>
      <c r="U152" s="553"/>
      <c r="V152" s="554"/>
      <c r="W152" s="37" t="s">
        <v>69</v>
      </c>
      <c r="X152" s="543">
        <f>IFERROR(SUM(X146:X150),"0")</f>
        <v>270</v>
      </c>
      <c r="Y152" s="543">
        <f>IFERROR(SUM(Y146:Y150),"0")</f>
        <v>273</v>
      </c>
      <c r="Z152" s="37"/>
      <c r="AA152" s="544"/>
      <c r="AB152" s="544"/>
      <c r="AC152" s="544"/>
    </row>
    <row r="153" spans="1:68" ht="14.25" customHeight="1" x14ac:dyDescent="0.25">
      <c r="A153" s="555" t="s">
        <v>77</v>
      </c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37"/>
      <c r="AB153" s="537"/>
      <c r="AC153" s="537"/>
    </row>
    <row r="154" spans="1:68" ht="27" customHeight="1" x14ac:dyDescent="0.25">
      <c r="A154" s="54" t="s">
        <v>257</v>
      </c>
      <c r="B154" s="54" t="s">
        <v>258</v>
      </c>
      <c r="C154" s="31">
        <v>4301052064</v>
      </c>
      <c r="D154" s="545">
        <v>4680115887459</v>
      </c>
      <c r="E154" s="546"/>
      <c r="F154" s="540">
        <v>0.3</v>
      </c>
      <c r="G154" s="32">
        <v>6</v>
      </c>
      <c r="H154" s="540">
        <v>1.8</v>
      </c>
      <c r="I154" s="540">
        <v>2.0579999999999998</v>
      </c>
      <c r="J154" s="32">
        <v>182</v>
      </c>
      <c r="K154" s="32" t="s">
        <v>67</v>
      </c>
      <c r="L154" s="32"/>
      <c r="M154" s="33" t="s">
        <v>80</v>
      </c>
      <c r="N154" s="33"/>
      <c r="O154" s="32">
        <v>45</v>
      </c>
      <c r="P154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48"/>
      <c r="R154" s="548"/>
      <c r="S154" s="548"/>
      <c r="T154" s="549"/>
      <c r="U154" s="34"/>
      <c r="V154" s="34"/>
      <c r="W154" s="35" t="s">
        <v>69</v>
      </c>
      <c r="X154" s="541">
        <v>0</v>
      </c>
      <c r="Y154" s="5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561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62"/>
      <c r="P155" s="552" t="s">
        <v>75</v>
      </c>
      <c r="Q155" s="553"/>
      <c r="R155" s="553"/>
      <c r="S155" s="553"/>
      <c r="T155" s="553"/>
      <c r="U155" s="553"/>
      <c r="V155" s="554"/>
      <c r="W155" s="37" t="s">
        <v>76</v>
      </c>
      <c r="X155" s="543">
        <f>IFERROR(X154/H154,"0")</f>
        <v>0</v>
      </c>
      <c r="Y155" s="543">
        <f>IFERROR(Y154/H154,"0")</f>
        <v>0</v>
      </c>
      <c r="Z155" s="543">
        <f>IFERROR(IF(Z154="",0,Z154),"0")</f>
        <v>0</v>
      </c>
      <c r="AA155" s="544"/>
      <c r="AB155" s="544"/>
      <c r="AC155" s="544"/>
    </row>
    <row r="156" spans="1:68" x14ac:dyDescent="0.2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62"/>
      <c r="P156" s="552" t="s">
        <v>75</v>
      </c>
      <c r="Q156" s="553"/>
      <c r="R156" s="553"/>
      <c r="S156" s="553"/>
      <c r="T156" s="553"/>
      <c r="U156" s="553"/>
      <c r="V156" s="554"/>
      <c r="W156" s="37" t="s">
        <v>69</v>
      </c>
      <c r="X156" s="543">
        <f>IFERROR(SUM(X154:X154),"0")</f>
        <v>0</v>
      </c>
      <c r="Y156" s="543">
        <f>IFERROR(SUM(Y154:Y154),"0")</f>
        <v>0</v>
      </c>
      <c r="Z156" s="37"/>
      <c r="AA156" s="544"/>
      <c r="AB156" s="544"/>
      <c r="AC156" s="544"/>
    </row>
    <row r="157" spans="1:68" ht="27.75" customHeight="1" x14ac:dyDescent="0.2">
      <c r="A157" s="590" t="s">
        <v>260</v>
      </c>
      <c r="B157" s="591"/>
      <c r="C157" s="591"/>
      <c r="D157" s="591"/>
      <c r="E157" s="591"/>
      <c r="F157" s="591"/>
      <c r="G157" s="591"/>
      <c r="H157" s="591"/>
      <c r="I157" s="591"/>
      <c r="J157" s="591"/>
      <c r="K157" s="591"/>
      <c r="L157" s="591"/>
      <c r="M157" s="591"/>
      <c r="N157" s="591"/>
      <c r="O157" s="591"/>
      <c r="P157" s="591"/>
      <c r="Q157" s="591"/>
      <c r="R157" s="591"/>
      <c r="S157" s="591"/>
      <c r="T157" s="591"/>
      <c r="U157" s="591"/>
      <c r="V157" s="591"/>
      <c r="W157" s="591"/>
      <c r="X157" s="591"/>
      <c r="Y157" s="591"/>
      <c r="Z157" s="591"/>
      <c r="AA157" s="48"/>
      <c r="AB157" s="48"/>
      <c r="AC157" s="48"/>
    </row>
    <row r="158" spans="1:68" ht="16.5" customHeight="1" x14ac:dyDescent="0.25">
      <c r="A158" s="559" t="s">
        <v>261</v>
      </c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36"/>
      <c r="AB158" s="536"/>
      <c r="AC158" s="536"/>
    </row>
    <row r="159" spans="1:68" ht="14.25" customHeight="1" x14ac:dyDescent="0.25">
      <c r="A159" s="555" t="s">
        <v>135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37"/>
      <c r="AB159" s="537"/>
      <c r="AC159" s="537"/>
    </row>
    <row r="160" spans="1:68" ht="27" customHeight="1" x14ac:dyDescent="0.25">
      <c r="A160" s="54" t="s">
        <v>262</v>
      </c>
      <c r="B160" s="54" t="s">
        <v>263</v>
      </c>
      <c r="C160" s="31">
        <v>4301020323</v>
      </c>
      <c r="D160" s="545">
        <v>4680115886223</v>
      </c>
      <c r="E160" s="546"/>
      <c r="F160" s="540">
        <v>0.33</v>
      </c>
      <c r="G160" s="32">
        <v>6</v>
      </c>
      <c r="H160" s="540">
        <v>1.98</v>
      </c>
      <c r="I160" s="540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5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48"/>
      <c r="R160" s="548"/>
      <c r="S160" s="548"/>
      <c r="T160" s="549"/>
      <c r="U160" s="34"/>
      <c r="V160" s="34"/>
      <c r="W160" s="35" t="s">
        <v>69</v>
      </c>
      <c r="X160" s="541">
        <v>0</v>
      </c>
      <c r="Y160" s="542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561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62"/>
      <c r="P161" s="552" t="s">
        <v>75</v>
      </c>
      <c r="Q161" s="553"/>
      <c r="R161" s="553"/>
      <c r="S161" s="553"/>
      <c r="T161" s="553"/>
      <c r="U161" s="553"/>
      <c r="V161" s="554"/>
      <c r="W161" s="37" t="s">
        <v>76</v>
      </c>
      <c r="X161" s="543">
        <f>IFERROR(X160/H160,"0")</f>
        <v>0</v>
      </c>
      <c r="Y161" s="543">
        <f>IFERROR(Y160/H160,"0")</f>
        <v>0</v>
      </c>
      <c r="Z161" s="543">
        <f>IFERROR(IF(Z160="",0,Z160),"0")</f>
        <v>0</v>
      </c>
      <c r="AA161" s="544"/>
      <c r="AB161" s="544"/>
      <c r="AC161" s="544"/>
    </row>
    <row r="162" spans="1:68" x14ac:dyDescent="0.2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62"/>
      <c r="P162" s="552" t="s">
        <v>75</v>
      </c>
      <c r="Q162" s="553"/>
      <c r="R162" s="553"/>
      <c r="S162" s="553"/>
      <c r="T162" s="553"/>
      <c r="U162" s="553"/>
      <c r="V162" s="554"/>
      <c r="W162" s="37" t="s">
        <v>69</v>
      </c>
      <c r="X162" s="543">
        <f>IFERROR(SUM(X160:X160),"0")</f>
        <v>0</v>
      </c>
      <c r="Y162" s="543">
        <f>IFERROR(SUM(Y160:Y160),"0")</f>
        <v>0</v>
      </c>
      <c r="Z162" s="37"/>
      <c r="AA162" s="544"/>
      <c r="AB162" s="544"/>
      <c r="AC162" s="544"/>
    </row>
    <row r="163" spans="1:68" ht="14.25" customHeight="1" x14ac:dyDescent="0.25">
      <c r="A163" s="555" t="s">
        <v>64</v>
      </c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37"/>
      <c r="AB163" s="537"/>
      <c r="AC163" s="537"/>
    </row>
    <row r="164" spans="1:68" ht="27" customHeight="1" x14ac:dyDescent="0.25">
      <c r="A164" s="54" t="s">
        <v>265</v>
      </c>
      <c r="B164" s="54" t="s">
        <v>266</v>
      </c>
      <c r="C164" s="31">
        <v>4301031191</v>
      </c>
      <c r="D164" s="545">
        <v>4680115880993</v>
      </c>
      <c r="E164" s="546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50</v>
      </c>
      <c r="Y164" s="542">
        <f t="shared" ref="Y164:Y177" si="5">IFERROR(IF(X164="",0,CEILING((X164/$H164),1)*$H164),"")</f>
        <v>50.400000000000006</v>
      </c>
      <c r="Z164" s="36">
        <f>IFERROR(IF(Y164=0,"",ROUNDUP(Y164/H164,0)*0.00902),"")</f>
        <v>0.10824</v>
      </c>
      <c r="AA164" s="56"/>
      <c r="AB164" s="57"/>
      <c r="AC164" s="197" t="s">
        <v>267</v>
      </c>
      <c r="AG164" s="64"/>
      <c r="AJ164" s="68" t="s">
        <v>106</v>
      </c>
      <c r="AK164" s="68">
        <v>50.4</v>
      </c>
      <c r="BB164" s="198" t="s">
        <v>1</v>
      </c>
      <c r="BM164" s="64">
        <f t="shared" ref="BM164:BM177" si="6">IFERROR(X164*I164/H164,"0")</f>
        <v>52.976190476190474</v>
      </c>
      <c r="BN164" s="64">
        <f t="shared" ref="BN164:BN177" si="7">IFERROR(Y164*I164/H164,"0")</f>
        <v>53.400000000000006</v>
      </c>
      <c r="BO164" s="64">
        <f t="shared" ref="BO164:BO177" si="8">IFERROR(1/J164*(X164/H164),"0")</f>
        <v>9.0187590187590191E-2</v>
      </c>
      <c r="BP164" s="64">
        <f t="shared" ref="BP164:BP177" si="9">IFERROR(1/J164*(Y164/H164),"0")</f>
        <v>9.0909090909090912E-2</v>
      </c>
    </row>
    <row r="165" spans="1:68" ht="27" customHeight="1" x14ac:dyDescent="0.25">
      <c r="A165" s="54" t="s">
        <v>268</v>
      </c>
      <c r="B165" s="54" t="s">
        <v>269</v>
      </c>
      <c r="C165" s="31">
        <v>4301031204</v>
      </c>
      <c r="D165" s="545">
        <v>4680115881761</v>
      </c>
      <c r="E165" s="546"/>
      <c r="F165" s="540">
        <v>0.7</v>
      </c>
      <c r="G165" s="32">
        <v>6</v>
      </c>
      <c r="H165" s="540">
        <v>4.2</v>
      </c>
      <c r="I165" s="540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30</v>
      </c>
      <c r="Y165" s="542">
        <f t="shared" si="5"/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31.785714285714285</v>
      </c>
      <c r="BN165" s="64">
        <f t="shared" si="7"/>
        <v>35.6</v>
      </c>
      <c r="BO165" s="64">
        <f t="shared" si="8"/>
        <v>5.4112554112554112E-2</v>
      </c>
      <c r="BP165" s="64">
        <f t="shared" si="9"/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45">
        <v>4680115881563</v>
      </c>
      <c r="E166" s="546"/>
      <c r="F166" s="540">
        <v>0.7</v>
      </c>
      <c r="G166" s="32">
        <v>6</v>
      </c>
      <c r="H166" s="540">
        <v>4.2</v>
      </c>
      <c r="I166" s="540">
        <v>4.3899999999999997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80</v>
      </c>
      <c r="Y166" s="542">
        <f t="shared" si="5"/>
        <v>84</v>
      </c>
      <c r="Z166" s="36">
        <f>IFERROR(IF(Y166=0,"",ROUNDUP(Y166/H166,0)*0.00902),"")</f>
        <v>0.1804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83.619047619047606</v>
      </c>
      <c r="BN166" s="64">
        <f t="shared" si="7"/>
        <v>87.8</v>
      </c>
      <c r="BO166" s="64">
        <f t="shared" si="8"/>
        <v>0.14430014430014429</v>
      </c>
      <c r="BP166" s="64">
        <f t="shared" si="9"/>
        <v>0.15151515151515152</v>
      </c>
    </row>
    <row r="167" spans="1:68" ht="37.5" customHeight="1" x14ac:dyDescent="0.25">
      <c r="A167" s="54" t="s">
        <v>274</v>
      </c>
      <c r="B167" s="54" t="s">
        <v>275</v>
      </c>
      <c r="C167" s="31">
        <v>4301031447</v>
      </c>
      <c r="D167" s="545">
        <v>4680115887565</v>
      </c>
      <c r="E167" s="546"/>
      <c r="F167" s="540">
        <v>0.08</v>
      </c>
      <c r="G167" s="32">
        <v>10</v>
      </c>
      <c r="H167" s="540">
        <v>0.8</v>
      </c>
      <c r="I167" s="540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66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4.8</v>
      </c>
      <c r="Y167" s="542">
        <f t="shared" si="5"/>
        <v>4.8000000000000007</v>
      </c>
      <c r="Z167" s="36">
        <f>IFERROR(IF(Y167=0,"",ROUNDUP(Y167/H167,0)*0.00556),"")</f>
        <v>3.3360000000000001E-2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5.58</v>
      </c>
      <c r="BN167" s="64">
        <f t="shared" si="7"/>
        <v>5.580000000000001</v>
      </c>
      <c r="BO167" s="64">
        <f t="shared" si="8"/>
        <v>2.7777777777777773E-2</v>
      </c>
      <c r="BP167" s="64">
        <f t="shared" si="9"/>
        <v>2.777777777777778E-2</v>
      </c>
    </row>
    <row r="168" spans="1:68" ht="27" customHeight="1" x14ac:dyDescent="0.25">
      <c r="A168" s="54" t="s">
        <v>277</v>
      </c>
      <c r="B168" s="54" t="s">
        <v>278</v>
      </c>
      <c r="C168" s="31">
        <v>4301031199</v>
      </c>
      <c r="D168" s="545">
        <v>4680115880986</v>
      </c>
      <c r="E168" s="546"/>
      <c r="F168" s="540">
        <v>0.35</v>
      </c>
      <c r="G168" s="32">
        <v>6</v>
      </c>
      <c r="H168" s="540">
        <v>2.1</v>
      </c>
      <c r="I168" s="540">
        <v>2.23</v>
      </c>
      <c r="J168" s="32">
        <v>234</v>
      </c>
      <c r="K168" s="32" t="s">
        <v>73</v>
      </c>
      <c r="L168" s="32" t="s">
        <v>279</v>
      </c>
      <c r="M168" s="33" t="s">
        <v>68</v>
      </c>
      <c r="N168" s="33"/>
      <c r="O168" s="32">
        <v>40</v>
      </c>
      <c r="P168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105</v>
      </c>
      <c r="Y168" s="542">
        <f t="shared" si="5"/>
        <v>105</v>
      </c>
      <c r="Z168" s="36">
        <f>IFERROR(IF(Y168=0,"",ROUNDUP(Y168/H168,0)*0.00502),"")</f>
        <v>0.251</v>
      </c>
      <c r="AA168" s="56"/>
      <c r="AB168" s="57"/>
      <c r="AC168" s="205" t="s">
        <v>267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111.5</v>
      </c>
      <c r="BN168" s="64">
        <f t="shared" si="7"/>
        <v>111.5</v>
      </c>
      <c r="BO168" s="64">
        <f t="shared" si="8"/>
        <v>0.21367521367521369</v>
      </c>
      <c r="BP168" s="64">
        <f t="shared" si="9"/>
        <v>0.21367521367521369</v>
      </c>
    </row>
    <row r="169" spans="1:68" ht="27" customHeight="1" x14ac:dyDescent="0.25">
      <c r="A169" s="54" t="s">
        <v>280</v>
      </c>
      <c r="B169" s="54" t="s">
        <v>281</v>
      </c>
      <c r="C169" s="31">
        <v>4301031443</v>
      </c>
      <c r="D169" s="545">
        <v>4680115887213</v>
      </c>
      <c r="E169" s="546"/>
      <c r="F169" s="540">
        <v>0.3</v>
      </c>
      <c r="G169" s="32">
        <v>6</v>
      </c>
      <c r="H169" s="540">
        <v>1.8</v>
      </c>
      <c r="I169" s="540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6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4301031205</v>
      </c>
      <c r="D170" s="545">
        <v>4680115881785</v>
      </c>
      <c r="E170" s="546"/>
      <c r="F170" s="540">
        <v>0.35</v>
      </c>
      <c r="G170" s="32">
        <v>6</v>
      </c>
      <c r="H170" s="540">
        <v>2.1</v>
      </c>
      <c r="I170" s="540">
        <v>2.23</v>
      </c>
      <c r="J170" s="32">
        <v>234</v>
      </c>
      <c r="K170" s="32" t="s">
        <v>73</v>
      </c>
      <c r="L170" s="32" t="s">
        <v>279</v>
      </c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122.5</v>
      </c>
      <c r="Y170" s="542">
        <f t="shared" si="5"/>
        <v>123.9</v>
      </c>
      <c r="Z170" s="36">
        <f>IFERROR(IF(Y170=0,"",ROUNDUP(Y170/H170,0)*0.00502),"")</f>
        <v>0.29618</v>
      </c>
      <c r="AA170" s="56"/>
      <c r="AB170" s="57"/>
      <c r="AC170" s="209" t="s">
        <v>270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6"/>
        <v>130.08333333333334</v>
      </c>
      <c r="BN170" s="64">
        <f t="shared" si="7"/>
        <v>131.57</v>
      </c>
      <c r="BO170" s="64">
        <f t="shared" si="8"/>
        <v>0.2492877492877493</v>
      </c>
      <c r="BP170" s="64">
        <f t="shared" si="9"/>
        <v>0.25213675213675218</v>
      </c>
    </row>
    <row r="171" spans="1:68" ht="27" customHeight="1" x14ac:dyDescent="0.25">
      <c r="A171" s="54" t="s">
        <v>285</v>
      </c>
      <c r="B171" s="54" t="s">
        <v>286</v>
      </c>
      <c r="C171" s="31">
        <v>4301031463</v>
      </c>
      <c r="D171" s="545">
        <v>4680115887824</v>
      </c>
      <c r="E171" s="546"/>
      <c r="F171" s="540">
        <v>0.15</v>
      </c>
      <c r="G171" s="32">
        <v>16</v>
      </c>
      <c r="H171" s="540">
        <v>2.4</v>
      </c>
      <c r="I171" s="540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62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4301031464</v>
      </c>
      <c r="D172" s="545">
        <v>4680115887701</v>
      </c>
      <c r="E172" s="546"/>
      <c r="F172" s="540">
        <v>0.3</v>
      </c>
      <c r="G172" s="32">
        <v>8</v>
      </c>
      <c r="H172" s="540">
        <v>2.4</v>
      </c>
      <c r="I172" s="540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5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48"/>
      <c r="R172" s="548"/>
      <c r="S172" s="548"/>
      <c r="T172" s="549"/>
      <c r="U172" s="34"/>
      <c r="V172" s="34"/>
      <c r="W172" s="35" t="s">
        <v>69</v>
      </c>
      <c r="X172" s="541">
        <v>0</v>
      </c>
      <c r="Y172" s="542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4301031399</v>
      </c>
      <c r="D173" s="545">
        <v>4680115886537</v>
      </c>
      <c r="E173" s="546"/>
      <c r="F173" s="540">
        <v>0.3</v>
      </c>
      <c r="G173" s="32">
        <v>6</v>
      </c>
      <c r="H173" s="540">
        <v>1.8</v>
      </c>
      <c r="I173" s="540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48"/>
      <c r="R173" s="548"/>
      <c r="S173" s="548"/>
      <c r="T173" s="549"/>
      <c r="U173" s="34"/>
      <c r="V173" s="34"/>
      <c r="W173" s="35" t="s">
        <v>69</v>
      </c>
      <c r="X173" s="541">
        <v>0</v>
      </c>
      <c r="Y173" s="542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4301031279</v>
      </c>
      <c r="D174" s="545">
        <v>4680115887596</v>
      </c>
      <c r="E174" s="546"/>
      <c r="F174" s="540">
        <v>0.08</v>
      </c>
      <c r="G174" s="32">
        <v>10</v>
      </c>
      <c r="H174" s="540">
        <v>0.8</v>
      </c>
      <c r="I174" s="540">
        <v>1.01</v>
      </c>
      <c r="J174" s="32">
        <v>336</v>
      </c>
      <c r="K174" s="32" t="s">
        <v>170</v>
      </c>
      <c r="L174" s="32"/>
      <c r="M174" s="33" t="s">
        <v>68</v>
      </c>
      <c r="N174" s="33"/>
      <c r="O174" s="32">
        <v>45</v>
      </c>
      <c r="P174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6.4</v>
      </c>
      <c r="Y174" s="542">
        <f t="shared" si="5"/>
        <v>6.4</v>
      </c>
      <c r="Z174" s="36">
        <f>IFERROR(IF(Y174=0,"",ROUNDUP(Y174/H174,0)*0.00417),"")</f>
        <v>3.3360000000000001E-2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8.08</v>
      </c>
      <c r="BN174" s="64">
        <f t="shared" si="7"/>
        <v>8.08</v>
      </c>
      <c r="BO174" s="64">
        <f t="shared" si="8"/>
        <v>2.3809523809523808E-2</v>
      </c>
      <c r="BP174" s="64">
        <f t="shared" si="9"/>
        <v>2.3809523809523808E-2</v>
      </c>
    </row>
    <row r="175" spans="1:68" ht="37.5" customHeight="1" x14ac:dyDescent="0.25">
      <c r="A175" s="54" t="s">
        <v>297</v>
      </c>
      <c r="B175" s="54" t="s">
        <v>298</v>
      </c>
      <c r="C175" s="31">
        <v>4301031202</v>
      </c>
      <c r="D175" s="545">
        <v>4680115881679</v>
      </c>
      <c r="E175" s="546"/>
      <c r="F175" s="540">
        <v>0.35</v>
      </c>
      <c r="G175" s="32">
        <v>6</v>
      </c>
      <c r="H175" s="540">
        <v>2.1</v>
      </c>
      <c r="I175" s="540">
        <v>2.2000000000000002</v>
      </c>
      <c r="J175" s="32">
        <v>234</v>
      </c>
      <c r="K175" s="32" t="s">
        <v>73</v>
      </c>
      <c r="L175" s="32" t="s">
        <v>279</v>
      </c>
      <c r="M175" s="33" t="s">
        <v>68</v>
      </c>
      <c r="N175" s="33"/>
      <c r="O175" s="32">
        <v>40</v>
      </c>
      <c r="P175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210</v>
      </c>
      <c r="Y175" s="542">
        <f t="shared" si="5"/>
        <v>210</v>
      </c>
      <c r="Z175" s="36">
        <f>IFERROR(IF(Y175=0,"",ROUNDUP(Y175/H175,0)*0.00502),"")</f>
        <v>0.502</v>
      </c>
      <c r="AA175" s="56"/>
      <c r="AB175" s="57"/>
      <c r="AC175" s="219" t="s">
        <v>273</v>
      </c>
      <c r="AG175" s="64"/>
      <c r="AJ175" s="68" t="s">
        <v>106</v>
      </c>
      <c r="AK175" s="68">
        <v>37.799999999999997</v>
      </c>
      <c r="BB175" s="220" t="s">
        <v>1</v>
      </c>
      <c r="BM175" s="64">
        <f t="shared" si="6"/>
        <v>220.00000000000003</v>
      </c>
      <c r="BN175" s="64">
        <f t="shared" si="7"/>
        <v>220.00000000000003</v>
      </c>
      <c r="BO175" s="64">
        <f t="shared" si="8"/>
        <v>0.42735042735042739</v>
      </c>
      <c r="BP175" s="64">
        <f t="shared" si="9"/>
        <v>0.42735042735042739</v>
      </c>
    </row>
    <row r="176" spans="1:68" ht="27" customHeight="1" x14ac:dyDescent="0.25">
      <c r="A176" s="54" t="s">
        <v>299</v>
      </c>
      <c r="B176" s="54" t="s">
        <v>300</v>
      </c>
      <c r="C176" s="31">
        <v>4301031158</v>
      </c>
      <c r="D176" s="545">
        <v>4680115880191</v>
      </c>
      <c r="E176" s="546"/>
      <c r="F176" s="540">
        <v>0.4</v>
      </c>
      <c r="G176" s="32">
        <v>6</v>
      </c>
      <c r="H176" s="540">
        <v>2.4</v>
      </c>
      <c r="I176" s="540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4301031245</v>
      </c>
      <c r="D177" s="545">
        <v>4680115883963</v>
      </c>
      <c r="E177" s="546"/>
      <c r="F177" s="540">
        <v>0.28000000000000003</v>
      </c>
      <c r="G177" s="32">
        <v>6</v>
      </c>
      <c r="H177" s="540">
        <v>1.68</v>
      </c>
      <c r="I177" s="540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1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2"/>
      <c r="P178" s="552" t="s">
        <v>75</v>
      </c>
      <c r="Q178" s="553"/>
      <c r="R178" s="553"/>
      <c r="S178" s="553"/>
      <c r="T178" s="553"/>
      <c r="U178" s="553"/>
      <c r="V178" s="554"/>
      <c r="W178" s="37" t="s">
        <v>76</v>
      </c>
      <c r="X178" s="5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260.42857142857144</v>
      </c>
      <c r="Y178" s="5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263</v>
      </c>
      <c r="Z178" s="5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1.4766999999999999</v>
      </c>
      <c r="AA178" s="544"/>
      <c r="AB178" s="544"/>
      <c r="AC178" s="544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2"/>
      <c r="P179" s="552" t="s">
        <v>75</v>
      </c>
      <c r="Q179" s="553"/>
      <c r="R179" s="553"/>
      <c r="S179" s="553"/>
      <c r="T179" s="553"/>
      <c r="U179" s="553"/>
      <c r="V179" s="554"/>
      <c r="W179" s="37" t="s">
        <v>69</v>
      </c>
      <c r="X179" s="543">
        <f>IFERROR(SUM(X164:X177),"0")</f>
        <v>608.70000000000005</v>
      </c>
      <c r="Y179" s="543">
        <f>IFERROR(SUM(Y164:Y177),"0")</f>
        <v>618.1</v>
      </c>
      <c r="Z179" s="37"/>
      <c r="AA179" s="544"/>
      <c r="AB179" s="544"/>
      <c r="AC179" s="544"/>
    </row>
    <row r="180" spans="1:68" ht="14.25" customHeight="1" x14ac:dyDescent="0.25">
      <c r="A180" s="555" t="s">
        <v>91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7"/>
      <c r="AB180" s="537"/>
      <c r="AC180" s="537"/>
    </row>
    <row r="181" spans="1:68" ht="27" customHeight="1" x14ac:dyDescent="0.25">
      <c r="A181" s="54" t="s">
        <v>304</v>
      </c>
      <c r="B181" s="54" t="s">
        <v>305</v>
      </c>
      <c r="C181" s="31">
        <v>4301032053</v>
      </c>
      <c r="D181" s="545">
        <v>4680115886780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4301032051</v>
      </c>
      <c r="D182" s="545">
        <v>4680115886742</v>
      </c>
      <c r="E182" s="546"/>
      <c r="F182" s="540">
        <v>7.0000000000000007E-2</v>
      </c>
      <c r="G182" s="32">
        <v>18</v>
      </c>
      <c r="H182" s="540">
        <v>1.26</v>
      </c>
      <c r="I182" s="540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48"/>
      <c r="R182" s="548"/>
      <c r="S182" s="548"/>
      <c r="T182" s="549"/>
      <c r="U182" s="34"/>
      <c r="V182" s="34"/>
      <c r="W182" s="35" t="s">
        <v>69</v>
      </c>
      <c r="X182" s="541">
        <v>0</v>
      </c>
      <c r="Y182" s="5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4301032052</v>
      </c>
      <c r="D183" s="545">
        <v>4680115886766</v>
      </c>
      <c r="E183" s="546"/>
      <c r="F183" s="540">
        <v>7.0000000000000007E-2</v>
      </c>
      <c r="G183" s="32">
        <v>18</v>
      </c>
      <c r="H183" s="540">
        <v>1.26</v>
      </c>
      <c r="I183" s="540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48"/>
      <c r="R183" s="548"/>
      <c r="S183" s="548"/>
      <c r="T183" s="549"/>
      <c r="U183" s="34"/>
      <c r="V183" s="34"/>
      <c r="W183" s="35" t="s">
        <v>69</v>
      </c>
      <c r="X183" s="541">
        <v>0</v>
      </c>
      <c r="Y183" s="5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561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62"/>
      <c r="P184" s="552" t="s">
        <v>75</v>
      </c>
      <c r="Q184" s="553"/>
      <c r="R184" s="553"/>
      <c r="S184" s="553"/>
      <c r="T184" s="553"/>
      <c r="U184" s="553"/>
      <c r="V184" s="554"/>
      <c r="W184" s="37" t="s">
        <v>76</v>
      </c>
      <c r="X184" s="543">
        <f>IFERROR(X181/H181,"0")+IFERROR(X182/H182,"0")+IFERROR(X183/H183,"0")</f>
        <v>0</v>
      </c>
      <c r="Y184" s="543">
        <f>IFERROR(Y181/H181,"0")+IFERROR(Y182/H182,"0")+IFERROR(Y183/H183,"0")</f>
        <v>0</v>
      </c>
      <c r="Z184" s="543">
        <f>IFERROR(IF(Z181="",0,Z181),"0")+IFERROR(IF(Z182="",0,Z182),"0")+IFERROR(IF(Z183="",0,Z183),"0")</f>
        <v>0</v>
      </c>
      <c r="AA184" s="544"/>
      <c r="AB184" s="544"/>
      <c r="AC184" s="544"/>
    </row>
    <row r="185" spans="1:68" x14ac:dyDescent="0.2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62"/>
      <c r="P185" s="552" t="s">
        <v>75</v>
      </c>
      <c r="Q185" s="553"/>
      <c r="R185" s="553"/>
      <c r="S185" s="553"/>
      <c r="T185" s="553"/>
      <c r="U185" s="553"/>
      <c r="V185" s="554"/>
      <c r="W185" s="37" t="s">
        <v>69</v>
      </c>
      <c r="X185" s="543">
        <f>IFERROR(SUM(X181:X183),"0")</f>
        <v>0</v>
      </c>
      <c r="Y185" s="543">
        <f>IFERROR(SUM(Y181:Y183),"0")</f>
        <v>0</v>
      </c>
      <c r="Z185" s="37"/>
      <c r="AA185" s="544"/>
      <c r="AB185" s="544"/>
      <c r="AC185" s="544"/>
    </row>
    <row r="186" spans="1:68" ht="14.25" customHeight="1" x14ac:dyDescent="0.25">
      <c r="A186" s="555" t="s">
        <v>313</v>
      </c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37"/>
      <c r="AB186" s="537"/>
      <c r="AC186" s="537"/>
    </row>
    <row r="187" spans="1:68" ht="27" customHeight="1" x14ac:dyDescent="0.25">
      <c r="A187" s="54" t="s">
        <v>314</v>
      </c>
      <c r="B187" s="54" t="s">
        <v>315</v>
      </c>
      <c r="C187" s="31">
        <v>4301170013</v>
      </c>
      <c r="D187" s="545">
        <v>4680115886797</v>
      </c>
      <c r="E187" s="546"/>
      <c r="F187" s="540">
        <v>7.0000000000000007E-2</v>
      </c>
      <c r="G187" s="32">
        <v>18</v>
      </c>
      <c r="H187" s="540">
        <v>1.26</v>
      </c>
      <c r="I187" s="540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6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1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2"/>
      <c r="P188" s="552" t="s">
        <v>75</v>
      </c>
      <c r="Q188" s="553"/>
      <c r="R188" s="553"/>
      <c r="S188" s="553"/>
      <c r="T188" s="553"/>
      <c r="U188" s="553"/>
      <c r="V188" s="554"/>
      <c r="W188" s="37" t="s">
        <v>76</v>
      </c>
      <c r="X188" s="543">
        <f>IFERROR(X187/H187,"0")</f>
        <v>0</v>
      </c>
      <c r="Y188" s="543">
        <f>IFERROR(Y187/H187,"0")</f>
        <v>0</v>
      </c>
      <c r="Z188" s="543">
        <f>IFERROR(IF(Z187="",0,Z187),"0")</f>
        <v>0</v>
      </c>
      <c r="AA188" s="544"/>
      <c r="AB188" s="544"/>
      <c r="AC188" s="544"/>
    </row>
    <row r="189" spans="1:68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2"/>
      <c r="P189" s="552" t="s">
        <v>75</v>
      </c>
      <c r="Q189" s="553"/>
      <c r="R189" s="553"/>
      <c r="S189" s="553"/>
      <c r="T189" s="553"/>
      <c r="U189" s="553"/>
      <c r="V189" s="554"/>
      <c r="W189" s="37" t="s">
        <v>69</v>
      </c>
      <c r="X189" s="543">
        <f>IFERROR(SUM(X187:X187),"0")</f>
        <v>0</v>
      </c>
      <c r="Y189" s="543">
        <f>IFERROR(SUM(Y187:Y187),"0")</f>
        <v>0</v>
      </c>
      <c r="Z189" s="37"/>
      <c r="AA189" s="544"/>
      <c r="AB189" s="544"/>
      <c r="AC189" s="544"/>
    </row>
    <row r="190" spans="1:68" ht="16.5" customHeight="1" x14ac:dyDescent="0.25">
      <c r="A190" s="559" t="s">
        <v>316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6"/>
      <c r="AB190" s="536"/>
      <c r="AC190" s="536"/>
    </row>
    <row r="191" spans="1:68" ht="14.25" customHeight="1" x14ac:dyDescent="0.25">
      <c r="A191" s="555" t="s">
        <v>99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37"/>
      <c r="AB191" s="537"/>
      <c r="AC191" s="537"/>
    </row>
    <row r="192" spans="1:68" ht="27" customHeight="1" x14ac:dyDescent="0.25">
      <c r="A192" s="54" t="s">
        <v>317</v>
      </c>
      <c r="B192" s="54" t="s">
        <v>318</v>
      </c>
      <c r="C192" s="31">
        <v>4301011450</v>
      </c>
      <c r="D192" s="545">
        <v>4680115881402</v>
      </c>
      <c r="E192" s="546"/>
      <c r="F192" s="540">
        <v>1.35</v>
      </c>
      <c r="G192" s="32">
        <v>8</v>
      </c>
      <c r="H192" s="540">
        <v>10.8</v>
      </c>
      <c r="I192" s="540">
        <v>11.21</v>
      </c>
      <c r="J192" s="32">
        <v>64</v>
      </c>
      <c r="K192" s="32" t="s">
        <v>102</v>
      </c>
      <c r="L192" s="32"/>
      <c r="M192" s="33" t="s">
        <v>104</v>
      </c>
      <c r="N192" s="33"/>
      <c r="O192" s="32">
        <v>55</v>
      </c>
      <c r="P192" s="6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320</v>
      </c>
      <c r="B193" s="54" t="s">
        <v>321</v>
      </c>
      <c r="C193" s="31">
        <v>4301011768</v>
      </c>
      <c r="D193" s="545">
        <v>4680115881396</v>
      </c>
      <c r="E193" s="546"/>
      <c r="F193" s="540">
        <v>0.45</v>
      </c>
      <c r="G193" s="32">
        <v>6</v>
      </c>
      <c r="H193" s="540">
        <v>2.7</v>
      </c>
      <c r="I193" s="540">
        <v>2.88</v>
      </c>
      <c r="J193" s="32">
        <v>182</v>
      </c>
      <c r="K193" s="32" t="s">
        <v>67</v>
      </c>
      <c r="L193" s="32"/>
      <c r="M193" s="33" t="s">
        <v>104</v>
      </c>
      <c r="N193" s="33"/>
      <c r="O193" s="32">
        <v>55</v>
      </c>
      <c r="P193" s="7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48"/>
      <c r="R193" s="548"/>
      <c r="S193" s="548"/>
      <c r="T193" s="549"/>
      <c r="U193" s="34"/>
      <c r="V193" s="34"/>
      <c r="W193" s="35" t="s">
        <v>69</v>
      </c>
      <c r="X193" s="541">
        <v>0</v>
      </c>
      <c r="Y193" s="5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561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2"/>
      <c r="P194" s="552" t="s">
        <v>75</v>
      </c>
      <c r="Q194" s="553"/>
      <c r="R194" s="553"/>
      <c r="S194" s="553"/>
      <c r="T194" s="553"/>
      <c r="U194" s="553"/>
      <c r="V194" s="554"/>
      <c r="W194" s="37" t="s">
        <v>76</v>
      </c>
      <c r="X194" s="543">
        <f>IFERROR(X192/H192,"0")+IFERROR(X193/H193,"0")</f>
        <v>0</v>
      </c>
      <c r="Y194" s="543">
        <f>IFERROR(Y192/H192,"0")+IFERROR(Y193/H193,"0")</f>
        <v>0</v>
      </c>
      <c r="Z194" s="543">
        <f>IFERROR(IF(Z192="",0,Z192),"0")+IFERROR(IF(Z193="",0,Z193),"0")</f>
        <v>0</v>
      </c>
      <c r="AA194" s="544"/>
      <c r="AB194" s="544"/>
      <c r="AC194" s="544"/>
    </row>
    <row r="195" spans="1:68" x14ac:dyDescent="0.2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62"/>
      <c r="P195" s="552" t="s">
        <v>75</v>
      </c>
      <c r="Q195" s="553"/>
      <c r="R195" s="553"/>
      <c r="S195" s="553"/>
      <c r="T195" s="553"/>
      <c r="U195" s="553"/>
      <c r="V195" s="554"/>
      <c r="W195" s="37" t="s">
        <v>69</v>
      </c>
      <c r="X195" s="543">
        <f>IFERROR(SUM(X192:X193),"0")</f>
        <v>0</v>
      </c>
      <c r="Y195" s="543">
        <f>IFERROR(SUM(Y192:Y193),"0")</f>
        <v>0</v>
      </c>
      <c r="Z195" s="37"/>
      <c r="AA195" s="544"/>
      <c r="AB195" s="544"/>
      <c r="AC195" s="544"/>
    </row>
    <row r="196" spans="1:68" ht="14.25" customHeight="1" x14ac:dyDescent="0.25">
      <c r="A196" s="555" t="s">
        <v>135</v>
      </c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37"/>
      <c r="AB196" s="537"/>
      <c r="AC196" s="537"/>
    </row>
    <row r="197" spans="1:68" ht="16.5" customHeight="1" x14ac:dyDescent="0.25">
      <c r="A197" s="54" t="s">
        <v>322</v>
      </c>
      <c r="B197" s="54" t="s">
        <v>323</v>
      </c>
      <c r="C197" s="31">
        <v>4301020261</v>
      </c>
      <c r="D197" s="545">
        <v>4680115882935</v>
      </c>
      <c r="E197" s="546"/>
      <c r="F197" s="540">
        <v>1.35</v>
      </c>
      <c r="G197" s="32">
        <v>8</v>
      </c>
      <c r="H197" s="540">
        <v>10.8</v>
      </c>
      <c r="I197" s="540">
        <v>11.21</v>
      </c>
      <c r="J197" s="32">
        <v>64</v>
      </c>
      <c r="K197" s="32" t="s">
        <v>102</v>
      </c>
      <c r="L197" s="32"/>
      <c r="M197" s="33" t="s">
        <v>104</v>
      </c>
      <c r="N197" s="33"/>
      <c r="O197" s="32">
        <v>50</v>
      </c>
      <c r="P197" s="6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325</v>
      </c>
      <c r="B198" s="54" t="s">
        <v>326</v>
      </c>
      <c r="C198" s="31">
        <v>4301020220</v>
      </c>
      <c r="D198" s="545">
        <v>4680115880764</v>
      </c>
      <c r="E198" s="546"/>
      <c r="F198" s="540">
        <v>0.35</v>
      </c>
      <c r="G198" s="32">
        <v>6</v>
      </c>
      <c r="H198" s="540">
        <v>2.1</v>
      </c>
      <c r="I198" s="540">
        <v>2.2799999999999998</v>
      </c>
      <c r="J198" s="32">
        <v>182</v>
      </c>
      <c r="K198" s="32" t="s">
        <v>67</v>
      </c>
      <c r="L198" s="32"/>
      <c r="M198" s="33" t="s">
        <v>104</v>
      </c>
      <c r="N198" s="33"/>
      <c r="O198" s="32">
        <v>50</v>
      </c>
      <c r="P19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561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62"/>
      <c r="P199" s="552" t="s">
        <v>75</v>
      </c>
      <c r="Q199" s="553"/>
      <c r="R199" s="553"/>
      <c r="S199" s="553"/>
      <c r="T199" s="553"/>
      <c r="U199" s="553"/>
      <c r="V199" s="554"/>
      <c r="W199" s="37" t="s">
        <v>76</v>
      </c>
      <c r="X199" s="543">
        <f>IFERROR(X197/H197,"0")+IFERROR(X198/H198,"0")</f>
        <v>0</v>
      </c>
      <c r="Y199" s="543">
        <f>IFERROR(Y197/H197,"0")+IFERROR(Y198/H198,"0")</f>
        <v>0</v>
      </c>
      <c r="Z199" s="543">
        <f>IFERROR(IF(Z197="",0,Z197),"0")+IFERROR(IF(Z198="",0,Z198),"0")</f>
        <v>0</v>
      </c>
      <c r="AA199" s="544"/>
      <c r="AB199" s="544"/>
      <c r="AC199" s="544"/>
    </row>
    <row r="200" spans="1:68" x14ac:dyDescent="0.2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62"/>
      <c r="P200" s="552" t="s">
        <v>75</v>
      </c>
      <c r="Q200" s="553"/>
      <c r="R200" s="553"/>
      <c r="S200" s="553"/>
      <c r="T200" s="553"/>
      <c r="U200" s="553"/>
      <c r="V200" s="554"/>
      <c r="W200" s="37" t="s">
        <v>69</v>
      </c>
      <c r="X200" s="543">
        <f>IFERROR(SUM(X197:X198),"0")</f>
        <v>0</v>
      </c>
      <c r="Y200" s="543">
        <f>IFERROR(SUM(Y197:Y198),"0")</f>
        <v>0</v>
      </c>
      <c r="Z200" s="37"/>
      <c r="AA200" s="544"/>
      <c r="AB200" s="544"/>
      <c r="AC200" s="544"/>
    </row>
    <row r="201" spans="1:68" ht="14.25" customHeight="1" x14ac:dyDescent="0.25">
      <c r="A201" s="555" t="s">
        <v>64</v>
      </c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37"/>
      <c r="AB201" s="537"/>
      <c r="AC201" s="537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45">
        <v>4680115882683</v>
      </c>
      <c r="E202" s="546"/>
      <c r="F202" s="540">
        <v>0.9</v>
      </c>
      <c r="G202" s="32">
        <v>6</v>
      </c>
      <c r="H202" s="540">
        <v>5.4</v>
      </c>
      <c r="I202" s="540">
        <v>5.59</v>
      </c>
      <c r="J202" s="32">
        <v>132</v>
      </c>
      <c r="K202" s="32" t="s">
        <v>109</v>
      </c>
      <c r="L202" s="32" t="s">
        <v>110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70</v>
      </c>
      <c r="Y202" s="542">
        <f t="shared" ref="Y202:Y209" si="10">IFERROR(IF(X202="",0,CEILING((X202/$H202),1)*$H202),"")</f>
        <v>70.2</v>
      </c>
      <c r="Z202" s="36">
        <f>IFERROR(IF(Y202=0,"",ROUNDUP(Y202/H202,0)*0.00902),"")</f>
        <v>0.11726</v>
      </c>
      <c r="AA202" s="56"/>
      <c r="AB202" s="57"/>
      <c r="AC202" s="241" t="s">
        <v>329</v>
      </c>
      <c r="AG202" s="64"/>
      <c r="AJ202" s="68" t="s">
        <v>106</v>
      </c>
      <c r="AK202" s="68">
        <v>64.8</v>
      </c>
      <c r="BB202" s="242" t="s">
        <v>1</v>
      </c>
      <c r="BM202" s="64">
        <f t="shared" ref="BM202:BM209" si="11">IFERROR(X202*I202/H202,"0")</f>
        <v>72.462962962962962</v>
      </c>
      <c r="BN202" s="64">
        <f t="shared" ref="BN202:BN209" si="12">IFERROR(Y202*I202/H202,"0")</f>
        <v>72.67</v>
      </c>
      <c r="BO202" s="64">
        <f t="shared" ref="BO202:BO209" si="13">IFERROR(1/J202*(X202/H202),"0")</f>
        <v>9.8204264870931535E-2</v>
      </c>
      <c r="BP202" s="64">
        <f t="shared" ref="BP202:BP209" si="14">IFERROR(1/J202*(Y202/H202),"0")</f>
        <v>9.8484848484848481E-2</v>
      </c>
    </row>
    <row r="203" spans="1:68" ht="27" customHeight="1" x14ac:dyDescent="0.25">
      <c r="A203" s="54" t="s">
        <v>330</v>
      </c>
      <c r="B203" s="54" t="s">
        <v>331</v>
      </c>
      <c r="C203" s="31">
        <v>4301031230</v>
      </c>
      <c r="D203" s="545">
        <v>4680115882690</v>
      </c>
      <c r="E203" s="546"/>
      <c r="F203" s="540">
        <v>0.9</v>
      </c>
      <c r="G203" s="32">
        <v>6</v>
      </c>
      <c r="H203" s="540">
        <v>5.4</v>
      </c>
      <c r="I203" s="540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50</v>
      </c>
      <c r="Y203" s="542">
        <f t="shared" si="10"/>
        <v>54</v>
      </c>
      <c r="Z203" s="36">
        <f>IFERROR(IF(Y203=0,"",ROUNDUP(Y203/H203,0)*0.00902),"")</f>
        <v>9.0200000000000002E-2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si="11"/>
        <v>51.759259259259252</v>
      </c>
      <c r="BN203" s="64">
        <f t="shared" si="12"/>
        <v>55.9</v>
      </c>
      <c r="BO203" s="64">
        <f t="shared" si="13"/>
        <v>7.0145903479236812E-2</v>
      </c>
      <c r="BP203" s="64">
        <f t="shared" si="14"/>
        <v>7.575757575757576E-2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45">
        <v>4680115882669</v>
      </c>
      <c r="E204" s="546"/>
      <c r="F204" s="540">
        <v>0.9</v>
      </c>
      <c r="G204" s="32">
        <v>6</v>
      </c>
      <c r="H204" s="540">
        <v>5.4</v>
      </c>
      <c r="I204" s="540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48"/>
      <c r="R204" s="548"/>
      <c r="S204" s="548"/>
      <c r="T204" s="549"/>
      <c r="U204" s="34"/>
      <c r="V204" s="34"/>
      <c r="W204" s="35" t="s">
        <v>69</v>
      </c>
      <c r="X204" s="541">
        <v>500</v>
      </c>
      <c r="Y204" s="542">
        <f t="shared" si="10"/>
        <v>502.20000000000005</v>
      </c>
      <c r="Z204" s="36">
        <f>IFERROR(IF(Y204=0,"",ROUNDUP(Y204/H204,0)*0.00902),"")</f>
        <v>0.83886000000000005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517.59259259259261</v>
      </c>
      <c r="BN204" s="64">
        <f t="shared" si="12"/>
        <v>519.87</v>
      </c>
      <c r="BO204" s="64">
        <f t="shared" si="13"/>
        <v>0.70145903479236804</v>
      </c>
      <c r="BP204" s="64">
        <f t="shared" si="14"/>
        <v>0.70454545454545459</v>
      </c>
    </row>
    <row r="205" spans="1:68" ht="27" customHeight="1" x14ac:dyDescent="0.25">
      <c r="A205" s="54" t="s">
        <v>336</v>
      </c>
      <c r="B205" s="54" t="s">
        <v>337</v>
      </c>
      <c r="C205" s="31">
        <v>4301031221</v>
      </c>
      <c r="D205" s="545">
        <v>4680115882676</v>
      </c>
      <c r="E205" s="546"/>
      <c r="F205" s="540">
        <v>0.9</v>
      </c>
      <c r="G205" s="32">
        <v>6</v>
      </c>
      <c r="H205" s="540">
        <v>5.4</v>
      </c>
      <c r="I205" s="540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48"/>
      <c r="R205" s="548"/>
      <c r="S205" s="548"/>
      <c r="T205" s="549"/>
      <c r="U205" s="34"/>
      <c r="V205" s="34"/>
      <c r="W205" s="35" t="s">
        <v>69</v>
      </c>
      <c r="X205" s="541">
        <v>80</v>
      </c>
      <c r="Y205" s="542">
        <f t="shared" si="10"/>
        <v>81</v>
      </c>
      <c r="Z205" s="36">
        <f>IFERROR(IF(Y205=0,"",ROUNDUP(Y205/H205,0)*0.00902),"")</f>
        <v>0.1353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82.81481481481481</v>
      </c>
      <c r="BN205" s="64">
        <f t="shared" si="12"/>
        <v>83.85</v>
      </c>
      <c r="BO205" s="64">
        <f t="shared" si="13"/>
        <v>0.11223344556677889</v>
      </c>
      <c r="BP205" s="64">
        <f t="shared" si="14"/>
        <v>0.11363636363636363</v>
      </c>
    </row>
    <row r="206" spans="1:68" ht="27" customHeight="1" x14ac:dyDescent="0.25">
      <c r="A206" s="54" t="s">
        <v>339</v>
      </c>
      <c r="B206" s="54" t="s">
        <v>340</v>
      </c>
      <c r="C206" s="31">
        <v>4301031223</v>
      </c>
      <c r="D206" s="545">
        <v>4680115884014</v>
      </c>
      <c r="E206" s="546"/>
      <c r="F206" s="540">
        <v>0.3</v>
      </c>
      <c r="G206" s="32">
        <v>6</v>
      </c>
      <c r="H206" s="540">
        <v>1.8</v>
      </c>
      <c r="I206" s="540">
        <v>1.93</v>
      </c>
      <c r="J206" s="32">
        <v>234</v>
      </c>
      <c r="K206" s="32" t="s">
        <v>73</v>
      </c>
      <c r="L206" s="32" t="s">
        <v>279</v>
      </c>
      <c r="M206" s="33" t="s">
        <v>68</v>
      </c>
      <c r="N206" s="33"/>
      <c r="O206" s="32">
        <v>40</v>
      </c>
      <c r="P206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90</v>
      </c>
      <c r="Y206" s="542">
        <f t="shared" si="10"/>
        <v>90</v>
      </c>
      <c r="Z206" s="36">
        <f>IFERROR(IF(Y206=0,"",ROUNDUP(Y206/H206,0)*0.00502),"")</f>
        <v>0.251</v>
      </c>
      <c r="AA206" s="56"/>
      <c r="AB206" s="57"/>
      <c r="AC206" s="249" t="s">
        <v>329</v>
      </c>
      <c r="AG206" s="64"/>
      <c r="AJ206" s="68" t="s">
        <v>106</v>
      </c>
      <c r="AK206" s="68">
        <v>32.4</v>
      </c>
      <c r="BB206" s="250" t="s">
        <v>1</v>
      </c>
      <c r="BM206" s="64">
        <f t="shared" si="11"/>
        <v>96.499999999999986</v>
      </c>
      <c r="BN206" s="64">
        <f t="shared" si="12"/>
        <v>96.499999999999986</v>
      </c>
      <c r="BO206" s="64">
        <f t="shared" si="13"/>
        <v>0.21367521367521369</v>
      </c>
      <c r="BP206" s="64">
        <f t="shared" si="14"/>
        <v>0.21367521367521369</v>
      </c>
    </row>
    <row r="207" spans="1:68" ht="27" customHeight="1" x14ac:dyDescent="0.25">
      <c r="A207" s="54" t="s">
        <v>341</v>
      </c>
      <c r="B207" s="54" t="s">
        <v>342</v>
      </c>
      <c r="C207" s="31">
        <v>4301031222</v>
      </c>
      <c r="D207" s="545">
        <v>4680115884007</v>
      </c>
      <c r="E207" s="546"/>
      <c r="F207" s="540">
        <v>0.3</v>
      </c>
      <c r="G207" s="32">
        <v>6</v>
      </c>
      <c r="H207" s="540">
        <v>1.8</v>
      </c>
      <c r="I207" s="540">
        <v>1.9</v>
      </c>
      <c r="J207" s="32">
        <v>234</v>
      </c>
      <c r="K207" s="32" t="s">
        <v>73</v>
      </c>
      <c r="L207" s="32" t="s">
        <v>279</v>
      </c>
      <c r="M207" s="33" t="s">
        <v>68</v>
      </c>
      <c r="N207" s="33"/>
      <c r="O207" s="32">
        <v>40</v>
      </c>
      <c r="P207" s="7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45</v>
      </c>
      <c r="Y207" s="542">
        <f t="shared" si="10"/>
        <v>45</v>
      </c>
      <c r="Z207" s="36">
        <f>IFERROR(IF(Y207=0,"",ROUNDUP(Y207/H207,0)*0.00502),"")</f>
        <v>0.1255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47.5</v>
      </c>
      <c r="BN207" s="64">
        <f t="shared" si="12"/>
        <v>47.5</v>
      </c>
      <c r="BO207" s="64">
        <f t="shared" si="13"/>
        <v>0.10683760683760685</v>
      </c>
      <c r="BP207" s="64">
        <f t="shared" si="14"/>
        <v>0.10683760683760685</v>
      </c>
    </row>
    <row r="208" spans="1:68" ht="27" customHeight="1" x14ac:dyDescent="0.25">
      <c r="A208" s="54" t="s">
        <v>343</v>
      </c>
      <c r="B208" s="54" t="s">
        <v>344</v>
      </c>
      <c r="C208" s="31">
        <v>4301031229</v>
      </c>
      <c r="D208" s="545">
        <v>4680115884038</v>
      </c>
      <c r="E208" s="546"/>
      <c r="F208" s="540">
        <v>0.3</v>
      </c>
      <c r="G208" s="32">
        <v>6</v>
      </c>
      <c r="H208" s="540">
        <v>1.8</v>
      </c>
      <c r="I208" s="540">
        <v>1.9</v>
      </c>
      <c r="J208" s="32">
        <v>234</v>
      </c>
      <c r="K208" s="32" t="s">
        <v>73</v>
      </c>
      <c r="L208" s="32" t="s">
        <v>279</v>
      </c>
      <c r="M208" s="33" t="s">
        <v>68</v>
      </c>
      <c r="N208" s="33"/>
      <c r="O208" s="32">
        <v>40</v>
      </c>
      <c r="P208" s="6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75</v>
      </c>
      <c r="Y208" s="542">
        <f t="shared" si="10"/>
        <v>75.600000000000009</v>
      </c>
      <c r="Z208" s="36">
        <f>IFERROR(IF(Y208=0,"",ROUNDUP(Y208/H208,0)*0.00502),"")</f>
        <v>0.21084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79.166666666666671</v>
      </c>
      <c r="BN208" s="64">
        <f t="shared" si="12"/>
        <v>79.800000000000011</v>
      </c>
      <c r="BO208" s="64">
        <f t="shared" si="13"/>
        <v>0.17806267806267806</v>
      </c>
      <c r="BP208" s="64">
        <f t="shared" si="14"/>
        <v>0.17948717948717954</v>
      </c>
    </row>
    <row r="209" spans="1:68" ht="27" customHeight="1" x14ac:dyDescent="0.25">
      <c r="A209" s="54" t="s">
        <v>345</v>
      </c>
      <c r="B209" s="54" t="s">
        <v>346</v>
      </c>
      <c r="C209" s="31">
        <v>4301031225</v>
      </c>
      <c r="D209" s="545">
        <v>4680115884021</v>
      </c>
      <c r="E209" s="546"/>
      <c r="F209" s="540">
        <v>0.3</v>
      </c>
      <c r="G209" s="32">
        <v>6</v>
      </c>
      <c r="H209" s="540">
        <v>1.8</v>
      </c>
      <c r="I209" s="540">
        <v>1.9</v>
      </c>
      <c r="J209" s="32">
        <v>234</v>
      </c>
      <c r="K209" s="32" t="s">
        <v>73</v>
      </c>
      <c r="L209" s="32" t="s">
        <v>279</v>
      </c>
      <c r="M209" s="33" t="s">
        <v>68</v>
      </c>
      <c r="N209" s="33"/>
      <c r="O209" s="32">
        <v>40</v>
      </c>
      <c r="P209" s="5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69</v>
      </c>
      <c r="Y209" s="542">
        <f t="shared" si="10"/>
        <v>70.2</v>
      </c>
      <c r="Z209" s="36">
        <f>IFERROR(IF(Y209=0,"",ROUNDUP(Y209/H209,0)*0.00502),"")</f>
        <v>0.19578000000000001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72.833333333333329</v>
      </c>
      <c r="BN209" s="64">
        <f t="shared" si="12"/>
        <v>74.099999999999994</v>
      </c>
      <c r="BO209" s="64">
        <f t="shared" si="13"/>
        <v>0.16381766381766386</v>
      </c>
      <c r="BP209" s="64">
        <f t="shared" si="14"/>
        <v>0.16666666666666669</v>
      </c>
    </row>
    <row r="210" spans="1:68" x14ac:dyDescent="0.2">
      <c r="A210" s="561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62"/>
      <c r="P210" s="552" t="s">
        <v>75</v>
      </c>
      <c r="Q210" s="553"/>
      <c r="R210" s="553"/>
      <c r="S210" s="553"/>
      <c r="T210" s="553"/>
      <c r="U210" s="553"/>
      <c r="V210" s="554"/>
      <c r="W210" s="37" t="s">
        <v>76</v>
      </c>
      <c r="X210" s="543">
        <f>IFERROR(X202/H202,"0")+IFERROR(X203/H203,"0")+IFERROR(X204/H204,"0")+IFERROR(X205/H205,"0")+IFERROR(X206/H206,"0")+IFERROR(X207/H207,"0")+IFERROR(X208/H208,"0")+IFERROR(X209/H209,"0")</f>
        <v>284.62962962962962</v>
      </c>
      <c r="Y210" s="543">
        <f>IFERROR(Y202/H202,"0")+IFERROR(Y203/H203,"0")+IFERROR(Y204/H204,"0")+IFERROR(Y205/H205,"0")+IFERROR(Y206/H206,"0")+IFERROR(Y207/H207,"0")+IFERROR(Y208/H208,"0")+IFERROR(Y209/H209,"0")</f>
        <v>287</v>
      </c>
      <c r="Z210" s="5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1.9647399999999999</v>
      </c>
      <c r="AA210" s="544"/>
      <c r="AB210" s="544"/>
      <c r="AC210" s="544"/>
    </row>
    <row r="211" spans="1:68" x14ac:dyDescent="0.2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62"/>
      <c r="P211" s="552" t="s">
        <v>75</v>
      </c>
      <c r="Q211" s="553"/>
      <c r="R211" s="553"/>
      <c r="S211" s="553"/>
      <c r="T211" s="553"/>
      <c r="U211" s="553"/>
      <c r="V211" s="554"/>
      <c r="W211" s="37" t="s">
        <v>69</v>
      </c>
      <c r="X211" s="543">
        <f>IFERROR(SUM(X202:X209),"0")</f>
        <v>979</v>
      </c>
      <c r="Y211" s="543">
        <f>IFERROR(SUM(Y202:Y209),"0")</f>
        <v>988.20000000000016</v>
      </c>
      <c r="Z211" s="37"/>
      <c r="AA211" s="544"/>
      <c r="AB211" s="544"/>
      <c r="AC211" s="544"/>
    </row>
    <row r="212" spans="1:68" ht="14.25" customHeight="1" x14ac:dyDescent="0.25">
      <c r="A212" s="555" t="s">
        <v>77</v>
      </c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37"/>
      <c r="AB212" s="537"/>
      <c r="AC212" s="537"/>
    </row>
    <row r="213" spans="1:68" ht="27" customHeight="1" x14ac:dyDescent="0.25">
      <c r="A213" s="54" t="s">
        <v>347</v>
      </c>
      <c r="B213" s="54" t="s">
        <v>348</v>
      </c>
      <c r="C213" s="31">
        <v>4301051408</v>
      </c>
      <c r="D213" s="545">
        <v>4680115881594</v>
      </c>
      <c r="E213" s="546"/>
      <c r="F213" s="540">
        <v>1.35</v>
      </c>
      <c r="G213" s="32">
        <v>6</v>
      </c>
      <c r="H213" s="540">
        <v>8.1</v>
      </c>
      <c r="I213" s="540">
        <v>8.5939999999999994</v>
      </c>
      <c r="J213" s="32">
        <v>64</v>
      </c>
      <c r="K213" s="32" t="s">
        <v>102</v>
      </c>
      <c r="L213" s="32"/>
      <c r="M213" s="33" t="s">
        <v>80</v>
      </c>
      <c r="N213" s="33"/>
      <c r="O213" s="32">
        <v>40</v>
      </c>
      <c r="P213" s="5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ref="Y213:Y221" si="15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0</v>
      </c>
      <c r="BN213" s="64">
        <f t="shared" ref="BN213:BN221" si="17">IFERROR(Y213*I213/H213,"0")</f>
        <v>0</v>
      </c>
      <c r="BO213" s="64">
        <f t="shared" ref="BO213:BO221" si="18">IFERROR(1/J213*(X213/H213),"0")</f>
        <v>0</v>
      </c>
      <c r="BP213" s="64">
        <f t="shared" ref="BP213:BP221" si="19">IFERROR(1/J213*(Y213/H213),"0")</f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4301051411</v>
      </c>
      <c r="D214" s="545">
        <v>4680115881617</v>
      </c>
      <c r="E214" s="546"/>
      <c r="F214" s="540">
        <v>1.35</v>
      </c>
      <c r="G214" s="32">
        <v>6</v>
      </c>
      <c r="H214" s="540">
        <v>8.1</v>
      </c>
      <c r="I214" s="540">
        <v>8.5760000000000005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7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4301051656</v>
      </c>
      <c r="D215" s="545">
        <v>4680115880573</v>
      </c>
      <c r="E215" s="546"/>
      <c r="F215" s="540">
        <v>1.45</v>
      </c>
      <c r="G215" s="32">
        <v>6</v>
      </c>
      <c r="H215" s="540">
        <v>8.6999999999999993</v>
      </c>
      <c r="I215" s="540">
        <v>9.1940000000000008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45</v>
      </c>
      <c r="P215" s="5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69.599999999999994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37.5" customHeight="1" x14ac:dyDescent="0.25">
      <c r="A216" s="54" t="s">
        <v>356</v>
      </c>
      <c r="B216" s="54" t="s">
        <v>357</v>
      </c>
      <c r="C216" s="31">
        <v>4301051407</v>
      </c>
      <c r="D216" s="545">
        <v>4680115882195</v>
      </c>
      <c r="E216" s="546"/>
      <c r="F216" s="540">
        <v>0.4</v>
      </c>
      <c r="G216" s="32">
        <v>6</v>
      </c>
      <c r="H216" s="540">
        <v>2.4</v>
      </c>
      <c r="I216" s="540">
        <v>2.67</v>
      </c>
      <c r="J216" s="32">
        <v>182</v>
      </c>
      <c r="K216" s="32" t="s">
        <v>67</v>
      </c>
      <c r="L216" s="32" t="s">
        <v>217</v>
      </c>
      <c r="M216" s="33" t="s">
        <v>80</v>
      </c>
      <c r="N216" s="33"/>
      <c r="O216" s="32">
        <v>40</v>
      </c>
      <c r="P216" s="7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48"/>
      <c r="R216" s="548"/>
      <c r="S216" s="548"/>
      <c r="T216" s="549"/>
      <c r="U216" s="34"/>
      <c r="V216" s="34"/>
      <c r="W216" s="35" t="s">
        <v>69</v>
      </c>
      <c r="X216" s="541">
        <v>280</v>
      </c>
      <c r="Y216" s="542">
        <f t="shared" si="15"/>
        <v>280.8</v>
      </c>
      <c r="Z216" s="36">
        <f t="shared" ref="Z216:Z221" si="20">IFERROR(IF(Y216=0,"",ROUNDUP(Y216/H216,0)*0.00651),"")</f>
        <v>0.76167000000000007</v>
      </c>
      <c r="AA216" s="56"/>
      <c r="AB216" s="57"/>
      <c r="AC216" s="263" t="s">
        <v>358</v>
      </c>
      <c r="AG216" s="64"/>
      <c r="AJ216" s="68" t="s">
        <v>106</v>
      </c>
      <c r="AK216" s="68">
        <v>33.6</v>
      </c>
      <c r="BB216" s="264" t="s">
        <v>1</v>
      </c>
      <c r="BM216" s="64">
        <f t="shared" si="16"/>
        <v>311.5</v>
      </c>
      <c r="BN216" s="64">
        <f t="shared" si="17"/>
        <v>312.39</v>
      </c>
      <c r="BO216" s="64">
        <f t="shared" si="18"/>
        <v>0.64102564102564108</v>
      </c>
      <c r="BP216" s="64">
        <f t="shared" si="19"/>
        <v>0.64285714285714302</v>
      </c>
    </row>
    <row r="217" spans="1:68" ht="27" customHeight="1" x14ac:dyDescent="0.25">
      <c r="A217" s="54" t="s">
        <v>359</v>
      </c>
      <c r="B217" s="54" t="s">
        <v>360</v>
      </c>
      <c r="C217" s="31">
        <v>4301051752</v>
      </c>
      <c r="D217" s="545">
        <v>4680115882607</v>
      </c>
      <c r="E217" s="546"/>
      <c r="F217" s="540">
        <v>0.3</v>
      </c>
      <c r="G217" s="32">
        <v>6</v>
      </c>
      <c r="H217" s="540">
        <v>1.8</v>
      </c>
      <c r="I217" s="540">
        <v>2.052</v>
      </c>
      <c r="J217" s="32">
        <v>182</v>
      </c>
      <c r="K217" s="32" t="s">
        <v>67</v>
      </c>
      <c r="L217" s="32"/>
      <c r="M217" s="33" t="s">
        <v>86</v>
      </c>
      <c r="N217" s="33"/>
      <c r="O217" s="32">
        <v>45</v>
      </c>
      <c r="P217" s="7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48"/>
      <c r="R217" s="548"/>
      <c r="S217" s="548"/>
      <c r="T217" s="549"/>
      <c r="U217" s="34"/>
      <c r="V217" s="34"/>
      <c r="W217" s="35" t="s">
        <v>69</v>
      </c>
      <c r="X217" s="541">
        <v>0</v>
      </c>
      <c r="Y217" s="542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361</v>
      </c>
      <c r="B218" s="54" t="s">
        <v>362</v>
      </c>
      <c r="C218" s="31">
        <v>4301051666</v>
      </c>
      <c r="D218" s="545">
        <v>4680115880092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67</v>
      </c>
      <c r="L218" s="32" t="s">
        <v>217</v>
      </c>
      <c r="M218" s="33" t="s">
        <v>80</v>
      </c>
      <c r="N218" s="33"/>
      <c r="O218" s="32">
        <v>45</v>
      </c>
      <c r="P218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320</v>
      </c>
      <c r="Y218" s="542">
        <f t="shared" si="15"/>
        <v>321.59999999999997</v>
      </c>
      <c r="Z218" s="36">
        <f t="shared" si="20"/>
        <v>0.87234</v>
      </c>
      <c r="AA218" s="56"/>
      <c r="AB218" s="57"/>
      <c r="AC218" s="267" t="s">
        <v>355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16"/>
        <v>353.60000000000008</v>
      </c>
      <c r="BN218" s="64">
        <f t="shared" si="17"/>
        <v>355.36799999999999</v>
      </c>
      <c r="BO218" s="64">
        <f t="shared" si="18"/>
        <v>0.73260073260073266</v>
      </c>
      <c r="BP218" s="64">
        <f t="shared" si="19"/>
        <v>0.73626373626373631</v>
      </c>
    </row>
    <row r="219" spans="1:68" ht="27" customHeight="1" x14ac:dyDescent="0.25">
      <c r="A219" s="54" t="s">
        <v>363</v>
      </c>
      <c r="B219" s="54" t="s">
        <v>364</v>
      </c>
      <c r="C219" s="31">
        <v>4301051668</v>
      </c>
      <c r="D219" s="545">
        <v>4680115880221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67</v>
      </c>
      <c r="L219" s="32"/>
      <c r="M219" s="33" t="s">
        <v>80</v>
      </c>
      <c r="N219" s="33"/>
      <c r="O219" s="32">
        <v>45</v>
      </c>
      <c r="P219" s="6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4301051945</v>
      </c>
      <c r="D220" s="545">
        <v>4680115880504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67</v>
      </c>
      <c r="L220" s="32" t="s">
        <v>217</v>
      </c>
      <c r="M220" s="33" t="s">
        <v>86</v>
      </c>
      <c r="N220" s="33"/>
      <c r="O220" s="32">
        <v>40</v>
      </c>
      <c r="P220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104</v>
      </c>
      <c r="Y220" s="542">
        <f t="shared" si="15"/>
        <v>105.6</v>
      </c>
      <c r="Z220" s="36">
        <f t="shared" si="20"/>
        <v>0.28644000000000003</v>
      </c>
      <c r="AA220" s="56"/>
      <c r="AB220" s="57"/>
      <c r="AC220" s="271" t="s">
        <v>367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114.92</v>
      </c>
      <c r="BN220" s="64">
        <f t="shared" si="17"/>
        <v>116.688</v>
      </c>
      <c r="BO220" s="64">
        <f t="shared" si="18"/>
        <v>0.23809523809523814</v>
      </c>
      <c r="BP220" s="64">
        <f t="shared" si="19"/>
        <v>0.24175824175824179</v>
      </c>
    </row>
    <row r="221" spans="1:68" ht="27" customHeight="1" x14ac:dyDescent="0.25">
      <c r="A221" s="54" t="s">
        <v>368</v>
      </c>
      <c r="B221" s="54" t="s">
        <v>369</v>
      </c>
      <c r="C221" s="31">
        <v>4301051410</v>
      </c>
      <c r="D221" s="545">
        <v>4680115882164</v>
      </c>
      <c r="E221" s="546"/>
      <c r="F221" s="540">
        <v>0.4</v>
      </c>
      <c r="G221" s="32">
        <v>6</v>
      </c>
      <c r="H221" s="540">
        <v>2.4</v>
      </c>
      <c r="I221" s="540">
        <v>2.6579999999999999</v>
      </c>
      <c r="J221" s="32">
        <v>182</v>
      </c>
      <c r="K221" s="32" t="s">
        <v>67</v>
      </c>
      <c r="L221" s="32" t="s">
        <v>217</v>
      </c>
      <c r="M221" s="33" t="s">
        <v>80</v>
      </c>
      <c r="N221" s="33"/>
      <c r="O221" s="32">
        <v>40</v>
      </c>
      <c r="P221" s="5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48"/>
      <c r="R221" s="548"/>
      <c r="S221" s="548"/>
      <c r="T221" s="549"/>
      <c r="U221" s="34"/>
      <c r="V221" s="34"/>
      <c r="W221" s="35" t="s">
        <v>69</v>
      </c>
      <c r="X221" s="541">
        <v>240</v>
      </c>
      <c r="Y221" s="542">
        <f t="shared" si="15"/>
        <v>240</v>
      </c>
      <c r="Z221" s="36">
        <f t="shared" si="20"/>
        <v>0.65100000000000002</v>
      </c>
      <c r="AA221" s="56"/>
      <c r="AB221" s="57"/>
      <c r="AC221" s="273" t="s">
        <v>352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265.8</v>
      </c>
      <c r="BN221" s="64">
        <f t="shared" si="17"/>
        <v>265.8</v>
      </c>
      <c r="BO221" s="64">
        <f t="shared" si="18"/>
        <v>0.5494505494505495</v>
      </c>
      <c r="BP221" s="64">
        <f t="shared" si="19"/>
        <v>0.5494505494505495</v>
      </c>
    </row>
    <row r="222" spans="1:68" x14ac:dyDescent="0.2">
      <c r="A222" s="561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2"/>
      <c r="P222" s="552" t="s">
        <v>75</v>
      </c>
      <c r="Q222" s="553"/>
      <c r="R222" s="553"/>
      <c r="S222" s="553"/>
      <c r="T222" s="553"/>
      <c r="U222" s="553"/>
      <c r="V222" s="554"/>
      <c r="W222" s="37" t="s">
        <v>76</v>
      </c>
      <c r="X222" s="543">
        <f>IFERROR(X213/H213,"0")+IFERROR(X214/H214,"0")+IFERROR(X215/H215,"0")+IFERROR(X216/H216,"0")+IFERROR(X217/H217,"0")+IFERROR(X218/H218,"0")+IFERROR(X219/H219,"0")+IFERROR(X220/H220,"0")+IFERROR(X221/H221,"0")</f>
        <v>393.33333333333331</v>
      </c>
      <c r="Y222" s="543">
        <f>IFERROR(Y213/H213,"0")+IFERROR(Y214/H214,"0")+IFERROR(Y215/H215,"0")+IFERROR(Y216/H216,"0")+IFERROR(Y217/H217,"0")+IFERROR(Y218/H218,"0")+IFERROR(Y219/H219,"0")+IFERROR(Y220/H220,"0")+IFERROR(Y221/H221,"0")</f>
        <v>395</v>
      </c>
      <c r="Z222" s="5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2.57145</v>
      </c>
      <c r="AA222" s="544"/>
      <c r="AB222" s="544"/>
      <c r="AC222" s="544"/>
    </row>
    <row r="223" spans="1:68" x14ac:dyDescent="0.2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62"/>
      <c r="P223" s="552" t="s">
        <v>75</v>
      </c>
      <c r="Q223" s="553"/>
      <c r="R223" s="553"/>
      <c r="S223" s="553"/>
      <c r="T223" s="553"/>
      <c r="U223" s="553"/>
      <c r="V223" s="554"/>
      <c r="W223" s="37" t="s">
        <v>69</v>
      </c>
      <c r="X223" s="543">
        <f>IFERROR(SUM(X213:X221),"0")</f>
        <v>944</v>
      </c>
      <c r="Y223" s="543">
        <f>IFERROR(SUM(Y213:Y221),"0")</f>
        <v>948</v>
      </c>
      <c r="Z223" s="37"/>
      <c r="AA223" s="544"/>
      <c r="AB223" s="544"/>
      <c r="AC223" s="544"/>
    </row>
    <row r="224" spans="1:68" ht="14.25" customHeight="1" x14ac:dyDescent="0.25">
      <c r="A224" s="555" t="s">
        <v>157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7"/>
      <c r="AB224" s="537"/>
      <c r="AC224" s="5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545">
        <v>4680115880818</v>
      </c>
      <c r="E225" s="546"/>
      <c r="F225" s="540">
        <v>0.4</v>
      </c>
      <c r="G225" s="32">
        <v>6</v>
      </c>
      <c r="H225" s="540">
        <v>2.4</v>
      </c>
      <c r="I225" s="540">
        <v>2.6520000000000001</v>
      </c>
      <c r="J225" s="32">
        <v>182</v>
      </c>
      <c r="K225" s="32" t="s">
        <v>67</v>
      </c>
      <c r="L225" s="32" t="s">
        <v>217</v>
      </c>
      <c r="M225" s="33" t="s">
        <v>86</v>
      </c>
      <c r="N225" s="33"/>
      <c r="O225" s="32">
        <v>40</v>
      </c>
      <c r="P225" s="7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16</v>
      </c>
      <c r="Y225" s="542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75" t="s">
        <v>372</v>
      </c>
      <c r="AG225" s="64"/>
      <c r="AJ225" s="68" t="s">
        <v>106</v>
      </c>
      <c r="AK225" s="68">
        <v>33.6</v>
      </c>
      <c r="BB225" s="276" t="s">
        <v>1</v>
      </c>
      <c r="BM225" s="64">
        <f>IFERROR(X225*I225/H225,"0")</f>
        <v>17.680000000000003</v>
      </c>
      <c r="BN225" s="64">
        <f>IFERROR(Y225*I225/H225,"0")</f>
        <v>18.564000000000004</v>
      </c>
      <c r="BO225" s="64">
        <f>IFERROR(1/J225*(X225/H225),"0")</f>
        <v>3.6630036630036632E-2</v>
      </c>
      <c r="BP225" s="64">
        <f>IFERROR(1/J225*(Y225/H225),"0")</f>
        <v>3.8461538461538471E-2</v>
      </c>
    </row>
    <row r="226" spans="1:68" ht="37.5" customHeight="1" x14ac:dyDescent="0.25">
      <c r="A226" s="54" t="s">
        <v>373</v>
      </c>
      <c r="B226" s="54" t="s">
        <v>374</v>
      </c>
      <c r="C226" s="31">
        <v>4301060389</v>
      </c>
      <c r="D226" s="545">
        <v>4680115880801</v>
      </c>
      <c r="E226" s="546"/>
      <c r="F226" s="540">
        <v>0.4</v>
      </c>
      <c r="G226" s="32">
        <v>6</v>
      </c>
      <c r="H226" s="540">
        <v>2.4</v>
      </c>
      <c r="I226" s="540">
        <v>2.6520000000000001</v>
      </c>
      <c r="J226" s="32">
        <v>182</v>
      </c>
      <c r="K226" s="32" t="s">
        <v>67</v>
      </c>
      <c r="L226" s="32" t="s">
        <v>217</v>
      </c>
      <c r="M226" s="33" t="s">
        <v>80</v>
      </c>
      <c r="N226" s="33"/>
      <c r="O226" s="32">
        <v>40</v>
      </c>
      <c r="P226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36</v>
      </c>
      <c r="Y226" s="542">
        <f>IFERROR(IF(X226="",0,CEILING((X226/$H226),1)*$H226),"")</f>
        <v>36</v>
      </c>
      <c r="Z226" s="36">
        <f>IFERROR(IF(Y226=0,"",ROUNDUP(Y226/H226,0)*0.00651),"")</f>
        <v>9.7650000000000001E-2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39.780000000000008</v>
      </c>
      <c r="BN226" s="64">
        <f>IFERROR(Y226*I226/H226,"0")</f>
        <v>39.780000000000008</v>
      </c>
      <c r="BO226" s="64">
        <f>IFERROR(1/J226*(X226/H226),"0")</f>
        <v>8.241758241758243E-2</v>
      </c>
      <c r="BP226" s="64">
        <f>IFERROR(1/J226*(Y226/H226),"0")</f>
        <v>8.241758241758243E-2</v>
      </c>
    </row>
    <row r="227" spans="1:68" x14ac:dyDescent="0.2">
      <c r="A227" s="561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62"/>
      <c r="P227" s="552" t="s">
        <v>75</v>
      </c>
      <c r="Q227" s="553"/>
      <c r="R227" s="553"/>
      <c r="S227" s="553"/>
      <c r="T227" s="553"/>
      <c r="U227" s="553"/>
      <c r="V227" s="554"/>
      <c r="W227" s="37" t="s">
        <v>76</v>
      </c>
      <c r="X227" s="543">
        <f>IFERROR(X225/H225,"0")+IFERROR(X226/H226,"0")</f>
        <v>21.666666666666668</v>
      </c>
      <c r="Y227" s="543">
        <f>IFERROR(Y225/H225,"0")+IFERROR(Y226/H226,"0")</f>
        <v>22</v>
      </c>
      <c r="Z227" s="543">
        <f>IFERROR(IF(Z225="",0,Z225),"0")+IFERROR(IF(Z226="",0,Z226),"0")</f>
        <v>0.14322000000000001</v>
      </c>
      <c r="AA227" s="544"/>
      <c r="AB227" s="544"/>
      <c r="AC227" s="544"/>
    </row>
    <row r="228" spans="1:68" x14ac:dyDescent="0.2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62"/>
      <c r="P228" s="552" t="s">
        <v>75</v>
      </c>
      <c r="Q228" s="553"/>
      <c r="R228" s="553"/>
      <c r="S228" s="553"/>
      <c r="T228" s="553"/>
      <c r="U228" s="553"/>
      <c r="V228" s="554"/>
      <c r="W228" s="37" t="s">
        <v>69</v>
      </c>
      <c r="X228" s="543">
        <f>IFERROR(SUM(X225:X226),"0")</f>
        <v>52</v>
      </c>
      <c r="Y228" s="543">
        <f>IFERROR(SUM(Y225:Y226),"0")</f>
        <v>52.8</v>
      </c>
      <c r="Z228" s="37"/>
      <c r="AA228" s="544"/>
      <c r="AB228" s="544"/>
      <c r="AC228" s="544"/>
    </row>
    <row r="229" spans="1:68" ht="16.5" customHeight="1" x14ac:dyDescent="0.25">
      <c r="A229" s="559" t="s">
        <v>376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36"/>
      <c r="AB229" s="536"/>
      <c r="AC229" s="536"/>
    </row>
    <row r="230" spans="1:68" ht="14.25" customHeight="1" x14ac:dyDescent="0.25">
      <c r="A230" s="555" t="s">
        <v>99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37"/>
      <c r="AB230" s="537"/>
      <c r="AC230" s="5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545">
        <v>4680115884137</v>
      </c>
      <c r="E231" s="546"/>
      <c r="F231" s="540">
        <v>1.45</v>
      </c>
      <c r="G231" s="32">
        <v>8</v>
      </c>
      <c r="H231" s="540">
        <v>11.6</v>
      </c>
      <c r="I231" s="540">
        <v>12.01</v>
      </c>
      <c r="J231" s="32">
        <v>64</v>
      </c>
      <c r="K231" s="32" t="s">
        <v>102</v>
      </c>
      <c r="L231" s="32" t="s">
        <v>103</v>
      </c>
      <c r="M231" s="33" t="s">
        <v>104</v>
      </c>
      <c r="N231" s="33"/>
      <c r="O231" s="32">
        <v>55</v>
      </c>
      <c r="P231" s="5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ref="Y231:Y239" si="21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79" t="s">
        <v>379</v>
      </c>
      <c r="AG231" s="64"/>
      <c r="AJ231" s="68" t="s">
        <v>106</v>
      </c>
      <c r="AK231" s="68">
        <v>92.8</v>
      </c>
      <c r="BB231" s="280" t="s">
        <v>1</v>
      </c>
      <c r="BM231" s="64">
        <f t="shared" ref="BM231:BM239" si="22">IFERROR(X231*I231/H231,"0")</f>
        <v>0</v>
      </c>
      <c r="BN231" s="64">
        <f t="shared" ref="BN231:BN239" si="23">IFERROR(Y231*I231/H231,"0")</f>
        <v>0</v>
      </c>
      <c r="BO231" s="64">
        <f t="shared" ref="BO231:BO239" si="24">IFERROR(1/J231*(X231/H231),"0")</f>
        <v>0</v>
      </c>
      <c r="BP231" s="64">
        <f t="shared" ref="BP231:BP239" si="25">IFERROR(1/J231*(Y231/H231),"0")</f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4301011724</v>
      </c>
      <c r="D232" s="545">
        <v>4680115884236</v>
      </c>
      <c r="E232" s="546"/>
      <c r="F232" s="540">
        <v>1.45</v>
      </c>
      <c r="G232" s="32">
        <v>8</v>
      </c>
      <c r="H232" s="540">
        <v>11.6</v>
      </c>
      <c r="I232" s="540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4301011721</v>
      </c>
      <c r="D233" s="545">
        <v>4680115884175</v>
      </c>
      <c r="E233" s="546"/>
      <c r="F233" s="540">
        <v>1.45</v>
      </c>
      <c r="G233" s="32">
        <v>8</v>
      </c>
      <c r="H233" s="540">
        <v>11.6</v>
      </c>
      <c r="I233" s="540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80</v>
      </c>
      <c r="Y233" s="542">
        <f t="shared" si="21"/>
        <v>81.2</v>
      </c>
      <c r="Z233" s="36">
        <f>IFERROR(IF(Y233=0,"",ROUNDUP(Y233/H233,0)*0.01898),"")</f>
        <v>0.13286000000000001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si="22"/>
        <v>82.827586206896555</v>
      </c>
      <c r="BN233" s="64">
        <f t="shared" si="23"/>
        <v>84.070000000000007</v>
      </c>
      <c r="BO233" s="64">
        <f t="shared" si="24"/>
        <v>0.10775862068965518</v>
      </c>
      <c r="BP233" s="64">
        <f t="shared" si="25"/>
        <v>0.10937500000000001</v>
      </c>
    </row>
    <row r="234" spans="1:68" ht="27" customHeight="1" x14ac:dyDescent="0.25">
      <c r="A234" s="54" t="s">
        <v>386</v>
      </c>
      <c r="B234" s="54" t="s">
        <v>387</v>
      </c>
      <c r="C234" s="31">
        <v>4301011824</v>
      </c>
      <c r="D234" s="545">
        <v>4680115884144</v>
      </c>
      <c r="E234" s="546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 t="s">
        <v>110</v>
      </c>
      <c r="M234" s="33" t="s">
        <v>104</v>
      </c>
      <c r="N234" s="33"/>
      <c r="O234" s="32">
        <v>55</v>
      </c>
      <c r="P234" s="5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28</v>
      </c>
      <c r="Y234" s="542">
        <f t="shared" si="21"/>
        <v>28</v>
      </c>
      <c r="Z234" s="36">
        <f>IFERROR(IF(Y234=0,"",ROUNDUP(Y234/H234,0)*0.00902),"")</f>
        <v>6.3140000000000002E-2</v>
      </c>
      <c r="AA234" s="56"/>
      <c r="AB234" s="57"/>
      <c r="AC234" s="285" t="s">
        <v>379</v>
      </c>
      <c r="AG234" s="64"/>
      <c r="AJ234" s="68" t="s">
        <v>106</v>
      </c>
      <c r="AK234" s="68">
        <v>48</v>
      </c>
      <c r="BB234" s="286" t="s">
        <v>1</v>
      </c>
      <c r="BM234" s="64">
        <f t="shared" si="22"/>
        <v>29.330000000000002</v>
      </c>
      <c r="BN234" s="64">
        <f t="shared" si="23"/>
        <v>29.330000000000002</v>
      </c>
      <c r="BO234" s="64">
        <f t="shared" si="24"/>
        <v>5.3030303030303032E-2</v>
      </c>
      <c r="BP234" s="64">
        <f t="shared" si="25"/>
        <v>5.3030303030303032E-2</v>
      </c>
    </row>
    <row r="235" spans="1:68" ht="27" customHeight="1" x14ac:dyDescent="0.25">
      <c r="A235" s="54" t="s">
        <v>386</v>
      </c>
      <c r="B235" s="54" t="s">
        <v>388</v>
      </c>
      <c r="C235" s="31">
        <v>4301012196</v>
      </c>
      <c r="D235" s="545">
        <v>4680115884144</v>
      </c>
      <c r="E235" s="546"/>
      <c r="F235" s="540">
        <v>0.4</v>
      </c>
      <c r="G235" s="32">
        <v>10</v>
      </c>
      <c r="H235" s="540">
        <v>4</v>
      </c>
      <c r="I235" s="540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48"/>
      <c r="R235" s="548"/>
      <c r="S235" s="548"/>
      <c r="T235" s="549"/>
      <c r="U235" s="34"/>
      <c r="V235" s="34"/>
      <c r="W235" s="35" t="s">
        <v>69</v>
      </c>
      <c r="X235" s="541">
        <v>0</v>
      </c>
      <c r="Y235" s="542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390</v>
      </c>
      <c r="C236" s="31">
        <v>4301012149</v>
      </c>
      <c r="D236" s="545">
        <v>4680115886551</v>
      </c>
      <c r="E236" s="546"/>
      <c r="F236" s="540">
        <v>0.4</v>
      </c>
      <c r="G236" s="32">
        <v>10</v>
      </c>
      <c r="H236" s="540">
        <v>4</v>
      </c>
      <c r="I236" s="540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48"/>
      <c r="R236" s="548"/>
      <c r="S236" s="548"/>
      <c r="T236" s="549"/>
      <c r="U236" s="34"/>
      <c r="V236" s="34"/>
      <c r="W236" s="35" t="s">
        <v>69</v>
      </c>
      <c r="X236" s="541">
        <v>0</v>
      </c>
      <c r="Y236" s="542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4301012228</v>
      </c>
      <c r="D237" s="545">
        <v>4680115887282</v>
      </c>
      <c r="E237" s="546"/>
      <c r="F237" s="540">
        <v>0.4</v>
      </c>
      <c r="G237" s="32">
        <v>6</v>
      </c>
      <c r="H237" s="540">
        <v>2.4</v>
      </c>
      <c r="I237" s="540">
        <v>2.58</v>
      </c>
      <c r="J237" s="32">
        <v>182</v>
      </c>
      <c r="K237" s="32" t="s">
        <v>67</v>
      </c>
      <c r="L237" s="32"/>
      <c r="M237" s="33" t="s">
        <v>104</v>
      </c>
      <c r="N237" s="33"/>
      <c r="O237" s="32">
        <v>55</v>
      </c>
      <c r="P237" s="6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4301011722</v>
      </c>
      <c r="D238" s="545">
        <v>4680115884205</v>
      </c>
      <c r="E238" s="546"/>
      <c r="F238" s="540">
        <v>0.4</v>
      </c>
      <c r="G238" s="32">
        <v>10</v>
      </c>
      <c r="H238" s="540">
        <v>4</v>
      </c>
      <c r="I238" s="540">
        <v>4.1900000000000004</v>
      </c>
      <c r="J238" s="32">
        <v>132</v>
      </c>
      <c r="K238" s="32" t="s">
        <v>109</v>
      </c>
      <c r="L238" s="32" t="s">
        <v>110</v>
      </c>
      <c r="M238" s="33" t="s">
        <v>104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36</v>
      </c>
      <c r="Y238" s="542">
        <f t="shared" si="21"/>
        <v>36</v>
      </c>
      <c r="Z238" s="36">
        <f>IFERROR(IF(Y238=0,"",ROUNDUP(Y238/H238,0)*0.00902),"")</f>
        <v>8.1180000000000002E-2</v>
      </c>
      <c r="AA238" s="56"/>
      <c r="AB238" s="57"/>
      <c r="AC238" s="293" t="s">
        <v>385</v>
      </c>
      <c r="AG238" s="64"/>
      <c r="AJ238" s="68" t="s">
        <v>106</v>
      </c>
      <c r="AK238" s="68">
        <v>48</v>
      </c>
      <c r="BB238" s="294" t="s">
        <v>1</v>
      </c>
      <c r="BM238" s="64">
        <f t="shared" si="22"/>
        <v>37.71</v>
      </c>
      <c r="BN238" s="64">
        <f t="shared" si="23"/>
        <v>37.71</v>
      </c>
      <c r="BO238" s="64">
        <f t="shared" si="24"/>
        <v>6.8181818181818177E-2</v>
      </c>
      <c r="BP238" s="64">
        <f t="shared" si="25"/>
        <v>6.8181818181818177E-2</v>
      </c>
    </row>
    <row r="239" spans="1:68" ht="27" customHeight="1" x14ac:dyDescent="0.25">
      <c r="A239" s="54" t="s">
        <v>395</v>
      </c>
      <c r="B239" s="54" t="s">
        <v>397</v>
      </c>
      <c r="C239" s="31">
        <v>4301012195</v>
      </c>
      <c r="D239" s="545">
        <v>4680115884205</v>
      </c>
      <c r="E239" s="546"/>
      <c r="F239" s="540">
        <v>0.4</v>
      </c>
      <c r="G239" s="32">
        <v>10</v>
      </c>
      <c r="H239" s="540">
        <v>4</v>
      </c>
      <c r="I239" s="540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8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48"/>
      <c r="R239" s="548"/>
      <c r="S239" s="548"/>
      <c r="T239" s="549"/>
      <c r="U239" s="34"/>
      <c r="V239" s="34"/>
      <c r="W239" s="35" t="s">
        <v>69</v>
      </c>
      <c r="X239" s="541">
        <v>0</v>
      </c>
      <c r="Y239" s="542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x14ac:dyDescent="0.2">
      <c r="A240" s="561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2"/>
      <c r="P240" s="552" t="s">
        <v>75</v>
      </c>
      <c r="Q240" s="553"/>
      <c r="R240" s="553"/>
      <c r="S240" s="553"/>
      <c r="T240" s="553"/>
      <c r="U240" s="553"/>
      <c r="V240" s="554"/>
      <c r="W240" s="37" t="s">
        <v>76</v>
      </c>
      <c r="X240" s="543">
        <f>IFERROR(X231/H231,"0")+IFERROR(X232/H232,"0")+IFERROR(X233/H233,"0")+IFERROR(X234/H234,"0")+IFERROR(X235/H235,"0")+IFERROR(X236/H236,"0")+IFERROR(X237/H237,"0")+IFERROR(X238/H238,"0")+IFERROR(X239/H239,"0")</f>
        <v>22.896551724137932</v>
      </c>
      <c r="Y240" s="543">
        <f>IFERROR(Y231/H231,"0")+IFERROR(Y232/H232,"0")+IFERROR(Y233/H233,"0")+IFERROR(Y234/H234,"0")+IFERROR(Y235/H235,"0")+IFERROR(Y236/H236,"0")+IFERROR(Y237/H237,"0")+IFERROR(Y238/H238,"0")+IFERROR(Y239/H239,"0")</f>
        <v>23</v>
      </c>
      <c r="Z240" s="5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0.27717999999999998</v>
      </c>
      <c r="AA240" s="544"/>
      <c r="AB240" s="544"/>
      <c r="AC240" s="544"/>
    </row>
    <row r="241" spans="1:68" x14ac:dyDescent="0.2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62"/>
      <c r="P241" s="552" t="s">
        <v>75</v>
      </c>
      <c r="Q241" s="553"/>
      <c r="R241" s="553"/>
      <c r="S241" s="553"/>
      <c r="T241" s="553"/>
      <c r="U241" s="553"/>
      <c r="V241" s="554"/>
      <c r="W241" s="37" t="s">
        <v>69</v>
      </c>
      <c r="X241" s="543">
        <f>IFERROR(SUM(X231:X239),"0")</f>
        <v>144</v>
      </c>
      <c r="Y241" s="543">
        <f>IFERROR(SUM(Y231:Y239),"0")</f>
        <v>145.19999999999999</v>
      </c>
      <c r="Z241" s="37"/>
      <c r="AA241" s="544"/>
      <c r="AB241" s="544"/>
      <c r="AC241" s="544"/>
    </row>
    <row r="242" spans="1:68" ht="14.25" customHeight="1" x14ac:dyDescent="0.25">
      <c r="A242" s="555" t="s">
        <v>135</v>
      </c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37"/>
      <c r="AB242" s="537"/>
      <c r="AC242" s="537"/>
    </row>
    <row r="243" spans="1:68" ht="27" customHeight="1" x14ac:dyDescent="0.25">
      <c r="A243" s="54" t="s">
        <v>398</v>
      </c>
      <c r="B243" s="54" t="s">
        <v>399</v>
      </c>
      <c r="C243" s="31">
        <v>4301020377</v>
      </c>
      <c r="D243" s="545">
        <v>4680115885981</v>
      </c>
      <c r="E243" s="546"/>
      <c r="F243" s="540">
        <v>0.33</v>
      </c>
      <c r="G243" s="32">
        <v>6</v>
      </c>
      <c r="H243" s="540">
        <v>1.98</v>
      </c>
      <c r="I243" s="540">
        <v>2.08</v>
      </c>
      <c r="J243" s="32">
        <v>234</v>
      </c>
      <c r="K243" s="32" t="s">
        <v>73</v>
      </c>
      <c r="L243" s="32"/>
      <c r="M243" s="33" t="s">
        <v>80</v>
      </c>
      <c r="N243" s="33"/>
      <c r="O243" s="32">
        <v>50</v>
      </c>
      <c r="P243" s="8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48"/>
      <c r="R243" s="548"/>
      <c r="S243" s="548"/>
      <c r="T243" s="549"/>
      <c r="U243" s="34"/>
      <c r="V243" s="34"/>
      <c r="W243" s="35" t="s">
        <v>69</v>
      </c>
      <c r="X243" s="541">
        <v>0</v>
      </c>
      <c r="Y243" s="5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561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2"/>
      <c r="P244" s="552" t="s">
        <v>75</v>
      </c>
      <c r="Q244" s="553"/>
      <c r="R244" s="553"/>
      <c r="S244" s="553"/>
      <c r="T244" s="553"/>
      <c r="U244" s="553"/>
      <c r="V244" s="554"/>
      <c r="W244" s="37" t="s">
        <v>76</v>
      </c>
      <c r="X244" s="543">
        <f>IFERROR(X243/H243,"0")</f>
        <v>0</v>
      </c>
      <c r="Y244" s="543">
        <f>IFERROR(Y243/H243,"0")</f>
        <v>0</v>
      </c>
      <c r="Z244" s="543">
        <f>IFERROR(IF(Z243="",0,Z243),"0")</f>
        <v>0</v>
      </c>
      <c r="AA244" s="544"/>
      <c r="AB244" s="544"/>
      <c r="AC244" s="544"/>
    </row>
    <row r="245" spans="1:68" x14ac:dyDescent="0.2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62"/>
      <c r="P245" s="552" t="s">
        <v>75</v>
      </c>
      <c r="Q245" s="553"/>
      <c r="R245" s="553"/>
      <c r="S245" s="553"/>
      <c r="T245" s="553"/>
      <c r="U245" s="553"/>
      <c r="V245" s="554"/>
      <c r="W245" s="37" t="s">
        <v>69</v>
      </c>
      <c r="X245" s="543">
        <f>IFERROR(SUM(X243:X243),"0")</f>
        <v>0</v>
      </c>
      <c r="Y245" s="543">
        <f>IFERROR(SUM(Y243:Y243),"0")</f>
        <v>0</v>
      </c>
      <c r="Z245" s="37"/>
      <c r="AA245" s="544"/>
      <c r="AB245" s="544"/>
      <c r="AC245" s="544"/>
    </row>
    <row r="246" spans="1:68" ht="14.25" customHeight="1" x14ac:dyDescent="0.25">
      <c r="A246" s="555" t="s">
        <v>401</v>
      </c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37"/>
      <c r="AB246" s="537"/>
      <c r="AC246" s="537"/>
    </row>
    <row r="247" spans="1:68" ht="27" customHeight="1" x14ac:dyDescent="0.25">
      <c r="A247" s="54" t="s">
        <v>402</v>
      </c>
      <c r="B247" s="54" t="s">
        <v>403</v>
      </c>
      <c r="C247" s="31">
        <v>4301040362</v>
      </c>
      <c r="D247" s="545">
        <v>4680115886803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561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62"/>
      <c r="P248" s="552" t="s">
        <v>75</v>
      </c>
      <c r="Q248" s="553"/>
      <c r="R248" s="553"/>
      <c r="S248" s="553"/>
      <c r="T248" s="553"/>
      <c r="U248" s="553"/>
      <c r="V248" s="554"/>
      <c r="W248" s="37" t="s">
        <v>76</v>
      </c>
      <c r="X248" s="543">
        <f>IFERROR(X247/H247,"0")</f>
        <v>0</v>
      </c>
      <c r="Y248" s="543">
        <f>IFERROR(Y247/H247,"0")</f>
        <v>0</v>
      </c>
      <c r="Z248" s="543">
        <f>IFERROR(IF(Z247="",0,Z247),"0")</f>
        <v>0</v>
      </c>
      <c r="AA248" s="544"/>
      <c r="AB248" s="544"/>
      <c r="AC248" s="544"/>
    </row>
    <row r="249" spans="1:68" x14ac:dyDescent="0.2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62"/>
      <c r="P249" s="552" t="s">
        <v>75</v>
      </c>
      <c r="Q249" s="553"/>
      <c r="R249" s="553"/>
      <c r="S249" s="553"/>
      <c r="T249" s="553"/>
      <c r="U249" s="553"/>
      <c r="V249" s="554"/>
      <c r="W249" s="37" t="s">
        <v>69</v>
      </c>
      <c r="X249" s="543">
        <f>IFERROR(SUM(X247:X247),"0")</f>
        <v>0</v>
      </c>
      <c r="Y249" s="543">
        <f>IFERROR(SUM(Y247:Y247),"0")</f>
        <v>0</v>
      </c>
      <c r="Z249" s="37"/>
      <c r="AA249" s="544"/>
      <c r="AB249" s="544"/>
      <c r="AC249" s="544"/>
    </row>
    <row r="250" spans="1:68" ht="14.25" customHeight="1" x14ac:dyDescent="0.25">
      <c r="A250" s="555" t="s">
        <v>405</v>
      </c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37"/>
      <c r="AB250" s="537"/>
      <c r="AC250" s="5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545">
        <v>4680115886704</v>
      </c>
      <c r="E251" s="546"/>
      <c r="F251" s="540">
        <v>5.5E-2</v>
      </c>
      <c r="G251" s="32">
        <v>18</v>
      </c>
      <c r="H251" s="540">
        <v>0.99</v>
      </c>
      <c r="I251" s="540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48"/>
      <c r="R251" s="548"/>
      <c r="S251" s="548"/>
      <c r="T251" s="549"/>
      <c r="U251" s="34"/>
      <c r="V251" s="34"/>
      <c r="W251" s="35" t="s">
        <v>69</v>
      </c>
      <c r="X251" s="541">
        <v>0</v>
      </c>
      <c r="Y251" s="5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409</v>
      </c>
      <c r="B252" s="54" t="s">
        <v>410</v>
      </c>
      <c r="C252" s="31">
        <v>4301041008</v>
      </c>
      <c r="D252" s="545">
        <v>4680115886681</v>
      </c>
      <c r="E252" s="546"/>
      <c r="F252" s="540">
        <v>0.12</v>
      </c>
      <c r="G252" s="32">
        <v>15</v>
      </c>
      <c r="H252" s="540">
        <v>1.8</v>
      </c>
      <c r="I252" s="540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5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48"/>
      <c r="R252" s="548"/>
      <c r="S252" s="548"/>
      <c r="T252" s="549"/>
      <c r="U252" s="34"/>
      <c r="V252" s="34"/>
      <c r="W252" s="35" t="s">
        <v>69</v>
      </c>
      <c r="X252" s="541">
        <v>21.6</v>
      </c>
      <c r="Y252" s="542">
        <f>IFERROR(IF(X252="",0,CEILING((X252/$H252),1)*$H252),"")</f>
        <v>21.6</v>
      </c>
      <c r="Z252" s="36">
        <f>IFERROR(IF(Y252=0,"",ROUNDUP(Y252/H252,0)*0.0059),"")</f>
        <v>7.0800000000000002E-2</v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23.700000000000003</v>
      </c>
      <c r="BN252" s="64">
        <f>IFERROR(Y252*I252/H252,"0")</f>
        <v>23.700000000000003</v>
      </c>
      <c r="BO252" s="64">
        <f>IFERROR(1/J252*(X252/H252),"0")</f>
        <v>5.5555555555555552E-2</v>
      </c>
      <c r="BP252" s="64">
        <f>IFERROR(1/J252*(Y252/H252),"0")</f>
        <v>5.5555555555555552E-2</v>
      </c>
    </row>
    <row r="253" spans="1:68" ht="27" customHeight="1" x14ac:dyDescent="0.25">
      <c r="A253" s="54" t="s">
        <v>411</v>
      </c>
      <c r="B253" s="54" t="s">
        <v>412</v>
      </c>
      <c r="C253" s="31">
        <v>4301041007</v>
      </c>
      <c r="D253" s="545">
        <v>4680115886735</v>
      </c>
      <c r="E253" s="546"/>
      <c r="F253" s="540">
        <v>0.05</v>
      </c>
      <c r="G253" s="32">
        <v>18</v>
      </c>
      <c r="H253" s="540">
        <v>0.9</v>
      </c>
      <c r="I253" s="540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48"/>
      <c r="R253" s="548"/>
      <c r="S253" s="548"/>
      <c r="T253" s="549"/>
      <c r="U253" s="34"/>
      <c r="V253" s="34"/>
      <c r="W253" s="35" t="s">
        <v>69</v>
      </c>
      <c r="X253" s="541">
        <v>0</v>
      </c>
      <c r="Y253" s="5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413</v>
      </c>
      <c r="B254" s="54" t="s">
        <v>414</v>
      </c>
      <c r="C254" s="31">
        <v>4301041006</v>
      </c>
      <c r="D254" s="545">
        <v>4680115886728</v>
      </c>
      <c r="E254" s="546"/>
      <c r="F254" s="540">
        <v>5.5E-2</v>
      </c>
      <c r="G254" s="32">
        <v>18</v>
      </c>
      <c r="H254" s="540">
        <v>0.99</v>
      </c>
      <c r="I254" s="540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4301041005</v>
      </c>
      <c r="D255" s="545">
        <v>4680115886711</v>
      </c>
      <c r="E255" s="546"/>
      <c r="F255" s="540">
        <v>5.5E-2</v>
      </c>
      <c r="G255" s="32">
        <v>18</v>
      </c>
      <c r="H255" s="540">
        <v>0.99</v>
      </c>
      <c r="I255" s="540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6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561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62"/>
      <c r="P256" s="552" t="s">
        <v>75</v>
      </c>
      <c r="Q256" s="553"/>
      <c r="R256" s="553"/>
      <c r="S256" s="553"/>
      <c r="T256" s="553"/>
      <c r="U256" s="553"/>
      <c r="V256" s="554"/>
      <c r="W256" s="37" t="s">
        <v>76</v>
      </c>
      <c r="X256" s="543">
        <f>IFERROR(X251/H251,"0")+IFERROR(X252/H252,"0")+IFERROR(X253/H253,"0")+IFERROR(X254/H254,"0")+IFERROR(X255/H255,"0")</f>
        <v>12</v>
      </c>
      <c r="Y256" s="543">
        <f>IFERROR(Y251/H251,"0")+IFERROR(Y252/H252,"0")+IFERROR(Y253/H253,"0")+IFERROR(Y254/H254,"0")+IFERROR(Y255/H255,"0")</f>
        <v>12</v>
      </c>
      <c r="Z256" s="543">
        <f>IFERROR(IF(Z251="",0,Z251),"0")+IFERROR(IF(Z252="",0,Z252),"0")+IFERROR(IF(Z253="",0,Z253),"0")+IFERROR(IF(Z254="",0,Z254),"0")+IFERROR(IF(Z255="",0,Z255),"0")</f>
        <v>7.0800000000000002E-2</v>
      </c>
      <c r="AA256" s="544"/>
      <c r="AB256" s="544"/>
      <c r="AC256" s="544"/>
    </row>
    <row r="257" spans="1:68" x14ac:dyDescent="0.2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62"/>
      <c r="P257" s="552" t="s">
        <v>75</v>
      </c>
      <c r="Q257" s="553"/>
      <c r="R257" s="553"/>
      <c r="S257" s="553"/>
      <c r="T257" s="553"/>
      <c r="U257" s="553"/>
      <c r="V257" s="554"/>
      <c r="W257" s="37" t="s">
        <v>69</v>
      </c>
      <c r="X257" s="543">
        <f>IFERROR(SUM(X251:X255),"0")</f>
        <v>21.6</v>
      </c>
      <c r="Y257" s="543">
        <f>IFERROR(SUM(Y251:Y255),"0")</f>
        <v>21.6</v>
      </c>
      <c r="Z257" s="37"/>
      <c r="AA257" s="544"/>
      <c r="AB257" s="544"/>
      <c r="AC257" s="544"/>
    </row>
    <row r="258" spans="1:68" ht="16.5" customHeight="1" x14ac:dyDescent="0.25">
      <c r="A258" s="559" t="s">
        <v>417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36"/>
      <c r="AB258" s="536"/>
      <c r="AC258" s="536"/>
    </row>
    <row r="259" spans="1:68" ht="14.25" customHeight="1" x14ac:dyDescent="0.25">
      <c r="A259" s="555" t="s">
        <v>99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37"/>
      <c r="AB259" s="537"/>
      <c r="AC259" s="537"/>
    </row>
    <row r="260" spans="1:68" ht="27" customHeight="1" x14ac:dyDescent="0.25">
      <c r="A260" s="54" t="s">
        <v>418</v>
      </c>
      <c r="B260" s="54" t="s">
        <v>419</v>
      </c>
      <c r="C260" s="31">
        <v>4301011855</v>
      </c>
      <c r="D260" s="545">
        <v>4680115885837</v>
      </c>
      <c r="E260" s="546"/>
      <c r="F260" s="540">
        <v>1.35</v>
      </c>
      <c r="G260" s="32">
        <v>8</v>
      </c>
      <c r="H260" s="540">
        <v>10.8</v>
      </c>
      <c r="I260" s="540">
        <v>11.21</v>
      </c>
      <c r="J260" s="32">
        <v>64</v>
      </c>
      <c r="K260" s="32" t="s">
        <v>102</v>
      </c>
      <c r="L260" s="32"/>
      <c r="M260" s="33" t="s">
        <v>104</v>
      </c>
      <c r="N260" s="33"/>
      <c r="O260" s="32">
        <v>55</v>
      </c>
      <c r="P260" s="7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48"/>
      <c r="R260" s="548"/>
      <c r="S260" s="548"/>
      <c r="T260" s="549"/>
      <c r="U260" s="34"/>
      <c r="V260" s="34"/>
      <c r="W260" s="35" t="s">
        <v>69</v>
      </c>
      <c r="X260" s="541">
        <v>0</v>
      </c>
      <c r="Y260" s="542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customHeight="1" x14ac:dyDescent="0.25">
      <c r="A261" s="54" t="s">
        <v>421</v>
      </c>
      <c r="B261" s="54" t="s">
        <v>422</v>
      </c>
      <c r="C261" s="31">
        <v>4301011853</v>
      </c>
      <c r="D261" s="545">
        <v>4680115885851</v>
      </c>
      <c r="E261" s="546"/>
      <c r="F261" s="540">
        <v>1.35</v>
      </c>
      <c r="G261" s="32">
        <v>8</v>
      </c>
      <c r="H261" s="540">
        <v>10.8</v>
      </c>
      <c r="I261" s="540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3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48"/>
      <c r="R261" s="548"/>
      <c r="S261" s="548"/>
      <c r="T261" s="549"/>
      <c r="U261" s="34"/>
      <c r="V261" s="34"/>
      <c r="W261" s="35" t="s">
        <v>69</v>
      </c>
      <c r="X261" s="541">
        <v>0</v>
      </c>
      <c r="Y261" s="5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424</v>
      </c>
      <c r="B262" s="54" t="s">
        <v>425</v>
      </c>
      <c r="C262" s="31">
        <v>4301011850</v>
      </c>
      <c r="D262" s="545">
        <v>4680115885806</v>
      </c>
      <c r="E262" s="546"/>
      <c r="F262" s="540">
        <v>1.35</v>
      </c>
      <c r="G262" s="32">
        <v>8</v>
      </c>
      <c r="H262" s="540">
        <v>10.8</v>
      </c>
      <c r="I262" s="540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48"/>
      <c r="R262" s="548"/>
      <c r="S262" s="548"/>
      <c r="T262" s="549"/>
      <c r="U262" s="34"/>
      <c r="V262" s="34"/>
      <c r="W262" s="35" t="s">
        <v>69</v>
      </c>
      <c r="X262" s="541">
        <v>0</v>
      </c>
      <c r="Y262" s="54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4301011852</v>
      </c>
      <c r="D263" s="545">
        <v>4680115885844</v>
      </c>
      <c r="E263" s="546"/>
      <c r="F263" s="540">
        <v>0.4</v>
      </c>
      <c r="G263" s="32">
        <v>10</v>
      </c>
      <c r="H263" s="540">
        <v>4</v>
      </c>
      <c r="I263" s="540">
        <v>4.1900000000000004</v>
      </c>
      <c r="J263" s="32">
        <v>132</v>
      </c>
      <c r="K263" s="32" t="s">
        <v>109</v>
      </c>
      <c r="L263" s="32"/>
      <c r="M263" s="33" t="s">
        <v>104</v>
      </c>
      <c r="N263" s="33"/>
      <c r="O263" s="32">
        <v>55</v>
      </c>
      <c r="P263" s="8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430</v>
      </c>
      <c r="B264" s="54" t="s">
        <v>431</v>
      </c>
      <c r="C264" s="31">
        <v>4301011851</v>
      </c>
      <c r="D264" s="545">
        <v>4680115885820</v>
      </c>
      <c r="E264" s="546"/>
      <c r="F264" s="540">
        <v>0.4</v>
      </c>
      <c r="G264" s="32">
        <v>10</v>
      </c>
      <c r="H264" s="540">
        <v>4</v>
      </c>
      <c r="I264" s="540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561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62"/>
      <c r="P265" s="552" t="s">
        <v>75</v>
      </c>
      <c r="Q265" s="553"/>
      <c r="R265" s="553"/>
      <c r="S265" s="553"/>
      <c r="T265" s="553"/>
      <c r="U265" s="553"/>
      <c r="V265" s="554"/>
      <c r="W265" s="37" t="s">
        <v>76</v>
      </c>
      <c r="X265" s="543">
        <f>IFERROR(X260/H260,"0")+IFERROR(X261/H261,"0")+IFERROR(X262/H262,"0")+IFERROR(X263/H263,"0")+IFERROR(X264/H264,"0")</f>
        <v>0</v>
      </c>
      <c r="Y265" s="543">
        <f>IFERROR(Y260/H260,"0")+IFERROR(Y261/H261,"0")+IFERROR(Y262/H262,"0")+IFERROR(Y263/H263,"0")+IFERROR(Y264/H264,"0")</f>
        <v>0</v>
      </c>
      <c r="Z265" s="543">
        <f>IFERROR(IF(Z260="",0,Z260),"0")+IFERROR(IF(Z261="",0,Z261),"0")+IFERROR(IF(Z262="",0,Z262),"0")+IFERROR(IF(Z263="",0,Z263),"0")+IFERROR(IF(Z264="",0,Z264),"0")</f>
        <v>0</v>
      </c>
      <c r="AA265" s="544"/>
      <c r="AB265" s="544"/>
      <c r="AC265" s="544"/>
    </row>
    <row r="266" spans="1:68" x14ac:dyDescent="0.2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62"/>
      <c r="P266" s="552" t="s">
        <v>75</v>
      </c>
      <c r="Q266" s="553"/>
      <c r="R266" s="553"/>
      <c r="S266" s="553"/>
      <c r="T266" s="553"/>
      <c r="U266" s="553"/>
      <c r="V266" s="554"/>
      <c r="W266" s="37" t="s">
        <v>69</v>
      </c>
      <c r="X266" s="543">
        <f>IFERROR(SUM(X260:X264),"0")</f>
        <v>0</v>
      </c>
      <c r="Y266" s="543">
        <f>IFERROR(SUM(Y260:Y264),"0")</f>
        <v>0</v>
      </c>
      <c r="Z266" s="37"/>
      <c r="AA266" s="544"/>
      <c r="AB266" s="544"/>
      <c r="AC266" s="544"/>
    </row>
    <row r="267" spans="1:68" ht="16.5" customHeight="1" x14ac:dyDescent="0.25">
      <c r="A267" s="559" t="s">
        <v>433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36"/>
      <c r="AB267" s="536"/>
      <c r="AC267" s="536"/>
    </row>
    <row r="268" spans="1:68" ht="14.25" customHeight="1" x14ac:dyDescent="0.25">
      <c r="A268" s="555" t="s">
        <v>99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37"/>
      <c r="AB268" s="537"/>
      <c r="AC268" s="537"/>
    </row>
    <row r="269" spans="1:68" ht="27" customHeight="1" x14ac:dyDescent="0.25">
      <c r="A269" s="54" t="s">
        <v>434</v>
      </c>
      <c r="B269" s="54" t="s">
        <v>435</v>
      </c>
      <c r="C269" s="31">
        <v>4301011223</v>
      </c>
      <c r="D269" s="545">
        <v>4607091383423</v>
      </c>
      <c r="E269" s="546"/>
      <c r="F269" s="540">
        <v>1.35</v>
      </c>
      <c r="G269" s="32">
        <v>8</v>
      </c>
      <c r="H269" s="540">
        <v>10.8</v>
      </c>
      <c r="I269" s="540">
        <v>11.305999999999999</v>
      </c>
      <c r="J269" s="32">
        <v>64</v>
      </c>
      <c r="K269" s="32" t="s">
        <v>102</v>
      </c>
      <c r="L269" s="32"/>
      <c r="M269" s="33" t="s">
        <v>80</v>
      </c>
      <c r="N269" s="33"/>
      <c r="O269" s="32">
        <v>35</v>
      </c>
      <c r="P269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48"/>
      <c r="R269" s="548"/>
      <c r="S269" s="548"/>
      <c r="T269" s="549"/>
      <c r="U269" s="34"/>
      <c r="V269" s="34"/>
      <c r="W269" s="35" t="s">
        <v>69</v>
      </c>
      <c r="X269" s="541">
        <v>0</v>
      </c>
      <c r="Y269" s="542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105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customHeight="1" x14ac:dyDescent="0.25">
      <c r="A270" s="54" t="s">
        <v>436</v>
      </c>
      <c r="B270" s="54" t="s">
        <v>437</v>
      </c>
      <c r="C270" s="31">
        <v>4301012199</v>
      </c>
      <c r="D270" s="545">
        <v>4680115886957</v>
      </c>
      <c r="E270" s="546"/>
      <c r="F270" s="540">
        <v>1.35</v>
      </c>
      <c r="G270" s="32">
        <v>8</v>
      </c>
      <c r="H270" s="540">
        <v>10.8</v>
      </c>
      <c r="I270" s="540">
        <v>11.21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30</v>
      </c>
      <c r="P270" s="80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48"/>
      <c r="R270" s="548"/>
      <c r="S270" s="548"/>
      <c r="T270" s="549"/>
      <c r="U270" s="34"/>
      <c r="V270" s="34"/>
      <c r="W270" s="35" t="s">
        <v>69</v>
      </c>
      <c r="X270" s="541">
        <v>0</v>
      </c>
      <c r="Y270" s="5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customHeight="1" x14ac:dyDescent="0.25">
      <c r="A271" s="54" t="s">
        <v>439</v>
      </c>
      <c r="B271" s="54" t="s">
        <v>440</v>
      </c>
      <c r="C271" s="31">
        <v>4301012098</v>
      </c>
      <c r="D271" s="545">
        <v>4680115885660</v>
      </c>
      <c r="E271" s="546"/>
      <c r="F271" s="540">
        <v>1.35</v>
      </c>
      <c r="G271" s="32">
        <v>8</v>
      </c>
      <c r="H271" s="540">
        <v>10.8</v>
      </c>
      <c r="I271" s="540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441</v>
      </c>
      <c r="B272" s="54" t="s">
        <v>442</v>
      </c>
      <c r="C272" s="31">
        <v>4301012176</v>
      </c>
      <c r="D272" s="545">
        <v>4680115886773</v>
      </c>
      <c r="E272" s="546"/>
      <c r="F272" s="540">
        <v>0.9</v>
      </c>
      <c r="G272" s="32">
        <v>10</v>
      </c>
      <c r="H272" s="540">
        <v>9</v>
      </c>
      <c r="I272" s="540">
        <v>9.41</v>
      </c>
      <c r="J272" s="32">
        <v>64</v>
      </c>
      <c r="K272" s="32" t="s">
        <v>102</v>
      </c>
      <c r="L272" s="32"/>
      <c r="M272" s="33" t="s">
        <v>104</v>
      </c>
      <c r="N272" s="33"/>
      <c r="O272" s="32">
        <v>31</v>
      </c>
      <c r="P272" s="6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561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62"/>
      <c r="P273" s="552" t="s">
        <v>75</v>
      </c>
      <c r="Q273" s="553"/>
      <c r="R273" s="553"/>
      <c r="S273" s="553"/>
      <c r="T273" s="553"/>
      <c r="U273" s="553"/>
      <c r="V273" s="554"/>
      <c r="W273" s="37" t="s">
        <v>76</v>
      </c>
      <c r="X273" s="543">
        <f>IFERROR(X269/H269,"0")+IFERROR(X270/H270,"0")+IFERROR(X271/H271,"0")+IFERROR(X272/H272,"0")</f>
        <v>0</v>
      </c>
      <c r="Y273" s="543">
        <f>IFERROR(Y269/H269,"0")+IFERROR(Y270/H270,"0")+IFERROR(Y271/H271,"0")+IFERROR(Y272/H272,"0")</f>
        <v>0</v>
      </c>
      <c r="Z273" s="543">
        <f>IFERROR(IF(Z269="",0,Z269),"0")+IFERROR(IF(Z270="",0,Z270),"0")+IFERROR(IF(Z271="",0,Z271),"0")+IFERROR(IF(Z272="",0,Z272),"0")</f>
        <v>0</v>
      </c>
      <c r="AA273" s="544"/>
      <c r="AB273" s="544"/>
      <c r="AC273" s="544"/>
    </row>
    <row r="274" spans="1:68" x14ac:dyDescent="0.2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62"/>
      <c r="P274" s="552" t="s">
        <v>75</v>
      </c>
      <c r="Q274" s="553"/>
      <c r="R274" s="553"/>
      <c r="S274" s="553"/>
      <c r="T274" s="553"/>
      <c r="U274" s="553"/>
      <c r="V274" s="554"/>
      <c r="W274" s="37" t="s">
        <v>69</v>
      </c>
      <c r="X274" s="543">
        <f>IFERROR(SUM(X269:X272),"0")</f>
        <v>0</v>
      </c>
      <c r="Y274" s="543">
        <f>IFERROR(SUM(Y269:Y272),"0")</f>
        <v>0</v>
      </c>
      <c r="Z274" s="37"/>
      <c r="AA274" s="544"/>
      <c r="AB274" s="544"/>
      <c r="AC274" s="544"/>
    </row>
    <row r="275" spans="1:68" ht="16.5" customHeight="1" x14ac:dyDescent="0.25">
      <c r="A275" s="559" t="s">
        <v>444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36"/>
      <c r="AB275" s="536"/>
      <c r="AC275" s="536"/>
    </row>
    <row r="276" spans="1:68" ht="14.25" customHeight="1" x14ac:dyDescent="0.25">
      <c r="A276" s="555" t="s">
        <v>77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7"/>
      <c r="AB276" s="537"/>
      <c r="AC276" s="537"/>
    </row>
    <row r="277" spans="1:68" ht="27" customHeight="1" x14ac:dyDescent="0.25">
      <c r="A277" s="54" t="s">
        <v>445</v>
      </c>
      <c r="B277" s="54" t="s">
        <v>446</v>
      </c>
      <c r="C277" s="31">
        <v>4301051893</v>
      </c>
      <c r="D277" s="545">
        <v>4680115886186</v>
      </c>
      <c r="E277" s="546"/>
      <c r="F277" s="540">
        <v>0.3</v>
      </c>
      <c r="G277" s="32">
        <v>6</v>
      </c>
      <c r="H277" s="540">
        <v>1.8</v>
      </c>
      <c r="I277" s="540">
        <v>1.98</v>
      </c>
      <c r="J277" s="32">
        <v>182</v>
      </c>
      <c r="K277" s="32" t="s">
        <v>67</v>
      </c>
      <c r="L277" s="32"/>
      <c r="M277" s="33" t="s">
        <v>80</v>
      </c>
      <c r="N277" s="33"/>
      <c r="O277" s="32">
        <v>45</v>
      </c>
      <c r="P277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48"/>
      <c r="R277" s="548"/>
      <c r="S277" s="548"/>
      <c r="T277" s="549"/>
      <c r="U277" s="34"/>
      <c r="V277" s="34"/>
      <c r="W277" s="35" t="s">
        <v>69</v>
      </c>
      <c r="X277" s="541">
        <v>0</v>
      </c>
      <c r="Y277" s="542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4301051795</v>
      </c>
      <c r="D278" s="545">
        <v>4680115881228</v>
      </c>
      <c r="E278" s="546"/>
      <c r="F278" s="540">
        <v>0.4</v>
      </c>
      <c r="G278" s="32">
        <v>6</v>
      </c>
      <c r="H278" s="540">
        <v>2.4</v>
      </c>
      <c r="I278" s="540">
        <v>2.6520000000000001</v>
      </c>
      <c r="J278" s="32">
        <v>182</v>
      </c>
      <c r="K278" s="32" t="s">
        <v>67</v>
      </c>
      <c r="L278" s="32" t="s">
        <v>217</v>
      </c>
      <c r="M278" s="33" t="s">
        <v>86</v>
      </c>
      <c r="N278" s="33"/>
      <c r="O278" s="32">
        <v>40</v>
      </c>
      <c r="P278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106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4301051388</v>
      </c>
      <c r="D279" s="545">
        <v>4680115881211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140</v>
      </c>
      <c r="Y279" s="542">
        <f>IFERROR(IF(X279="",0,CEILING((X279/$H279),1)*$H279),"")</f>
        <v>141.6</v>
      </c>
      <c r="Z279" s="36">
        <f>IFERROR(IF(Y279=0,"",ROUNDUP(Y279/H279,0)*0.00651),"")</f>
        <v>0.38408999999999999</v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150.5</v>
      </c>
      <c r="BN279" s="64">
        <f>IFERROR(Y279*I279/H279,"0")</f>
        <v>152.22</v>
      </c>
      <c r="BO279" s="64">
        <f>IFERROR(1/J279*(X279/H279),"0")</f>
        <v>0.32051282051282054</v>
      </c>
      <c r="BP279" s="64">
        <f>IFERROR(1/J279*(Y279/H279),"0")</f>
        <v>0.32417582417582419</v>
      </c>
    </row>
    <row r="280" spans="1:68" x14ac:dyDescent="0.2">
      <c r="A280" s="561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62"/>
      <c r="P280" s="552" t="s">
        <v>75</v>
      </c>
      <c r="Q280" s="553"/>
      <c r="R280" s="553"/>
      <c r="S280" s="553"/>
      <c r="T280" s="553"/>
      <c r="U280" s="553"/>
      <c r="V280" s="554"/>
      <c r="W280" s="37" t="s">
        <v>76</v>
      </c>
      <c r="X280" s="543">
        <f>IFERROR(X277/H277,"0")+IFERROR(X278/H278,"0")+IFERROR(X279/H279,"0")</f>
        <v>58.333333333333336</v>
      </c>
      <c r="Y280" s="543">
        <f>IFERROR(Y277/H277,"0")+IFERROR(Y278/H278,"0")+IFERROR(Y279/H279,"0")</f>
        <v>59</v>
      </c>
      <c r="Z280" s="543">
        <f>IFERROR(IF(Z277="",0,Z277),"0")+IFERROR(IF(Z278="",0,Z278),"0")+IFERROR(IF(Z279="",0,Z279),"0")</f>
        <v>0.38408999999999999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2"/>
      <c r="P281" s="552" t="s">
        <v>75</v>
      </c>
      <c r="Q281" s="553"/>
      <c r="R281" s="553"/>
      <c r="S281" s="553"/>
      <c r="T281" s="553"/>
      <c r="U281" s="553"/>
      <c r="V281" s="554"/>
      <c r="W281" s="37" t="s">
        <v>69</v>
      </c>
      <c r="X281" s="543">
        <f>IFERROR(SUM(X277:X279),"0")</f>
        <v>140</v>
      </c>
      <c r="Y281" s="543">
        <f>IFERROR(SUM(Y277:Y279),"0")</f>
        <v>141.6</v>
      </c>
      <c r="Z281" s="37"/>
      <c r="AA281" s="544"/>
      <c r="AB281" s="544"/>
      <c r="AC281" s="544"/>
    </row>
    <row r="282" spans="1:68" ht="16.5" customHeight="1" x14ac:dyDescent="0.25">
      <c r="A282" s="559" t="s">
        <v>453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6"/>
      <c r="AB282" s="536"/>
      <c r="AC282" s="536"/>
    </row>
    <row r="283" spans="1:68" ht="14.25" customHeight="1" x14ac:dyDescent="0.25">
      <c r="A283" s="555" t="s">
        <v>64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7"/>
      <c r="AB283" s="537"/>
      <c r="AC283" s="537"/>
    </row>
    <row r="284" spans="1:68" ht="27" customHeight="1" x14ac:dyDescent="0.25">
      <c r="A284" s="54" t="s">
        <v>454</v>
      </c>
      <c r="B284" s="54" t="s">
        <v>455</v>
      </c>
      <c r="C284" s="31">
        <v>4301031307</v>
      </c>
      <c r="D284" s="545">
        <v>4680115880344</v>
      </c>
      <c r="E284" s="546"/>
      <c r="F284" s="540">
        <v>0.28000000000000003</v>
      </c>
      <c r="G284" s="32">
        <v>6</v>
      </c>
      <c r="H284" s="540">
        <v>1.68</v>
      </c>
      <c r="I284" s="540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6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457</v>
      </c>
      <c r="B285" s="54" t="s">
        <v>458</v>
      </c>
      <c r="C285" s="31">
        <v>4301031429</v>
      </c>
      <c r="D285" s="545">
        <v>4680115886919</v>
      </c>
      <c r="E285" s="546"/>
      <c r="F285" s="540">
        <v>0.4</v>
      </c>
      <c r="G285" s="32">
        <v>6</v>
      </c>
      <c r="H285" s="540">
        <v>2.4</v>
      </c>
      <c r="I285" s="540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0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1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2"/>
      <c r="P286" s="552" t="s">
        <v>75</v>
      </c>
      <c r="Q286" s="553"/>
      <c r="R286" s="553"/>
      <c r="S286" s="553"/>
      <c r="T286" s="553"/>
      <c r="U286" s="553"/>
      <c r="V286" s="554"/>
      <c r="W286" s="37" t="s">
        <v>76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2"/>
      <c r="P287" s="552" t="s">
        <v>75</v>
      </c>
      <c r="Q287" s="553"/>
      <c r="R287" s="553"/>
      <c r="S287" s="553"/>
      <c r="T287" s="553"/>
      <c r="U287" s="553"/>
      <c r="V287" s="55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4.25" customHeight="1" x14ac:dyDescent="0.25">
      <c r="A288" s="555" t="s">
        <v>77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7"/>
      <c r="AB288" s="537"/>
      <c r="AC288" s="537"/>
    </row>
    <row r="289" spans="1:68" ht="37.5" customHeight="1" x14ac:dyDescent="0.25">
      <c r="A289" s="54" t="s">
        <v>460</v>
      </c>
      <c r="B289" s="54" t="s">
        <v>461</v>
      </c>
      <c r="C289" s="31">
        <v>4301051782</v>
      </c>
      <c r="D289" s="545">
        <v>4680115884618</v>
      </c>
      <c r="E289" s="546"/>
      <c r="F289" s="540">
        <v>0.6</v>
      </c>
      <c r="G289" s="32">
        <v>6</v>
      </c>
      <c r="H289" s="540">
        <v>3.6</v>
      </c>
      <c r="I289" s="540">
        <v>3.79</v>
      </c>
      <c r="J289" s="32">
        <v>132</v>
      </c>
      <c r="K289" s="32" t="s">
        <v>109</v>
      </c>
      <c r="L289" s="32"/>
      <c r="M289" s="33" t="s">
        <v>80</v>
      </c>
      <c r="N289" s="33"/>
      <c r="O289" s="32">
        <v>45</v>
      </c>
      <c r="P289" s="6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463</v>
      </c>
      <c r="B290" s="54" t="s">
        <v>464</v>
      </c>
      <c r="C290" s="31">
        <v>4301052057</v>
      </c>
      <c r="D290" s="545">
        <v>4680115887114</v>
      </c>
      <c r="E290" s="546"/>
      <c r="F290" s="540">
        <v>0.55000000000000004</v>
      </c>
      <c r="G290" s="32">
        <v>6</v>
      </c>
      <c r="H290" s="540">
        <v>3.3</v>
      </c>
      <c r="I290" s="540">
        <v>3.49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561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62"/>
      <c r="P291" s="552" t="s">
        <v>75</v>
      </c>
      <c r="Q291" s="553"/>
      <c r="R291" s="553"/>
      <c r="S291" s="553"/>
      <c r="T291" s="553"/>
      <c r="U291" s="553"/>
      <c r="V291" s="554"/>
      <c r="W291" s="37" t="s">
        <v>76</v>
      </c>
      <c r="X291" s="543">
        <f>IFERROR(X289/H289,"0")+IFERROR(X290/H290,"0")</f>
        <v>0</v>
      </c>
      <c r="Y291" s="543">
        <f>IFERROR(Y289/H289,"0")+IFERROR(Y290/H290,"0")</f>
        <v>0</v>
      </c>
      <c r="Z291" s="543">
        <f>IFERROR(IF(Z289="",0,Z289),"0")+IFERROR(IF(Z290="",0,Z290),"0")</f>
        <v>0</v>
      </c>
      <c r="AA291" s="544"/>
      <c r="AB291" s="544"/>
      <c r="AC291" s="544"/>
    </row>
    <row r="292" spans="1:68" x14ac:dyDescent="0.2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62"/>
      <c r="P292" s="552" t="s">
        <v>75</v>
      </c>
      <c r="Q292" s="553"/>
      <c r="R292" s="553"/>
      <c r="S292" s="553"/>
      <c r="T292" s="553"/>
      <c r="U292" s="553"/>
      <c r="V292" s="554"/>
      <c r="W292" s="37" t="s">
        <v>69</v>
      </c>
      <c r="X292" s="543">
        <f>IFERROR(SUM(X289:X290),"0")</f>
        <v>0</v>
      </c>
      <c r="Y292" s="543">
        <f>IFERROR(SUM(Y289:Y290),"0")</f>
        <v>0</v>
      </c>
      <c r="Z292" s="37"/>
      <c r="AA292" s="544"/>
      <c r="AB292" s="544"/>
      <c r="AC292" s="544"/>
    </row>
    <row r="293" spans="1:68" ht="16.5" customHeight="1" x14ac:dyDescent="0.25">
      <c r="A293" s="559" t="s">
        <v>466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36"/>
      <c r="AB293" s="536"/>
      <c r="AC293" s="536"/>
    </row>
    <row r="294" spans="1:68" ht="14.25" customHeight="1" x14ac:dyDescent="0.25">
      <c r="A294" s="555" t="s">
        <v>99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37"/>
      <c r="AB294" s="537"/>
      <c r="AC294" s="537"/>
    </row>
    <row r="295" spans="1:68" ht="27" customHeight="1" x14ac:dyDescent="0.25">
      <c r="A295" s="54" t="s">
        <v>467</v>
      </c>
      <c r="B295" s="54" t="s">
        <v>468</v>
      </c>
      <c r="C295" s="31">
        <v>4301012024</v>
      </c>
      <c r="D295" s="545">
        <v>4680115885615</v>
      </c>
      <c r="E295" s="546"/>
      <c r="F295" s="540">
        <v>1.35</v>
      </c>
      <c r="G295" s="32">
        <v>8</v>
      </c>
      <c r="H295" s="540">
        <v>10.8</v>
      </c>
      <c r="I295" s="540">
        <v>11.21</v>
      </c>
      <c r="J295" s="32">
        <v>64</v>
      </c>
      <c r="K295" s="32" t="s">
        <v>102</v>
      </c>
      <c r="L295" s="32"/>
      <c r="M295" s="33" t="s">
        <v>80</v>
      </c>
      <c r="N295" s="33"/>
      <c r="O295" s="32">
        <v>55</v>
      </c>
      <c r="P295" s="7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1">
        <v>0</v>
      </c>
      <c r="Y295" s="542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37.5" customHeight="1" x14ac:dyDescent="0.25">
      <c r="A296" s="54" t="s">
        <v>470</v>
      </c>
      <c r="B296" s="54" t="s">
        <v>471</v>
      </c>
      <c r="C296" s="31">
        <v>4301011858</v>
      </c>
      <c r="D296" s="545">
        <v>4680115885646</v>
      </c>
      <c r="E296" s="546"/>
      <c r="F296" s="540">
        <v>1.35</v>
      </c>
      <c r="G296" s="32">
        <v>8</v>
      </c>
      <c r="H296" s="540">
        <v>10.8</v>
      </c>
      <c r="I296" s="540">
        <v>11.21</v>
      </c>
      <c r="J296" s="32">
        <v>64</v>
      </c>
      <c r="K296" s="32" t="s">
        <v>102</v>
      </c>
      <c r="L296" s="32"/>
      <c r="M296" s="33" t="s">
        <v>104</v>
      </c>
      <c r="N296" s="33"/>
      <c r="O296" s="32">
        <v>55</v>
      </c>
      <c r="P296" s="71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48"/>
      <c r="R296" s="548"/>
      <c r="S296" s="548"/>
      <c r="T296" s="549"/>
      <c r="U296" s="34"/>
      <c r="V296" s="34"/>
      <c r="W296" s="35" t="s">
        <v>69</v>
      </c>
      <c r="X296" s="541">
        <v>0</v>
      </c>
      <c r="Y296" s="542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4301012016</v>
      </c>
      <c r="D297" s="545">
        <v>4680115885554</v>
      </c>
      <c r="E297" s="546"/>
      <c r="F297" s="540">
        <v>1.35</v>
      </c>
      <c r="G297" s="32">
        <v>8</v>
      </c>
      <c r="H297" s="540">
        <v>10.8</v>
      </c>
      <c r="I297" s="540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4301011857</v>
      </c>
      <c r="D298" s="545">
        <v>4680115885622</v>
      </c>
      <c r="E298" s="546"/>
      <c r="F298" s="540">
        <v>0.4</v>
      </c>
      <c r="G298" s="32">
        <v>10</v>
      </c>
      <c r="H298" s="540">
        <v>4</v>
      </c>
      <c r="I298" s="540">
        <v>4.1900000000000004</v>
      </c>
      <c r="J298" s="32">
        <v>132</v>
      </c>
      <c r="K298" s="32" t="s">
        <v>109</v>
      </c>
      <c r="L298" s="32"/>
      <c r="M298" s="33" t="s">
        <v>104</v>
      </c>
      <c r="N298" s="33"/>
      <c r="O298" s="32">
        <v>55</v>
      </c>
      <c r="P298" s="81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469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478</v>
      </c>
      <c r="B299" s="54" t="s">
        <v>479</v>
      </c>
      <c r="C299" s="31">
        <v>4301011859</v>
      </c>
      <c r="D299" s="545">
        <v>4680115885608</v>
      </c>
      <c r="E299" s="546"/>
      <c r="F299" s="540">
        <v>0.4</v>
      </c>
      <c r="G299" s="32">
        <v>10</v>
      </c>
      <c r="H299" s="540">
        <v>4</v>
      </c>
      <c r="I299" s="540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3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561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62"/>
      <c r="P300" s="552" t="s">
        <v>75</v>
      </c>
      <c r="Q300" s="553"/>
      <c r="R300" s="553"/>
      <c r="S300" s="553"/>
      <c r="T300" s="553"/>
      <c r="U300" s="553"/>
      <c r="V300" s="554"/>
      <c r="W300" s="37" t="s">
        <v>76</v>
      </c>
      <c r="X300" s="543">
        <f>IFERROR(X295/H295,"0")+IFERROR(X296/H296,"0")+IFERROR(X297/H297,"0")+IFERROR(X298/H298,"0")+IFERROR(X299/H299,"0")</f>
        <v>0</v>
      </c>
      <c r="Y300" s="543">
        <f>IFERROR(Y295/H295,"0")+IFERROR(Y296/H296,"0")+IFERROR(Y297/H297,"0")+IFERROR(Y298/H298,"0")+IFERROR(Y299/H299,"0")</f>
        <v>0</v>
      </c>
      <c r="Z300" s="543">
        <f>IFERROR(IF(Z295="",0,Z295),"0")+IFERROR(IF(Z296="",0,Z296),"0")+IFERROR(IF(Z297="",0,Z297),"0")+IFERROR(IF(Z298="",0,Z298),"0")+IFERROR(IF(Z299="",0,Z299),"0")</f>
        <v>0</v>
      </c>
      <c r="AA300" s="544"/>
      <c r="AB300" s="544"/>
      <c r="AC300" s="544"/>
    </row>
    <row r="301" spans="1:68" x14ac:dyDescent="0.2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62"/>
      <c r="P301" s="552" t="s">
        <v>75</v>
      </c>
      <c r="Q301" s="553"/>
      <c r="R301" s="553"/>
      <c r="S301" s="553"/>
      <c r="T301" s="553"/>
      <c r="U301" s="553"/>
      <c r="V301" s="554"/>
      <c r="W301" s="37" t="s">
        <v>69</v>
      </c>
      <c r="X301" s="543">
        <f>IFERROR(SUM(X295:X299),"0")</f>
        <v>0</v>
      </c>
      <c r="Y301" s="543">
        <f>IFERROR(SUM(Y295:Y299),"0")</f>
        <v>0</v>
      </c>
      <c r="Z301" s="37"/>
      <c r="AA301" s="544"/>
      <c r="AB301" s="544"/>
      <c r="AC301" s="544"/>
    </row>
    <row r="302" spans="1:68" ht="14.25" customHeight="1" x14ac:dyDescent="0.25">
      <c r="A302" s="555" t="s">
        <v>64</v>
      </c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37"/>
      <c r="AB302" s="537"/>
      <c r="AC302" s="537"/>
    </row>
    <row r="303" spans="1:68" ht="27" customHeight="1" x14ac:dyDescent="0.25">
      <c r="A303" s="54" t="s">
        <v>481</v>
      </c>
      <c r="B303" s="54" t="s">
        <v>482</v>
      </c>
      <c r="C303" s="31">
        <v>4301030878</v>
      </c>
      <c r="D303" s="545">
        <v>4607091387193</v>
      </c>
      <c r="E303" s="546"/>
      <c r="F303" s="540">
        <v>0.7</v>
      </c>
      <c r="G303" s="32">
        <v>6</v>
      </c>
      <c r="H303" s="540">
        <v>4.2</v>
      </c>
      <c r="I303" s="540">
        <v>4.45</v>
      </c>
      <c r="J303" s="32">
        <v>132</v>
      </c>
      <c r="K303" s="32" t="s">
        <v>109</v>
      </c>
      <c r="L303" s="32"/>
      <c r="M303" s="33" t="s">
        <v>68</v>
      </c>
      <c r="N303" s="33"/>
      <c r="O303" s="32">
        <v>35</v>
      </c>
      <c r="P303" s="6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ref="Y303:Y308" si="26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483</v>
      </c>
      <c r="AG303" s="64"/>
      <c r="AJ303" s="68"/>
      <c r="AK303" s="68">
        <v>0</v>
      </c>
      <c r="BB303" s="354" t="s">
        <v>1</v>
      </c>
      <c r="BM303" s="64">
        <f t="shared" ref="BM303:BM308" si="27">IFERROR(X303*I303/H303,"0")</f>
        <v>0</v>
      </c>
      <c r="BN303" s="64">
        <f t="shared" ref="BN303:BN308" si="28">IFERROR(Y303*I303/H303,"0")</f>
        <v>0</v>
      </c>
      <c r="BO303" s="64">
        <f t="shared" ref="BO303:BO308" si="29">IFERROR(1/J303*(X303/H303),"0")</f>
        <v>0</v>
      </c>
      <c r="BP303" s="64">
        <f t="shared" ref="BP303:BP308" si="30">IFERROR(1/J303*(Y303/H303),"0")</f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4301031153</v>
      </c>
      <c r="D304" s="545">
        <v>4607091387230</v>
      </c>
      <c r="E304" s="546"/>
      <c r="F304" s="540">
        <v>0.7</v>
      </c>
      <c r="G304" s="32">
        <v>6</v>
      </c>
      <c r="H304" s="540">
        <v>4.2</v>
      </c>
      <c r="I304" s="540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4301031154</v>
      </c>
      <c r="D305" s="545">
        <v>4607091387292</v>
      </c>
      <c r="E305" s="546"/>
      <c r="F305" s="540">
        <v>0.73</v>
      </c>
      <c r="G305" s="32">
        <v>6</v>
      </c>
      <c r="H305" s="540">
        <v>4.38</v>
      </c>
      <c r="I305" s="540">
        <v>4.63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45</v>
      </c>
      <c r="P305" s="6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1">
        <v>0</v>
      </c>
      <c r="Y305" s="542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4301031152</v>
      </c>
      <c r="D306" s="545">
        <v>4607091387285</v>
      </c>
      <c r="E306" s="546"/>
      <c r="F306" s="540">
        <v>0.35</v>
      </c>
      <c r="G306" s="32">
        <v>6</v>
      </c>
      <c r="H306" s="540">
        <v>2.1</v>
      </c>
      <c r="I306" s="540">
        <v>2.23</v>
      </c>
      <c r="J306" s="32">
        <v>234</v>
      </c>
      <c r="K306" s="32" t="s">
        <v>73</v>
      </c>
      <c r="L306" s="32" t="s">
        <v>279</v>
      </c>
      <c r="M306" s="33" t="s">
        <v>68</v>
      </c>
      <c r="N306" s="33"/>
      <c r="O306" s="32">
        <v>40</v>
      </c>
      <c r="P306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48"/>
      <c r="R306" s="548"/>
      <c r="S306" s="548"/>
      <c r="T306" s="549"/>
      <c r="U306" s="34"/>
      <c r="V306" s="34"/>
      <c r="W306" s="35" t="s">
        <v>69</v>
      </c>
      <c r="X306" s="541">
        <v>0</v>
      </c>
      <c r="Y306" s="542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486</v>
      </c>
      <c r="AG306" s="64"/>
      <c r="AJ306" s="68" t="s">
        <v>106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4301031305</v>
      </c>
      <c r="D307" s="545">
        <v>4607091389845</v>
      </c>
      <c r="E307" s="546"/>
      <c r="F307" s="540">
        <v>0.35</v>
      </c>
      <c r="G307" s="32">
        <v>6</v>
      </c>
      <c r="H307" s="540">
        <v>2.1</v>
      </c>
      <c r="I307" s="540">
        <v>2.2000000000000002</v>
      </c>
      <c r="J307" s="32">
        <v>234</v>
      </c>
      <c r="K307" s="32" t="s">
        <v>73</v>
      </c>
      <c r="L307" s="32" t="s">
        <v>279</v>
      </c>
      <c r="M307" s="33" t="s">
        <v>68</v>
      </c>
      <c r="N307" s="33"/>
      <c r="O307" s="32">
        <v>40</v>
      </c>
      <c r="P307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210</v>
      </c>
      <c r="Y307" s="542">
        <f t="shared" si="26"/>
        <v>210</v>
      </c>
      <c r="Z307" s="36">
        <f>IFERROR(IF(Y307=0,"",ROUNDUP(Y307/H307,0)*0.00502),"")</f>
        <v>0.502</v>
      </c>
      <c r="AA307" s="56"/>
      <c r="AB307" s="57"/>
      <c r="AC307" s="361" t="s">
        <v>494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220.00000000000003</v>
      </c>
      <c r="BN307" s="64">
        <f t="shared" si="28"/>
        <v>220.00000000000003</v>
      </c>
      <c r="BO307" s="64">
        <f t="shared" si="29"/>
        <v>0.42735042735042739</v>
      </c>
      <c r="BP307" s="64">
        <f t="shared" si="30"/>
        <v>0.42735042735042739</v>
      </c>
    </row>
    <row r="308" spans="1:68" ht="27" customHeight="1" x14ac:dyDescent="0.25">
      <c r="A308" s="54" t="s">
        <v>495</v>
      </c>
      <c r="B308" s="54" t="s">
        <v>496</v>
      </c>
      <c r="C308" s="31">
        <v>4301031066</v>
      </c>
      <c r="D308" s="545">
        <v>4607091383836</v>
      </c>
      <c r="E308" s="546"/>
      <c r="F308" s="540">
        <v>0.3</v>
      </c>
      <c r="G308" s="32">
        <v>6</v>
      </c>
      <c r="H308" s="540">
        <v>1.8</v>
      </c>
      <c r="I308" s="540">
        <v>2.028</v>
      </c>
      <c r="J308" s="32">
        <v>182</v>
      </c>
      <c r="K308" s="32" t="s">
        <v>67</v>
      </c>
      <c r="L308" s="32" t="s">
        <v>217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24</v>
      </c>
      <c r="Y308" s="542">
        <f t="shared" si="26"/>
        <v>25.2</v>
      </c>
      <c r="Z308" s="36">
        <f>IFERROR(IF(Y308=0,"",ROUNDUP(Y308/H308,0)*0.00651),"")</f>
        <v>9.1139999999999999E-2</v>
      </c>
      <c r="AA308" s="56"/>
      <c r="AB308" s="57"/>
      <c r="AC308" s="363" t="s">
        <v>497</v>
      </c>
      <c r="AG308" s="64"/>
      <c r="AJ308" s="68" t="s">
        <v>106</v>
      </c>
      <c r="AK308" s="68">
        <v>25.2</v>
      </c>
      <c r="BB308" s="364" t="s">
        <v>1</v>
      </c>
      <c r="BM308" s="64">
        <f t="shared" si="27"/>
        <v>27.04</v>
      </c>
      <c r="BN308" s="64">
        <f t="shared" si="28"/>
        <v>28.391999999999999</v>
      </c>
      <c r="BO308" s="64">
        <f t="shared" si="29"/>
        <v>7.3260073260073263E-2</v>
      </c>
      <c r="BP308" s="64">
        <f t="shared" si="30"/>
        <v>7.6923076923076927E-2</v>
      </c>
    </row>
    <row r="309" spans="1:68" x14ac:dyDescent="0.2">
      <c r="A309" s="561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62"/>
      <c r="P309" s="552" t="s">
        <v>75</v>
      </c>
      <c r="Q309" s="553"/>
      <c r="R309" s="553"/>
      <c r="S309" s="553"/>
      <c r="T309" s="553"/>
      <c r="U309" s="553"/>
      <c r="V309" s="554"/>
      <c r="W309" s="37" t="s">
        <v>76</v>
      </c>
      <c r="X309" s="543">
        <f>IFERROR(X303/H303,"0")+IFERROR(X304/H304,"0")+IFERROR(X305/H305,"0")+IFERROR(X306/H306,"0")+IFERROR(X307/H307,"0")+IFERROR(X308/H308,"0")</f>
        <v>113.33333333333333</v>
      </c>
      <c r="Y309" s="543">
        <f>IFERROR(Y303/H303,"0")+IFERROR(Y304/H304,"0")+IFERROR(Y305/H305,"0")+IFERROR(Y306/H306,"0")+IFERROR(Y307/H307,"0")+IFERROR(Y308/H308,"0")</f>
        <v>114</v>
      </c>
      <c r="Z309" s="543">
        <f>IFERROR(IF(Z303="",0,Z303),"0")+IFERROR(IF(Z304="",0,Z304),"0")+IFERROR(IF(Z305="",0,Z305),"0")+IFERROR(IF(Z306="",0,Z306),"0")+IFERROR(IF(Z307="",0,Z307),"0")+IFERROR(IF(Z308="",0,Z308),"0")</f>
        <v>0.59314</v>
      </c>
      <c r="AA309" s="544"/>
      <c r="AB309" s="544"/>
      <c r="AC309" s="544"/>
    </row>
    <row r="310" spans="1:68" x14ac:dyDescent="0.2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62"/>
      <c r="P310" s="552" t="s">
        <v>75</v>
      </c>
      <c r="Q310" s="553"/>
      <c r="R310" s="553"/>
      <c r="S310" s="553"/>
      <c r="T310" s="553"/>
      <c r="U310" s="553"/>
      <c r="V310" s="554"/>
      <c r="W310" s="37" t="s">
        <v>69</v>
      </c>
      <c r="X310" s="543">
        <f>IFERROR(SUM(X303:X308),"0")</f>
        <v>234</v>
      </c>
      <c r="Y310" s="543">
        <f>IFERROR(SUM(Y303:Y308),"0")</f>
        <v>235.2</v>
      </c>
      <c r="Z310" s="37"/>
      <c r="AA310" s="544"/>
      <c r="AB310" s="544"/>
      <c r="AC310" s="544"/>
    </row>
    <row r="311" spans="1:68" ht="14.25" customHeight="1" x14ac:dyDescent="0.25">
      <c r="A311" s="555" t="s">
        <v>77</v>
      </c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37"/>
      <c r="AB311" s="537"/>
      <c r="AC311" s="537"/>
    </row>
    <row r="312" spans="1:68" ht="27" customHeight="1" x14ac:dyDescent="0.25">
      <c r="A312" s="54" t="s">
        <v>498</v>
      </c>
      <c r="B312" s="54" t="s">
        <v>499</v>
      </c>
      <c r="C312" s="31">
        <v>4301051100</v>
      </c>
      <c r="D312" s="545">
        <v>4607091387766</v>
      </c>
      <c r="E312" s="546"/>
      <c r="F312" s="540">
        <v>1.3</v>
      </c>
      <c r="G312" s="32">
        <v>6</v>
      </c>
      <c r="H312" s="540">
        <v>7.8</v>
      </c>
      <c r="I312" s="540">
        <v>8.2880000000000003</v>
      </c>
      <c r="J312" s="32">
        <v>64</v>
      </c>
      <c r="K312" s="32" t="s">
        <v>102</v>
      </c>
      <c r="L312" s="32"/>
      <c r="M312" s="33" t="s">
        <v>80</v>
      </c>
      <c r="N312" s="33"/>
      <c r="O312" s="32">
        <v>40</v>
      </c>
      <c r="P312" s="6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48"/>
      <c r="R312" s="548"/>
      <c r="S312" s="548"/>
      <c r="T312" s="549"/>
      <c r="U312" s="34"/>
      <c r="V312" s="34"/>
      <c r="W312" s="35" t="s">
        <v>69</v>
      </c>
      <c r="X312" s="541">
        <v>0</v>
      </c>
      <c r="Y312" s="542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500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501</v>
      </c>
      <c r="B313" s="54" t="s">
        <v>502</v>
      </c>
      <c r="C313" s="31">
        <v>4301051818</v>
      </c>
      <c r="D313" s="545">
        <v>4607091387957</v>
      </c>
      <c r="E313" s="546"/>
      <c r="F313" s="540">
        <v>1.3</v>
      </c>
      <c r="G313" s="32">
        <v>6</v>
      </c>
      <c r="H313" s="540">
        <v>7.8</v>
      </c>
      <c r="I313" s="540">
        <v>8.2940000000000005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48"/>
      <c r="R313" s="548"/>
      <c r="S313" s="548"/>
      <c r="T313" s="549"/>
      <c r="U313" s="34"/>
      <c r="V313" s="34"/>
      <c r="W313" s="35" t="s">
        <v>69</v>
      </c>
      <c r="X313" s="541">
        <v>0</v>
      </c>
      <c r="Y313" s="542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4301051819</v>
      </c>
      <c r="D314" s="545">
        <v>4607091387964</v>
      </c>
      <c r="E314" s="546"/>
      <c r="F314" s="540">
        <v>1.35</v>
      </c>
      <c r="G314" s="32">
        <v>6</v>
      </c>
      <c r="H314" s="540">
        <v>8.1</v>
      </c>
      <c r="I314" s="540">
        <v>8.5760000000000005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4301051734</v>
      </c>
      <c r="D315" s="545">
        <v>4680115884588</v>
      </c>
      <c r="E315" s="546"/>
      <c r="F315" s="540">
        <v>0.5</v>
      </c>
      <c r="G315" s="32">
        <v>6</v>
      </c>
      <c r="H315" s="540">
        <v>3</v>
      </c>
      <c r="I315" s="540">
        <v>3.246</v>
      </c>
      <c r="J315" s="32">
        <v>182</v>
      </c>
      <c r="K315" s="32" t="s">
        <v>67</v>
      </c>
      <c r="L315" s="32"/>
      <c r="M315" s="33" t="s">
        <v>80</v>
      </c>
      <c r="N315" s="33"/>
      <c r="O315" s="32">
        <v>40</v>
      </c>
      <c r="P315" s="5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1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62"/>
      <c r="P316" s="552" t="s">
        <v>75</v>
      </c>
      <c r="Q316" s="553"/>
      <c r="R316" s="553"/>
      <c r="S316" s="553"/>
      <c r="T316" s="553"/>
      <c r="U316" s="553"/>
      <c r="V316" s="554"/>
      <c r="W316" s="37" t="s">
        <v>76</v>
      </c>
      <c r="X316" s="543">
        <f>IFERROR(X312/H312,"0")+IFERROR(X313/H313,"0")+IFERROR(X314/H314,"0")+IFERROR(X315/H315,"0")</f>
        <v>0</v>
      </c>
      <c r="Y316" s="543">
        <f>IFERROR(Y312/H312,"0")+IFERROR(Y313/H313,"0")+IFERROR(Y314/H314,"0")+IFERROR(Y315/H315,"0")</f>
        <v>0</v>
      </c>
      <c r="Z316" s="543">
        <f>IFERROR(IF(Z312="",0,Z312),"0")+IFERROR(IF(Z313="",0,Z313),"0")+IFERROR(IF(Z314="",0,Z314),"0")+IFERROR(IF(Z315="",0,Z315),"0")</f>
        <v>0</v>
      </c>
      <c r="AA316" s="544"/>
      <c r="AB316" s="544"/>
      <c r="AC316" s="544"/>
    </row>
    <row r="317" spans="1:68" x14ac:dyDescent="0.2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2"/>
      <c r="P317" s="552" t="s">
        <v>75</v>
      </c>
      <c r="Q317" s="553"/>
      <c r="R317" s="553"/>
      <c r="S317" s="553"/>
      <c r="T317" s="553"/>
      <c r="U317" s="553"/>
      <c r="V317" s="554"/>
      <c r="W317" s="37" t="s">
        <v>69</v>
      </c>
      <c r="X317" s="543">
        <f>IFERROR(SUM(X312:X315),"0")</f>
        <v>0</v>
      </c>
      <c r="Y317" s="543">
        <f>IFERROR(SUM(Y312:Y315),"0")</f>
        <v>0</v>
      </c>
      <c r="Z317" s="37"/>
      <c r="AA317" s="544"/>
      <c r="AB317" s="544"/>
      <c r="AC317" s="544"/>
    </row>
    <row r="318" spans="1:68" ht="14.25" customHeight="1" x14ac:dyDescent="0.25">
      <c r="A318" s="555" t="s">
        <v>157</v>
      </c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37"/>
      <c r="AB318" s="537"/>
      <c r="AC318" s="537"/>
    </row>
    <row r="319" spans="1:68" ht="27" customHeight="1" x14ac:dyDescent="0.25">
      <c r="A319" s="54" t="s">
        <v>510</v>
      </c>
      <c r="B319" s="54" t="s">
        <v>511</v>
      </c>
      <c r="C319" s="31">
        <v>4301060387</v>
      </c>
      <c r="D319" s="545">
        <v>4607091380880</v>
      </c>
      <c r="E319" s="546"/>
      <c r="F319" s="540">
        <v>1.4</v>
      </c>
      <c r="G319" s="32">
        <v>6</v>
      </c>
      <c r="H319" s="540">
        <v>8.4</v>
      </c>
      <c r="I319" s="540">
        <v>8.8940000000000001</v>
      </c>
      <c r="J319" s="32">
        <v>64</v>
      </c>
      <c r="K319" s="32" t="s">
        <v>102</v>
      </c>
      <c r="L319" s="32" t="s">
        <v>103</v>
      </c>
      <c r="M319" s="33" t="s">
        <v>80</v>
      </c>
      <c r="N319" s="33"/>
      <c r="O319" s="32">
        <v>30</v>
      </c>
      <c r="P319" s="8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48"/>
      <c r="R319" s="548"/>
      <c r="S319" s="548"/>
      <c r="T319" s="549"/>
      <c r="U319" s="34"/>
      <c r="V319" s="34"/>
      <c r="W319" s="35" t="s">
        <v>69</v>
      </c>
      <c r="X319" s="541">
        <v>0</v>
      </c>
      <c r="Y319" s="542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512</v>
      </c>
      <c r="AG319" s="64"/>
      <c r="AJ319" s="68" t="s">
        <v>106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513</v>
      </c>
      <c r="B320" s="54" t="s">
        <v>514</v>
      </c>
      <c r="C320" s="31">
        <v>4301060406</v>
      </c>
      <c r="D320" s="545">
        <v>4607091384482</v>
      </c>
      <c r="E320" s="546"/>
      <c r="F320" s="540">
        <v>1.3</v>
      </c>
      <c r="G320" s="32">
        <v>6</v>
      </c>
      <c r="H320" s="540">
        <v>7.8</v>
      </c>
      <c r="I320" s="540">
        <v>8.2940000000000005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300</v>
      </c>
      <c r="Y320" s="542">
        <f>IFERROR(IF(X320="",0,CEILING((X320/$H320),1)*$H320),"")</f>
        <v>304.2</v>
      </c>
      <c r="Z320" s="36">
        <f>IFERROR(IF(Y320=0,"",ROUNDUP(Y320/H320,0)*0.01898),"")</f>
        <v>0.74021999999999999</v>
      </c>
      <c r="AA320" s="56"/>
      <c r="AB320" s="57"/>
      <c r="AC320" s="375" t="s">
        <v>515</v>
      </c>
      <c r="AG320" s="64"/>
      <c r="AJ320" s="68" t="s">
        <v>106</v>
      </c>
      <c r="AK320" s="68">
        <v>62.4</v>
      </c>
      <c r="BB320" s="376" t="s">
        <v>1</v>
      </c>
      <c r="BM320" s="64">
        <f>IFERROR(X320*I320/H320,"0")</f>
        <v>319.00000000000006</v>
      </c>
      <c r="BN320" s="64">
        <f>IFERROR(Y320*I320/H320,"0")</f>
        <v>323.46600000000001</v>
      </c>
      <c r="BO320" s="64">
        <f>IFERROR(1/J320*(X320/H320),"0")</f>
        <v>0.60096153846153844</v>
      </c>
      <c r="BP320" s="64">
        <f>IFERROR(1/J320*(Y320/H320),"0")</f>
        <v>0.609375</v>
      </c>
    </row>
    <row r="321" spans="1:68" ht="16.5" customHeight="1" x14ac:dyDescent="0.25">
      <c r="A321" s="54" t="s">
        <v>516</v>
      </c>
      <c r="B321" s="54" t="s">
        <v>517</v>
      </c>
      <c r="C321" s="31">
        <v>4301060484</v>
      </c>
      <c r="D321" s="545">
        <v>4607091380897</v>
      </c>
      <c r="E321" s="546"/>
      <c r="F321" s="540">
        <v>1.4</v>
      </c>
      <c r="G321" s="32">
        <v>6</v>
      </c>
      <c r="H321" s="540">
        <v>8.4</v>
      </c>
      <c r="I321" s="540">
        <v>8.8940000000000001</v>
      </c>
      <c r="J321" s="32">
        <v>64</v>
      </c>
      <c r="K321" s="32" t="s">
        <v>102</v>
      </c>
      <c r="L321" s="32" t="s">
        <v>103</v>
      </c>
      <c r="M321" s="33" t="s">
        <v>86</v>
      </c>
      <c r="N321" s="33"/>
      <c r="O321" s="32">
        <v>30</v>
      </c>
      <c r="P321" s="7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300</v>
      </c>
      <c r="Y321" s="542">
        <f>IFERROR(IF(X321="",0,CEILING((X321/$H321),1)*$H321),"")</f>
        <v>302.40000000000003</v>
      </c>
      <c r="Z321" s="36">
        <f>IFERROR(IF(Y321=0,"",ROUNDUP(Y321/H321,0)*0.01898),"")</f>
        <v>0.68328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317.64285714285711</v>
      </c>
      <c r="BN321" s="64">
        <f>IFERROR(Y321*I321/H321,"0")</f>
        <v>320.18400000000003</v>
      </c>
      <c r="BO321" s="64">
        <f>IFERROR(1/J321*(X321/H321),"0")</f>
        <v>0.5580357142857143</v>
      </c>
      <c r="BP321" s="64">
        <f>IFERROR(1/J321*(Y321/H321),"0")</f>
        <v>0.5625</v>
      </c>
    </row>
    <row r="322" spans="1:68" x14ac:dyDescent="0.2">
      <c r="A322" s="561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62"/>
      <c r="P322" s="552" t="s">
        <v>75</v>
      </c>
      <c r="Q322" s="553"/>
      <c r="R322" s="553"/>
      <c r="S322" s="553"/>
      <c r="T322" s="553"/>
      <c r="U322" s="553"/>
      <c r="V322" s="554"/>
      <c r="W322" s="37" t="s">
        <v>76</v>
      </c>
      <c r="X322" s="543">
        <f>IFERROR(X319/H319,"0")+IFERROR(X320/H320,"0")+IFERROR(X321/H321,"0")</f>
        <v>74.175824175824175</v>
      </c>
      <c r="Y322" s="543">
        <f>IFERROR(Y319/H319,"0")+IFERROR(Y320/H320,"0")+IFERROR(Y321/H321,"0")</f>
        <v>75</v>
      </c>
      <c r="Z322" s="543">
        <f>IFERROR(IF(Z319="",0,Z319),"0")+IFERROR(IF(Z320="",0,Z320),"0")+IFERROR(IF(Z321="",0,Z321),"0")</f>
        <v>1.4235</v>
      </c>
      <c r="AA322" s="544"/>
      <c r="AB322" s="544"/>
      <c r="AC322" s="544"/>
    </row>
    <row r="323" spans="1:68" x14ac:dyDescent="0.2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62"/>
      <c r="P323" s="552" t="s">
        <v>75</v>
      </c>
      <c r="Q323" s="553"/>
      <c r="R323" s="553"/>
      <c r="S323" s="553"/>
      <c r="T323" s="553"/>
      <c r="U323" s="553"/>
      <c r="V323" s="554"/>
      <c r="W323" s="37" t="s">
        <v>69</v>
      </c>
      <c r="X323" s="543">
        <f>IFERROR(SUM(X319:X321),"0")</f>
        <v>600</v>
      </c>
      <c r="Y323" s="543">
        <f>IFERROR(SUM(Y319:Y321),"0")</f>
        <v>606.6</v>
      </c>
      <c r="Z323" s="37"/>
      <c r="AA323" s="544"/>
      <c r="AB323" s="544"/>
      <c r="AC323" s="544"/>
    </row>
    <row r="324" spans="1:68" ht="14.25" customHeight="1" x14ac:dyDescent="0.25">
      <c r="A324" s="555" t="s">
        <v>91</v>
      </c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37"/>
      <c r="AB324" s="537"/>
      <c r="AC324" s="537"/>
    </row>
    <row r="325" spans="1:68" ht="27" customHeight="1" x14ac:dyDescent="0.25">
      <c r="A325" s="54" t="s">
        <v>519</v>
      </c>
      <c r="B325" s="54" t="s">
        <v>520</v>
      </c>
      <c r="C325" s="31">
        <v>4301030235</v>
      </c>
      <c r="D325" s="545">
        <v>4607091388381</v>
      </c>
      <c r="E325" s="546"/>
      <c r="F325" s="540">
        <v>0.38</v>
      </c>
      <c r="G325" s="32">
        <v>8</v>
      </c>
      <c r="H325" s="540">
        <v>3.04</v>
      </c>
      <c r="I325" s="540">
        <v>3.31</v>
      </c>
      <c r="J325" s="32">
        <v>132</v>
      </c>
      <c r="K325" s="32" t="s">
        <v>109</v>
      </c>
      <c r="L325" s="32"/>
      <c r="M325" s="33" t="s">
        <v>94</v>
      </c>
      <c r="N325" s="33"/>
      <c r="O325" s="32">
        <v>180</v>
      </c>
      <c r="P325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1">
        <v>0</v>
      </c>
      <c r="Y325" s="542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521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522</v>
      </c>
      <c r="B326" s="54" t="s">
        <v>523</v>
      </c>
      <c r="C326" s="31">
        <v>4301030232</v>
      </c>
      <c r="D326" s="545">
        <v>4607091388374</v>
      </c>
      <c r="E326" s="546"/>
      <c r="F326" s="540">
        <v>0.38</v>
      </c>
      <c r="G326" s="32">
        <v>8</v>
      </c>
      <c r="H326" s="540">
        <v>3.04</v>
      </c>
      <c r="I326" s="540">
        <v>3.27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48"/>
      <c r="R326" s="548"/>
      <c r="S326" s="548"/>
      <c r="T326" s="549"/>
      <c r="U326" s="34"/>
      <c r="V326" s="34"/>
      <c r="W326" s="35" t="s">
        <v>69</v>
      </c>
      <c r="X326" s="541">
        <v>0</v>
      </c>
      <c r="Y326" s="542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521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524</v>
      </c>
      <c r="B327" s="54" t="s">
        <v>525</v>
      </c>
      <c r="C327" s="31">
        <v>4301032015</v>
      </c>
      <c r="D327" s="545">
        <v>4607091383102</v>
      </c>
      <c r="E327" s="546"/>
      <c r="F327" s="540">
        <v>0.17</v>
      </c>
      <c r="G327" s="32">
        <v>15</v>
      </c>
      <c r="H327" s="540">
        <v>2.5499999999999998</v>
      </c>
      <c r="I327" s="540">
        <v>2.9550000000000001</v>
      </c>
      <c r="J327" s="32">
        <v>182</v>
      </c>
      <c r="K327" s="32" t="s">
        <v>67</v>
      </c>
      <c r="L327" s="32" t="s">
        <v>217</v>
      </c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521</v>
      </c>
      <c r="AG327" s="64"/>
      <c r="AJ327" s="68" t="s">
        <v>106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526</v>
      </c>
      <c r="B328" s="54" t="s">
        <v>527</v>
      </c>
      <c r="C328" s="31">
        <v>4301030233</v>
      </c>
      <c r="D328" s="545">
        <v>4607091388404</v>
      </c>
      <c r="E328" s="546"/>
      <c r="F328" s="540">
        <v>0.17</v>
      </c>
      <c r="G328" s="32">
        <v>15</v>
      </c>
      <c r="H328" s="540">
        <v>2.5499999999999998</v>
      </c>
      <c r="I328" s="540">
        <v>2.88</v>
      </c>
      <c r="J328" s="32">
        <v>182</v>
      </c>
      <c r="K328" s="32" t="s">
        <v>67</v>
      </c>
      <c r="L328" s="32" t="s">
        <v>217</v>
      </c>
      <c r="M328" s="33" t="s">
        <v>94</v>
      </c>
      <c r="N328" s="33"/>
      <c r="O328" s="32">
        <v>180</v>
      </c>
      <c r="P328" s="56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521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1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62"/>
      <c r="P329" s="552" t="s">
        <v>75</v>
      </c>
      <c r="Q329" s="553"/>
      <c r="R329" s="553"/>
      <c r="S329" s="553"/>
      <c r="T329" s="553"/>
      <c r="U329" s="553"/>
      <c r="V329" s="554"/>
      <c r="W329" s="37" t="s">
        <v>76</v>
      </c>
      <c r="X329" s="543">
        <f>IFERROR(X325/H325,"0")+IFERROR(X326/H326,"0")+IFERROR(X327/H327,"0")+IFERROR(X328/H328,"0")</f>
        <v>0</v>
      </c>
      <c r="Y329" s="543">
        <f>IFERROR(Y325/H325,"0")+IFERROR(Y326/H326,"0")+IFERROR(Y327/H327,"0")+IFERROR(Y328/H328,"0")</f>
        <v>0</v>
      </c>
      <c r="Z329" s="543">
        <f>IFERROR(IF(Z325="",0,Z325),"0")+IFERROR(IF(Z326="",0,Z326),"0")+IFERROR(IF(Z327="",0,Z327),"0")+IFERROR(IF(Z328="",0,Z328),"0")</f>
        <v>0</v>
      </c>
      <c r="AA329" s="544"/>
      <c r="AB329" s="544"/>
      <c r="AC329" s="544"/>
    </row>
    <row r="330" spans="1:68" x14ac:dyDescent="0.2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2"/>
      <c r="P330" s="552" t="s">
        <v>75</v>
      </c>
      <c r="Q330" s="553"/>
      <c r="R330" s="553"/>
      <c r="S330" s="553"/>
      <c r="T330" s="553"/>
      <c r="U330" s="553"/>
      <c r="V330" s="554"/>
      <c r="W330" s="37" t="s">
        <v>69</v>
      </c>
      <c r="X330" s="543">
        <f>IFERROR(SUM(X325:X328),"0")</f>
        <v>0</v>
      </c>
      <c r="Y330" s="543">
        <f>IFERROR(SUM(Y325:Y328),"0")</f>
        <v>0</v>
      </c>
      <c r="Z330" s="37"/>
      <c r="AA330" s="544"/>
      <c r="AB330" s="544"/>
      <c r="AC330" s="544"/>
    </row>
    <row r="331" spans="1:68" ht="14.25" customHeight="1" x14ac:dyDescent="0.25">
      <c r="A331" s="555" t="s">
        <v>528</v>
      </c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37"/>
      <c r="AB331" s="537"/>
      <c r="AC331" s="537"/>
    </row>
    <row r="332" spans="1:68" ht="16.5" customHeight="1" x14ac:dyDescent="0.25">
      <c r="A332" s="54" t="s">
        <v>529</v>
      </c>
      <c r="B332" s="54" t="s">
        <v>530</v>
      </c>
      <c r="C332" s="31">
        <v>4301180007</v>
      </c>
      <c r="D332" s="545">
        <v>4680115881808</v>
      </c>
      <c r="E332" s="546"/>
      <c r="F332" s="540">
        <v>0.1</v>
      </c>
      <c r="G332" s="32">
        <v>20</v>
      </c>
      <c r="H332" s="540">
        <v>2</v>
      </c>
      <c r="I332" s="540">
        <v>2.2400000000000002</v>
      </c>
      <c r="J332" s="32">
        <v>238</v>
      </c>
      <c r="K332" s="32" t="s">
        <v>67</v>
      </c>
      <c r="L332" s="32" t="s">
        <v>217</v>
      </c>
      <c r="M332" s="33" t="s">
        <v>531</v>
      </c>
      <c r="N332" s="33"/>
      <c r="O332" s="32">
        <v>730</v>
      </c>
      <c r="P332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48"/>
      <c r="R332" s="548"/>
      <c r="S332" s="548"/>
      <c r="T332" s="549"/>
      <c r="U332" s="34"/>
      <c r="V332" s="34"/>
      <c r="W332" s="35" t="s">
        <v>69</v>
      </c>
      <c r="X332" s="541">
        <v>0</v>
      </c>
      <c r="Y332" s="542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532</v>
      </c>
      <c r="AG332" s="64"/>
      <c r="AJ332" s="68" t="s">
        <v>106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533</v>
      </c>
      <c r="B333" s="54" t="s">
        <v>534</v>
      </c>
      <c r="C333" s="31">
        <v>4301180006</v>
      </c>
      <c r="D333" s="545">
        <v>4680115881822</v>
      </c>
      <c r="E333" s="546"/>
      <c r="F333" s="540">
        <v>0.1</v>
      </c>
      <c r="G333" s="32">
        <v>20</v>
      </c>
      <c r="H333" s="540">
        <v>2</v>
      </c>
      <c r="I333" s="540">
        <v>2.2400000000000002</v>
      </c>
      <c r="J333" s="32">
        <v>238</v>
      </c>
      <c r="K333" s="32" t="s">
        <v>67</v>
      </c>
      <c r="L333" s="32"/>
      <c r="M333" s="33" t="s">
        <v>531</v>
      </c>
      <c r="N333" s="33"/>
      <c r="O333" s="32">
        <v>730</v>
      </c>
      <c r="P33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48"/>
      <c r="R333" s="548"/>
      <c r="S333" s="548"/>
      <c r="T333" s="549"/>
      <c r="U333" s="34"/>
      <c r="V333" s="34"/>
      <c r="W333" s="35" t="s">
        <v>69</v>
      </c>
      <c r="X333" s="541">
        <v>0</v>
      </c>
      <c r="Y333" s="542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532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535</v>
      </c>
      <c r="B334" s="54" t="s">
        <v>536</v>
      </c>
      <c r="C334" s="31">
        <v>4301180001</v>
      </c>
      <c r="D334" s="545">
        <v>4680115880016</v>
      </c>
      <c r="E334" s="546"/>
      <c r="F334" s="540">
        <v>0.1</v>
      </c>
      <c r="G334" s="32">
        <v>20</v>
      </c>
      <c r="H334" s="540">
        <v>2</v>
      </c>
      <c r="I334" s="540">
        <v>2.2400000000000002</v>
      </c>
      <c r="J334" s="32">
        <v>238</v>
      </c>
      <c r="K334" s="32" t="s">
        <v>67</v>
      </c>
      <c r="L334" s="32" t="s">
        <v>217</v>
      </c>
      <c r="M334" s="33" t="s">
        <v>531</v>
      </c>
      <c r="N334" s="33"/>
      <c r="O334" s="32">
        <v>730</v>
      </c>
      <c r="P334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532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1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62"/>
      <c r="P335" s="552" t="s">
        <v>75</v>
      </c>
      <c r="Q335" s="553"/>
      <c r="R335" s="553"/>
      <c r="S335" s="553"/>
      <c r="T335" s="553"/>
      <c r="U335" s="553"/>
      <c r="V335" s="554"/>
      <c r="W335" s="37" t="s">
        <v>76</v>
      </c>
      <c r="X335" s="543">
        <f>IFERROR(X332/H332,"0")+IFERROR(X333/H333,"0")+IFERROR(X334/H334,"0")</f>
        <v>0</v>
      </c>
      <c r="Y335" s="543">
        <f>IFERROR(Y332/H332,"0")+IFERROR(Y333/H333,"0")+IFERROR(Y334/H334,"0")</f>
        <v>0</v>
      </c>
      <c r="Z335" s="543">
        <f>IFERROR(IF(Z332="",0,Z332),"0")+IFERROR(IF(Z333="",0,Z333),"0")+IFERROR(IF(Z334="",0,Z334),"0")</f>
        <v>0</v>
      </c>
      <c r="AA335" s="544"/>
      <c r="AB335" s="544"/>
      <c r="AC335" s="544"/>
    </row>
    <row r="336" spans="1:68" x14ac:dyDescent="0.2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62"/>
      <c r="P336" s="552" t="s">
        <v>75</v>
      </c>
      <c r="Q336" s="553"/>
      <c r="R336" s="553"/>
      <c r="S336" s="553"/>
      <c r="T336" s="553"/>
      <c r="U336" s="553"/>
      <c r="V336" s="554"/>
      <c r="W336" s="37" t="s">
        <v>69</v>
      </c>
      <c r="X336" s="543">
        <f>IFERROR(SUM(X332:X334),"0")</f>
        <v>0</v>
      </c>
      <c r="Y336" s="543">
        <f>IFERROR(SUM(Y332:Y334),"0")</f>
        <v>0</v>
      </c>
      <c r="Z336" s="37"/>
      <c r="AA336" s="544"/>
      <c r="AB336" s="544"/>
      <c r="AC336" s="544"/>
    </row>
    <row r="337" spans="1:68" ht="16.5" customHeight="1" x14ac:dyDescent="0.25">
      <c r="A337" s="559" t="s">
        <v>537</v>
      </c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36"/>
      <c r="AB337" s="536"/>
      <c r="AC337" s="536"/>
    </row>
    <row r="338" spans="1:68" ht="14.25" customHeight="1" x14ac:dyDescent="0.25">
      <c r="A338" s="555" t="s">
        <v>77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37"/>
      <c r="AB338" s="537"/>
      <c r="AC338" s="537"/>
    </row>
    <row r="339" spans="1:68" ht="27" customHeight="1" x14ac:dyDescent="0.25">
      <c r="A339" s="54" t="s">
        <v>538</v>
      </c>
      <c r="B339" s="54" t="s">
        <v>539</v>
      </c>
      <c r="C339" s="31">
        <v>4301051489</v>
      </c>
      <c r="D339" s="545">
        <v>4607091387919</v>
      </c>
      <c r="E339" s="546"/>
      <c r="F339" s="540">
        <v>1.35</v>
      </c>
      <c r="G339" s="32">
        <v>6</v>
      </c>
      <c r="H339" s="540">
        <v>8.1</v>
      </c>
      <c r="I339" s="540">
        <v>8.5939999999999994</v>
      </c>
      <c r="J339" s="32">
        <v>64</v>
      </c>
      <c r="K339" s="32" t="s">
        <v>102</v>
      </c>
      <c r="L339" s="32"/>
      <c r="M339" s="33" t="s">
        <v>86</v>
      </c>
      <c r="N339" s="33"/>
      <c r="O339" s="32">
        <v>45</v>
      </c>
      <c r="P339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48"/>
      <c r="R339" s="548"/>
      <c r="S339" s="548"/>
      <c r="T339" s="549"/>
      <c r="U339" s="34"/>
      <c r="V339" s="34"/>
      <c r="W339" s="35" t="s">
        <v>69</v>
      </c>
      <c r="X339" s="541">
        <v>0</v>
      </c>
      <c r="Y339" s="542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540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541</v>
      </c>
      <c r="B340" s="54" t="s">
        <v>542</v>
      </c>
      <c r="C340" s="31">
        <v>4301051461</v>
      </c>
      <c r="D340" s="545">
        <v>4680115883604</v>
      </c>
      <c r="E340" s="546"/>
      <c r="F340" s="540">
        <v>0.35</v>
      </c>
      <c r="G340" s="32">
        <v>6</v>
      </c>
      <c r="H340" s="540">
        <v>2.1</v>
      </c>
      <c r="I340" s="540">
        <v>2.3519999999999999</v>
      </c>
      <c r="J340" s="32">
        <v>182</v>
      </c>
      <c r="K340" s="32" t="s">
        <v>67</v>
      </c>
      <c r="L340" s="32" t="s">
        <v>217</v>
      </c>
      <c r="M340" s="33" t="s">
        <v>80</v>
      </c>
      <c r="N340" s="33"/>
      <c r="O340" s="32">
        <v>45</v>
      </c>
      <c r="P340" s="6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48"/>
      <c r="R340" s="548"/>
      <c r="S340" s="548"/>
      <c r="T340" s="549"/>
      <c r="U340" s="34"/>
      <c r="V340" s="34"/>
      <c r="W340" s="35" t="s">
        <v>69</v>
      </c>
      <c r="X340" s="541">
        <v>560</v>
      </c>
      <c r="Y340" s="542">
        <f>IFERROR(IF(X340="",0,CEILING((X340/$H340),1)*$H340),"")</f>
        <v>560.70000000000005</v>
      </c>
      <c r="Z340" s="36">
        <f>IFERROR(IF(Y340=0,"",ROUNDUP(Y340/H340,0)*0.00651),"")</f>
        <v>1.73817</v>
      </c>
      <c r="AA340" s="56"/>
      <c r="AB340" s="57"/>
      <c r="AC340" s="395" t="s">
        <v>543</v>
      </c>
      <c r="AG340" s="64"/>
      <c r="AJ340" s="68" t="s">
        <v>106</v>
      </c>
      <c r="AK340" s="68">
        <v>29.4</v>
      </c>
      <c r="BB340" s="396" t="s">
        <v>1</v>
      </c>
      <c r="BM340" s="64">
        <f>IFERROR(X340*I340/H340,"0")</f>
        <v>627.19999999999993</v>
      </c>
      <c r="BN340" s="64">
        <f>IFERROR(Y340*I340/H340,"0")</f>
        <v>627.98399999999992</v>
      </c>
      <c r="BO340" s="64">
        <f>IFERROR(1/J340*(X340/H340),"0")</f>
        <v>1.4652014652014651</v>
      </c>
      <c r="BP340" s="64">
        <f>IFERROR(1/J340*(Y340/H340),"0")</f>
        <v>1.4670329670329672</v>
      </c>
    </row>
    <row r="341" spans="1:68" ht="27" customHeight="1" x14ac:dyDescent="0.25">
      <c r="A341" s="54" t="s">
        <v>544</v>
      </c>
      <c r="B341" s="54" t="s">
        <v>545</v>
      </c>
      <c r="C341" s="31">
        <v>4301051864</v>
      </c>
      <c r="D341" s="545">
        <v>4680115883567</v>
      </c>
      <c r="E341" s="546"/>
      <c r="F341" s="540">
        <v>0.35</v>
      </c>
      <c r="G341" s="32">
        <v>6</v>
      </c>
      <c r="H341" s="540">
        <v>2.1</v>
      </c>
      <c r="I341" s="540">
        <v>2.34</v>
      </c>
      <c r="J341" s="32">
        <v>182</v>
      </c>
      <c r="K341" s="32" t="s">
        <v>67</v>
      </c>
      <c r="L341" s="32" t="s">
        <v>217</v>
      </c>
      <c r="M341" s="33" t="s">
        <v>86</v>
      </c>
      <c r="N341" s="33"/>
      <c r="O341" s="32">
        <v>40</v>
      </c>
      <c r="P341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48"/>
      <c r="R341" s="548"/>
      <c r="S341" s="548"/>
      <c r="T341" s="549"/>
      <c r="U341" s="34"/>
      <c r="V341" s="34"/>
      <c r="W341" s="35" t="s">
        <v>69</v>
      </c>
      <c r="X341" s="541">
        <v>385</v>
      </c>
      <c r="Y341" s="542">
        <f>IFERROR(IF(X341="",0,CEILING((X341/$H341),1)*$H341),"")</f>
        <v>386.40000000000003</v>
      </c>
      <c r="Z341" s="36">
        <f>IFERROR(IF(Y341=0,"",ROUNDUP(Y341/H341,0)*0.00651),"")</f>
        <v>1.19784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428.99999999999994</v>
      </c>
      <c r="BN341" s="64">
        <f>IFERROR(Y341*I341/H341,"0")</f>
        <v>430.56</v>
      </c>
      <c r="BO341" s="64">
        <f>IFERROR(1/J341*(X341/H341),"0")</f>
        <v>1.0073260073260073</v>
      </c>
      <c r="BP341" s="64">
        <f>IFERROR(1/J341*(Y341/H341),"0")</f>
        <v>1.0109890109890112</v>
      </c>
    </row>
    <row r="342" spans="1:68" x14ac:dyDescent="0.2">
      <c r="A342" s="561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62"/>
      <c r="P342" s="552" t="s">
        <v>75</v>
      </c>
      <c r="Q342" s="553"/>
      <c r="R342" s="553"/>
      <c r="S342" s="553"/>
      <c r="T342" s="553"/>
      <c r="U342" s="553"/>
      <c r="V342" s="554"/>
      <c r="W342" s="37" t="s">
        <v>76</v>
      </c>
      <c r="X342" s="543">
        <f>IFERROR(X339/H339,"0")+IFERROR(X340/H340,"0")+IFERROR(X341/H341,"0")</f>
        <v>449.99999999999994</v>
      </c>
      <c r="Y342" s="543">
        <f>IFERROR(Y339/H339,"0")+IFERROR(Y340/H340,"0")+IFERROR(Y341/H341,"0")</f>
        <v>451</v>
      </c>
      <c r="Z342" s="543">
        <f>IFERROR(IF(Z339="",0,Z339),"0")+IFERROR(IF(Z340="",0,Z340),"0")+IFERROR(IF(Z341="",0,Z341),"0")</f>
        <v>2.93601</v>
      </c>
      <c r="AA342" s="544"/>
      <c r="AB342" s="544"/>
      <c r="AC342" s="544"/>
    </row>
    <row r="343" spans="1:68" x14ac:dyDescent="0.2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62"/>
      <c r="P343" s="552" t="s">
        <v>75</v>
      </c>
      <c r="Q343" s="553"/>
      <c r="R343" s="553"/>
      <c r="S343" s="553"/>
      <c r="T343" s="553"/>
      <c r="U343" s="553"/>
      <c r="V343" s="554"/>
      <c r="W343" s="37" t="s">
        <v>69</v>
      </c>
      <c r="X343" s="543">
        <f>IFERROR(SUM(X339:X341),"0")</f>
        <v>945</v>
      </c>
      <c r="Y343" s="543">
        <f>IFERROR(SUM(Y339:Y341),"0")</f>
        <v>947.10000000000014</v>
      </c>
      <c r="Z343" s="37"/>
      <c r="AA343" s="544"/>
      <c r="AB343" s="544"/>
      <c r="AC343" s="544"/>
    </row>
    <row r="344" spans="1:68" ht="27.75" customHeight="1" x14ac:dyDescent="0.2">
      <c r="A344" s="590" t="s">
        <v>547</v>
      </c>
      <c r="B344" s="591"/>
      <c r="C344" s="591"/>
      <c r="D344" s="591"/>
      <c r="E344" s="591"/>
      <c r="F344" s="591"/>
      <c r="G344" s="591"/>
      <c r="H344" s="591"/>
      <c r="I344" s="591"/>
      <c r="J344" s="591"/>
      <c r="K344" s="591"/>
      <c r="L344" s="591"/>
      <c r="M344" s="591"/>
      <c r="N344" s="591"/>
      <c r="O344" s="591"/>
      <c r="P344" s="591"/>
      <c r="Q344" s="591"/>
      <c r="R344" s="591"/>
      <c r="S344" s="591"/>
      <c r="T344" s="591"/>
      <c r="U344" s="591"/>
      <c r="V344" s="591"/>
      <c r="W344" s="591"/>
      <c r="X344" s="591"/>
      <c r="Y344" s="591"/>
      <c r="Z344" s="591"/>
      <c r="AA344" s="48"/>
      <c r="AB344" s="48"/>
      <c r="AC344" s="48"/>
    </row>
    <row r="345" spans="1:68" ht="16.5" customHeight="1" x14ac:dyDescent="0.25">
      <c r="A345" s="559" t="s">
        <v>548</v>
      </c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36"/>
      <c r="AB345" s="536"/>
      <c r="AC345" s="536"/>
    </row>
    <row r="346" spans="1:68" ht="14.25" customHeight="1" x14ac:dyDescent="0.25">
      <c r="A346" s="555" t="s">
        <v>99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37"/>
      <c r="AB346" s="537"/>
      <c r="AC346" s="537"/>
    </row>
    <row r="347" spans="1:68" ht="37.5" customHeight="1" x14ac:dyDescent="0.25">
      <c r="A347" s="54" t="s">
        <v>549</v>
      </c>
      <c r="B347" s="54" t="s">
        <v>550</v>
      </c>
      <c r="C347" s="31">
        <v>4301011869</v>
      </c>
      <c r="D347" s="545">
        <v>4680115884847</v>
      </c>
      <c r="E347" s="546"/>
      <c r="F347" s="540">
        <v>2.5</v>
      </c>
      <c r="G347" s="32">
        <v>6</v>
      </c>
      <c r="H347" s="540">
        <v>15</v>
      </c>
      <c r="I347" s="540">
        <v>15.47</v>
      </c>
      <c r="J347" s="32">
        <v>48</v>
      </c>
      <c r="K347" s="32" t="s">
        <v>102</v>
      </c>
      <c r="L347" s="32"/>
      <c r="M347" s="33" t="s">
        <v>68</v>
      </c>
      <c r="N347" s="33"/>
      <c r="O347" s="32">
        <v>60</v>
      </c>
      <c r="P347" s="8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1600</v>
      </c>
      <c r="Y347" s="542">
        <f t="shared" ref="Y347:Y353" si="31">IFERROR(IF(X347="",0,CEILING((X347/$H347),1)*$H347),"")</f>
        <v>1605</v>
      </c>
      <c r="Z347" s="36">
        <f>IFERROR(IF(Y347=0,"",ROUNDUP(Y347/H347,0)*0.02175),"")</f>
        <v>2.3272499999999998</v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ref="BM347:BM353" si="32">IFERROR(X347*I347/H347,"0")</f>
        <v>1650.1333333333334</v>
      </c>
      <c r="BN347" s="64">
        <f t="shared" ref="BN347:BN353" si="33">IFERROR(Y347*I347/H347,"0")</f>
        <v>1655.2900000000002</v>
      </c>
      <c r="BO347" s="64">
        <f t="shared" ref="BO347:BO353" si="34">IFERROR(1/J347*(X347/H347),"0")</f>
        <v>2.2222222222222223</v>
      </c>
      <c r="BP347" s="64">
        <f t="shared" ref="BP347:BP353" si="35">IFERROR(1/J347*(Y347/H347),"0")</f>
        <v>2.2291666666666665</v>
      </c>
    </row>
    <row r="348" spans="1:68" ht="27" customHeight="1" x14ac:dyDescent="0.25">
      <c r="A348" s="54" t="s">
        <v>552</v>
      </c>
      <c r="B348" s="54" t="s">
        <v>553</v>
      </c>
      <c r="C348" s="31">
        <v>4301012083</v>
      </c>
      <c r="D348" s="545">
        <v>4680115884854</v>
      </c>
      <c r="E348" s="546"/>
      <c r="F348" s="540">
        <v>2.5</v>
      </c>
      <c r="G348" s="32">
        <v>6</v>
      </c>
      <c r="H348" s="540">
        <v>15</v>
      </c>
      <c r="I348" s="540">
        <v>15.47</v>
      </c>
      <c r="J348" s="32">
        <v>48</v>
      </c>
      <c r="K348" s="32" t="s">
        <v>102</v>
      </c>
      <c r="L348" s="32"/>
      <c r="M348" s="33" t="s">
        <v>104</v>
      </c>
      <c r="N348" s="33"/>
      <c r="O348" s="32">
        <v>60</v>
      </c>
      <c r="P348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850</v>
      </c>
      <c r="Y348" s="542">
        <f t="shared" si="31"/>
        <v>855</v>
      </c>
      <c r="Z348" s="36">
        <f>IFERROR(IF(Y348=0,"",ROUNDUP(Y348/H348,0)*0.02175),"")</f>
        <v>1.2397499999999999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2"/>
        <v>876.63333333333333</v>
      </c>
      <c r="BN348" s="64">
        <f t="shared" si="33"/>
        <v>881.79000000000008</v>
      </c>
      <c r="BO348" s="64">
        <f t="shared" si="34"/>
        <v>1.1805555555555554</v>
      </c>
      <c r="BP348" s="64">
        <f t="shared" si="35"/>
        <v>1.1875</v>
      </c>
    </row>
    <row r="349" spans="1:68" ht="37.5" customHeight="1" x14ac:dyDescent="0.25">
      <c r="A349" s="54" t="s">
        <v>555</v>
      </c>
      <c r="B349" s="54" t="s">
        <v>556</v>
      </c>
      <c r="C349" s="31">
        <v>4301011867</v>
      </c>
      <c r="D349" s="545">
        <v>4680115884830</v>
      </c>
      <c r="E349" s="546"/>
      <c r="F349" s="540">
        <v>2.5</v>
      </c>
      <c r="G349" s="32">
        <v>6</v>
      </c>
      <c r="H349" s="540">
        <v>15</v>
      </c>
      <c r="I349" s="540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1400</v>
      </c>
      <c r="Y349" s="542">
        <f t="shared" si="31"/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1443.8666666666666</v>
      </c>
      <c r="BN349" s="64">
        <f t="shared" si="33"/>
        <v>1454.18</v>
      </c>
      <c r="BO349" s="64">
        <f t="shared" si="34"/>
        <v>1.9444444444444442</v>
      </c>
      <c r="BP349" s="64">
        <f t="shared" si="35"/>
        <v>1.9583333333333333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45">
        <v>4680115887046</v>
      </c>
      <c r="E350" s="546"/>
      <c r="F350" s="540">
        <v>2.5</v>
      </c>
      <c r="G350" s="32">
        <v>6</v>
      </c>
      <c r="H350" s="540">
        <v>15</v>
      </c>
      <c r="I350" s="540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5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1">
        <v>1000</v>
      </c>
      <c r="Y350" s="542">
        <f t="shared" si="31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1031.3333333333333</v>
      </c>
      <c r="BN350" s="64">
        <f t="shared" si="33"/>
        <v>1036.49</v>
      </c>
      <c r="BO350" s="64">
        <f t="shared" si="34"/>
        <v>1.3888888888888888</v>
      </c>
      <c r="BP350" s="64">
        <f t="shared" si="35"/>
        <v>1.3958333333333333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4301011433</v>
      </c>
      <c r="D351" s="545">
        <v>4680115882638</v>
      </c>
      <c r="E351" s="546"/>
      <c r="F351" s="540">
        <v>0.4</v>
      </c>
      <c r="G351" s="32">
        <v>10</v>
      </c>
      <c r="H351" s="540">
        <v>4</v>
      </c>
      <c r="I351" s="540">
        <v>4.1900000000000004</v>
      </c>
      <c r="J351" s="32">
        <v>132</v>
      </c>
      <c r="K351" s="32" t="s">
        <v>109</v>
      </c>
      <c r="L351" s="32"/>
      <c r="M351" s="33" t="s">
        <v>104</v>
      </c>
      <c r="N351" s="33"/>
      <c r="O351" s="32">
        <v>90</v>
      </c>
      <c r="P351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48"/>
      <c r="R351" s="548"/>
      <c r="S351" s="548"/>
      <c r="T351" s="549"/>
      <c r="U351" s="34"/>
      <c r="V351" s="34"/>
      <c r="W351" s="35" t="s">
        <v>69</v>
      </c>
      <c r="X351" s="541">
        <v>0</v>
      </c>
      <c r="Y351" s="542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4301011952</v>
      </c>
      <c r="D352" s="545">
        <v>4680115884922</v>
      </c>
      <c r="E352" s="546"/>
      <c r="F352" s="540">
        <v>0.5</v>
      </c>
      <c r="G352" s="32">
        <v>10</v>
      </c>
      <c r="H352" s="540">
        <v>5</v>
      </c>
      <c r="I352" s="540">
        <v>5.19</v>
      </c>
      <c r="J352" s="32">
        <v>132</v>
      </c>
      <c r="K352" s="32" t="s">
        <v>109</v>
      </c>
      <c r="L352" s="32"/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0</v>
      </c>
      <c r="Y352" s="542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37.5" customHeight="1" x14ac:dyDescent="0.25">
      <c r="A353" s="54" t="s">
        <v>567</v>
      </c>
      <c r="B353" s="54" t="s">
        <v>568</v>
      </c>
      <c r="C353" s="31">
        <v>4301011868</v>
      </c>
      <c r="D353" s="545">
        <v>4680115884861</v>
      </c>
      <c r="E353" s="546"/>
      <c r="F353" s="540">
        <v>0.5</v>
      </c>
      <c r="G353" s="32">
        <v>10</v>
      </c>
      <c r="H353" s="540">
        <v>5</v>
      </c>
      <c r="I353" s="540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25</v>
      </c>
      <c r="Y353" s="542">
        <f t="shared" si="31"/>
        <v>25</v>
      </c>
      <c r="Z353" s="36">
        <f>IFERROR(IF(Y353=0,"",ROUNDUP(Y353/H353,0)*0.00902),"")</f>
        <v>4.5100000000000001E-2</v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25.95</v>
      </c>
      <c r="BN353" s="64">
        <f t="shared" si="33"/>
        <v>25.95</v>
      </c>
      <c r="BO353" s="64">
        <f t="shared" si="34"/>
        <v>3.787878787878788E-2</v>
      </c>
      <c r="BP353" s="64">
        <f t="shared" si="35"/>
        <v>3.787878787878788E-2</v>
      </c>
    </row>
    <row r="354" spans="1:68" x14ac:dyDescent="0.2">
      <c r="A354" s="561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2"/>
      <c r="P354" s="552" t="s">
        <v>75</v>
      </c>
      <c r="Q354" s="553"/>
      <c r="R354" s="553"/>
      <c r="S354" s="553"/>
      <c r="T354" s="553"/>
      <c r="U354" s="553"/>
      <c r="V354" s="554"/>
      <c r="W354" s="37" t="s">
        <v>76</v>
      </c>
      <c r="X354" s="543">
        <f>IFERROR(X347/H347,"0")+IFERROR(X348/H348,"0")+IFERROR(X349/H349,"0")+IFERROR(X350/H350,"0")+IFERROR(X351/H351,"0")+IFERROR(X352/H352,"0")+IFERROR(X353/H353,"0")</f>
        <v>328.33333333333337</v>
      </c>
      <c r="Y354" s="543">
        <f>IFERROR(Y347/H347,"0")+IFERROR(Y348/H348,"0")+IFERROR(Y349/H349,"0")+IFERROR(Y350/H350,"0")+IFERROR(Y351/H351,"0")+IFERROR(Y352/H352,"0")+IFERROR(Y353/H353,"0")</f>
        <v>330</v>
      </c>
      <c r="Z354" s="543">
        <f>IFERROR(IF(Z347="",0,Z347),"0")+IFERROR(IF(Z348="",0,Z348),"0")+IFERROR(IF(Z349="",0,Z349),"0")+IFERROR(IF(Z350="",0,Z350),"0")+IFERROR(IF(Z351="",0,Z351),"0")+IFERROR(IF(Z352="",0,Z352),"0")+IFERROR(IF(Z353="",0,Z353),"0")</f>
        <v>7.1138499999999993</v>
      </c>
      <c r="AA354" s="544"/>
      <c r="AB354" s="544"/>
      <c r="AC354" s="544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2"/>
      <c r="P355" s="552" t="s">
        <v>75</v>
      </c>
      <c r="Q355" s="553"/>
      <c r="R355" s="553"/>
      <c r="S355" s="553"/>
      <c r="T355" s="553"/>
      <c r="U355" s="553"/>
      <c r="V355" s="554"/>
      <c r="W355" s="37" t="s">
        <v>69</v>
      </c>
      <c r="X355" s="543">
        <f>IFERROR(SUM(X347:X353),"0")</f>
        <v>4875</v>
      </c>
      <c r="Y355" s="543">
        <f>IFERROR(SUM(Y347:Y353),"0")</f>
        <v>4900</v>
      </c>
      <c r="Z355" s="37"/>
      <c r="AA355" s="544"/>
      <c r="AB355" s="544"/>
      <c r="AC355" s="544"/>
    </row>
    <row r="356" spans="1:68" ht="14.25" customHeight="1" x14ac:dyDescent="0.25">
      <c r="A356" s="555" t="s">
        <v>135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7"/>
      <c r="AB356" s="537"/>
      <c r="AC356" s="537"/>
    </row>
    <row r="357" spans="1:68" ht="27" customHeight="1" x14ac:dyDescent="0.25">
      <c r="A357" s="54" t="s">
        <v>569</v>
      </c>
      <c r="B357" s="54" t="s">
        <v>570</v>
      </c>
      <c r="C357" s="31">
        <v>4301020178</v>
      </c>
      <c r="D357" s="545">
        <v>4607091383980</v>
      </c>
      <c r="E357" s="546"/>
      <c r="F357" s="540">
        <v>2.5</v>
      </c>
      <c r="G357" s="32">
        <v>6</v>
      </c>
      <c r="H357" s="540">
        <v>15</v>
      </c>
      <c r="I357" s="540">
        <v>15.47</v>
      </c>
      <c r="J357" s="32">
        <v>48</v>
      </c>
      <c r="K357" s="32" t="s">
        <v>102</v>
      </c>
      <c r="L357" s="32"/>
      <c r="M357" s="33" t="s">
        <v>104</v>
      </c>
      <c r="N357" s="33"/>
      <c r="O357" s="32">
        <v>50</v>
      </c>
      <c r="P357" s="8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1200</v>
      </c>
      <c r="Y357" s="542">
        <f>IFERROR(IF(X357="",0,CEILING((X357/$H357),1)*$H357),"")</f>
        <v>1200</v>
      </c>
      <c r="Z357" s="36">
        <f>IFERROR(IF(Y357=0,"",ROUNDUP(Y357/H357,0)*0.02175),"")</f>
        <v>1.7399999999999998</v>
      </c>
      <c r="AA357" s="56"/>
      <c r="AB357" s="57"/>
      <c r="AC357" s="413" t="s">
        <v>571</v>
      </c>
      <c r="AG357" s="64"/>
      <c r="AJ357" s="68"/>
      <c r="AK357" s="68">
        <v>0</v>
      </c>
      <c r="BB357" s="414" t="s">
        <v>1</v>
      </c>
      <c r="BM357" s="64">
        <f>IFERROR(X357*I357/H357,"0")</f>
        <v>1237.5999999999999</v>
      </c>
      <c r="BN357" s="64">
        <f>IFERROR(Y357*I357/H357,"0")</f>
        <v>1237.5999999999999</v>
      </c>
      <c r="BO357" s="64">
        <f>IFERROR(1/J357*(X357/H357),"0")</f>
        <v>1.6666666666666665</v>
      </c>
      <c r="BP357" s="64">
        <f>IFERROR(1/J357*(Y357/H357),"0")</f>
        <v>1.6666666666666665</v>
      </c>
    </row>
    <row r="358" spans="1:68" ht="27" customHeight="1" x14ac:dyDescent="0.25">
      <c r="A358" s="54" t="s">
        <v>572</v>
      </c>
      <c r="B358" s="54" t="s">
        <v>573</v>
      </c>
      <c r="C358" s="31">
        <v>4301020179</v>
      </c>
      <c r="D358" s="545">
        <v>4607091384178</v>
      </c>
      <c r="E358" s="546"/>
      <c r="F358" s="540">
        <v>0.4</v>
      </c>
      <c r="G358" s="32">
        <v>10</v>
      </c>
      <c r="H358" s="540">
        <v>4</v>
      </c>
      <c r="I358" s="540">
        <v>4.1900000000000004</v>
      </c>
      <c r="J358" s="32">
        <v>132</v>
      </c>
      <c r="K358" s="32" t="s">
        <v>109</v>
      </c>
      <c r="L358" s="32"/>
      <c r="M358" s="33" t="s">
        <v>104</v>
      </c>
      <c r="N358" s="33"/>
      <c r="O358" s="32">
        <v>50</v>
      </c>
      <c r="P358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16</v>
      </c>
      <c r="Y358" s="542">
        <f>IFERROR(IF(X358="",0,CEILING((X358/$H358),1)*$H358),"")</f>
        <v>16</v>
      </c>
      <c r="Z358" s="36">
        <f>IFERROR(IF(Y358=0,"",ROUNDUP(Y358/H358,0)*0.00902),"")</f>
        <v>3.6080000000000001E-2</v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16.760000000000002</v>
      </c>
      <c r="BN358" s="64">
        <f>IFERROR(Y358*I358/H358,"0")</f>
        <v>16.760000000000002</v>
      </c>
      <c r="BO358" s="64">
        <f>IFERROR(1/J358*(X358/H358),"0")</f>
        <v>3.0303030303030304E-2</v>
      </c>
      <c r="BP358" s="64">
        <f>IFERROR(1/J358*(Y358/H358),"0")</f>
        <v>3.0303030303030304E-2</v>
      </c>
    </row>
    <row r="359" spans="1:68" x14ac:dyDescent="0.2">
      <c r="A359" s="561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2"/>
      <c r="P359" s="552" t="s">
        <v>75</v>
      </c>
      <c r="Q359" s="553"/>
      <c r="R359" s="553"/>
      <c r="S359" s="553"/>
      <c r="T359" s="553"/>
      <c r="U359" s="553"/>
      <c r="V359" s="554"/>
      <c r="W359" s="37" t="s">
        <v>76</v>
      </c>
      <c r="X359" s="543">
        <f>IFERROR(X357/H357,"0")+IFERROR(X358/H358,"0")</f>
        <v>84</v>
      </c>
      <c r="Y359" s="543">
        <f>IFERROR(Y357/H357,"0")+IFERROR(Y358/H358,"0")</f>
        <v>84</v>
      </c>
      <c r="Z359" s="543">
        <f>IFERROR(IF(Z357="",0,Z357),"0")+IFERROR(IF(Z358="",0,Z358),"0")</f>
        <v>1.7760799999999999</v>
      </c>
      <c r="AA359" s="544"/>
      <c r="AB359" s="544"/>
      <c r="AC359" s="544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2"/>
      <c r="P360" s="552" t="s">
        <v>75</v>
      </c>
      <c r="Q360" s="553"/>
      <c r="R360" s="553"/>
      <c r="S360" s="553"/>
      <c r="T360" s="553"/>
      <c r="U360" s="553"/>
      <c r="V360" s="554"/>
      <c r="W360" s="37" t="s">
        <v>69</v>
      </c>
      <c r="X360" s="543">
        <f>IFERROR(SUM(X357:X358),"0")</f>
        <v>1216</v>
      </c>
      <c r="Y360" s="543">
        <f>IFERROR(SUM(Y357:Y358),"0")</f>
        <v>1216</v>
      </c>
      <c r="Z360" s="37"/>
      <c r="AA360" s="544"/>
      <c r="AB360" s="544"/>
      <c r="AC360" s="544"/>
    </row>
    <row r="361" spans="1:68" ht="14.25" customHeight="1" x14ac:dyDescent="0.25">
      <c r="A361" s="555" t="s">
        <v>77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7"/>
      <c r="AB361" s="537"/>
      <c r="AC361" s="537"/>
    </row>
    <row r="362" spans="1:68" ht="27" customHeight="1" x14ac:dyDescent="0.25">
      <c r="A362" s="54" t="s">
        <v>575</v>
      </c>
      <c r="B362" s="54" t="s">
        <v>576</v>
      </c>
      <c r="C362" s="31">
        <v>4301051903</v>
      </c>
      <c r="D362" s="545">
        <v>4607091383928</v>
      </c>
      <c r="E362" s="546"/>
      <c r="F362" s="540">
        <v>1.5</v>
      </c>
      <c r="G362" s="32">
        <v>6</v>
      </c>
      <c r="H362" s="540">
        <v>9</v>
      </c>
      <c r="I362" s="540">
        <v>9.5</v>
      </c>
      <c r="J362" s="32">
        <v>64</v>
      </c>
      <c r="K362" s="32" t="s">
        <v>102</v>
      </c>
      <c r="L362" s="32"/>
      <c r="M362" s="33" t="s">
        <v>80</v>
      </c>
      <c r="N362" s="33"/>
      <c r="O362" s="32">
        <v>40</v>
      </c>
      <c r="P362" s="8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577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578</v>
      </c>
      <c r="B363" s="54" t="s">
        <v>579</v>
      </c>
      <c r="C363" s="31">
        <v>4301051897</v>
      </c>
      <c r="D363" s="545">
        <v>4607091384260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 t="s">
        <v>103</v>
      </c>
      <c r="M363" s="33" t="s">
        <v>80</v>
      </c>
      <c r="N363" s="33"/>
      <c r="O363" s="32">
        <v>40</v>
      </c>
      <c r="P363" s="8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9" t="s">
        <v>580</v>
      </c>
      <c r="AG363" s="64"/>
      <c r="AJ363" s="68" t="s">
        <v>106</v>
      </c>
      <c r="AK363" s="68">
        <v>72</v>
      </c>
      <c r="BB363" s="420" t="s">
        <v>1</v>
      </c>
      <c r="BM363" s="64">
        <f>IFERROR(X363*I363/H363,"0")</f>
        <v>21.097777777777779</v>
      </c>
      <c r="BN363" s="64">
        <f>IFERROR(Y363*I363/H363,"0")</f>
        <v>28.481999999999996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61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2"/>
      <c r="P364" s="552" t="s">
        <v>75</v>
      </c>
      <c r="Q364" s="553"/>
      <c r="R364" s="553"/>
      <c r="S364" s="553"/>
      <c r="T364" s="553"/>
      <c r="U364" s="553"/>
      <c r="V364" s="554"/>
      <c r="W364" s="37" t="s">
        <v>76</v>
      </c>
      <c r="X364" s="543">
        <f>IFERROR(X362/H362,"0")+IFERROR(X363/H363,"0")</f>
        <v>2.2222222222222223</v>
      </c>
      <c r="Y364" s="543">
        <f>IFERROR(Y362/H362,"0")+IFERROR(Y363/H363,"0")</f>
        <v>3</v>
      </c>
      <c r="Z364" s="543">
        <f>IFERROR(IF(Z362="",0,Z362),"0")+IFERROR(IF(Z363="",0,Z363),"0")</f>
        <v>5.6940000000000004E-2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62"/>
      <c r="P365" s="552" t="s">
        <v>75</v>
      </c>
      <c r="Q365" s="553"/>
      <c r="R365" s="553"/>
      <c r="S365" s="553"/>
      <c r="T365" s="553"/>
      <c r="U365" s="553"/>
      <c r="V365" s="554"/>
      <c r="W365" s="37" t="s">
        <v>69</v>
      </c>
      <c r="X365" s="543">
        <f>IFERROR(SUM(X362:X363),"0")</f>
        <v>20</v>
      </c>
      <c r="Y365" s="543">
        <f>IFERROR(SUM(Y362:Y363),"0")</f>
        <v>27</v>
      </c>
      <c r="Z365" s="37"/>
      <c r="AA365" s="544"/>
      <c r="AB365" s="544"/>
      <c r="AC365" s="544"/>
    </row>
    <row r="366" spans="1:68" ht="14.25" customHeight="1" x14ac:dyDescent="0.25">
      <c r="A366" s="555" t="s">
        <v>157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7"/>
      <c r="AB366" s="537"/>
      <c r="AC366" s="537"/>
    </row>
    <row r="367" spans="1:68" ht="16.5" customHeight="1" x14ac:dyDescent="0.25">
      <c r="A367" s="54" t="s">
        <v>581</v>
      </c>
      <c r="B367" s="54" t="s">
        <v>582</v>
      </c>
      <c r="C367" s="31">
        <v>4301060524</v>
      </c>
      <c r="D367" s="545">
        <v>4607091384673</v>
      </c>
      <c r="E367" s="546"/>
      <c r="F367" s="540">
        <v>1.5</v>
      </c>
      <c r="G367" s="32">
        <v>6</v>
      </c>
      <c r="H367" s="540">
        <v>9</v>
      </c>
      <c r="I367" s="540">
        <v>9.4939999999999998</v>
      </c>
      <c r="J367" s="32">
        <v>64</v>
      </c>
      <c r="K367" s="32" t="s">
        <v>102</v>
      </c>
      <c r="L367" s="32"/>
      <c r="M367" s="33" t="s">
        <v>80</v>
      </c>
      <c r="N367" s="33"/>
      <c r="O367" s="32">
        <v>40</v>
      </c>
      <c r="P367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583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1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62"/>
      <c r="P368" s="552" t="s">
        <v>75</v>
      </c>
      <c r="Q368" s="553"/>
      <c r="R368" s="553"/>
      <c r="S368" s="553"/>
      <c r="T368" s="553"/>
      <c r="U368" s="553"/>
      <c r="V368" s="554"/>
      <c r="W368" s="37" t="s">
        <v>76</v>
      </c>
      <c r="X368" s="543">
        <f>IFERROR(X367/H367,"0")</f>
        <v>0</v>
      </c>
      <c r="Y368" s="543">
        <f>IFERROR(Y367/H367,"0")</f>
        <v>0</v>
      </c>
      <c r="Z368" s="543">
        <f>IFERROR(IF(Z367="",0,Z367),"0")</f>
        <v>0</v>
      </c>
      <c r="AA368" s="544"/>
      <c r="AB368" s="544"/>
      <c r="AC368" s="544"/>
    </row>
    <row r="369" spans="1:68" x14ac:dyDescent="0.2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2"/>
      <c r="P369" s="552" t="s">
        <v>75</v>
      </c>
      <c r="Q369" s="553"/>
      <c r="R369" s="553"/>
      <c r="S369" s="553"/>
      <c r="T369" s="553"/>
      <c r="U369" s="553"/>
      <c r="V369" s="554"/>
      <c r="W369" s="37" t="s">
        <v>69</v>
      </c>
      <c r="X369" s="543">
        <f>IFERROR(SUM(X367:X367),"0")</f>
        <v>0</v>
      </c>
      <c r="Y369" s="543">
        <f>IFERROR(SUM(Y367:Y367),"0")</f>
        <v>0</v>
      </c>
      <c r="Z369" s="37"/>
      <c r="AA369" s="544"/>
      <c r="AB369" s="544"/>
      <c r="AC369" s="544"/>
    </row>
    <row r="370" spans="1:68" ht="16.5" customHeight="1" x14ac:dyDescent="0.25">
      <c r="A370" s="559" t="s">
        <v>584</v>
      </c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36"/>
      <c r="AB370" s="536"/>
      <c r="AC370" s="536"/>
    </row>
    <row r="371" spans="1:68" ht="14.25" customHeight="1" x14ac:dyDescent="0.25">
      <c r="A371" s="555" t="s">
        <v>99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7"/>
      <c r="AB371" s="537"/>
      <c r="AC371" s="537"/>
    </row>
    <row r="372" spans="1:68" ht="37.5" customHeight="1" x14ac:dyDescent="0.25">
      <c r="A372" s="54" t="s">
        <v>585</v>
      </c>
      <c r="B372" s="54" t="s">
        <v>586</v>
      </c>
      <c r="C372" s="31">
        <v>4301011875</v>
      </c>
      <c r="D372" s="545">
        <v>4680115884885</v>
      </c>
      <c r="E372" s="546"/>
      <c r="F372" s="540">
        <v>0.8</v>
      </c>
      <c r="G372" s="32">
        <v>15</v>
      </c>
      <c r="H372" s="540">
        <v>12</v>
      </c>
      <c r="I372" s="540">
        <v>12.41</v>
      </c>
      <c r="J372" s="32">
        <v>64</v>
      </c>
      <c r="K372" s="32" t="s">
        <v>102</v>
      </c>
      <c r="L372" s="32" t="s">
        <v>103</v>
      </c>
      <c r="M372" s="33" t="s">
        <v>68</v>
      </c>
      <c r="N372" s="33"/>
      <c r="O372" s="32">
        <v>60</v>
      </c>
      <c r="P372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40</v>
      </c>
      <c r="Y372" s="542">
        <f>IFERROR(IF(X372="",0,CEILING((X372/$H372),1)*$H372),"")</f>
        <v>48</v>
      </c>
      <c r="Z372" s="36">
        <f>IFERROR(IF(Y372=0,"",ROUNDUP(Y372/H372,0)*0.01898),"")</f>
        <v>7.5920000000000001E-2</v>
      </c>
      <c r="AA372" s="56"/>
      <c r="AB372" s="57"/>
      <c r="AC372" s="423" t="s">
        <v>587</v>
      </c>
      <c r="AG372" s="64"/>
      <c r="AJ372" s="68" t="s">
        <v>106</v>
      </c>
      <c r="AK372" s="68">
        <v>96</v>
      </c>
      <c r="BB372" s="424" t="s">
        <v>1</v>
      </c>
      <c r="BM372" s="64">
        <f>IFERROR(X372*I372/H372,"0")</f>
        <v>41.366666666666667</v>
      </c>
      <c r="BN372" s="64">
        <f>IFERROR(Y372*I372/H372,"0")</f>
        <v>49.640000000000008</v>
      </c>
      <c r="BO372" s="64">
        <f>IFERROR(1/J372*(X372/H372),"0")</f>
        <v>5.2083333333333336E-2</v>
      </c>
      <c r="BP372" s="64">
        <f>IFERROR(1/J372*(Y372/H372),"0")</f>
        <v>6.25E-2</v>
      </c>
    </row>
    <row r="373" spans="1:68" ht="37.5" customHeight="1" x14ac:dyDescent="0.25">
      <c r="A373" s="54" t="s">
        <v>588</v>
      </c>
      <c r="B373" s="54" t="s">
        <v>589</v>
      </c>
      <c r="C373" s="31">
        <v>4301011871</v>
      </c>
      <c r="D373" s="545">
        <v>4680115884908</v>
      </c>
      <c r="E373" s="546"/>
      <c r="F373" s="540">
        <v>0.4</v>
      </c>
      <c r="G373" s="32">
        <v>10</v>
      </c>
      <c r="H373" s="540">
        <v>4</v>
      </c>
      <c r="I373" s="540">
        <v>4.1900000000000004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60</v>
      </c>
      <c r="P373" s="8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587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1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2"/>
      <c r="P374" s="552" t="s">
        <v>75</v>
      </c>
      <c r="Q374" s="553"/>
      <c r="R374" s="553"/>
      <c r="S374" s="553"/>
      <c r="T374" s="553"/>
      <c r="U374" s="553"/>
      <c r="V374" s="554"/>
      <c r="W374" s="37" t="s">
        <v>76</v>
      </c>
      <c r="X374" s="543">
        <f>IFERROR(X372/H372,"0")+IFERROR(X373/H373,"0")</f>
        <v>3.3333333333333335</v>
      </c>
      <c r="Y374" s="543">
        <f>IFERROR(Y372/H372,"0")+IFERROR(Y373/H373,"0")</f>
        <v>4</v>
      </c>
      <c r="Z374" s="543">
        <f>IFERROR(IF(Z372="",0,Z372),"0")+IFERROR(IF(Z373="",0,Z373),"0")</f>
        <v>7.5920000000000001E-2</v>
      </c>
      <c r="AA374" s="544"/>
      <c r="AB374" s="544"/>
      <c r="AC374" s="544"/>
    </row>
    <row r="375" spans="1:68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2"/>
      <c r="P375" s="552" t="s">
        <v>75</v>
      </c>
      <c r="Q375" s="553"/>
      <c r="R375" s="553"/>
      <c r="S375" s="553"/>
      <c r="T375" s="553"/>
      <c r="U375" s="553"/>
      <c r="V375" s="554"/>
      <c r="W375" s="37" t="s">
        <v>69</v>
      </c>
      <c r="X375" s="543">
        <f>IFERROR(SUM(X372:X373),"0")</f>
        <v>40</v>
      </c>
      <c r="Y375" s="543">
        <f>IFERROR(SUM(Y372:Y373),"0")</f>
        <v>48</v>
      </c>
      <c r="Z375" s="37"/>
      <c r="AA375" s="544"/>
      <c r="AB375" s="544"/>
      <c r="AC375" s="544"/>
    </row>
    <row r="376" spans="1:68" ht="14.25" customHeight="1" x14ac:dyDescent="0.25">
      <c r="A376" s="555" t="s">
        <v>64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7"/>
      <c r="AB376" s="537"/>
      <c r="AC376" s="537"/>
    </row>
    <row r="377" spans="1:68" ht="27" customHeight="1" x14ac:dyDescent="0.25">
      <c r="A377" s="54" t="s">
        <v>590</v>
      </c>
      <c r="B377" s="54" t="s">
        <v>591</v>
      </c>
      <c r="C377" s="31">
        <v>4301031457</v>
      </c>
      <c r="D377" s="545">
        <v>4607091384802</v>
      </c>
      <c r="E377" s="546"/>
      <c r="F377" s="540">
        <v>0.7</v>
      </c>
      <c r="G377" s="32">
        <v>6</v>
      </c>
      <c r="H377" s="540">
        <v>4.2</v>
      </c>
      <c r="I377" s="540">
        <v>4.45</v>
      </c>
      <c r="J377" s="32">
        <v>132</v>
      </c>
      <c r="K377" s="32" t="s">
        <v>109</v>
      </c>
      <c r="L377" s="32"/>
      <c r="M377" s="33" t="s">
        <v>68</v>
      </c>
      <c r="N377" s="33"/>
      <c r="O377" s="32">
        <v>50</v>
      </c>
      <c r="P377" s="7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592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1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62"/>
      <c r="P378" s="552" t="s">
        <v>75</v>
      </c>
      <c r="Q378" s="553"/>
      <c r="R378" s="553"/>
      <c r="S378" s="553"/>
      <c r="T378" s="553"/>
      <c r="U378" s="553"/>
      <c r="V378" s="554"/>
      <c r="W378" s="37" t="s">
        <v>76</v>
      </c>
      <c r="X378" s="543">
        <f>IFERROR(X377/H377,"0")</f>
        <v>0</v>
      </c>
      <c r="Y378" s="543">
        <f>IFERROR(Y377/H377,"0")</f>
        <v>0</v>
      </c>
      <c r="Z378" s="543">
        <f>IFERROR(IF(Z377="",0,Z377),"0")</f>
        <v>0</v>
      </c>
      <c r="AA378" s="544"/>
      <c r="AB378" s="544"/>
      <c r="AC378" s="544"/>
    </row>
    <row r="379" spans="1:68" x14ac:dyDescent="0.2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62"/>
      <c r="P379" s="552" t="s">
        <v>75</v>
      </c>
      <c r="Q379" s="553"/>
      <c r="R379" s="553"/>
      <c r="S379" s="553"/>
      <c r="T379" s="553"/>
      <c r="U379" s="553"/>
      <c r="V379" s="554"/>
      <c r="W379" s="37" t="s">
        <v>69</v>
      </c>
      <c r="X379" s="543">
        <f>IFERROR(SUM(X377:X377),"0")</f>
        <v>0</v>
      </c>
      <c r="Y379" s="543">
        <f>IFERROR(SUM(Y377:Y377),"0")</f>
        <v>0</v>
      </c>
      <c r="Z379" s="37"/>
      <c r="AA379" s="544"/>
      <c r="AB379" s="544"/>
      <c r="AC379" s="544"/>
    </row>
    <row r="380" spans="1:68" ht="14.25" customHeight="1" x14ac:dyDescent="0.25">
      <c r="A380" s="555" t="s">
        <v>77</v>
      </c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37"/>
      <c r="AB380" s="537"/>
      <c r="AC380" s="537"/>
    </row>
    <row r="381" spans="1:68" ht="27" customHeight="1" x14ac:dyDescent="0.25">
      <c r="A381" s="54" t="s">
        <v>593</v>
      </c>
      <c r="B381" s="54" t="s">
        <v>594</v>
      </c>
      <c r="C381" s="31">
        <v>4301051899</v>
      </c>
      <c r="D381" s="545">
        <v>4607091384246</v>
      </c>
      <c r="E381" s="546"/>
      <c r="F381" s="540">
        <v>1.5</v>
      </c>
      <c r="G381" s="32">
        <v>6</v>
      </c>
      <c r="H381" s="540">
        <v>9</v>
      </c>
      <c r="I381" s="540">
        <v>9.4939999999999998</v>
      </c>
      <c r="J381" s="32">
        <v>64</v>
      </c>
      <c r="K381" s="32" t="s">
        <v>102</v>
      </c>
      <c r="L381" s="32" t="s">
        <v>103</v>
      </c>
      <c r="M381" s="33" t="s">
        <v>80</v>
      </c>
      <c r="N381" s="33"/>
      <c r="O381" s="32">
        <v>40</v>
      </c>
      <c r="P381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48"/>
      <c r="R381" s="548"/>
      <c r="S381" s="548"/>
      <c r="T381" s="549"/>
      <c r="U381" s="34"/>
      <c r="V381" s="34"/>
      <c r="W381" s="35" t="s">
        <v>69</v>
      </c>
      <c r="X381" s="541">
        <v>60</v>
      </c>
      <c r="Y381" s="542">
        <f>IFERROR(IF(X381="",0,CEILING((X381/$H381),1)*$H381),"")</f>
        <v>63</v>
      </c>
      <c r="Z381" s="36">
        <f>IFERROR(IF(Y381=0,"",ROUNDUP(Y381/H381,0)*0.01898),"")</f>
        <v>0.13286000000000001</v>
      </c>
      <c r="AA381" s="56"/>
      <c r="AB381" s="57"/>
      <c r="AC381" s="429" t="s">
        <v>595</v>
      </c>
      <c r="AG381" s="64"/>
      <c r="AJ381" s="68" t="s">
        <v>106</v>
      </c>
      <c r="AK381" s="68">
        <v>72</v>
      </c>
      <c r="BB381" s="430" t="s">
        <v>1</v>
      </c>
      <c r="BM381" s="64">
        <f>IFERROR(X381*I381/H381,"0")</f>
        <v>63.293333333333329</v>
      </c>
      <c r="BN381" s="64">
        <f>IFERROR(Y381*I381/H381,"0")</f>
        <v>66.457999999999998</v>
      </c>
      <c r="BO381" s="64">
        <f>IFERROR(1/J381*(X381/H381),"0")</f>
        <v>0.10416666666666667</v>
      </c>
      <c r="BP381" s="64">
        <f>IFERROR(1/J381*(Y381/H381),"0")</f>
        <v>0.109375</v>
      </c>
    </row>
    <row r="382" spans="1:68" ht="27" customHeight="1" x14ac:dyDescent="0.25">
      <c r="A382" s="54" t="s">
        <v>596</v>
      </c>
      <c r="B382" s="54" t="s">
        <v>597</v>
      </c>
      <c r="C382" s="31">
        <v>4301051660</v>
      </c>
      <c r="D382" s="545">
        <v>4607091384253</v>
      </c>
      <c r="E382" s="546"/>
      <c r="F382" s="540">
        <v>0.4</v>
      </c>
      <c r="G382" s="32">
        <v>6</v>
      </c>
      <c r="H382" s="540">
        <v>2.4</v>
      </c>
      <c r="I382" s="540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48"/>
      <c r="R382" s="548"/>
      <c r="S382" s="548"/>
      <c r="T382" s="549"/>
      <c r="U382" s="34"/>
      <c r="V382" s="34"/>
      <c r="W382" s="35" t="s">
        <v>69</v>
      </c>
      <c r="X382" s="541">
        <v>0</v>
      </c>
      <c r="Y382" s="542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595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596</v>
      </c>
      <c r="B383" s="54" t="s">
        <v>598</v>
      </c>
      <c r="C383" s="31">
        <v>4301052069</v>
      </c>
      <c r="D383" s="545">
        <v>4607091384253</v>
      </c>
      <c r="E383" s="546"/>
      <c r="F383" s="540">
        <v>0.4</v>
      </c>
      <c r="G383" s="32">
        <v>6</v>
      </c>
      <c r="H383" s="540">
        <v>2.4</v>
      </c>
      <c r="I383" s="540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48"/>
      <c r="R383" s="548"/>
      <c r="S383" s="548"/>
      <c r="T383" s="549"/>
      <c r="U383" s="34"/>
      <c r="V383" s="34"/>
      <c r="W383" s="35" t="s">
        <v>69</v>
      </c>
      <c r="X383" s="541">
        <v>0</v>
      </c>
      <c r="Y383" s="542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599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1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62"/>
      <c r="P384" s="552" t="s">
        <v>75</v>
      </c>
      <c r="Q384" s="553"/>
      <c r="R384" s="553"/>
      <c r="S384" s="553"/>
      <c r="T384" s="553"/>
      <c r="U384" s="553"/>
      <c r="V384" s="554"/>
      <c r="W384" s="37" t="s">
        <v>76</v>
      </c>
      <c r="X384" s="543">
        <f>IFERROR(X381/H381,"0")+IFERROR(X382/H382,"0")+IFERROR(X383/H383,"0")</f>
        <v>6.666666666666667</v>
      </c>
      <c r="Y384" s="543">
        <f>IFERROR(Y381/H381,"0")+IFERROR(Y382/H382,"0")+IFERROR(Y383/H383,"0")</f>
        <v>7</v>
      </c>
      <c r="Z384" s="543">
        <f>IFERROR(IF(Z381="",0,Z381),"0")+IFERROR(IF(Z382="",0,Z382),"0")+IFERROR(IF(Z383="",0,Z383),"0")</f>
        <v>0.13286000000000001</v>
      </c>
      <c r="AA384" s="544"/>
      <c r="AB384" s="544"/>
      <c r="AC384" s="544"/>
    </row>
    <row r="385" spans="1:68" x14ac:dyDescent="0.2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62"/>
      <c r="P385" s="552" t="s">
        <v>75</v>
      </c>
      <c r="Q385" s="553"/>
      <c r="R385" s="553"/>
      <c r="S385" s="553"/>
      <c r="T385" s="553"/>
      <c r="U385" s="553"/>
      <c r="V385" s="554"/>
      <c r="W385" s="37" t="s">
        <v>69</v>
      </c>
      <c r="X385" s="543">
        <f>IFERROR(SUM(X381:X383),"0")</f>
        <v>60</v>
      </c>
      <c r="Y385" s="543">
        <f>IFERROR(SUM(Y381:Y383),"0")</f>
        <v>63</v>
      </c>
      <c r="Z385" s="37"/>
      <c r="AA385" s="544"/>
      <c r="AB385" s="544"/>
      <c r="AC385" s="544"/>
    </row>
    <row r="386" spans="1:68" ht="27.75" customHeight="1" x14ac:dyDescent="0.2">
      <c r="A386" s="590" t="s">
        <v>600</v>
      </c>
      <c r="B386" s="591"/>
      <c r="C386" s="591"/>
      <c r="D386" s="591"/>
      <c r="E386" s="591"/>
      <c r="F386" s="591"/>
      <c r="G386" s="591"/>
      <c r="H386" s="591"/>
      <c r="I386" s="591"/>
      <c r="J386" s="591"/>
      <c r="K386" s="591"/>
      <c r="L386" s="591"/>
      <c r="M386" s="591"/>
      <c r="N386" s="591"/>
      <c r="O386" s="591"/>
      <c r="P386" s="591"/>
      <c r="Q386" s="591"/>
      <c r="R386" s="591"/>
      <c r="S386" s="591"/>
      <c r="T386" s="591"/>
      <c r="U386" s="591"/>
      <c r="V386" s="591"/>
      <c r="W386" s="591"/>
      <c r="X386" s="591"/>
      <c r="Y386" s="591"/>
      <c r="Z386" s="591"/>
      <c r="AA386" s="48"/>
      <c r="AB386" s="48"/>
      <c r="AC386" s="48"/>
    </row>
    <row r="387" spans="1:68" ht="16.5" customHeight="1" x14ac:dyDescent="0.25">
      <c r="A387" s="559" t="s">
        <v>601</v>
      </c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36"/>
      <c r="AB387" s="536"/>
      <c r="AC387" s="536"/>
    </row>
    <row r="388" spans="1:68" ht="14.25" customHeight="1" x14ac:dyDescent="0.25">
      <c r="A388" s="555" t="s">
        <v>64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37"/>
      <c r="AB388" s="537"/>
      <c r="AC388" s="537"/>
    </row>
    <row r="389" spans="1:68" ht="27" customHeight="1" x14ac:dyDescent="0.25">
      <c r="A389" s="54" t="s">
        <v>602</v>
      </c>
      <c r="B389" s="54" t="s">
        <v>603</v>
      </c>
      <c r="C389" s="31">
        <v>4301031405</v>
      </c>
      <c r="D389" s="545">
        <v>4680115886100</v>
      </c>
      <c r="E389" s="546"/>
      <c r="F389" s="540">
        <v>0.9</v>
      </c>
      <c r="G389" s="32">
        <v>6</v>
      </c>
      <c r="H389" s="540">
        <v>5.4</v>
      </c>
      <c r="I389" s="540">
        <v>5.59</v>
      </c>
      <c r="J389" s="32">
        <v>132</v>
      </c>
      <c r="K389" s="32" t="s">
        <v>109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604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605</v>
      </c>
      <c r="B390" s="54" t="s">
        <v>606</v>
      </c>
      <c r="C390" s="31">
        <v>4301031406</v>
      </c>
      <c r="D390" s="545">
        <v>4680115886117</v>
      </c>
      <c r="E390" s="546"/>
      <c r="F390" s="540">
        <v>0.9</v>
      </c>
      <c r="G390" s="32">
        <v>6</v>
      </c>
      <c r="H390" s="540">
        <v>5.4</v>
      </c>
      <c r="I390" s="540">
        <v>5.59</v>
      </c>
      <c r="J390" s="32">
        <v>132</v>
      </c>
      <c r="K390" s="32" t="s">
        <v>109</v>
      </c>
      <c r="L390" s="32"/>
      <c r="M390" s="33" t="s">
        <v>68</v>
      </c>
      <c r="N390" s="33"/>
      <c r="O390" s="32">
        <v>50</v>
      </c>
      <c r="P390" s="7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4301031402</v>
      </c>
      <c r="D391" s="545">
        <v>4680115886124</v>
      </c>
      <c r="E391" s="546"/>
      <c r="F391" s="540">
        <v>0.9</v>
      </c>
      <c r="G391" s="32">
        <v>6</v>
      </c>
      <c r="H391" s="540">
        <v>5.4</v>
      </c>
      <c r="I391" s="540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4301031366</v>
      </c>
      <c r="D392" s="545">
        <v>4680115883147</v>
      </c>
      <c r="E392" s="546"/>
      <c r="F392" s="540">
        <v>0.28000000000000003</v>
      </c>
      <c r="G392" s="32">
        <v>6</v>
      </c>
      <c r="H392" s="540">
        <v>1.68</v>
      </c>
      <c r="I392" s="540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613</v>
      </c>
      <c r="B393" s="54" t="s">
        <v>614</v>
      </c>
      <c r="C393" s="31">
        <v>4301031362</v>
      </c>
      <c r="D393" s="545">
        <v>4607091384338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73</v>
      </c>
      <c r="L393" s="32" t="s">
        <v>279</v>
      </c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17.5</v>
      </c>
      <c r="Y393" s="542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604</v>
      </c>
      <c r="AG393" s="64"/>
      <c r="AJ393" s="68" t="s">
        <v>106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customHeight="1" x14ac:dyDescent="0.25">
      <c r="A394" s="54" t="s">
        <v>615</v>
      </c>
      <c r="B394" s="54" t="s">
        <v>616</v>
      </c>
      <c r="C394" s="31">
        <v>4301031361</v>
      </c>
      <c r="D394" s="545">
        <v>4607091389524</v>
      </c>
      <c r="E394" s="546"/>
      <c r="F394" s="540">
        <v>0.35</v>
      </c>
      <c r="G394" s="32">
        <v>6</v>
      </c>
      <c r="H394" s="540">
        <v>2.1</v>
      </c>
      <c r="I394" s="540">
        <v>2.23</v>
      </c>
      <c r="J394" s="32">
        <v>234</v>
      </c>
      <c r="K394" s="32" t="s">
        <v>73</v>
      </c>
      <c r="L394" s="32" t="s">
        <v>279</v>
      </c>
      <c r="M394" s="33" t="s">
        <v>68</v>
      </c>
      <c r="N394" s="33"/>
      <c r="O394" s="32">
        <v>50</v>
      </c>
      <c r="P394" s="60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1">
        <v>28</v>
      </c>
      <c r="Y394" s="542">
        <f t="shared" si="36"/>
        <v>29.400000000000002</v>
      </c>
      <c r="Z394" s="36">
        <f t="shared" si="41"/>
        <v>7.0280000000000009E-2</v>
      </c>
      <c r="AA394" s="56"/>
      <c r="AB394" s="57"/>
      <c r="AC394" s="445" t="s">
        <v>617</v>
      </c>
      <c r="AG394" s="64"/>
      <c r="AJ394" s="68" t="s">
        <v>106</v>
      </c>
      <c r="AK394" s="68">
        <v>37.799999999999997</v>
      </c>
      <c r="BB394" s="446" t="s">
        <v>1</v>
      </c>
      <c r="BM394" s="64">
        <f t="shared" si="37"/>
        <v>29.733333333333331</v>
      </c>
      <c r="BN394" s="64">
        <f t="shared" si="38"/>
        <v>31.22</v>
      </c>
      <c r="BO394" s="64">
        <f t="shared" si="39"/>
        <v>5.6980056980056981E-2</v>
      </c>
      <c r="BP394" s="64">
        <f t="shared" si="40"/>
        <v>5.9829059829059839E-2</v>
      </c>
    </row>
    <row r="395" spans="1:68" ht="27" customHeight="1" x14ac:dyDescent="0.25">
      <c r="A395" s="54" t="s">
        <v>618</v>
      </c>
      <c r="B395" s="54" t="s">
        <v>619</v>
      </c>
      <c r="C395" s="31">
        <v>4301031364</v>
      </c>
      <c r="D395" s="545">
        <v>4680115883161</v>
      </c>
      <c r="E395" s="546"/>
      <c r="F395" s="540">
        <v>0.28000000000000003</v>
      </c>
      <c r="G395" s="32">
        <v>6</v>
      </c>
      <c r="H395" s="540">
        <v>1.68</v>
      </c>
      <c r="I395" s="540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48"/>
      <c r="R395" s="548"/>
      <c r="S395" s="548"/>
      <c r="T395" s="549"/>
      <c r="U395" s="34"/>
      <c r="V395" s="34"/>
      <c r="W395" s="35" t="s">
        <v>69</v>
      </c>
      <c r="X395" s="541">
        <v>0</v>
      </c>
      <c r="Y395" s="542">
        <f t="shared" si="36"/>
        <v>0</v>
      </c>
      <c r="Z395" s="36" t="str">
        <f t="shared" si="41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4301031358</v>
      </c>
      <c r="D396" s="545">
        <v>4607091389531</v>
      </c>
      <c r="E396" s="546"/>
      <c r="F396" s="540">
        <v>0.35</v>
      </c>
      <c r="G396" s="32">
        <v>6</v>
      </c>
      <c r="H396" s="540">
        <v>2.1</v>
      </c>
      <c r="I396" s="540">
        <v>2.23</v>
      </c>
      <c r="J396" s="32">
        <v>234</v>
      </c>
      <c r="K396" s="32" t="s">
        <v>73</v>
      </c>
      <c r="L396" s="32" t="s">
        <v>279</v>
      </c>
      <c r="M396" s="33" t="s">
        <v>68</v>
      </c>
      <c r="N396" s="33"/>
      <c r="O396" s="32">
        <v>50</v>
      </c>
      <c r="P396" s="7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48"/>
      <c r="R396" s="548"/>
      <c r="S396" s="548"/>
      <c r="T396" s="549"/>
      <c r="U396" s="34"/>
      <c r="V396" s="34"/>
      <c r="W396" s="35" t="s">
        <v>69</v>
      </c>
      <c r="X396" s="541">
        <v>17.5</v>
      </c>
      <c r="Y396" s="542">
        <f t="shared" si="36"/>
        <v>18.900000000000002</v>
      </c>
      <c r="Z396" s="36">
        <f t="shared" si="41"/>
        <v>4.5179999999999998E-2</v>
      </c>
      <c r="AA396" s="56"/>
      <c r="AB396" s="57"/>
      <c r="AC396" s="449" t="s">
        <v>623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18.583333333333332</v>
      </c>
      <c r="BN396" s="64">
        <f t="shared" si="38"/>
        <v>20.07</v>
      </c>
      <c r="BO396" s="64">
        <f t="shared" si="39"/>
        <v>3.5612535612535613E-2</v>
      </c>
      <c r="BP396" s="64">
        <f t="shared" si="40"/>
        <v>3.8461538461538464E-2</v>
      </c>
    </row>
    <row r="397" spans="1:68" ht="37.5" customHeight="1" x14ac:dyDescent="0.25">
      <c r="A397" s="54" t="s">
        <v>624</v>
      </c>
      <c r="B397" s="54" t="s">
        <v>625</v>
      </c>
      <c r="C397" s="31">
        <v>4301031360</v>
      </c>
      <c r="D397" s="545">
        <v>4607091384345</v>
      </c>
      <c r="E397" s="546"/>
      <c r="F397" s="540">
        <v>0.35</v>
      </c>
      <c r="G397" s="32">
        <v>6</v>
      </c>
      <c r="H397" s="540">
        <v>2.1</v>
      </c>
      <c r="I397" s="54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 t="shared" si="36"/>
        <v>0</v>
      </c>
      <c r="Z397" s="36" t="str">
        <f t="shared" si="41"/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1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62"/>
      <c r="P398" s="552" t="s">
        <v>75</v>
      </c>
      <c r="Q398" s="553"/>
      <c r="R398" s="553"/>
      <c r="S398" s="553"/>
      <c r="T398" s="553"/>
      <c r="U398" s="553"/>
      <c r="V398" s="554"/>
      <c r="W398" s="37" t="s">
        <v>76</v>
      </c>
      <c r="X398" s="543">
        <f>IFERROR(X389/H389,"0")+IFERROR(X390/H390,"0")+IFERROR(X391/H391,"0")+IFERROR(X392/H392,"0")+IFERROR(X393/H393,"0")+IFERROR(X394/H394,"0")+IFERROR(X395/H395,"0")+IFERROR(X396/H396,"0")+IFERROR(X397/H397,"0")</f>
        <v>29.999999999999996</v>
      </c>
      <c r="Y398" s="543">
        <f>IFERROR(Y389/H389,"0")+IFERROR(Y390/H390,"0")+IFERROR(Y391/H391,"0")+IFERROR(Y392/H392,"0")+IFERROR(Y393/H393,"0")+IFERROR(Y394/H394,"0")+IFERROR(Y395/H395,"0")+IFERROR(Y396/H396,"0")+IFERROR(Y397/H397,"0")</f>
        <v>32</v>
      </c>
      <c r="Z398" s="5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0.16064000000000001</v>
      </c>
      <c r="AA398" s="544"/>
      <c r="AB398" s="544"/>
      <c r="AC398" s="544"/>
    </row>
    <row r="399" spans="1:68" x14ac:dyDescent="0.2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2"/>
      <c r="P399" s="552" t="s">
        <v>75</v>
      </c>
      <c r="Q399" s="553"/>
      <c r="R399" s="553"/>
      <c r="S399" s="553"/>
      <c r="T399" s="553"/>
      <c r="U399" s="553"/>
      <c r="V399" s="554"/>
      <c r="W399" s="37" t="s">
        <v>69</v>
      </c>
      <c r="X399" s="543">
        <f>IFERROR(SUM(X389:X397),"0")</f>
        <v>63</v>
      </c>
      <c r="Y399" s="543">
        <f>IFERROR(SUM(Y389:Y397),"0")</f>
        <v>67.2</v>
      </c>
      <c r="Z399" s="37"/>
      <c r="AA399" s="544"/>
      <c r="AB399" s="544"/>
      <c r="AC399" s="544"/>
    </row>
    <row r="400" spans="1:68" ht="14.25" customHeight="1" x14ac:dyDescent="0.25">
      <c r="A400" s="555" t="s">
        <v>77</v>
      </c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37"/>
      <c r="AB400" s="537"/>
      <c r="AC400" s="537"/>
    </row>
    <row r="401" spans="1:68" ht="27" customHeight="1" x14ac:dyDescent="0.25">
      <c r="A401" s="54" t="s">
        <v>626</v>
      </c>
      <c r="B401" s="54" t="s">
        <v>627</v>
      </c>
      <c r="C401" s="31">
        <v>4301051284</v>
      </c>
      <c r="D401" s="545">
        <v>4607091384352</v>
      </c>
      <c r="E401" s="546"/>
      <c r="F401" s="540">
        <v>0.6</v>
      </c>
      <c r="G401" s="32">
        <v>4</v>
      </c>
      <c r="H401" s="540">
        <v>2.4</v>
      </c>
      <c r="I401" s="540">
        <v>2.6259999999999999</v>
      </c>
      <c r="J401" s="32">
        <v>132</v>
      </c>
      <c r="K401" s="32" t="s">
        <v>109</v>
      </c>
      <c r="L401" s="32"/>
      <c r="M401" s="33" t="s">
        <v>80</v>
      </c>
      <c r="N401" s="33"/>
      <c r="O401" s="32">
        <v>45</v>
      </c>
      <c r="P401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48"/>
      <c r="R401" s="548"/>
      <c r="S401" s="548"/>
      <c r="T401" s="549"/>
      <c r="U401" s="34"/>
      <c r="V401" s="34"/>
      <c r="W401" s="35" t="s">
        <v>69</v>
      </c>
      <c r="X401" s="541">
        <v>0</v>
      </c>
      <c r="Y401" s="54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628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629</v>
      </c>
      <c r="B402" s="54" t="s">
        <v>630</v>
      </c>
      <c r="C402" s="31">
        <v>4301051431</v>
      </c>
      <c r="D402" s="545">
        <v>4607091389654</v>
      </c>
      <c r="E402" s="546"/>
      <c r="F402" s="540">
        <v>0.33</v>
      </c>
      <c r="G402" s="32">
        <v>6</v>
      </c>
      <c r="H402" s="540">
        <v>1.98</v>
      </c>
      <c r="I402" s="540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48"/>
      <c r="R402" s="548"/>
      <c r="S402" s="548"/>
      <c r="T402" s="549"/>
      <c r="U402" s="34"/>
      <c r="V402" s="34"/>
      <c r="W402" s="35" t="s">
        <v>69</v>
      </c>
      <c r="X402" s="541">
        <v>0</v>
      </c>
      <c r="Y402" s="542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1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62"/>
      <c r="P403" s="552" t="s">
        <v>75</v>
      </c>
      <c r="Q403" s="553"/>
      <c r="R403" s="553"/>
      <c r="S403" s="553"/>
      <c r="T403" s="553"/>
      <c r="U403" s="553"/>
      <c r="V403" s="554"/>
      <c r="W403" s="37" t="s">
        <v>76</v>
      </c>
      <c r="X403" s="543">
        <f>IFERROR(X401/H401,"0")+IFERROR(X402/H402,"0")</f>
        <v>0</v>
      </c>
      <c r="Y403" s="543">
        <f>IFERROR(Y401/H401,"0")+IFERROR(Y402/H402,"0")</f>
        <v>0</v>
      </c>
      <c r="Z403" s="543">
        <f>IFERROR(IF(Z401="",0,Z401),"0")+IFERROR(IF(Z402="",0,Z402),"0")</f>
        <v>0</v>
      </c>
      <c r="AA403" s="544"/>
      <c r="AB403" s="544"/>
      <c r="AC403" s="544"/>
    </row>
    <row r="404" spans="1:68" x14ac:dyDescent="0.2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2"/>
      <c r="P404" s="552" t="s">
        <v>75</v>
      </c>
      <c r="Q404" s="553"/>
      <c r="R404" s="553"/>
      <c r="S404" s="553"/>
      <c r="T404" s="553"/>
      <c r="U404" s="553"/>
      <c r="V404" s="554"/>
      <c r="W404" s="37" t="s">
        <v>69</v>
      </c>
      <c r="X404" s="543">
        <f>IFERROR(SUM(X401:X402),"0")</f>
        <v>0</v>
      </c>
      <c r="Y404" s="543">
        <f>IFERROR(SUM(Y401:Y402),"0")</f>
        <v>0</v>
      </c>
      <c r="Z404" s="37"/>
      <c r="AA404" s="544"/>
      <c r="AB404" s="544"/>
      <c r="AC404" s="544"/>
    </row>
    <row r="405" spans="1:68" ht="16.5" customHeight="1" x14ac:dyDescent="0.25">
      <c r="A405" s="559" t="s">
        <v>632</v>
      </c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36"/>
      <c r="AB405" s="536"/>
      <c r="AC405" s="536"/>
    </row>
    <row r="406" spans="1:68" ht="14.25" customHeight="1" x14ac:dyDescent="0.25">
      <c r="A406" s="555" t="s">
        <v>135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7"/>
      <c r="AB406" s="537"/>
      <c r="AC406" s="537"/>
    </row>
    <row r="407" spans="1:68" ht="27" customHeight="1" x14ac:dyDescent="0.25">
      <c r="A407" s="54" t="s">
        <v>633</v>
      </c>
      <c r="B407" s="54" t="s">
        <v>634</v>
      </c>
      <c r="C407" s="31">
        <v>4301020319</v>
      </c>
      <c r="D407" s="545">
        <v>4680115885240</v>
      </c>
      <c r="E407" s="546"/>
      <c r="F407" s="540">
        <v>0.35</v>
      </c>
      <c r="G407" s="32">
        <v>6</v>
      </c>
      <c r="H407" s="540">
        <v>2.1</v>
      </c>
      <c r="I407" s="540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1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62"/>
      <c r="P408" s="552" t="s">
        <v>75</v>
      </c>
      <c r="Q408" s="553"/>
      <c r="R408" s="553"/>
      <c r="S408" s="553"/>
      <c r="T408" s="553"/>
      <c r="U408" s="553"/>
      <c r="V408" s="554"/>
      <c r="W408" s="37" t="s">
        <v>76</v>
      </c>
      <c r="X408" s="543">
        <f>IFERROR(X407/H407,"0")</f>
        <v>0</v>
      </c>
      <c r="Y408" s="543">
        <f>IFERROR(Y407/H407,"0")</f>
        <v>0</v>
      </c>
      <c r="Z408" s="543">
        <f>IFERROR(IF(Z407="",0,Z407),"0")</f>
        <v>0</v>
      </c>
      <c r="AA408" s="544"/>
      <c r="AB408" s="544"/>
      <c r="AC408" s="544"/>
    </row>
    <row r="409" spans="1:68" x14ac:dyDescent="0.2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62"/>
      <c r="P409" s="552" t="s">
        <v>75</v>
      </c>
      <c r="Q409" s="553"/>
      <c r="R409" s="553"/>
      <c r="S409" s="553"/>
      <c r="T409" s="553"/>
      <c r="U409" s="553"/>
      <c r="V409" s="554"/>
      <c r="W409" s="37" t="s">
        <v>69</v>
      </c>
      <c r="X409" s="543">
        <f>IFERROR(SUM(X407:X407),"0")</f>
        <v>0</v>
      </c>
      <c r="Y409" s="543">
        <f>IFERROR(SUM(Y407:Y407),"0")</f>
        <v>0</v>
      </c>
      <c r="Z409" s="37"/>
      <c r="AA409" s="544"/>
      <c r="AB409" s="544"/>
      <c r="AC409" s="544"/>
    </row>
    <row r="410" spans="1:68" ht="14.25" customHeight="1" x14ac:dyDescent="0.25">
      <c r="A410" s="555" t="s">
        <v>64</v>
      </c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37"/>
      <c r="AB410" s="537"/>
      <c r="AC410" s="537"/>
    </row>
    <row r="411" spans="1:68" ht="27" customHeight="1" x14ac:dyDescent="0.25">
      <c r="A411" s="54" t="s">
        <v>636</v>
      </c>
      <c r="B411" s="54" t="s">
        <v>637</v>
      </c>
      <c r="C411" s="31">
        <v>4301031403</v>
      </c>
      <c r="D411" s="545">
        <v>4680115886094</v>
      </c>
      <c r="E411" s="546"/>
      <c r="F411" s="540">
        <v>0.9</v>
      </c>
      <c r="G411" s="32">
        <v>6</v>
      </c>
      <c r="H411" s="540">
        <v>5.4</v>
      </c>
      <c r="I411" s="540">
        <v>5.59</v>
      </c>
      <c r="J411" s="32">
        <v>132</v>
      </c>
      <c r="K411" s="32" t="s">
        <v>109</v>
      </c>
      <c r="L411" s="32"/>
      <c r="M411" s="33" t="s">
        <v>104</v>
      </c>
      <c r="N411" s="33"/>
      <c r="O411" s="32">
        <v>50</v>
      </c>
      <c r="P411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48"/>
      <c r="R411" s="548"/>
      <c r="S411" s="548"/>
      <c r="T411" s="549"/>
      <c r="U411" s="34"/>
      <c r="V411" s="34"/>
      <c r="W411" s="35" t="s">
        <v>69</v>
      </c>
      <c r="X411" s="541">
        <v>0</v>
      </c>
      <c r="Y411" s="542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639</v>
      </c>
      <c r="B412" s="54" t="s">
        <v>640</v>
      </c>
      <c r="C412" s="31">
        <v>4301031363</v>
      </c>
      <c r="D412" s="545">
        <v>4607091389425</v>
      </c>
      <c r="E412" s="546"/>
      <c r="F412" s="540">
        <v>0.35</v>
      </c>
      <c r="G412" s="32">
        <v>6</v>
      </c>
      <c r="H412" s="540">
        <v>2.1</v>
      </c>
      <c r="I412" s="540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48"/>
      <c r="R412" s="548"/>
      <c r="S412" s="548"/>
      <c r="T412" s="549"/>
      <c r="U412" s="34"/>
      <c r="V412" s="34"/>
      <c r="W412" s="35" t="s">
        <v>69</v>
      </c>
      <c r="X412" s="541">
        <v>0</v>
      </c>
      <c r="Y412" s="542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642</v>
      </c>
      <c r="B413" s="54" t="s">
        <v>643</v>
      </c>
      <c r="C413" s="31">
        <v>4301031373</v>
      </c>
      <c r="D413" s="545">
        <v>4680115880771</v>
      </c>
      <c r="E413" s="546"/>
      <c r="F413" s="540">
        <v>0.28000000000000003</v>
      </c>
      <c r="G413" s="32">
        <v>6</v>
      </c>
      <c r="H413" s="540">
        <v>1.68</v>
      </c>
      <c r="I413" s="540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48"/>
      <c r="R413" s="548"/>
      <c r="S413" s="548"/>
      <c r="T413" s="549"/>
      <c r="U413" s="34"/>
      <c r="V413" s="34"/>
      <c r="W413" s="35" t="s">
        <v>69</v>
      </c>
      <c r="X413" s="541">
        <v>0</v>
      </c>
      <c r="Y413" s="542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4301031359</v>
      </c>
      <c r="D414" s="545">
        <v>4607091389500</v>
      </c>
      <c r="E414" s="546"/>
      <c r="F414" s="540">
        <v>0.35</v>
      </c>
      <c r="G414" s="32">
        <v>6</v>
      </c>
      <c r="H414" s="540">
        <v>2.1</v>
      </c>
      <c r="I414" s="540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48"/>
      <c r="R414" s="548"/>
      <c r="S414" s="548"/>
      <c r="T414" s="549"/>
      <c r="U414" s="34"/>
      <c r="V414" s="34"/>
      <c r="W414" s="35" t="s">
        <v>69</v>
      </c>
      <c r="X414" s="541">
        <v>17.5</v>
      </c>
      <c r="Y414" s="542">
        <f>IFERROR(IF(X414="",0,CEILING((X414/$H414),1)*$H414),"")</f>
        <v>18.900000000000002</v>
      </c>
      <c r="Z414" s="36">
        <f>IFERROR(IF(Y414=0,"",ROUNDUP(Y414/H414,0)*0.00502),"")</f>
        <v>4.5179999999999998E-2</v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18.583333333333332</v>
      </c>
      <c r="BN414" s="64">
        <f>IFERROR(Y414*I414/H414,"0")</f>
        <v>20.07</v>
      </c>
      <c r="BO414" s="64">
        <f>IFERROR(1/J414*(X414/H414),"0")</f>
        <v>3.5612535612535613E-2</v>
      </c>
      <c r="BP414" s="64">
        <f>IFERROR(1/J414*(Y414/H414),"0")</f>
        <v>3.8461538461538464E-2</v>
      </c>
    </row>
    <row r="415" spans="1:68" x14ac:dyDescent="0.2">
      <c r="A415" s="561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62"/>
      <c r="P415" s="552" t="s">
        <v>75</v>
      </c>
      <c r="Q415" s="553"/>
      <c r="R415" s="553"/>
      <c r="S415" s="553"/>
      <c r="T415" s="553"/>
      <c r="U415" s="553"/>
      <c r="V415" s="554"/>
      <c r="W415" s="37" t="s">
        <v>76</v>
      </c>
      <c r="X415" s="543">
        <f>IFERROR(X411/H411,"0")+IFERROR(X412/H412,"0")+IFERROR(X413/H413,"0")+IFERROR(X414/H414,"0")</f>
        <v>8.3333333333333321</v>
      </c>
      <c r="Y415" s="543">
        <f>IFERROR(Y411/H411,"0")+IFERROR(Y412/H412,"0")+IFERROR(Y413/H413,"0")+IFERROR(Y414/H414,"0")</f>
        <v>9</v>
      </c>
      <c r="Z415" s="543">
        <f>IFERROR(IF(Z411="",0,Z411),"0")+IFERROR(IF(Z412="",0,Z412),"0")+IFERROR(IF(Z413="",0,Z413),"0")+IFERROR(IF(Z414="",0,Z414),"0")</f>
        <v>4.5179999999999998E-2</v>
      </c>
      <c r="AA415" s="544"/>
      <c r="AB415" s="544"/>
      <c r="AC415" s="544"/>
    </row>
    <row r="416" spans="1:68" x14ac:dyDescent="0.2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2"/>
      <c r="P416" s="552" t="s">
        <v>75</v>
      </c>
      <c r="Q416" s="553"/>
      <c r="R416" s="553"/>
      <c r="S416" s="553"/>
      <c r="T416" s="553"/>
      <c r="U416" s="553"/>
      <c r="V416" s="554"/>
      <c r="W416" s="37" t="s">
        <v>69</v>
      </c>
      <c r="X416" s="543">
        <f>IFERROR(SUM(X411:X414),"0")</f>
        <v>17.5</v>
      </c>
      <c r="Y416" s="543">
        <f>IFERROR(SUM(Y411:Y414),"0")</f>
        <v>18.900000000000002</v>
      </c>
      <c r="Z416" s="37"/>
      <c r="AA416" s="544"/>
      <c r="AB416" s="544"/>
      <c r="AC416" s="544"/>
    </row>
    <row r="417" spans="1:68" ht="16.5" customHeight="1" x14ac:dyDescent="0.25">
      <c r="A417" s="559" t="s">
        <v>647</v>
      </c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36"/>
      <c r="AB417" s="536"/>
      <c r="AC417" s="536"/>
    </row>
    <row r="418" spans="1:68" ht="14.25" customHeight="1" x14ac:dyDescent="0.25">
      <c r="A418" s="555" t="s">
        <v>64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37"/>
      <c r="AB418" s="537"/>
      <c r="AC418" s="537"/>
    </row>
    <row r="419" spans="1:68" ht="27" customHeight="1" x14ac:dyDescent="0.25">
      <c r="A419" s="54" t="s">
        <v>648</v>
      </c>
      <c r="B419" s="54" t="s">
        <v>649</v>
      </c>
      <c r="C419" s="31">
        <v>4301031347</v>
      </c>
      <c r="D419" s="545">
        <v>4680115885110</v>
      </c>
      <c r="E419" s="546"/>
      <c r="F419" s="540">
        <v>0.2</v>
      </c>
      <c r="G419" s="32">
        <v>6</v>
      </c>
      <c r="H419" s="540">
        <v>1.2</v>
      </c>
      <c r="I419" s="540">
        <v>2.1</v>
      </c>
      <c r="J419" s="32">
        <v>182</v>
      </c>
      <c r="K419" s="32" t="s">
        <v>67</v>
      </c>
      <c r="L419" s="32" t="s">
        <v>217</v>
      </c>
      <c r="M419" s="33" t="s">
        <v>68</v>
      </c>
      <c r="N419" s="33"/>
      <c r="O419" s="32">
        <v>50</v>
      </c>
      <c r="P419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48"/>
      <c r="R419" s="548"/>
      <c r="S419" s="548"/>
      <c r="T419" s="549"/>
      <c r="U419" s="34"/>
      <c r="V419" s="34"/>
      <c r="W419" s="35" t="s">
        <v>69</v>
      </c>
      <c r="X419" s="541">
        <v>24</v>
      </c>
      <c r="Y419" s="542">
        <f>IFERROR(IF(X419="",0,CEILING((X419/$H419),1)*$H419),"")</f>
        <v>24</v>
      </c>
      <c r="Z419" s="36">
        <f>IFERROR(IF(Y419=0,"",ROUNDUP(Y419/H419,0)*0.00651),"")</f>
        <v>0.13020000000000001</v>
      </c>
      <c r="AA419" s="56"/>
      <c r="AB419" s="57"/>
      <c r="AC419" s="467" t="s">
        <v>650</v>
      </c>
      <c r="AG419" s="64"/>
      <c r="AJ419" s="68" t="s">
        <v>106</v>
      </c>
      <c r="AK419" s="68">
        <v>16.8</v>
      </c>
      <c r="BB419" s="468" t="s">
        <v>1</v>
      </c>
      <c r="BM419" s="64">
        <f>IFERROR(X419*I419/H419,"0")</f>
        <v>42.000000000000007</v>
      </c>
      <c r="BN419" s="64">
        <f>IFERROR(Y419*I419/H419,"0")</f>
        <v>42.000000000000007</v>
      </c>
      <c r="BO419" s="64">
        <f>IFERROR(1/J419*(X419/H419),"0")</f>
        <v>0.1098901098901099</v>
      </c>
      <c r="BP419" s="64">
        <f>IFERROR(1/J419*(Y419/H419),"0")</f>
        <v>0.1098901098901099</v>
      </c>
    </row>
    <row r="420" spans="1:68" x14ac:dyDescent="0.2">
      <c r="A420" s="561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62"/>
      <c r="P420" s="552" t="s">
        <v>75</v>
      </c>
      <c r="Q420" s="553"/>
      <c r="R420" s="553"/>
      <c r="S420" s="553"/>
      <c r="T420" s="553"/>
      <c r="U420" s="553"/>
      <c r="V420" s="554"/>
      <c r="W420" s="37" t="s">
        <v>76</v>
      </c>
      <c r="X420" s="543">
        <f>IFERROR(X419/H419,"0")</f>
        <v>20</v>
      </c>
      <c r="Y420" s="543">
        <f>IFERROR(Y419/H419,"0")</f>
        <v>20</v>
      </c>
      <c r="Z420" s="543">
        <f>IFERROR(IF(Z419="",0,Z419),"0")</f>
        <v>0.13020000000000001</v>
      </c>
      <c r="AA420" s="544"/>
      <c r="AB420" s="544"/>
      <c r="AC420" s="544"/>
    </row>
    <row r="421" spans="1:68" x14ac:dyDescent="0.2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62"/>
      <c r="P421" s="552" t="s">
        <v>75</v>
      </c>
      <c r="Q421" s="553"/>
      <c r="R421" s="553"/>
      <c r="S421" s="553"/>
      <c r="T421" s="553"/>
      <c r="U421" s="553"/>
      <c r="V421" s="554"/>
      <c r="W421" s="37" t="s">
        <v>69</v>
      </c>
      <c r="X421" s="543">
        <f>IFERROR(SUM(X419:X419),"0")</f>
        <v>24</v>
      </c>
      <c r="Y421" s="543">
        <f>IFERROR(SUM(Y419:Y419),"0")</f>
        <v>24</v>
      </c>
      <c r="Z421" s="37"/>
      <c r="AA421" s="544"/>
      <c r="AB421" s="544"/>
      <c r="AC421" s="544"/>
    </row>
    <row r="422" spans="1:68" ht="27.75" customHeight="1" x14ac:dyDescent="0.2">
      <c r="A422" s="590" t="s">
        <v>651</v>
      </c>
      <c r="B422" s="591"/>
      <c r="C422" s="591"/>
      <c r="D422" s="591"/>
      <c r="E422" s="591"/>
      <c r="F422" s="591"/>
      <c r="G422" s="591"/>
      <c r="H422" s="591"/>
      <c r="I422" s="591"/>
      <c r="J422" s="591"/>
      <c r="K422" s="591"/>
      <c r="L422" s="591"/>
      <c r="M422" s="591"/>
      <c r="N422" s="591"/>
      <c r="O422" s="591"/>
      <c r="P422" s="591"/>
      <c r="Q422" s="591"/>
      <c r="R422" s="591"/>
      <c r="S422" s="591"/>
      <c r="T422" s="591"/>
      <c r="U422" s="591"/>
      <c r="V422" s="591"/>
      <c r="W422" s="591"/>
      <c r="X422" s="591"/>
      <c r="Y422" s="591"/>
      <c r="Z422" s="591"/>
      <c r="AA422" s="48"/>
      <c r="AB422" s="48"/>
      <c r="AC422" s="48"/>
    </row>
    <row r="423" spans="1:68" ht="16.5" customHeight="1" x14ac:dyDescent="0.25">
      <c r="A423" s="559" t="s">
        <v>651</v>
      </c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36"/>
      <c r="AB423" s="536"/>
      <c r="AC423" s="536"/>
    </row>
    <row r="424" spans="1:68" ht="14.25" customHeight="1" x14ac:dyDescent="0.25">
      <c r="A424" s="555" t="s">
        <v>99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37"/>
      <c r="AB424" s="537"/>
      <c r="AC424" s="537"/>
    </row>
    <row r="425" spans="1:68" ht="27" customHeight="1" x14ac:dyDescent="0.25">
      <c r="A425" s="54" t="s">
        <v>652</v>
      </c>
      <c r="B425" s="54" t="s">
        <v>653</v>
      </c>
      <c r="C425" s="31">
        <v>4301011795</v>
      </c>
      <c r="D425" s="545">
        <v>4607091389067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70</v>
      </c>
      <c r="Y425" s="542">
        <f t="shared" ref="Y425:Y436" si="42">IFERROR(IF(X425="",0,CEILING((X425/$H425),1)*$H425),"")</f>
        <v>73.92</v>
      </c>
      <c r="Z425" s="36">
        <f t="shared" ref="Z425:Z431" si="43">IFERROR(IF(Y425=0,"",ROUNDUP(Y425/H425,0)*0.01196),"")</f>
        <v>0.16744000000000001</v>
      </c>
      <c r="AA425" s="56"/>
      <c r="AB425" s="57"/>
      <c r="AC425" s="469" t="s">
        <v>105</v>
      </c>
      <c r="AG425" s="64"/>
      <c r="AJ425" s="68" t="s">
        <v>106</v>
      </c>
      <c r="AK425" s="68">
        <v>42.24</v>
      </c>
      <c r="BB425" s="470" t="s">
        <v>1</v>
      </c>
      <c r="BM425" s="64">
        <f t="shared" ref="BM425:BM436" si="44">IFERROR(X425*I425/H425,"0")</f>
        <v>74.640151515151501</v>
      </c>
      <c r="BN425" s="64">
        <f t="shared" ref="BN425:BN436" si="45">IFERROR(Y425*I425/H425,"0")</f>
        <v>78.819999999999993</v>
      </c>
      <c r="BO425" s="64">
        <f t="shared" ref="BO425:BO436" si="46">IFERROR(1/J425*(X425/H425),"0")</f>
        <v>0.12747668997668998</v>
      </c>
      <c r="BP425" s="64">
        <f t="shared" ref="BP425:BP436" si="47">IFERROR(1/J425*(Y425/H425),"0")</f>
        <v>0.13461538461538464</v>
      </c>
    </row>
    <row r="426" spans="1:68" ht="27" customHeight="1" x14ac:dyDescent="0.25">
      <c r="A426" s="54" t="s">
        <v>654</v>
      </c>
      <c r="B426" s="54" t="s">
        <v>655</v>
      </c>
      <c r="C426" s="31">
        <v>4301012210</v>
      </c>
      <c r="D426" s="545">
        <v>4607091383522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104</v>
      </c>
      <c r="N426" s="33"/>
      <c r="O426" s="32">
        <v>60</v>
      </c>
      <c r="P426" s="6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656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657</v>
      </c>
      <c r="C427" s="31">
        <v>4301012145</v>
      </c>
      <c r="D427" s="545">
        <v>4607091383522</v>
      </c>
      <c r="E427" s="546"/>
      <c r="F427" s="540">
        <v>0.88</v>
      </c>
      <c r="G427" s="32">
        <v>6</v>
      </c>
      <c r="H427" s="540">
        <v>5.28</v>
      </c>
      <c r="I427" s="540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 t="shared" si="43"/>
        <v/>
      </c>
      <c r="AA427" s="56"/>
      <c r="AB427" s="57"/>
      <c r="AC427" s="473" t="s">
        <v>656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4301011961</v>
      </c>
      <c r="D428" s="545">
        <v>4680115885271</v>
      </c>
      <c r="E428" s="546"/>
      <c r="F428" s="540">
        <v>0.88</v>
      </c>
      <c r="G428" s="32">
        <v>6</v>
      </c>
      <c r="H428" s="540">
        <v>5.28</v>
      </c>
      <c r="I428" s="540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4301011376</v>
      </c>
      <c r="D429" s="545">
        <v>4680115885226</v>
      </c>
      <c r="E429" s="546"/>
      <c r="F429" s="540">
        <v>0.88</v>
      </c>
      <c r="G429" s="32">
        <v>6</v>
      </c>
      <c r="H429" s="540">
        <v>5.28</v>
      </c>
      <c r="I429" s="540">
        <v>5.63</v>
      </c>
      <c r="J429" s="32">
        <v>104</v>
      </c>
      <c r="K429" s="32" t="s">
        <v>102</v>
      </c>
      <c r="L429" s="32" t="s">
        <v>103</v>
      </c>
      <c r="M429" s="33" t="s">
        <v>80</v>
      </c>
      <c r="N429" s="33"/>
      <c r="O429" s="32">
        <v>60</v>
      </c>
      <c r="P429" s="6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50</v>
      </c>
      <c r="Y429" s="542">
        <f t="shared" si="42"/>
        <v>52.800000000000004</v>
      </c>
      <c r="Z429" s="36">
        <f t="shared" si="43"/>
        <v>0.1196</v>
      </c>
      <c r="AA429" s="56"/>
      <c r="AB429" s="57"/>
      <c r="AC429" s="477" t="s">
        <v>663</v>
      </c>
      <c r="AG429" s="64"/>
      <c r="AJ429" s="68" t="s">
        <v>106</v>
      </c>
      <c r="AK429" s="68">
        <v>42.24</v>
      </c>
      <c r="BB429" s="478" t="s">
        <v>1</v>
      </c>
      <c r="BM429" s="64">
        <f t="shared" si="44"/>
        <v>53.314393939393938</v>
      </c>
      <c r="BN429" s="64">
        <f t="shared" si="45"/>
        <v>56.3</v>
      </c>
      <c r="BO429" s="64">
        <f t="shared" si="46"/>
        <v>9.1054778554778545E-2</v>
      </c>
      <c r="BP429" s="64">
        <f t="shared" si="47"/>
        <v>9.6153846153846159E-2</v>
      </c>
    </row>
    <row r="430" spans="1:68" ht="16.5" customHeight="1" x14ac:dyDescent="0.25">
      <c r="A430" s="54" t="s">
        <v>664</v>
      </c>
      <c r="B430" s="54" t="s">
        <v>665</v>
      </c>
      <c r="C430" s="31">
        <v>4301011774</v>
      </c>
      <c r="D430" s="545">
        <v>4680115884502</v>
      </c>
      <c r="E430" s="546"/>
      <c r="F430" s="540">
        <v>0.88</v>
      </c>
      <c r="G430" s="32">
        <v>6</v>
      </c>
      <c r="H430" s="540">
        <v>5.28</v>
      </c>
      <c r="I430" s="540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 t="shared" si="4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4301011771</v>
      </c>
      <c r="D431" s="545">
        <v>4607091389104</v>
      </c>
      <c r="E431" s="546"/>
      <c r="F431" s="540">
        <v>0.88</v>
      </c>
      <c r="G431" s="32">
        <v>6</v>
      </c>
      <c r="H431" s="540">
        <v>5.28</v>
      </c>
      <c r="I431" s="540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100</v>
      </c>
      <c r="Y431" s="542">
        <f t="shared" si="42"/>
        <v>100.32000000000001</v>
      </c>
      <c r="Z431" s="36">
        <f t="shared" si="43"/>
        <v>0.22724</v>
      </c>
      <c r="AA431" s="56"/>
      <c r="AB431" s="57"/>
      <c r="AC431" s="481" t="s">
        <v>669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customHeight="1" x14ac:dyDescent="0.25">
      <c r="A432" s="54" t="s">
        <v>670</v>
      </c>
      <c r="B432" s="54" t="s">
        <v>671</v>
      </c>
      <c r="C432" s="31">
        <v>4301012125</v>
      </c>
      <c r="D432" s="545">
        <v>4680115886391</v>
      </c>
      <c r="E432" s="546"/>
      <c r="F432" s="540">
        <v>0.4</v>
      </c>
      <c r="G432" s="32">
        <v>6</v>
      </c>
      <c r="H432" s="540">
        <v>2.4</v>
      </c>
      <c r="I432" s="540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48"/>
      <c r="R432" s="548"/>
      <c r="S432" s="548"/>
      <c r="T432" s="549"/>
      <c r="U432" s="34"/>
      <c r="V432" s="34"/>
      <c r="W432" s="35" t="s">
        <v>69</v>
      </c>
      <c r="X432" s="541">
        <v>0</v>
      </c>
      <c r="Y432" s="542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672</v>
      </c>
      <c r="B433" s="54" t="s">
        <v>673</v>
      </c>
      <c r="C433" s="31">
        <v>4301012035</v>
      </c>
      <c r="D433" s="545">
        <v>4680115880603</v>
      </c>
      <c r="E433" s="546"/>
      <c r="F433" s="540">
        <v>0.6</v>
      </c>
      <c r="G433" s="32">
        <v>8</v>
      </c>
      <c r="H433" s="540">
        <v>4.8</v>
      </c>
      <c r="I433" s="540">
        <v>6.91</v>
      </c>
      <c r="J433" s="32">
        <v>132</v>
      </c>
      <c r="K433" s="32" t="s">
        <v>109</v>
      </c>
      <c r="L433" s="32"/>
      <c r="M433" s="33" t="s">
        <v>104</v>
      </c>
      <c r="N433" s="33"/>
      <c r="O433" s="32">
        <v>60</v>
      </c>
      <c r="P433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48"/>
      <c r="R433" s="548"/>
      <c r="S433" s="548"/>
      <c r="T433" s="549"/>
      <c r="U433" s="34"/>
      <c r="V433" s="34"/>
      <c r="W433" s="35" t="s">
        <v>69</v>
      </c>
      <c r="X433" s="541">
        <v>60</v>
      </c>
      <c r="Y433" s="542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105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customHeight="1" x14ac:dyDescent="0.25">
      <c r="A434" s="54" t="s">
        <v>674</v>
      </c>
      <c r="B434" s="54" t="s">
        <v>675</v>
      </c>
      <c r="C434" s="31">
        <v>4301012036</v>
      </c>
      <c r="D434" s="545">
        <v>4680115882782</v>
      </c>
      <c r="E434" s="546"/>
      <c r="F434" s="540">
        <v>0.6</v>
      </c>
      <c r="G434" s="32">
        <v>8</v>
      </c>
      <c r="H434" s="540">
        <v>4.8</v>
      </c>
      <c r="I434" s="540">
        <v>6.96</v>
      </c>
      <c r="J434" s="32">
        <v>120</v>
      </c>
      <c r="K434" s="32" t="s">
        <v>109</v>
      </c>
      <c r="L434" s="32"/>
      <c r="M434" s="33" t="s">
        <v>104</v>
      </c>
      <c r="N434" s="33"/>
      <c r="O434" s="32">
        <v>60</v>
      </c>
      <c r="P434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48"/>
      <c r="R434" s="548"/>
      <c r="S434" s="548"/>
      <c r="T434" s="549"/>
      <c r="U434" s="34"/>
      <c r="V434" s="34"/>
      <c r="W434" s="35" t="s">
        <v>69</v>
      </c>
      <c r="X434" s="541">
        <v>0</v>
      </c>
      <c r="Y434" s="542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660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4301012050</v>
      </c>
      <c r="D435" s="545">
        <v>4680115885479</v>
      </c>
      <c r="E435" s="546"/>
      <c r="F435" s="540">
        <v>0.4</v>
      </c>
      <c r="G435" s="32">
        <v>6</v>
      </c>
      <c r="H435" s="540">
        <v>2.4</v>
      </c>
      <c r="I435" s="540">
        <v>2.58</v>
      </c>
      <c r="J435" s="32">
        <v>182</v>
      </c>
      <c r="K435" s="32" t="s">
        <v>67</v>
      </c>
      <c r="L435" s="32"/>
      <c r="M435" s="33" t="s">
        <v>104</v>
      </c>
      <c r="N435" s="33"/>
      <c r="O435" s="32">
        <v>60</v>
      </c>
      <c r="P435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4301012034</v>
      </c>
      <c r="D436" s="545">
        <v>4607091389982</v>
      </c>
      <c r="E436" s="546"/>
      <c r="F436" s="540">
        <v>0.6</v>
      </c>
      <c r="G436" s="32">
        <v>8</v>
      </c>
      <c r="H436" s="540">
        <v>4.8</v>
      </c>
      <c r="I436" s="540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42</v>
      </c>
      <c r="Y436" s="542">
        <f t="shared" si="42"/>
        <v>43.199999999999996</v>
      </c>
      <c r="Z436" s="36">
        <f>IFERROR(IF(Y436=0,"",ROUNDUP(Y436/H436,0)*0.00902),"")</f>
        <v>8.1180000000000002E-2</v>
      </c>
      <c r="AA436" s="56"/>
      <c r="AB436" s="57"/>
      <c r="AC436" s="491" t="s">
        <v>669</v>
      </c>
      <c r="AG436" s="64"/>
      <c r="AJ436" s="68"/>
      <c r="AK436" s="68">
        <v>0</v>
      </c>
      <c r="BB436" s="492" t="s">
        <v>1</v>
      </c>
      <c r="BM436" s="64">
        <f t="shared" si="44"/>
        <v>60.462500000000006</v>
      </c>
      <c r="BN436" s="64">
        <f t="shared" si="45"/>
        <v>62.190000000000005</v>
      </c>
      <c r="BO436" s="64">
        <f t="shared" si="46"/>
        <v>6.6287878787878785E-2</v>
      </c>
      <c r="BP436" s="64">
        <f t="shared" si="47"/>
        <v>6.8181818181818177E-2</v>
      </c>
    </row>
    <row r="437" spans="1:68" x14ac:dyDescent="0.2">
      <c r="A437" s="561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62"/>
      <c r="P437" s="552" t="s">
        <v>75</v>
      </c>
      <c r="Q437" s="553"/>
      <c r="R437" s="553"/>
      <c r="S437" s="553"/>
      <c r="T437" s="553"/>
      <c r="U437" s="553"/>
      <c r="V437" s="554"/>
      <c r="W437" s="37" t="s">
        <v>76</v>
      </c>
      <c r="X437" s="5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62.916666666666664</v>
      </c>
      <c r="Y437" s="5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65</v>
      </c>
      <c r="Z437" s="5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0.71272000000000013</v>
      </c>
      <c r="AA437" s="544"/>
      <c r="AB437" s="544"/>
      <c r="AC437" s="544"/>
    </row>
    <row r="438" spans="1:68" x14ac:dyDescent="0.2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62"/>
      <c r="P438" s="552" t="s">
        <v>75</v>
      </c>
      <c r="Q438" s="553"/>
      <c r="R438" s="553"/>
      <c r="S438" s="553"/>
      <c r="T438" s="553"/>
      <c r="U438" s="553"/>
      <c r="V438" s="554"/>
      <c r="W438" s="37" t="s">
        <v>69</v>
      </c>
      <c r="X438" s="543">
        <f>IFERROR(SUM(X425:X436),"0")</f>
        <v>322</v>
      </c>
      <c r="Y438" s="543">
        <f>IFERROR(SUM(Y425:Y436),"0")</f>
        <v>332.64</v>
      </c>
      <c r="Z438" s="37"/>
      <c r="AA438" s="544"/>
      <c r="AB438" s="544"/>
      <c r="AC438" s="544"/>
    </row>
    <row r="439" spans="1:68" ht="14.25" customHeight="1" x14ac:dyDescent="0.25">
      <c r="A439" s="555" t="s">
        <v>135</v>
      </c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37"/>
      <c r="AB439" s="537"/>
      <c r="AC439" s="537"/>
    </row>
    <row r="440" spans="1:68" ht="16.5" customHeight="1" x14ac:dyDescent="0.25">
      <c r="A440" s="54" t="s">
        <v>680</v>
      </c>
      <c r="B440" s="54" t="s">
        <v>681</v>
      </c>
      <c r="C440" s="31">
        <v>4301020334</v>
      </c>
      <c r="D440" s="545">
        <v>4607091388930</v>
      </c>
      <c r="E440" s="546"/>
      <c r="F440" s="540">
        <v>0.88</v>
      </c>
      <c r="G440" s="32">
        <v>6</v>
      </c>
      <c r="H440" s="540">
        <v>5.28</v>
      </c>
      <c r="I440" s="540">
        <v>5.63</v>
      </c>
      <c r="J440" s="32">
        <v>104</v>
      </c>
      <c r="K440" s="32" t="s">
        <v>102</v>
      </c>
      <c r="L440" s="32" t="s">
        <v>103</v>
      </c>
      <c r="M440" s="33" t="s">
        <v>80</v>
      </c>
      <c r="N440" s="33"/>
      <c r="O440" s="32">
        <v>70</v>
      </c>
      <c r="P440" s="7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48"/>
      <c r="R440" s="548"/>
      <c r="S440" s="548"/>
      <c r="T440" s="549"/>
      <c r="U440" s="34"/>
      <c r="V440" s="34"/>
      <c r="W440" s="35" t="s">
        <v>69</v>
      </c>
      <c r="X440" s="541">
        <v>120</v>
      </c>
      <c r="Y440" s="542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682</v>
      </c>
      <c r="AG440" s="64"/>
      <c r="AJ440" s="68" t="s">
        <v>106</v>
      </c>
      <c r="AK440" s="68">
        <v>42.24</v>
      </c>
      <c r="BB440" s="494" t="s">
        <v>1</v>
      </c>
      <c r="BM440" s="64">
        <f>IFERROR(X440*I440/H440,"0")</f>
        <v>127.95454545454545</v>
      </c>
      <c r="BN440" s="64">
        <f>IFERROR(Y440*I440/H440,"0")</f>
        <v>129.49</v>
      </c>
      <c r="BO440" s="64">
        <f>IFERROR(1/J440*(X440/H440),"0")</f>
        <v>0.21853146853146854</v>
      </c>
      <c r="BP440" s="64">
        <f>IFERROR(1/J440*(Y440/H440),"0")</f>
        <v>0.22115384615384617</v>
      </c>
    </row>
    <row r="441" spans="1:68" ht="16.5" customHeight="1" x14ac:dyDescent="0.25">
      <c r="A441" s="54" t="s">
        <v>683</v>
      </c>
      <c r="B441" s="54" t="s">
        <v>684</v>
      </c>
      <c r="C441" s="31">
        <v>4301020374</v>
      </c>
      <c r="D441" s="545">
        <v>4680115886407</v>
      </c>
      <c r="E441" s="546"/>
      <c r="F441" s="540">
        <v>0.4</v>
      </c>
      <c r="G441" s="32">
        <v>6</v>
      </c>
      <c r="H441" s="540">
        <v>2.4</v>
      </c>
      <c r="I441" s="540">
        <v>2.58</v>
      </c>
      <c r="J441" s="32">
        <v>182</v>
      </c>
      <c r="K441" s="32" t="s">
        <v>67</v>
      </c>
      <c r="L441" s="32"/>
      <c r="M441" s="33" t="s">
        <v>104</v>
      </c>
      <c r="N441" s="33"/>
      <c r="O441" s="32">
        <v>70</v>
      </c>
      <c r="P441" s="7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685</v>
      </c>
      <c r="B442" s="54" t="s">
        <v>686</v>
      </c>
      <c r="C442" s="31">
        <v>4301020385</v>
      </c>
      <c r="D442" s="545">
        <v>4680115880054</v>
      </c>
      <c r="E442" s="546"/>
      <c r="F442" s="540">
        <v>0.6</v>
      </c>
      <c r="G442" s="32">
        <v>8</v>
      </c>
      <c r="H442" s="540">
        <v>4.8</v>
      </c>
      <c r="I442" s="540">
        <v>6.91</v>
      </c>
      <c r="J442" s="32">
        <v>132</v>
      </c>
      <c r="K442" s="32" t="s">
        <v>109</v>
      </c>
      <c r="L442" s="32"/>
      <c r="M442" s="33" t="s">
        <v>104</v>
      </c>
      <c r="N442" s="33"/>
      <c r="O442" s="32">
        <v>70</v>
      </c>
      <c r="P442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1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62"/>
      <c r="P443" s="552" t="s">
        <v>75</v>
      </c>
      <c r="Q443" s="553"/>
      <c r="R443" s="553"/>
      <c r="S443" s="553"/>
      <c r="T443" s="553"/>
      <c r="U443" s="553"/>
      <c r="V443" s="554"/>
      <c r="W443" s="37" t="s">
        <v>76</v>
      </c>
      <c r="X443" s="543">
        <f>IFERROR(X440/H440,"0")+IFERROR(X441/H441,"0")+IFERROR(X442/H442,"0")</f>
        <v>22.727272727272727</v>
      </c>
      <c r="Y443" s="543">
        <f>IFERROR(Y440/H440,"0")+IFERROR(Y441/H441,"0")+IFERROR(Y442/H442,"0")</f>
        <v>23</v>
      </c>
      <c r="Z443" s="543">
        <f>IFERROR(IF(Z440="",0,Z440),"0")+IFERROR(IF(Z441="",0,Z441),"0")+IFERROR(IF(Z442="",0,Z442),"0")</f>
        <v>0.27507999999999999</v>
      </c>
      <c r="AA443" s="544"/>
      <c r="AB443" s="544"/>
      <c r="AC443" s="544"/>
    </row>
    <row r="444" spans="1:68" x14ac:dyDescent="0.2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62"/>
      <c r="P444" s="552" t="s">
        <v>75</v>
      </c>
      <c r="Q444" s="553"/>
      <c r="R444" s="553"/>
      <c r="S444" s="553"/>
      <c r="T444" s="553"/>
      <c r="U444" s="553"/>
      <c r="V444" s="554"/>
      <c r="W444" s="37" t="s">
        <v>69</v>
      </c>
      <c r="X444" s="543">
        <f>IFERROR(SUM(X440:X442),"0")</f>
        <v>120</v>
      </c>
      <c r="Y444" s="543">
        <f>IFERROR(SUM(Y440:Y442),"0")</f>
        <v>121.44000000000001</v>
      </c>
      <c r="Z444" s="37"/>
      <c r="AA444" s="544"/>
      <c r="AB444" s="544"/>
      <c r="AC444" s="544"/>
    </row>
    <row r="445" spans="1:68" ht="14.25" customHeight="1" x14ac:dyDescent="0.25">
      <c r="A445" s="555" t="s">
        <v>64</v>
      </c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37"/>
      <c r="AB445" s="537"/>
      <c r="AC445" s="537"/>
    </row>
    <row r="446" spans="1:68" ht="27" customHeight="1" x14ac:dyDescent="0.25">
      <c r="A446" s="54" t="s">
        <v>687</v>
      </c>
      <c r="B446" s="54" t="s">
        <v>688</v>
      </c>
      <c r="C446" s="31">
        <v>4301031349</v>
      </c>
      <c r="D446" s="545">
        <v>4680115883116</v>
      </c>
      <c r="E446" s="546"/>
      <c r="F446" s="540">
        <v>0.88</v>
      </c>
      <c r="G446" s="32">
        <v>6</v>
      </c>
      <c r="H446" s="540">
        <v>5.28</v>
      </c>
      <c r="I446" s="540">
        <v>5.63</v>
      </c>
      <c r="J446" s="32">
        <v>104</v>
      </c>
      <c r="K446" s="32" t="s">
        <v>102</v>
      </c>
      <c r="L446" s="32" t="s">
        <v>103</v>
      </c>
      <c r="M446" s="33" t="s">
        <v>104</v>
      </c>
      <c r="N446" s="33"/>
      <c r="O446" s="32">
        <v>70</v>
      </c>
      <c r="P446" s="7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50</v>
      </c>
      <c r="Y446" s="542">
        <f t="shared" ref="Y446:Y451" si="48">IFERROR(IF(X446="",0,CEILING((X446/$H446),1)*$H446),"")</f>
        <v>52.800000000000004</v>
      </c>
      <c r="Z446" s="36">
        <f>IFERROR(IF(Y446=0,"",ROUNDUP(Y446/H446,0)*0.01196),"")</f>
        <v>0.1196</v>
      </c>
      <c r="AA446" s="56"/>
      <c r="AB446" s="57"/>
      <c r="AC446" s="499" t="s">
        <v>689</v>
      </c>
      <c r="AG446" s="64"/>
      <c r="AJ446" s="68" t="s">
        <v>106</v>
      </c>
      <c r="AK446" s="68">
        <v>42.24</v>
      </c>
      <c r="BB446" s="500" t="s">
        <v>1</v>
      </c>
      <c r="BM446" s="64">
        <f t="shared" ref="BM446:BM451" si="49">IFERROR(X446*I446/H446,"0")</f>
        <v>53.314393939393938</v>
      </c>
      <c r="BN446" s="64">
        <f t="shared" ref="BN446:BN451" si="50">IFERROR(Y446*I446/H446,"0")</f>
        <v>56.3</v>
      </c>
      <c r="BO446" s="64">
        <f t="shared" ref="BO446:BO451" si="51">IFERROR(1/J446*(X446/H446),"0")</f>
        <v>9.1054778554778545E-2</v>
      </c>
      <c r="BP446" s="64">
        <f t="shared" ref="BP446:BP451" si="52">IFERROR(1/J446*(Y446/H446),"0")</f>
        <v>9.6153846153846159E-2</v>
      </c>
    </row>
    <row r="447" spans="1:68" ht="27" customHeight="1" x14ac:dyDescent="0.25">
      <c r="A447" s="54" t="s">
        <v>690</v>
      </c>
      <c r="B447" s="54" t="s">
        <v>691</v>
      </c>
      <c r="C447" s="31">
        <v>4301031350</v>
      </c>
      <c r="D447" s="545">
        <v>4680115883093</v>
      </c>
      <c r="E447" s="546"/>
      <c r="F447" s="540">
        <v>0.88</v>
      </c>
      <c r="G447" s="32">
        <v>6</v>
      </c>
      <c r="H447" s="540">
        <v>5.28</v>
      </c>
      <c r="I447" s="540">
        <v>5.63</v>
      </c>
      <c r="J447" s="32">
        <v>104</v>
      </c>
      <c r="K447" s="32" t="s">
        <v>102</v>
      </c>
      <c r="L447" s="32" t="s">
        <v>103</v>
      </c>
      <c r="M447" s="33" t="s">
        <v>68</v>
      </c>
      <c r="N447" s="33"/>
      <c r="O447" s="32">
        <v>70</v>
      </c>
      <c r="P447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48"/>
      <c r="R447" s="548"/>
      <c r="S447" s="548"/>
      <c r="T447" s="549"/>
      <c r="U447" s="34"/>
      <c r="V447" s="34"/>
      <c r="W447" s="35" t="s">
        <v>69</v>
      </c>
      <c r="X447" s="541">
        <v>80</v>
      </c>
      <c r="Y447" s="542">
        <f t="shared" si="48"/>
        <v>84.48</v>
      </c>
      <c r="Z447" s="36">
        <f>IFERROR(IF(Y447=0,"",ROUNDUP(Y447/H447,0)*0.01196),"")</f>
        <v>0.19136</v>
      </c>
      <c r="AA447" s="56"/>
      <c r="AB447" s="57"/>
      <c r="AC447" s="501" t="s">
        <v>692</v>
      </c>
      <c r="AG447" s="64"/>
      <c r="AJ447" s="68" t="s">
        <v>106</v>
      </c>
      <c r="AK447" s="68">
        <v>42.24</v>
      </c>
      <c r="BB447" s="502" t="s">
        <v>1</v>
      </c>
      <c r="BM447" s="64">
        <f t="shared" si="49"/>
        <v>85.303030303030297</v>
      </c>
      <c r="BN447" s="64">
        <f t="shared" si="50"/>
        <v>90.08</v>
      </c>
      <c r="BO447" s="64">
        <f t="shared" si="51"/>
        <v>0.14568764568764569</v>
      </c>
      <c r="BP447" s="64">
        <f t="shared" si="52"/>
        <v>0.15384615384615385</v>
      </c>
    </row>
    <row r="448" spans="1:68" ht="27" customHeight="1" x14ac:dyDescent="0.25">
      <c r="A448" s="54" t="s">
        <v>693</v>
      </c>
      <c r="B448" s="54" t="s">
        <v>694</v>
      </c>
      <c r="C448" s="31">
        <v>4301031353</v>
      </c>
      <c r="D448" s="545">
        <v>4680115883109</v>
      </c>
      <c r="E448" s="546"/>
      <c r="F448" s="540">
        <v>0.88</v>
      </c>
      <c r="G448" s="32">
        <v>6</v>
      </c>
      <c r="H448" s="540">
        <v>5.28</v>
      </c>
      <c r="I448" s="540">
        <v>5.63</v>
      </c>
      <c r="J448" s="32">
        <v>104</v>
      </c>
      <c r="K448" s="32" t="s">
        <v>102</v>
      </c>
      <c r="L448" s="32" t="s">
        <v>103</v>
      </c>
      <c r="M448" s="33" t="s">
        <v>68</v>
      </c>
      <c r="N448" s="33"/>
      <c r="O448" s="32">
        <v>70</v>
      </c>
      <c r="P448" s="72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48"/>
      <c r="R448" s="548"/>
      <c r="S448" s="548"/>
      <c r="T448" s="549"/>
      <c r="U448" s="34"/>
      <c r="V448" s="34"/>
      <c r="W448" s="35" t="s">
        <v>69</v>
      </c>
      <c r="X448" s="541">
        <v>110</v>
      </c>
      <c r="Y448" s="542">
        <f t="shared" si="48"/>
        <v>110.88000000000001</v>
      </c>
      <c r="Z448" s="36">
        <f>IFERROR(IF(Y448=0,"",ROUNDUP(Y448/H448,0)*0.01196),"")</f>
        <v>0.25115999999999999</v>
      </c>
      <c r="AA448" s="56"/>
      <c r="AB448" s="57"/>
      <c r="AC448" s="503" t="s">
        <v>695</v>
      </c>
      <c r="AG448" s="64"/>
      <c r="AJ448" s="68" t="s">
        <v>106</v>
      </c>
      <c r="AK448" s="68">
        <v>42.24</v>
      </c>
      <c r="BB448" s="504" t="s">
        <v>1</v>
      </c>
      <c r="BM448" s="64">
        <f t="shared" si="49"/>
        <v>117.29166666666666</v>
      </c>
      <c r="BN448" s="64">
        <f t="shared" si="50"/>
        <v>118.23</v>
      </c>
      <c r="BO448" s="64">
        <f t="shared" si="51"/>
        <v>0.20032051282051283</v>
      </c>
      <c r="BP448" s="64">
        <f t="shared" si="52"/>
        <v>0.20192307692307693</v>
      </c>
    </row>
    <row r="449" spans="1:68" ht="27" customHeight="1" x14ac:dyDescent="0.25">
      <c r="A449" s="54" t="s">
        <v>696</v>
      </c>
      <c r="B449" s="54" t="s">
        <v>697</v>
      </c>
      <c r="C449" s="31">
        <v>4301031419</v>
      </c>
      <c r="D449" s="545">
        <v>4680115882072</v>
      </c>
      <c r="E449" s="546"/>
      <c r="F449" s="540">
        <v>0.6</v>
      </c>
      <c r="G449" s="32">
        <v>8</v>
      </c>
      <c r="H449" s="540">
        <v>4.8</v>
      </c>
      <c r="I449" s="540">
        <v>6.91</v>
      </c>
      <c r="J449" s="32">
        <v>132</v>
      </c>
      <c r="K449" s="32" t="s">
        <v>109</v>
      </c>
      <c r="L449" s="32" t="s">
        <v>110</v>
      </c>
      <c r="M449" s="33" t="s">
        <v>104</v>
      </c>
      <c r="N449" s="33"/>
      <c r="O449" s="32">
        <v>70</v>
      </c>
      <c r="P449" s="8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48"/>
      <c r="R449" s="548"/>
      <c r="S449" s="548"/>
      <c r="T449" s="549"/>
      <c r="U449" s="34"/>
      <c r="V449" s="34"/>
      <c r="W449" s="35" t="s">
        <v>69</v>
      </c>
      <c r="X449" s="541">
        <v>42</v>
      </c>
      <c r="Y449" s="542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689</v>
      </c>
      <c r="AG449" s="64"/>
      <c r="AJ449" s="68" t="s">
        <v>106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customHeight="1" x14ac:dyDescent="0.25">
      <c r="A450" s="54" t="s">
        <v>698</v>
      </c>
      <c r="B450" s="54" t="s">
        <v>699</v>
      </c>
      <c r="C450" s="31">
        <v>4301031418</v>
      </c>
      <c r="D450" s="545">
        <v>4680115882102</v>
      </c>
      <c r="E450" s="546"/>
      <c r="F450" s="540">
        <v>0.6</v>
      </c>
      <c r="G450" s="32">
        <v>8</v>
      </c>
      <c r="H450" s="540">
        <v>4.8</v>
      </c>
      <c r="I450" s="540">
        <v>6.67</v>
      </c>
      <c r="J450" s="32">
        <v>132</v>
      </c>
      <c r="K450" s="32" t="s">
        <v>109</v>
      </c>
      <c r="L450" s="32" t="s">
        <v>110</v>
      </c>
      <c r="M450" s="33" t="s">
        <v>68</v>
      </c>
      <c r="N450" s="33"/>
      <c r="O450" s="32">
        <v>70</v>
      </c>
      <c r="P450" s="6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692</v>
      </c>
      <c r="AG450" s="64"/>
      <c r="AJ450" s="68" t="s">
        <v>106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700</v>
      </c>
      <c r="B451" s="54" t="s">
        <v>701</v>
      </c>
      <c r="C451" s="31">
        <v>4301031417</v>
      </c>
      <c r="D451" s="545">
        <v>4680115882096</v>
      </c>
      <c r="E451" s="546"/>
      <c r="F451" s="540">
        <v>0.6</v>
      </c>
      <c r="G451" s="32">
        <v>8</v>
      </c>
      <c r="H451" s="540">
        <v>4.8</v>
      </c>
      <c r="I451" s="540">
        <v>6.67</v>
      </c>
      <c r="J451" s="32">
        <v>132</v>
      </c>
      <c r="K451" s="32" t="s">
        <v>109</v>
      </c>
      <c r="L451" s="32" t="s">
        <v>110</v>
      </c>
      <c r="M451" s="33" t="s">
        <v>68</v>
      </c>
      <c r="N451" s="33"/>
      <c r="O451" s="32">
        <v>70</v>
      </c>
      <c r="P451" s="7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30</v>
      </c>
      <c r="Y451" s="542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695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1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62"/>
      <c r="P452" s="552" t="s">
        <v>75</v>
      </c>
      <c r="Q452" s="553"/>
      <c r="R452" s="553"/>
      <c r="S452" s="553"/>
      <c r="T452" s="553"/>
      <c r="U452" s="553"/>
      <c r="V452" s="554"/>
      <c r="W452" s="37" t="s">
        <v>76</v>
      </c>
      <c r="X452" s="543">
        <f>IFERROR(X446/H446,"0")+IFERROR(X447/H447,"0")+IFERROR(X448/H448,"0")+IFERROR(X449/H449,"0")+IFERROR(X450/H450,"0")+IFERROR(X451/H451,"0")</f>
        <v>60.454545454545453</v>
      </c>
      <c r="Y452" s="543">
        <f>IFERROR(Y446/H446,"0")+IFERROR(Y447/H447,"0")+IFERROR(Y448/H448,"0")+IFERROR(Y449/H449,"0")+IFERROR(Y450/H450,"0")+IFERROR(Y451/H451,"0")</f>
        <v>63</v>
      </c>
      <c r="Z452" s="543">
        <f>IFERROR(IF(Z446="",0,Z446),"0")+IFERROR(IF(Z447="",0,Z447),"0")+IFERROR(IF(Z448="",0,Z448),"0")+IFERROR(IF(Z449="",0,Z449),"0")+IFERROR(IF(Z450="",0,Z450),"0")+IFERROR(IF(Z451="",0,Z451),"0")</f>
        <v>0.70643999999999996</v>
      </c>
      <c r="AA452" s="544"/>
      <c r="AB452" s="544"/>
      <c r="AC452" s="544"/>
    </row>
    <row r="453" spans="1:68" x14ac:dyDescent="0.2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62"/>
      <c r="P453" s="552" t="s">
        <v>75</v>
      </c>
      <c r="Q453" s="553"/>
      <c r="R453" s="553"/>
      <c r="S453" s="553"/>
      <c r="T453" s="553"/>
      <c r="U453" s="553"/>
      <c r="V453" s="554"/>
      <c r="W453" s="37" t="s">
        <v>69</v>
      </c>
      <c r="X453" s="543">
        <f>IFERROR(SUM(X446:X451),"0")</f>
        <v>312</v>
      </c>
      <c r="Y453" s="543">
        <f>IFERROR(SUM(Y446:Y451),"0")</f>
        <v>324.96000000000004</v>
      </c>
      <c r="Z453" s="37"/>
      <c r="AA453" s="544"/>
      <c r="AB453" s="544"/>
      <c r="AC453" s="544"/>
    </row>
    <row r="454" spans="1:68" ht="27.75" customHeight="1" x14ac:dyDescent="0.2">
      <c r="A454" s="590" t="s">
        <v>702</v>
      </c>
      <c r="B454" s="591"/>
      <c r="C454" s="591"/>
      <c r="D454" s="591"/>
      <c r="E454" s="591"/>
      <c r="F454" s="591"/>
      <c r="G454" s="591"/>
      <c r="H454" s="591"/>
      <c r="I454" s="591"/>
      <c r="J454" s="591"/>
      <c r="K454" s="591"/>
      <c r="L454" s="591"/>
      <c r="M454" s="591"/>
      <c r="N454" s="591"/>
      <c r="O454" s="591"/>
      <c r="P454" s="591"/>
      <c r="Q454" s="591"/>
      <c r="R454" s="591"/>
      <c r="S454" s="591"/>
      <c r="T454" s="591"/>
      <c r="U454" s="591"/>
      <c r="V454" s="591"/>
      <c r="W454" s="591"/>
      <c r="X454" s="591"/>
      <c r="Y454" s="591"/>
      <c r="Z454" s="591"/>
      <c r="AA454" s="48"/>
      <c r="AB454" s="48"/>
      <c r="AC454" s="48"/>
    </row>
    <row r="455" spans="1:68" ht="16.5" customHeight="1" x14ac:dyDescent="0.25">
      <c r="A455" s="559" t="s">
        <v>702</v>
      </c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36"/>
      <c r="AB455" s="536"/>
      <c r="AC455" s="536"/>
    </row>
    <row r="456" spans="1:68" ht="14.25" customHeight="1" x14ac:dyDescent="0.25">
      <c r="A456" s="555" t="s">
        <v>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7"/>
      <c r="AB456" s="537"/>
      <c r="AC456" s="537"/>
    </row>
    <row r="457" spans="1:68" ht="27" customHeight="1" x14ac:dyDescent="0.25">
      <c r="A457" s="54" t="s">
        <v>703</v>
      </c>
      <c r="B457" s="54" t="s">
        <v>704</v>
      </c>
      <c r="C457" s="31">
        <v>4301011763</v>
      </c>
      <c r="D457" s="545">
        <v>4640242181011</v>
      </c>
      <c r="E457" s="546"/>
      <c r="F457" s="540">
        <v>1.35</v>
      </c>
      <c r="G457" s="32">
        <v>8</v>
      </c>
      <c r="H457" s="540">
        <v>10.8</v>
      </c>
      <c r="I457" s="540">
        <v>11.21</v>
      </c>
      <c r="J457" s="32">
        <v>64</v>
      </c>
      <c r="K457" s="32" t="s">
        <v>102</v>
      </c>
      <c r="L457" s="32"/>
      <c r="M457" s="33" t="s">
        <v>80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8"/>
      <c r="R457" s="548"/>
      <c r="S457" s="548"/>
      <c r="T457" s="549"/>
      <c r="U457" s="34"/>
      <c r="V457" s="34"/>
      <c r="W457" s="35" t="s">
        <v>69</v>
      </c>
      <c r="X457" s="541">
        <v>0</v>
      </c>
      <c r="Y457" s="542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11" t="s">
        <v>705</v>
      </c>
      <c r="AG457" s="64"/>
      <c r="AJ457" s="68"/>
      <c r="AK457" s="68">
        <v>0</v>
      </c>
      <c r="BB457" s="51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4301011585</v>
      </c>
      <c r="D458" s="545">
        <v>4640242180441</v>
      </c>
      <c r="E458" s="546"/>
      <c r="F458" s="540">
        <v>1.5</v>
      </c>
      <c r="G458" s="32">
        <v>8</v>
      </c>
      <c r="H458" s="540">
        <v>12</v>
      </c>
      <c r="I458" s="540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4301011584</v>
      </c>
      <c r="D459" s="545">
        <v>4640242180564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30</v>
      </c>
      <c r="Y459" s="542">
        <f>IFERROR(IF(X459="",0,CEILING((X459/$H459),1)*$H459),"")</f>
        <v>36</v>
      </c>
      <c r="Z459" s="36">
        <f>IFERROR(IF(Y459=0,"",ROUNDUP(Y459/H459,0)*0.01898),"")</f>
        <v>5.6940000000000004E-2</v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31.025000000000002</v>
      </c>
      <c r="BN459" s="64">
        <f>IFERROR(Y459*I459/H459,"0")</f>
        <v>37.229999999999997</v>
      </c>
      <c r="BO459" s="64">
        <f>IFERROR(1/J459*(X459/H459),"0")</f>
        <v>3.90625E-2</v>
      </c>
      <c r="BP459" s="64">
        <f>IFERROR(1/J459*(Y459/H459),"0")</f>
        <v>4.6875E-2</v>
      </c>
    </row>
    <row r="460" spans="1:68" ht="27" customHeight="1" x14ac:dyDescent="0.25">
      <c r="A460" s="54" t="s">
        <v>712</v>
      </c>
      <c r="B460" s="54" t="s">
        <v>713</v>
      </c>
      <c r="C460" s="31">
        <v>4301011764</v>
      </c>
      <c r="D460" s="545">
        <v>4640242181189</v>
      </c>
      <c r="E460" s="546"/>
      <c r="F460" s="540">
        <v>0.4</v>
      </c>
      <c r="G460" s="32">
        <v>10</v>
      </c>
      <c r="H460" s="540">
        <v>4</v>
      </c>
      <c r="I460" s="540">
        <v>4.1900000000000004</v>
      </c>
      <c r="J460" s="32">
        <v>132</v>
      </c>
      <c r="K460" s="32" t="s">
        <v>109</v>
      </c>
      <c r="L460" s="32"/>
      <c r="M460" s="33" t="s">
        <v>80</v>
      </c>
      <c r="N460" s="33"/>
      <c r="O460" s="32">
        <v>55</v>
      </c>
      <c r="P460" s="7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7" t="s">
        <v>705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1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62"/>
      <c r="P461" s="552" t="s">
        <v>75</v>
      </c>
      <c r="Q461" s="553"/>
      <c r="R461" s="553"/>
      <c r="S461" s="553"/>
      <c r="T461" s="553"/>
      <c r="U461" s="553"/>
      <c r="V461" s="554"/>
      <c r="W461" s="37" t="s">
        <v>76</v>
      </c>
      <c r="X461" s="543">
        <f>IFERROR(X457/H457,"0")+IFERROR(X458/H458,"0")+IFERROR(X459/H459,"0")+IFERROR(X460/H460,"0")</f>
        <v>2.5</v>
      </c>
      <c r="Y461" s="543">
        <f>IFERROR(Y457/H457,"0")+IFERROR(Y458/H458,"0")+IFERROR(Y459/H459,"0")+IFERROR(Y460/H460,"0")</f>
        <v>3</v>
      </c>
      <c r="Z461" s="543">
        <f>IFERROR(IF(Z457="",0,Z457),"0")+IFERROR(IF(Z458="",0,Z458),"0")+IFERROR(IF(Z459="",0,Z459),"0")+IFERROR(IF(Z460="",0,Z460),"0")</f>
        <v>5.6940000000000004E-2</v>
      </c>
      <c r="AA461" s="544"/>
      <c r="AB461" s="544"/>
      <c r="AC461" s="544"/>
    </row>
    <row r="462" spans="1:68" x14ac:dyDescent="0.2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62"/>
      <c r="P462" s="552" t="s">
        <v>75</v>
      </c>
      <c r="Q462" s="553"/>
      <c r="R462" s="553"/>
      <c r="S462" s="553"/>
      <c r="T462" s="553"/>
      <c r="U462" s="553"/>
      <c r="V462" s="554"/>
      <c r="W462" s="37" t="s">
        <v>69</v>
      </c>
      <c r="X462" s="543">
        <f>IFERROR(SUM(X457:X460),"0")</f>
        <v>30</v>
      </c>
      <c r="Y462" s="543">
        <f>IFERROR(SUM(Y457:Y460),"0")</f>
        <v>36</v>
      </c>
      <c r="Z462" s="37"/>
      <c r="AA462" s="544"/>
      <c r="AB462" s="544"/>
      <c r="AC462" s="544"/>
    </row>
    <row r="463" spans="1:68" ht="14.25" customHeight="1" x14ac:dyDescent="0.25">
      <c r="A463" s="555" t="s">
        <v>135</v>
      </c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37"/>
      <c r="AB463" s="537"/>
      <c r="AC463" s="537"/>
    </row>
    <row r="464" spans="1:68" ht="27" customHeight="1" x14ac:dyDescent="0.25">
      <c r="A464" s="54" t="s">
        <v>714</v>
      </c>
      <c r="B464" s="54" t="s">
        <v>715</v>
      </c>
      <c r="C464" s="31">
        <v>4301020400</v>
      </c>
      <c r="D464" s="545">
        <v>4640242180519</v>
      </c>
      <c r="E464" s="546"/>
      <c r="F464" s="540">
        <v>1.5</v>
      </c>
      <c r="G464" s="32">
        <v>8</v>
      </c>
      <c r="H464" s="540">
        <v>12</v>
      </c>
      <c r="I464" s="540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8"/>
      <c r="R464" s="548"/>
      <c r="S464" s="548"/>
      <c r="T464" s="549"/>
      <c r="U464" s="34"/>
      <c r="V464" s="34"/>
      <c r="W464" s="35" t="s">
        <v>69</v>
      </c>
      <c r="X464" s="541">
        <v>0</v>
      </c>
      <c r="Y464" s="54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4301020260</v>
      </c>
      <c r="D465" s="545">
        <v>4640242180526</v>
      </c>
      <c r="E465" s="546"/>
      <c r="F465" s="540">
        <v>1.8</v>
      </c>
      <c r="G465" s="32">
        <v>6</v>
      </c>
      <c r="H465" s="540">
        <v>10.8</v>
      </c>
      <c r="I465" s="540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1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62"/>
      <c r="P466" s="552" t="s">
        <v>75</v>
      </c>
      <c r="Q466" s="553"/>
      <c r="R466" s="553"/>
      <c r="S466" s="553"/>
      <c r="T466" s="553"/>
      <c r="U466" s="553"/>
      <c r="V466" s="554"/>
      <c r="W466" s="37" t="s">
        <v>76</v>
      </c>
      <c r="X466" s="543">
        <f>IFERROR(X464/H464,"0")+IFERROR(X465/H465,"0")</f>
        <v>0</v>
      </c>
      <c r="Y466" s="543">
        <f>IFERROR(Y464/H464,"0")+IFERROR(Y465/H465,"0")</f>
        <v>0</v>
      </c>
      <c r="Z466" s="543">
        <f>IFERROR(IF(Z464="",0,Z464),"0")+IFERROR(IF(Z465="",0,Z465),"0")</f>
        <v>0</v>
      </c>
      <c r="AA466" s="544"/>
      <c r="AB466" s="544"/>
      <c r="AC466" s="544"/>
    </row>
    <row r="467" spans="1:68" x14ac:dyDescent="0.2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62"/>
      <c r="P467" s="552" t="s">
        <v>75</v>
      </c>
      <c r="Q467" s="553"/>
      <c r="R467" s="553"/>
      <c r="S467" s="553"/>
      <c r="T467" s="553"/>
      <c r="U467" s="553"/>
      <c r="V467" s="554"/>
      <c r="W467" s="37" t="s">
        <v>69</v>
      </c>
      <c r="X467" s="543">
        <f>IFERROR(SUM(X464:X465),"0")</f>
        <v>0</v>
      </c>
      <c r="Y467" s="543">
        <f>IFERROR(SUM(Y464:Y465),"0")</f>
        <v>0</v>
      </c>
      <c r="Z467" s="37"/>
      <c r="AA467" s="544"/>
      <c r="AB467" s="544"/>
      <c r="AC467" s="544"/>
    </row>
    <row r="468" spans="1:68" ht="14.25" customHeight="1" x14ac:dyDescent="0.25">
      <c r="A468" s="555" t="s">
        <v>64</v>
      </c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37"/>
      <c r="AB468" s="537"/>
      <c r="AC468" s="537"/>
    </row>
    <row r="469" spans="1:68" ht="27" customHeight="1" x14ac:dyDescent="0.25">
      <c r="A469" s="54" t="s">
        <v>720</v>
      </c>
      <c r="B469" s="54" t="s">
        <v>721</v>
      </c>
      <c r="C469" s="31">
        <v>4301031467</v>
      </c>
      <c r="D469" s="545">
        <v>4640242180595</v>
      </c>
      <c r="E469" s="546"/>
      <c r="F469" s="540">
        <v>0.8</v>
      </c>
      <c r="G469" s="32">
        <v>6</v>
      </c>
      <c r="H469" s="540">
        <v>4.8</v>
      </c>
      <c r="I469" s="540">
        <v>5.05</v>
      </c>
      <c r="J469" s="32">
        <v>132</v>
      </c>
      <c r="K469" s="32" t="s">
        <v>109</v>
      </c>
      <c r="L469" s="32"/>
      <c r="M469" s="33" t="s">
        <v>68</v>
      </c>
      <c r="N469" s="33"/>
      <c r="O469" s="32">
        <v>40</v>
      </c>
      <c r="P469" s="67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548"/>
      <c r="R469" s="548"/>
      <c r="S469" s="548"/>
      <c r="T469" s="549"/>
      <c r="U469" s="34"/>
      <c r="V469" s="34"/>
      <c r="W469" s="35" t="s">
        <v>69</v>
      </c>
      <c r="X469" s="541">
        <v>0</v>
      </c>
      <c r="Y469" s="54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1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2"/>
      <c r="P470" s="552" t="s">
        <v>75</v>
      </c>
      <c r="Q470" s="553"/>
      <c r="R470" s="553"/>
      <c r="S470" s="553"/>
      <c r="T470" s="553"/>
      <c r="U470" s="553"/>
      <c r="V470" s="554"/>
      <c r="W470" s="37" t="s">
        <v>76</v>
      </c>
      <c r="X470" s="543">
        <f>IFERROR(X469/H469,"0")</f>
        <v>0</v>
      </c>
      <c r="Y470" s="543">
        <f>IFERROR(Y469/H469,"0")</f>
        <v>0</v>
      </c>
      <c r="Z470" s="543">
        <f>IFERROR(IF(Z469="",0,Z469),"0")</f>
        <v>0</v>
      </c>
      <c r="AA470" s="544"/>
      <c r="AB470" s="544"/>
      <c r="AC470" s="544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62"/>
      <c r="P471" s="552" t="s">
        <v>75</v>
      </c>
      <c r="Q471" s="553"/>
      <c r="R471" s="553"/>
      <c r="S471" s="553"/>
      <c r="T471" s="553"/>
      <c r="U471" s="553"/>
      <c r="V471" s="554"/>
      <c r="W471" s="37" t="s">
        <v>69</v>
      </c>
      <c r="X471" s="543">
        <f>IFERROR(SUM(X469:X469),"0")</f>
        <v>0</v>
      </c>
      <c r="Y471" s="543">
        <f>IFERROR(SUM(Y469:Y469),"0")</f>
        <v>0</v>
      </c>
      <c r="Z471" s="37"/>
      <c r="AA471" s="544"/>
      <c r="AB471" s="544"/>
      <c r="AC471" s="544"/>
    </row>
    <row r="472" spans="1:68" ht="14.25" customHeight="1" x14ac:dyDescent="0.25">
      <c r="A472" s="555" t="s">
        <v>77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37"/>
      <c r="AB472" s="537"/>
      <c r="AC472" s="537"/>
    </row>
    <row r="473" spans="1:68" ht="27" customHeight="1" x14ac:dyDescent="0.25">
      <c r="A473" s="54" t="s">
        <v>723</v>
      </c>
      <c r="B473" s="54" t="s">
        <v>724</v>
      </c>
      <c r="C473" s="31">
        <v>4301052046</v>
      </c>
      <c r="D473" s="545">
        <v>4640242180533</v>
      </c>
      <c r="E473" s="546"/>
      <c r="F473" s="540">
        <v>1.5</v>
      </c>
      <c r="G473" s="32">
        <v>6</v>
      </c>
      <c r="H473" s="540">
        <v>9</v>
      </c>
      <c r="I473" s="540">
        <v>9.4939999999999998</v>
      </c>
      <c r="J473" s="32">
        <v>64</v>
      </c>
      <c r="K473" s="32" t="s">
        <v>102</v>
      </c>
      <c r="L473" s="32" t="s">
        <v>103</v>
      </c>
      <c r="M473" s="33" t="s">
        <v>86</v>
      </c>
      <c r="N473" s="33"/>
      <c r="O473" s="32">
        <v>45</v>
      </c>
      <c r="P473" s="6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548"/>
      <c r="R473" s="548"/>
      <c r="S473" s="548"/>
      <c r="T473" s="549"/>
      <c r="U473" s="34"/>
      <c r="V473" s="34"/>
      <c r="W473" s="35" t="s">
        <v>69</v>
      </c>
      <c r="X473" s="541">
        <v>1000</v>
      </c>
      <c r="Y473" s="542">
        <f>IFERROR(IF(X473="",0,CEILING((X473/$H473),1)*$H473),"")</f>
        <v>1008</v>
      </c>
      <c r="Z473" s="36">
        <f>IFERROR(IF(Y473=0,"",ROUNDUP(Y473/H473,0)*0.01898),"")</f>
        <v>2.1257600000000001</v>
      </c>
      <c r="AA473" s="56"/>
      <c r="AB473" s="57"/>
      <c r="AC473" s="525" t="s">
        <v>725</v>
      </c>
      <c r="AG473" s="64"/>
      <c r="AJ473" s="68" t="s">
        <v>106</v>
      </c>
      <c r="AK473" s="68">
        <v>72</v>
      </c>
      <c r="BB473" s="526" t="s">
        <v>1</v>
      </c>
      <c r="BM473" s="64">
        <f>IFERROR(X473*I473/H473,"0")</f>
        <v>1054.8888888888889</v>
      </c>
      <c r="BN473" s="64">
        <f>IFERROR(Y473*I473/H473,"0")</f>
        <v>1063.328</v>
      </c>
      <c r="BO473" s="64">
        <f>IFERROR(1/J473*(X473/H473),"0")</f>
        <v>1.7361111111111112</v>
      </c>
      <c r="BP473" s="64">
        <f>IFERROR(1/J473*(Y473/H473),"0")</f>
        <v>1.75</v>
      </c>
    </row>
    <row r="474" spans="1:68" x14ac:dyDescent="0.2">
      <c r="A474" s="561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2"/>
      <c r="P474" s="552" t="s">
        <v>75</v>
      </c>
      <c r="Q474" s="553"/>
      <c r="R474" s="553"/>
      <c r="S474" s="553"/>
      <c r="T474" s="553"/>
      <c r="U474" s="553"/>
      <c r="V474" s="554"/>
      <c r="W474" s="37" t="s">
        <v>76</v>
      </c>
      <c r="X474" s="543">
        <f>IFERROR(X473/H473,"0")</f>
        <v>111.11111111111111</v>
      </c>
      <c r="Y474" s="543">
        <f>IFERROR(Y473/H473,"0")</f>
        <v>112</v>
      </c>
      <c r="Z474" s="543">
        <f>IFERROR(IF(Z473="",0,Z473),"0")</f>
        <v>2.1257600000000001</v>
      </c>
      <c r="AA474" s="544"/>
      <c r="AB474" s="544"/>
      <c r="AC474" s="544"/>
    </row>
    <row r="475" spans="1:68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2"/>
      <c r="P475" s="552" t="s">
        <v>75</v>
      </c>
      <c r="Q475" s="553"/>
      <c r="R475" s="553"/>
      <c r="S475" s="553"/>
      <c r="T475" s="553"/>
      <c r="U475" s="553"/>
      <c r="V475" s="554"/>
      <c r="W475" s="37" t="s">
        <v>69</v>
      </c>
      <c r="X475" s="543">
        <f>IFERROR(SUM(X473:X473),"0")</f>
        <v>1000</v>
      </c>
      <c r="Y475" s="543">
        <f>IFERROR(SUM(Y473:Y473),"0")</f>
        <v>1008</v>
      </c>
      <c r="Z475" s="37"/>
      <c r="AA475" s="544"/>
      <c r="AB475" s="544"/>
      <c r="AC475" s="544"/>
    </row>
    <row r="476" spans="1:68" ht="14.25" customHeight="1" x14ac:dyDescent="0.25">
      <c r="A476" s="555" t="s">
        <v>157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7"/>
      <c r="AB476" s="537"/>
      <c r="AC476" s="537"/>
    </row>
    <row r="477" spans="1:68" ht="27" customHeight="1" x14ac:dyDescent="0.25">
      <c r="A477" s="54" t="s">
        <v>726</v>
      </c>
      <c r="B477" s="54" t="s">
        <v>727</v>
      </c>
      <c r="C477" s="31">
        <v>4301060491</v>
      </c>
      <c r="D477" s="545">
        <v>4640242180120</v>
      </c>
      <c r="E477" s="546"/>
      <c r="F477" s="540">
        <v>1.5</v>
      </c>
      <c r="G477" s="32">
        <v>6</v>
      </c>
      <c r="H477" s="540">
        <v>9</v>
      </c>
      <c r="I477" s="540">
        <v>9.41</v>
      </c>
      <c r="J477" s="32">
        <v>64</v>
      </c>
      <c r="K477" s="32" t="s">
        <v>102</v>
      </c>
      <c r="L477" s="32"/>
      <c r="M477" s="33" t="s">
        <v>80</v>
      </c>
      <c r="N477" s="33"/>
      <c r="O477" s="32">
        <v>40</v>
      </c>
      <c r="P477" s="7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1">
        <v>0</v>
      </c>
      <c r="Y477" s="542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729</v>
      </c>
      <c r="B478" s="54" t="s">
        <v>730</v>
      </c>
      <c r="C478" s="31">
        <v>4301060493</v>
      </c>
      <c r="D478" s="545">
        <v>4640242180137</v>
      </c>
      <c r="E478" s="546"/>
      <c r="F478" s="540">
        <v>1.5</v>
      </c>
      <c r="G478" s="32">
        <v>6</v>
      </c>
      <c r="H478" s="540">
        <v>9</v>
      </c>
      <c r="I478" s="540">
        <v>9.41</v>
      </c>
      <c r="J478" s="32">
        <v>64</v>
      </c>
      <c r="K478" s="32" t="s">
        <v>102</v>
      </c>
      <c r="L478" s="32"/>
      <c r="M478" s="33" t="s">
        <v>80</v>
      </c>
      <c r="N478" s="33"/>
      <c r="O478" s="32">
        <v>40</v>
      </c>
      <c r="P478" s="8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548"/>
      <c r="R478" s="548"/>
      <c r="S478" s="548"/>
      <c r="T478" s="549"/>
      <c r="U478" s="34"/>
      <c r="V478" s="34"/>
      <c r="W478" s="35" t="s">
        <v>69</v>
      </c>
      <c r="X478" s="541">
        <v>0</v>
      </c>
      <c r="Y478" s="542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1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2"/>
      <c r="P479" s="552" t="s">
        <v>75</v>
      </c>
      <c r="Q479" s="553"/>
      <c r="R479" s="553"/>
      <c r="S479" s="553"/>
      <c r="T479" s="553"/>
      <c r="U479" s="553"/>
      <c r="V479" s="554"/>
      <c r="W479" s="37" t="s">
        <v>76</v>
      </c>
      <c r="X479" s="543">
        <f>IFERROR(X477/H477,"0")+IFERROR(X478/H478,"0")</f>
        <v>0</v>
      </c>
      <c r="Y479" s="543">
        <f>IFERROR(Y477/H477,"0")+IFERROR(Y478/H478,"0")</f>
        <v>0</v>
      </c>
      <c r="Z479" s="543">
        <f>IFERROR(IF(Z477="",0,Z477),"0")+IFERROR(IF(Z478="",0,Z478),"0")</f>
        <v>0</v>
      </c>
      <c r="AA479" s="544"/>
      <c r="AB479" s="544"/>
      <c r="AC479" s="544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62"/>
      <c r="P480" s="552" t="s">
        <v>75</v>
      </c>
      <c r="Q480" s="553"/>
      <c r="R480" s="553"/>
      <c r="S480" s="553"/>
      <c r="T480" s="553"/>
      <c r="U480" s="553"/>
      <c r="V480" s="554"/>
      <c r="W480" s="37" t="s">
        <v>69</v>
      </c>
      <c r="X480" s="543">
        <f>IFERROR(SUM(X477:X478),"0")</f>
        <v>0</v>
      </c>
      <c r="Y480" s="543">
        <f>IFERROR(SUM(Y477:Y478),"0")</f>
        <v>0</v>
      </c>
      <c r="Z480" s="37"/>
      <c r="AA480" s="544"/>
      <c r="AB480" s="544"/>
      <c r="AC480" s="544"/>
    </row>
    <row r="481" spans="1:68" ht="16.5" customHeight="1" x14ac:dyDescent="0.25">
      <c r="A481" s="559" t="s">
        <v>732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36"/>
      <c r="AB481" s="536"/>
      <c r="AC481" s="536"/>
    </row>
    <row r="482" spans="1:68" ht="14.25" customHeight="1" x14ac:dyDescent="0.25">
      <c r="A482" s="555" t="s">
        <v>135</v>
      </c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37"/>
      <c r="AB482" s="537"/>
      <c r="AC482" s="537"/>
    </row>
    <row r="483" spans="1:68" ht="27" customHeight="1" x14ac:dyDescent="0.25">
      <c r="A483" s="54" t="s">
        <v>733</v>
      </c>
      <c r="B483" s="54" t="s">
        <v>734</v>
      </c>
      <c r="C483" s="31">
        <v>4301020314</v>
      </c>
      <c r="D483" s="545">
        <v>4640242180090</v>
      </c>
      <c r="E483" s="546"/>
      <c r="F483" s="540">
        <v>1.5</v>
      </c>
      <c r="G483" s="32">
        <v>8</v>
      </c>
      <c r="H483" s="540">
        <v>12</v>
      </c>
      <c r="I483" s="540">
        <v>12.41</v>
      </c>
      <c r="J483" s="32">
        <v>64</v>
      </c>
      <c r="K483" s="32" t="s">
        <v>102</v>
      </c>
      <c r="L483" s="32"/>
      <c r="M483" s="33" t="s">
        <v>104</v>
      </c>
      <c r="N483" s="33"/>
      <c r="O483" s="32">
        <v>50</v>
      </c>
      <c r="P483" s="7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548"/>
      <c r="R483" s="548"/>
      <c r="S483" s="548"/>
      <c r="T483" s="549"/>
      <c r="U483" s="34"/>
      <c r="V483" s="34"/>
      <c r="W483" s="35" t="s">
        <v>69</v>
      </c>
      <c r="X483" s="541">
        <v>0</v>
      </c>
      <c r="Y483" s="542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1" t="s">
        <v>735</v>
      </c>
      <c r="AG483" s="64"/>
      <c r="AJ483" s="68"/>
      <c r="AK483" s="68">
        <v>0</v>
      </c>
      <c r="BB483" s="532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1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2"/>
      <c r="P484" s="552" t="s">
        <v>75</v>
      </c>
      <c r="Q484" s="553"/>
      <c r="R484" s="553"/>
      <c r="S484" s="553"/>
      <c r="T484" s="553"/>
      <c r="U484" s="553"/>
      <c r="V484" s="554"/>
      <c r="W484" s="37" t="s">
        <v>76</v>
      </c>
      <c r="X484" s="543">
        <f>IFERROR(X483/H483,"0")</f>
        <v>0</v>
      </c>
      <c r="Y484" s="543">
        <f>IFERROR(Y483/H483,"0")</f>
        <v>0</v>
      </c>
      <c r="Z484" s="543">
        <f>IFERROR(IF(Z483="",0,Z483),"0")</f>
        <v>0</v>
      </c>
      <c r="AA484" s="544"/>
      <c r="AB484" s="544"/>
      <c r="AC484" s="544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62"/>
      <c r="P485" s="552" t="s">
        <v>75</v>
      </c>
      <c r="Q485" s="553"/>
      <c r="R485" s="553"/>
      <c r="S485" s="553"/>
      <c r="T485" s="553"/>
      <c r="U485" s="553"/>
      <c r="V485" s="554"/>
      <c r="W485" s="37" t="s">
        <v>69</v>
      </c>
      <c r="X485" s="543">
        <f>IFERROR(SUM(X483:X483),"0")</f>
        <v>0</v>
      </c>
      <c r="Y485" s="543">
        <f>IFERROR(SUM(Y483:Y483),"0")</f>
        <v>0</v>
      </c>
      <c r="Z485" s="37"/>
      <c r="AA485" s="544"/>
      <c r="AB485" s="544"/>
      <c r="AC485" s="544"/>
    </row>
    <row r="486" spans="1:68" ht="15" customHeight="1" x14ac:dyDescent="0.2">
      <c r="A486" s="845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705"/>
      <c r="P486" s="617" t="s">
        <v>736</v>
      </c>
      <c r="Q486" s="618"/>
      <c r="R486" s="618"/>
      <c r="S486" s="618"/>
      <c r="T486" s="618"/>
      <c r="U486" s="618"/>
      <c r="V486" s="619"/>
      <c r="W486" s="37" t="s">
        <v>69</v>
      </c>
      <c r="X486" s="5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16206.8</v>
      </c>
      <c r="Y486" s="5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16368.32</v>
      </c>
      <c r="Z486" s="37"/>
      <c r="AA486" s="544"/>
      <c r="AB486" s="544"/>
      <c r="AC486" s="544"/>
    </row>
    <row r="487" spans="1:68" x14ac:dyDescent="0.2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705"/>
      <c r="P487" s="617" t="s">
        <v>737</v>
      </c>
      <c r="Q487" s="618"/>
      <c r="R487" s="618"/>
      <c r="S487" s="618"/>
      <c r="T487" s="618"/>
      <c r="U487" s="618"/>
      <c r="V487" s="619"/>
      <c r="W487" s="37" t="s">
        <v>69</v>
      </c>
      <c r="X487" s="543">
        <f>IFERROR(SUM(BM22:BM483),"0")</f>
        <v>17157.407867191348</v>
      </c>
      <c r="Y487" s="543">
        <f>IFERROR(SUM(BN22:BN483),"0")</f>
        <v>17330.544000000002</v>
      </c>
      <c r="Z487" s="37"/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705"/>
      <c r="P488" s="617" t="s">
        <v>738</v>
      </c>
      <c r="Q488" s="618"/>
      <c r="R488" s="618"/>
      <c r="S488" s="618"/>
      <c r="T488" s="618"/>
      <c r="U488" s="618"/>
      <c r="V488" s="619"/>
      <c r="W488" s="37" t="s">
        <v>739</v>
      </c>
      <c r="X488" s="38">
        <f>ROUNDUP(SUM(BO22:BO483),0)</f>
        <v>29</v>
      </c>
      <c r="Y488" s="38">
        <f>ROUNDUP(SUM(BP22:BP483),0)</f>
        <v>29</v>
      </c>
      <c r="Z488" s="37"/>
      <c r="AA488" s="544"/>
      <c r="AB488" s="544"/>
      <c r="AC488" s="544"/>
    </row>
    <row r="489" spans="1:68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5"/>
      <c r="P489" s="617" t="s">
        <v>740</v>
      </c>
      <c r="Q489" s="618"/>
      <c r="R489" s="618"/>
      <c r="S489" s="618"/>
      <c r="T489" s="618"/>
      <c r="U489" s="618"/>
      <c r="V489" s="619"/>
      <c r="W489" s="37" t="s">
        <v>69</v>
      </c>
      <c r="X489" s="543">
        <f>GrossWeightTotal+PalletQtyTotal*25</f>
        <v>17882.407867191348</v>
      </c>
      <c r="Y489" s="543">
        <f>GrossWeightTotalR+PalletQtyTotalR*25</f>
        <v>18055.544000000002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5"/>
      <c r="P490" s="617" t="s">
        <v>741</v>
      </c>
      <c r="Q490" s="618"/>
      <c r="R490" s="618"/>
      <c r="S490" s="618"/>
      <c r="T490" s="618"/>
      <c r="U490" s="618"/>
      <c r="V490" s="619"/>
      <c r="W490" s="37" t="s">
        <v>739</v>
      </c>
      <c r="X490" s="5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3230.3728007837203</v>
      </c>
      <c r="Y490" s="5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3259</v>
      </c>
      <c r="Z490" s="37"/>
      <c r="AA490" s="544"/>
      <c r="AB490" s="544"/>
      <c r="AC490" s="544"/>
    </row>
    <row r="491" spans="1:68" ht="14.25" customHeight="1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5"/>
      <c r="P491" s="617" t="s">
        <v>742</v>
      </c>
      <c r="Q491" s="618"/>
      <c r="R491" s="618"/>
      <c r="S491" s="618"/>
      <c r="T491" s="618"/>
      <c r="U491" s="618"/>
      <c r="V491" s="619"/>
      <c r="W491" s="39" t="s">
        <v>743</v>
      </c>
      <c r="X491" s="37"/>
      <c r="Y491" s="37"/>
      <c r="Z491" s="37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32.728500000000004</v>
      </c>
      <c r="AA491" s="544"/>
      <c r="AB491" s="544"/>
      <c r="AC491" s="544"/>
    </row>
    <row r="492" spans="1:68" ht="13.5" customHeight="1" thickBot="1" x14ac:dyDescent="0.25"/>
    <row r="493" spans="1:68" ht="27" customHeight="1" thickTop="1" thickBot="1" x14ac:dyDescent="0.25">
      <c r="A493" s="40" t="s">
        <v>744</v>
      </c>
      <c r="B493" s="538" t="s">
        <v>63</v>
      </c>
      <c r="C493" s="583" t="s">
        <v>97</v>
      </c>
      <c r="D493" s="598"/>
      <c r="E493" s="598"/>
      <c r="F493" s="598"/>
      <c r="G493" s="598"/>
      <c r="H493" s="584"/>
      <c r="I493" s="583" t="s">
        <v>260</v>
      </c>
      <c r="J493" s="598"/>
      <c r="K493" s="598"/>
      <c r="L493" s="598"/>
      <c r="M493" s="598"/>
      <c r="N493" s="598"/>
      <c r="O493" s="598"/>
      <c r="P493" s="598"/>
      <c r="Q493" s="598"/>
      <c r="R493" s="584"/>
      <c r="S493" s="583" t="s">
        <v>547</v>
      </c>
      <c r="T493" s="584"/>
      <c r="U493" s="583" t="s">
        <v>600</v>
      </c>
      <c r="V493" s="598"/>
      <c r="W493" s="584"/>
      <c r="X493" s="538" t="s">
        <v>651</v>
      </c>
      <c r="Y493" s="583" t="s">
        <v>702</v>
      </c>
      <c r="Z493" s="584"/>
      <c r="AB493" s="52"/>
      <c r="AC493" s="52"/>
      <c r="AF493" s="539"/>
    </row>
    <row r="494" spans="1:68" ht="14.25" customHeight="1" thickTop="1" x14ac:dyDescent="0.2">
      <c r="A494" s="846" t="s">
        <v>745</v>
      </c>
      <c r="B494" s="583" t="s">
        <v>63</v>
      </c>
      <c r="C494" s="583" t="s">
        <v>98</v>
      </c>
      <c r="D494" s="583" t="s">
        <v>116</v>
      </c>
      <c r="E494" s="583" t="s">
        <v>164</v>
      </c>
      <c r="F494" s="583" t="s">
        <v>186</v>
      </c>
      <c r="G494" s="583" t="s">
        <v>224</v>
      </c>
      <c r="H494" s="583" t="s">
        <v>97</v>
      </c>
      <c r="I494" s="583" t="s">
        <v>261</v>
      </c>
      <c r="J494" s="583" t="s">
        <v>316</v>
      </c>
      <c r="K494" s="583" t="s">
        <v>376</v>
      </c>
      <c r="L494" s="583" t="s">
        <v>417</v>
      </c>
      <c r="M494" s="583" t="s">
        <v>433</v>
      </c>
      <c r="N494" s="539"/>
      <c r="O494" s="583" t="s">
        <v>444</v>
      </c>
      <c r="P494" s="583" t="s">
        <v>453</v>
      </c>
      <c r="Q494" s="583" t="s">
        <v>466</v>
      </c>
      <c r="R494" s="583" t="s">
        <v>537</v>
      </c>
      <c r="S494" s="583" t="s">
        <v>548</v>
      </c>
      <c r="T494" s="583" t="s">
        <v>584</v>
      </c>
      <c r="U494" s="583" t="s">
        <v>601</v>
      </c>
      <c r="V494" s="583" t="s">
        <v>632</v>
      </c>
      <c r="W494" s="583" t="s">
        <v>647</v>
      </c>
      <c r="X494" s="583" t="s">
        <v>651</v>
      </c>
      <c r="Y494" s="583" t="s">
        <v>702</v>
      </c>
      <c r="Z494" s="583" t="s">
        <v>732</v>
      </c>
      <c r="AB494" s="52"/>
      <c r="AC494" s="52"/>
      <c r="AF494" s="539"/>
    </row>
    <row r="495" spans="1:68" ht="13.5" customHeight="1" thickBot="1" x14ac:dyDescent="0.25">
      <c r="A495" s="847"/>
      <c r="B495" s="59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39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  <c r="AB495" s="52"/>
      <c r="AC495" s="52"/>
      <c r="AF495" s="539"/>
    </row>
    <row r="496" spans="1:68" ht="18" customHeight="1" thickTop="1" thickBot="1" x14ac:dyDescent="0.25">
      <c r="A496" s="40" t="s">
        <v>746</v>
      </c>
      <c r="B496" s="46">
        <f>IFERROR(Y22*1,"0")+IFERROR(Y23*1,"0")+IFERROR(Y27*1,"0")+IFERROR(Y28*1,"0")+IFERROR(Y29*1,"0")+IFERROR(Y30*1,"0")+IFERROR(Y34*1,"0")</f>
        <v>0</v>
      </c>
      <c r="C496" s="46">
        <f>IFERROR(Y40*1,"0")+IFERROR(Y41*1,"0")+IFERROR(Y42*1,"0")+IFERROR(Y46*1,"0")</f>
        <v>391.20000000000005</v>
      </c>
      <c r="D496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574.20000000000005</v>
      </c>
      <c r="E496" s="46">
        <f>IFERROR(Y83*1,"0")+IFERROR(Y84*1,"0")+IFERROR(Y85*1,"0")+IFERROR(Y86*1,"0")+IFERROR(Y90*1,"0")+IFERROR(Y91*1,"0")+IFERROR(Y92*1,"0")+IFERROR(Y93*1,"0")</f>
        <v>1144.8</v>
      </c>
      <c r="F496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988.86</v>
      </c>
      <c r="G496" s="46">
        <f>IFERROR(Y125*1,"0")+IFERROR(Y126*1,"0")+IFERROR(Y130*1,"0")+IFERROR(Y131*1,"0")+IFERROR(Y135*1,"0")+IFERROR(Y136*1,"0")</f>
        <v>104.72</v>
      </c>
      <c r="H496" s="46">
        <f>IFERROR(Y141*1,"0")+IFERROR(Y142*1,"0")+IFERROR(Y146*1,"0")+IFERROR(Y147*1,"0")+IFERROR(Y148*1,"0")+IFERROR(Y149*1,"0")+IFERROR(Y150*1,"0")+IFERROR(Y154*1,"0")</f>
        <v>273</v>
      </c>
      <c r="I496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618.1</v>
      </c>
      <c r="J496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1989</v>
      </c>
      <c r="K496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166.79999999999998</v>
      </c>
      <c r="L496" s="46">
        <f>IFERROR(Y260*1,"0")+IFERROR(Y261*1,"0")+IFERROR(Y262*1,"0")+IFERROR(Y263*1,"0")+IFERROR(Y264*1,"0")</f>
        <v>0</v>
      </c>
      <c r="M496" s="46">
        <f>IFERROR(Y269*1,"0")+IFERROR(Y270*1,"0")+IFERROR(Y271*1,"0")+IFERROR(Y272*1,"0")</f>
        <v>0</v>
      </c>
      <c r="N496" s="539"/>
      <c r="O496" s="46">
        <f>IFERROR(Y277*1,"0")+IFERROR(Y278*1,"0")+IFERROR(Y279*1,"0")</f>
        <v>141.6</v>
      </c>
      <c r="P496" s="46">
        <f>IFERROR(Y284*1,"0")+IFERROR(Y285*1,"0")+IFERROR(Y289*1,"0")+IFERROR(Y290*1,"0")</f>
        <v>0</v>
      </c>
      <c r="Q496" s="46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841.8</v>
      </c>
      <c r="R496" s="46">
        <f>IFERROR(Y339*1,"0")+IFERROR(Y340*1,"0")+IFERROR(Y341*1,"0")</f>
        <v>947.10000000000014</v>
      </c>
      <c r="S496" s="46">
        <f>IFERROR(Y347*1,"0")+IFERROR(Y348*1,"0")+IFERROR(Y349*1,"0")+IFERROR(Y350*1,"0")+IFERROR(Y351*1,"0")+IFERROR(Y352*1,"0")+IFERROR(Y353*1,"0")+IFERROR(Y357*1,"0")+IFERROR(Y358*1,"0")+IFERROR(Y362*1,"0")+IFERROR(Y363*1,"0")+IFERROR(Y367*1,"0")</f>
        <v>6143</v>
      </c>
      <c r="T496" s="46">
        <f>IFERROR(Y372*1,"0")+IFERROR(Y373*1,"0")+IFERROR(Y377*1,"0")+IFERROR(Y381*1,"0")+IFERROR(Y382*1,"0")+IFERROR(Y383*1,"0")</f>
        <v>111</v>
      </c>
      <c r="U496" s="46">
        <f>IFERROR(Y389*1,"0")+IFERROR(Y390*1,"0")+IFERROR(Y391*1,"0")+IFERROR(Y392*1,"0")+IFERROR(Y393*1,"0")+IFERROR(Y394*1,"0")+IFERROR(Y395*1,"0")+IFERROR(Y396*1,"0")+IFERROR(Y397*1,"0")+IFERROR(Y401*1,"0")+IFERROR(Y402*1,"0")</f>
        <v>67.2</v>
      </c>
      <c r="V496" s="46">
        <f>IFERROR(Y407*1,"0")+IFERROR(Y411*1,"0")+IFERROR(Y412*1,"0")+IFERROR(Y413*1,"0")+IFERROR(Y414*1,"0")</f>
        <v>18.900000000000002</v>
      </c>
      <c r="W496" s="46">
        <f>IFERROR(Y419*1,"0")</f>
        <v>24</v>
      </c>
      <c r="X496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779.04000000000008</v>
      </c>
      <c r="Y496" s="46">
        <f>IFERROR(Y457*1,"0")+IFERROR(Y458*1,"0")+IFERROR(Y459*1,"0")+IFERROR(Y460*1,"0")+IFERROR(Y464*1,"0")+IFERROR(Y465*1,"0")+IFERROR(Y469*1,"0")+IFERROR(Y473*1,"0")+IFERROR(Y477*1,"0")+IFERROR(Y478*1,"0")</f>
        <v>1044</v>
      </c>
      <c r="Z496" s="46">
        <f>IFERROR(Y483*1,"0")</f>
        <v>0</v>
      </c>
      <c r="AB496" s="52"/>
      <c r="AC496" s="52"/>
      <c r="AF496" s="539"/>
    </row>
  </sheetData>
  <sheetProtection algorithmName="SHA-512" hashValue="7E3FTPBatb+nVmjIyILgJL/Aro4dDp1nQaYFsTj30rfREYRYxYtrDCwlpCEPVV5opuGx/MQwO5EVLA27+Z+Egg==" saltValue="sGTcTGDCrtrDJvDuSbHwS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0">
    <mergeCell ref="R494:R495"/>
    <mergeCell ref="T494:T495"/>
    <mergeCell ref="A129:Z129"/>
    <mergeCell ref="D192:E192"/>
    <mergeCell ref="D42:E42"/>
    <mergeCell ref="P363:T363"/>
    <mergeCell ref="D173:E173"/>
    <mergeCell ref="D17:E18"/>
    <mergeCell ref="A151:O152"/>
    <mergeCell ref="P71:T71"/>
    <mergeCell ref="P313:T313"/>
    <mergeCell ref="P373:T373"/>
    <mergeCell ref="P307:T307"/>
    <mergeCell ref="P202:T202"/>
    <mergeCell ref="A188:O189"/>
    <mergeCell ref="X17:X18"/>
    <mergeCell ref="A481:Z481"/>
    <mergeCell ref="Y17:Y18"/>
    <mergeCell ref="U17:V17"/>
    <mergeCell ref="P310:V310"/>
    <mergeCell ref="A8:C8"/>
    <mergeCell ref="A153:Z153"/>
    <mergeCell ref="P138:V138"/>
    <mergeCell ref="A137:O138"/>
    <mergeCell ref="D395:E395"/>
    <mergeCell ref="P449:T449"/>
    <mergeCell ref="P374:V374"/>
    <mergeCell ref="A10:C10"/>
    <mergeCell ref="P126:T126"/>
    <mergeCell ref="P218:T218"/>
    <mergeCell ref="A335:O336"/>
    <mergeCell ref="A21:Z21"/>
    <mergeCell ref="P438:V438"/>
    <mergeCell ref="Q5:R5"/>
    <mergeCell ref="P297:T297"/>
    <mergeCell ref="D478:E478"/>
    <mergeCell ref="P435:T435"/>
    <mergeCell ref="D278:E278"/>
    <mergeCell ref="D107:E107"/>
    <mergeCell ref="D234:E234"/>
    <mergeCell ref="A408:O409"/>
    <mergeCell ref="A24:O25"/>
    <mergeCell ref="P136:T136"/>
    <mergeCell ref="P70:T70"/>
    <mergeCell ref="P434:T434"/>
    <mergeCell ref="P263:T263"/>
    <mergeCell ref="D171:E171"/>
    <mergeCell ref="D407:E407"/>
    <mergeCell ref="Q6:R6"/>
    <mergeCell ref="A267:Z267"/>
    <mergeCell ref="P243:T243"/>
    <mergeCell ref="P436:T436"/>
    <mergeCell ref="D102:E102"/>
    <mergeCell ref="P379:V379"/>
    <mergeCell ref="A33:Z33"/>
    <mergeCell ref="P443:V443"/>
    <mergeCell ref="P210:V210"/>
    <mergeCell ref="U494:U495"/>
    <mergeCell ref="A318:Z318"/>
    <mergeCell ref="D252:E252"/>
    <mergeCell ref="A112:Z112"/>
    <mergeCell ref="D218:E218"/>
    <mergeCell ref="P137:V137"/>
    <mergeCell ref="D247:E247"/>
    <mergeCell ref="B494:B495"/>
    <mergeCell ref="D494:D495"/>
    <mergeCell ref="A191:Z191"/>
    <mergeCell ref="P433:T433"/>
    <mergeCell ref="P262:T262"/>
    <mergeCell ref="A476:Z476"/>
    <mergeCell ref="D341:E341"/>
    <mergeCell ref="D170:E170"/>
    <mergeCell ref="P132:V132"/>
    <mergeCell ref="D120:E120"/>
    <mergeCell ref="A486:O491"/>
    <mergeCell ref="A494:A495"/>
    <mergeCell ref="C494:C495"/>
    <mergeCell ref="P185:V185"/>
    <mergeCell ref="D483:E483"/>
    <mergeCell ref="D271:E271"/>
    <mergeCell ref="P319:T319"/>
    <mergeCell ref="F10:G10"/>
    <mergeCell ref="P181:T181"/>
    <mergeCell ref="P357:T357"/>
    <mergeCell ref="D29:E29"/>
    <mergeCell ref="D23:E23"/>
    <mergeCell ref="D216:E216"/>
    <mergeCell ref="P195:V195"/>
    <mergeCell ref="P300:V300"/>
    <mergeCell ref="A194:O195"/>
    <mergeCell ref="A20:Z20"/>
    <mergeCell ref="P68:V68"/>
    <mergeCell ref="P72:T72"/>
    <mergeCell ref="A31:O32"/>
    <mergeCell ref="N17:N18"/>
    <mergeCell ref="F17:F18"/>
    <mergeCell ref="D54:E54"/>
    <mergeCell ref="P83:T83"/>
    <mergeCell ref="V12:W12"/>
    <mergeCell ref="D262:E262"/>
    <mergeCell ref="P122:V122"/>
    <mergeCell ref="A265:O266"/>
    <mergeCell ref="D237:E237"/>
    <mergeCell ref="P43:V43"/>
    <mergeCell ref="A39:Z39"/>
    <mergeCell ref="AD17:AF18"/>
    <mergeCell ref="D101:E101"/>
    <mergeCell ref="P403:V403"/>
    <mergeCell ref="P378:V378"/>
    <mergeCell ref="P117:V117"/>
    <mergeCell ref="F5:G5"/>
    <mergeCell ref="P365:V365"/>
    <mergeCell ref="P144:V144"/>
    <mergeCell ref="P467:V467"/>
    <mergeCell ref="A463:Z463"/>
    <mergeCell ref="A368:O369"/>
    <mergeCell ref="D430:E430"/>
    <mergeCell ref="D175:E175"/>
    <mergeCell ref="P253:T253"/>
    <mergeCell ref="D392:E392"/>
    <mergeCell ref="D221:E221"/>
    <mergeCell ref="A294:Z294"/>
    <mergeCell ref="V11:W11"/>
    <mergeCell ref="D457:E457"/>
    <mergeCell ref="P367:T367"/>
    <mergeCell ref="D165:E165"/>
    <mergeCell ref="P146:T146"/>
    <mergeCell ref="D394:E394"/>
    <mergeCell ref="D450:E450"/>
    <mergeCell ref="A484:O485"/>
    <mergeCell ref="P281:V281"/>
    <mergeCell ref="D226:E226"/>
    <mergeCell ref="P183:T183"/>
    <mergeCell ref="D164:E164"/>
    <mergeCell ref="P62:T62"/>
    <mergeCell ref="P2:W3"/>
    <mergeCell ref="J494:J495"/>
    <mergeCell ref="P298:T298"/>
    <mergeCell ref="P198:T198"/>
    <mergeCell ref="A57:O58"/>
    <mergeCell ref="P347:T347"/>
    <mergeCell ref="A415:O416"/>
    <mergeCell ref="A244:O245"/>
    <mergeCell ref="P90:T90"/>
    <mergeCell ref="P54:T54"/>
    <mergeCell ref="P412:T412"/>
    <mergeCell ref="A342:O343"/>
    <mergeCell ref="D333:E333"/>
    <mergeCell ref="D10:E10"/>
    <mergeCell ref="P135:T135"/>
    <mergeCell ref="P362:T362"/>
    <mergeCell ref="A121:O122"/>
    <mergeCell ref="D305:E305"/>
    <mergeCell ref="P479:V479"/>
    <mergeCell ref="M17:M18"/>
    <mergeCell ref="O17:O18"/>
    <mergeCell ref="P223:V223"/>
    <mergeCell ref="P430:T430"/>
    <mergeCell ref="P102:T102"/>
    <mergeCell ref="P189:V189"/>
    <mergeCell ref="P287:V287"/>
    <mergeCell ref="D177:E177"/>
    <mergeCell ref="D34:E34"/>
    <mergeCell ref="D243:E243"/>
    <mergeCell ref="A479:O480"/>
    <mergeCell ref="P349:T349"/>
    <mergeCell ref="D270:E270"/>
    <mergeCell ref="D99:E99"/>
    <mergeCell ref="D397:E397"/>
    <mergeCell ref="A201:Z201"/>
    <mergeCell ref="D279:E279"/>
    <mergeCell ref="D458:E458"/>
    <mergeCell ref="D433:E433"/>
    <mergeCell ref="A337:Z337"/>
    <mergeCell ref="P85:T85"/>
    <mergeCell ref="P383:T383"/>
    <mergeCell ref="A329:O330"/>
    <mergeCell ref="P478:T478"/>
    <mergeCell ref="D321:E321"/>
    <mergeCell ref="P278:T278"/>
    <mergeCell ref="D150:E150"/>
    <mergeCell ref="P107:T107"/>
    <mergeCell ref="P101:T101"/>
    <mergeCell ref="P465:T465"/>
    <mergeCell ref="D215:E215"/>
    <mergeCell ref="P194:V194"/>
    <mergeCell ref="A364:O365"/>
    <mergeCell ref="A246:Z246"/>
    <mergeCell ref="A103:O104"/>
    <mergeCell ref="P286:V286"/>
    <mergeCell ref="D239:E239"/>
    <mergeCell ref="P174:T174"/>
    <mergeCell ref="P149:T149"/>
    <mergeCell ref="P447:T447"/>
    <mergeCell ref="P41:T41"/>
    <mergeCell ref="A35:O36"/>
    <mergeCell ref="A455:Z455"/>
    <mergeCell ref="D320:E320"/>
    <mergeCell ref="D149:E149"/>
    <mergeCell ref="D447:E447"/>
    <mergeCell ref="A127:O128"/>
    <mergeCell ref="D22:E22"/>
    <mergeCell ref="P295:T295"/>
    <mergeCell ref="P34:T34"/>
    <mergeCell ref="P214:T214"/>
    <mergeCell ref="P270:T270"/>
    <mergeCell ref="D86:E86"/>
    <mergeCell ref="P341:T341"/>
    <mergeCell ref="D213:E213"/>
    <mergeCell ref="D449:E449"/>
    <mergeCell ref="A110:O111"/>
    <mergeCell ref="P63:V63"/>
    <mergeCell ref="P60:T60"/>
    <mergeCell ref="P74:V74"/>
    <mergeCell ref="A9:C9"/>
    <mergeCell ref="D373:E373"/>
    <mergeCell ref="D202:E202"/>
    <mergeCell ref="A302:Z302"/>
    <mergeCell ref="P348:T348"/>
    <mergeCell ref="P273:V273"/>
    <mergeCell ref="D231:E231"/>
    <mergeCell ref="D358:E358"/>
    <mergeCell ref="M494:M495"/>
    <mergeCell ref="O494:O495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247:T247"/>
    <mergeCell ref="P114:T114"/>
    <mergeCell ref="D84:E84"/>
    <mergeCell ref="P483:T483"/>
    <mergeCell ref="A157:Z157"/>
    <mergeCell ref="P471:V471"/>
    <mergeCell ref="D459:E459"/>
    <mergeCell ref="P130:T130"/>
    <mergeCell ref="P421:V421"/>
    <mergeCell ref="D136:E136"/>
    <mergeCell ref="D434:E434"/>
    <mergeCell ref="P240:V240"/>
    <mergeCell ref="P46:T46"/>
    <mergeCell ref="D154:E154"/>
    <mergeCell ref="D225:E225"/>
    <mergeCell ref="P61:T61"/>
    <mergeCell ref="A178:O179"/>
    <mergeCell ref="D436:E436"/>
    <mergeCell ref="P321:T321"/>
    <mergeCell ref="P125:T125"/>
    <mergeCell ref="H5:M5"/>
    <mergeCell ref="P31:V31"/>
    <mergeCell ref="P329:V329"/>
    <mergeCell ref="P98:T98"/>
    <mergeCell ref="P396:T396"/>
    <mergeCell ref="A456:Z456"/>
    <mergeCell ref="P225:T225"/>
    <mergeCell ref="D146:E146"/>
    <mergeCell ref="D6:M6"/>
    <mergeCell ref="D304:E304"/>
    <mergeCell ref="P175:T175"/>
    <mergeCell ref="P266:V266"/>
    <mergeCell ref="P95:V95"/>
    <mergeCell ref="D83:E83"/>
    <mergeCell ref="D441:E441"/>
    <mergeCell ref="A384:O385"/>
    <mergeCell ref="D319:E319"/>
    <mergeCell ref="P106:T106"/>
    <mergeCell ref="P177:T177"/>
    <mergeCell ref="P226:T226"/>
    <mergeCell ref="P93:T93"/>
    <mergeCell ref="D207:E207"/>
    <mergeCell ref="P269:T269"/>
    <mergeCell ref="P164:T164"/>
    <mergeCell ref="V6:W9"/>
    <mergeCell ref="P109:T109"/>
    <mergeCell ref="A59:Z59"/>
    <mergeCell ref="V494:V495"/>
    <mergeCell ref="D435:E435"/>
    <mergeCell ref="D413:E413"/>
    <mergeCell ref="X494:X495"/>
    <mergeCell ref="D217:E217"/>
    <mergeCell ref="A155:O156"/>
    <mergeCell ref="P494:P495"/>
    <mergeCell ref="P84:T84"/>
    <mergeCell ref="P193:T193"/>
    <mergeCell ref="P22:T22"/>
    <mergeCell ref="P320:T320"/>
    <mergeCell ref="P314:T314"/>
    <mergeCell ref="A437:O438"/>
    <mergeCell ref="D428:E428"/>
    <mergeCell ref="P40:T40"/>
    <mergeCell ref="A346:Z346"/>
    <mergeCell ref="Z17:Z18"/>
    <mergeCell ref="P265:V265"/>
    <mergeCell ref="A212:Z212"/>
    <mergeCell ref="P94:V94"/>
    <mergeCell ref="A283:Z283"/>
    <mergeCell ref="AA17:AA18"/>
    <mergeCell ref="H10:M10"/>
    <mergeCell ref="AC17:AC18"/>
    <mergeCell ref="P279:T279"/>
    <mergeCell ref="P108:T108"/>
    <mergeCell ref="D393:E393"/>
    <mergeCell ref="A224:Z224"/>
    <mergeCell ref="P254:T254"/>
    <mergeCell ref="P251:T251"/>
    <mergeCell ref="A288:Z288"/>
    <mergeCell ref="AB17:AB18"/>
    <mergeCell ref="A388:Z388"/>
    <mergeCell ref="P44:V44"/>
    <mergeCell ref="D367:E367"/>
    <mergeCell ref="D383:E383"/>
    <mergeCell ref="D85:E85"/>
    <mergeCell ref="D299:E299"/>
    <mergeCell ref="A230:Z230"/>
    <mergeCell ref="P57:V57"/>
    <mergeCell ref="P333:T333"/>
    <mergeCell ref="G17:G18"/>
    <mergeCell ref="D314:E314"/>
    <mergeCell ref="P184:V184"/>
    <mergeCell ref="P121:V121"/>
    <mergeCell ref="D465:E465"/>
    <mergeCell ref="D440:E440"/>
    <mergeCell ref="D269:E269"/>
    <mergeCell ref="D296:E296"/>
    <mergeCell ref="D204:E204"/>
    <mergeCell ref="D198:E198"/>
    <mergeCell ref="P104:V104"/>
    <mergeCell ref="D427:E427"/>
    <mergeCell ref="P27:T27"/>
    <mergeCell ref="P325:T325"/>
    <mergeCell ref="A222:O223"/>
    <mergeCell ref="P154:T154"/>
    <mergeCell ref="D206:E206"/>
    <mergeCell ref="P390:T390"/>
    <mergeCell ref="P241:V241"/>
    <mergeCell ref="D298:E298"/>
    <mergeCell ref="D181:E181"/>
    <mergeCell ref="A158:Z158"/>
    <mergeCell ref="P404:V404"/>
    <mergeCell ref="P91:T91"/>
    <mergeCell ref="A286:O287"/>
    <mergeCell ref="P327:T327"/>
    <mergeCell ref="A378:O379"/>
    <mergeCell ref="P316:V316"/>
    <mergeCell ref="J9:M9"/>
    <mergeCell ref="A356:Z356"/>
    <mergeCell ref="D348:E348"/>
    <mergeCell ref="H494:H495"/>
    <mergeCell ref="P141:T141"/>
    <mergeCell ref="D62:E62"/>
    <mergeCell ref="D56:E56"/>
    <mergeCell ref="D193:E193"/>
    <mergeCell ref="P377:T377"/>
    <mergeCell ref="P206:T206"/>
    <mergeCell ref="P448:T448"/>
    <mergeCell ref="P233:T233"/>
    <mergeCell ref="D347:E347"/>
    <mergeCell ref="P304:T304"/>
    <mergeCell ref="D285:E285"/>
    <mergeCell ref="D176:E176"/>
    <mergeCell ref="P155:V155"/>
    <mergeCell ref="D412:E412"/>
    <mergeCell ref="D114:E114"/>
    <mergeCell ref="A273:O274"/>
    <mergeCell ref="P441:T441"/>
    <mergeCell ref="D362:E362"/>
    <mergeCell ref="D51:E51"/>
    <mergeCell ref="P235:T235"/>
    <mergeCell ref="W494:W495"/>
    <mergeCell ref="P238:T238"/>
    <mergeCell ref="D61:E61"/>
    <mergeCell ref="Y494:Y495"/>
    <mergeCell ref="A15:M15"/>
    <mergeCell ref="A359:O360"/>
    <mergeCell ref="D477:E477"/>
    <mergeCell ref="P77:T77"/>
    <mergeCell ref="P204:T204"/>
    <mergeCell ref="D125:E125"/>
    <mergeCell ref="P446:T446"/>
    <mergeCell ref="P440:T440"/>
    <mergeCell ref="A418:Z418"/>
    <mergeCell ref="P477:T477"/>
    <mergeCell ref="D349:E349"/>
    <mergeCell ref="P306:T306"/>
    <mergeCell ref="P384:V384"/>
    <mergeCell ref="A380:Z380"/>
    <mergeCell ref="A38:Z38"/>
    <mergeCell ref="A445:Z445"/>
    <mergeCell ref="P249:V249"/>
    <mergeCell ref="P207:T207"/>
    <mergeCell ref="P299:T299"/>
    <mergeCell ref="P393:T393"/>
    <mergeCell ref="A13:M13"/>
    <mergeCell ref="A119:Z119"/>
    <mergeCell ref="A417:Z417"/>
    <mergeCell ref="P79:V79"/>
    <mergeCell ref="P244:V244"/>
    <mergeCell ref="A69:Z69"/>
    <mergeCell ref="P437:V437"/>
    <mergeCell ref="A196:Z196"/>
    <mergeCell ref="P115:T115"/>
    <mergeCell ref="D254:E254"/>
    <mergeCell ref="A338:Z338"/>
    <mergeCell ref="D203:E203"/>
    <mergeCell ref="A186:Z186"/>
    <mergeCell ref="P232:T232"/>
    <mergeCell ref="P152:V152"/>
    <mergeCell ref="A82:Z82"/>
    <mergeCell ref="A275:Z275"/>
    <mergeCell ref="P395:T395"/>
    <mergeCell ref="D425:E425"/>
    <mergeCell ref="H17:H18"/>
    <mergeCell ref="P261:T261"/>
    <mergeCell ref="A291:O292"/>
    <mergeCell ref="P332:T332"/>
    <mergeCell ref="P217:T217"/>
    <mergeCell ref="D372:E372"/>
    <mergeCell ref="P260:T260"/>
    <mergeCell ref="D295:E295"/>
    <mergeCell ref="D172:E172"/>
    <mergeCell ref="P51:T51"/>
    <mergeCell ref="P461:V461"/>
    <mergeCell ref="A143:O144"/>
    <mergeCell ref="A199:O200"/>
    <mergeCell ref="P227:V227"/>
    <mergeCell ref="P444:V444"/>
    <mergeCell ref="P58:V58"/>
    <mergeCell ref="P452:V452"/>
    <mergeCell ref="P459:T459"/>
    <mergeCell ref="A439:Z439"/>
    <mergeCell ref="D446:E446"/>
    <mergeCell ref="P460:T460"/>
    <mergeCell ref="A452:O453"/>
    <mergeCell ref="T5:U5"/>
    <mergeCell ref="V5:W5"/>
    <mergeCell ref="P203:T203"/>
    <mergeCell ref="D46:E46"/>
    <mergeCell ref="D40:E40"/>
    <mergeCell ref="A466:O467"/>
    <mergeCell ref="D233:E233"/>
    <mergeCell ref="D469:E469"/>
    <mergeCell ref="Q8:R8"/>
    <mergeCell ref="D183:E183"/>
    <mergeCell ref="D419:E419"/>
    <mergeCell ref="D219:E219"/>
    <mergeCell ref="P425:T425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37:Z37"/>
    <mergeCell ref="A145:Z145"/>
    <mergeCell ref="Q494:Q495"/>
    <mergeCell ref="P228:V228"/>
    <mergeCell ref="A180:Z180"/>
    <mergeCell ref="A12:M12"/>
    <mergeCell ref="A482:Z482"/>
    <mergeCell ref="P397:T397"/>
    <mergeCell ref="P200:V200"/>
    <mergeCell ref="A190:Z190"/>
    <mergeCell ref="P372:T372"/>
    <mergeCell ref="A19:Z19"/>
    <mergeCell ref="P292:V292"/>
    <mergeCell ref="D182:E182"/>
    <mergeCell ref="A14:M14"/>
    <mergeCell ref="D109:E109"/>
    <mergeCell ref="A280:O281"/>
    <mergeCell ref="P216:T216"/>
    <mergeCell ref="A406:Z406"/>
    <mergeCell ref="P385:V385"/>
    <mergeCell ref="A139:Z139"/>
    <mergeCell ref="P360:V360"/>
    <mergeCell ref="P80:V80"/>
    <mergeCell ref="P151:V151"/>
    <mergeCell ref="D130:E130"/>
    <mergeCell ref="P451:T451"/>
    <mergeCell ref="D27:E27"/>
    <mergeCell ref="P408:V408"/>
    <mergeCell ref="A67:O68"/>
    <mergeCell ref="D325:E325"/>
    <mergeCell ref="P208:T208"/>
    <mergeCell ref="D396:E396"/>
    <mergeCell ref="P450:T450"/>
    <mergeCell ref="A132:O133"/>
    <mergeCell ref="P15:T16"/>
    <mergeCell ref="D116:E116"/>
    <mergeCell ref="D414:E414"/>
    <mergeCell ref="D352:E352"/>
    <mergeCell ref="P419:T419"/>
    <mergeCell ref="P219:T219"/>
    <mergeCell ref="D91:E91"/>
    <mergeCell ref="P23:T23"/>
    <mergeCell ref="P272:T272"/>
    <mergeCell ref="D327:E327"/>
    <mergeCell ref="P308:T308"/>
    <mergeCell ref="D106:E106"/>
    <mergeCell ref="P427:T427"/>
    <mergeCell ref="D264:E264"/>
    <mergeCell ref="P277:T277"/>
    <mergeCell ref="D93:E93"/>
    <mergeCell ref="P303:T303"/>
    <mergeCell ref="A420:O421"/>
    <mergeCell ref="U493:W493"/>
    <mergeCell ref="P486:V486"/>
    <mergeCell ref="P75:V75"/>
    <mergeCell ref="P342:V342"/>
    <mergeCell ref="P317:V317"/>
    <mergeCell ref="P305:T305"/>
    <mergeCell ref="D52:E52"/>
    <mergeCell ref="D350:E350"/>
    <mergeCell ref="P110:V110"/>
    <mergeCell ref="D460:E460"/>
    <mergeCell ref="D391:E391"/>
    <mergeCell ref="D220:E220"/>
    <mergeCell ref="P199:V199"/>
    <mergeCell ref="P291:V291"/>
    <mergeCell ref="P484:V484"/>
    <mergeCell ref="D328:E328"/>
    <mergeCell ref="P285:T285"/>
    <mergeCell ref="A259:Z259"/>
    <mergeCell ref="A424:Z424"/>
    <mergeCell ref="D251:E251"/>
    <mergeCell ref="A324:Z324"/>
    <mergeCell ref="P355:V355"/>
    <mergeCell ref="A5:C5"/>
    <mergeCell ref="P64:V64"/>
    <mergeCell ref="P340:T340"/>
    <mergeCell ref="A423:Z423"/>
    <mergeCell ref="P420:V420"/>
    <mergeCell ref="A472:Z472"/>
    <mergeCell ref="D166:E166"/>
    <mergeCell ref="A410:Z410"/>
    <mergeCell ref="D464:E464"/>
    <mergeCell ref="D402:E402"/>
    <mergeCell ref="P128:V128"/>
    <mergeCell ref="A17:A18"/>
    <mergeCell ref="P364:V364"/>
    <mergeCell ref="K17:K18"/>
    <mergeCell ref="C17:C18"/>
    <mergeCell ref="P431:T431"/>
    <mergeCell ref="D401:E401"/>
    <mergeCell ref="P358:T358"/>
    <mergeCell ref="D339:E339"/>
    <mergeCell ref="D168:E168"/>
    <mergeCell ref="P66:T66"/>
    <mergeCell ref="D9:E9"/>
    <mergeCell ref="P197:T197"/>
    <mergeCell ref="A354:O355"/>
    <mergeCell ref="A6:C6"/>
    <mergeCell ref="A322:O323"/>
    <mergeCell ref="D113:E113"/>
    <mergeCell ref="P415:V415"/>
    <mergeCell ref="A96:Z96"/>
    <mergeCell ref="P167:T167"/>
    <mergeCell ref="P336:V336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P411:T411"/>
    <mergeCell ref="D90:E90"/>
    <mergeCell ref="P354:V354"/>
    <mergeCell ref="A43:O44"/>
    <mergeCell ref="P133:V133"/>
    <mergeCell ref="D390:E390"/>
    <mergeCell ref="P369:V369"/>
    <mergeCell ref="A250:Z250"/>
    <mergeCell ref="P127:V127"/>
    <mergeCell ref="Q9:R9"/>
    <mergeCell ref="Z494:Z495"/>
    <mergeCell ref="P312:T312"/>
    <mergeCell ref="D451:E451"/>
    <mergeCell ref="D255:E255"/>
    <mergeCell ref="A331:Z331"/>
    <mergeCell ref="P36:V36"/>
    <mergeCell ref="A159:Z159"/>
    <mergeCell ref="P78:T78"/>
    <mergeCell ref="A97:Z97"/>
    <mergeCell ref="Q11:R11"/>
    <mergeCell ref="P205:T205"/>
    <mergeCell ref="D260:E260"/>
    <mergeCell ref="A470:O471"/>
    <mergeCell ref="P442:T442"/>
    <mergeCell ref="P489:V489"/>
    <mergeCell ref="D448:E448"/>
    <mergeCell ref="P469:T469"/>
    <mergeCell ref="P491:V491"/>
    <mergeCell ref="A123:Z123"/>
    <mergeCell ref="P53:T53"/>
    <mergeCell ref="F9:G9"/>
    <mergeCell ref="D167:E167"/>
    <mergeCell ref="P351:T351"/>
    <mergeCell ref="E494:E495"/>
    <mergeCell ref="G494:G495"/>
    <mergeCell ref="A403:O404"/>
    <mergeCell ref="D77:E77"/>
    <mergeCell ref="P131:T131"/>
    <mergeCell ref="P187:T187"/>
    <mergeCell ref="A117:O118"/>
    <mergeCell ref="P429:T429"/>
    <mergeCell ref="D108:E108"/>
    <mergeCell ref="P350:T350"/>
    <mergeCell ref="D160:E160"/>
    <mergeCell ref="D141:E141"/>
    <mergeCell ref="D306:E306"/>
    <mergeCell ref="D135:E135"/>
    <mergeCell ref="D377:E377"/>
    <mergeCell ref="P414:T414"/>
    <mergeCell ref="P352:T352"/>
    <mergeCell ref="P470:V470"/>
    <mergeCell ref="P301:V301"/>
    <mergeCell ref="P178:V178"/>
    <mergeCell ref="D235:E235"/>
    <mergeCell ref="A248:O249"/>
    <mergeCell ref="P289:T289"/>
    <mergeCell ref="D232:E232"/>
    <mergeCell ref="P488:V488"/>
    <mergeCell ref="C493:H493"/>
    <mergeCell ref="D1:F1"/>
    <mergeCell ref="P111:V11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371:Z371"/>
    <mergeCell ref="P255:T255"/>
    <mergeCell ref="D334:E334"/>
    <mergeCell ref="P192:T192"/>
    <mergeCell ref="P428:T428"/>
    <mergeCell ref="A309:O310"/>
    <mergeCell ref="P284:T284"/>
    <mergeCell ref="A344:Z344"/>
    <mergeCell ref="A400:Z400"/>
    <mergeCell ref="A229:Z229"/>
    <mergeCell ref="P113:T113"/>
    <mergeCell ref="P17:T18"/>
    <mergeCell ref="L494:L495"/>
    <mergeCell ref="P475:V475"/>
    <mergeCell ref="P335:V335"/>
    <mergeCell ref="A387:Z387"/>
    <mergeCell ref="P462:V462"/>
    <mergeCell ref="A45:Z45"/>
    <mergeCell ref="P35:V35"/>
    <mergeCell ref="P399:V399"/>
    <mergeCell ref="D272:E272"/>
    <mergeCell ref="D381:E381"/>
    <mergeCell ref="A345:Z345"/>
    <mergeCell ref="D308:E308"/>
    <mergeCell ref="D209:E209"/>
    <mergeCell ref="P166:T166"/>
    <mergeCell ref="A282:Z282"/>
    <mergeCell ref="P464:T464"/>
    <mergeCell ref="P188:V188"/>
    <mergeCell ref="P402:T402"/>
    <mergeCell ref="D147:E147"/>
    <mergeCell ref="A89:Z89"/>
    <mergeCell ref="P116:T116"/>
    <mergeCell ref="A105:Z105"/>
    <mergeCell ref="A376:Z376"/>
    <mergeCell ref="A398:O399"/>
    <mergeCell ref="D5:E5"/>
    <mergeCell ref="P382:T382"/>
    <mergeCell ref="D303:E303"/>
    <mergeCell ref="P42:T42"/>
    <mergeCell ref="A474:O475"/>
    <mergeCell ref="D290:E290"/>
    <mergeCell ref="P28:T28"/>
    <mergeCell ref="P148:T148"/>
    <mergeCell ref="A47:O48"/>
    <mergeCell ref="A240:O241"/>
    <mergeCell ref="P162:V162"/>
    <mergeCell ref="P398:V398"/>
    <mergeCell ref="A26:Z26"/>
    <mergeCell ref="A468:Z468"/>
    <mergeCell ref="P401:T401"/>
    <mergeCell ref="D382:E382"/>
    <mergeCell ref="P339:T339"/>
    <mergeCell ref="A227:O228"/>
    <mergeCell ref="P168:T168"/>
    <mergeCell ref="A242:Z242"/>
    <mergeCell ref="D100:E100"/>
    <mergeCell ref="P323:V323"/>
    <mergeCell ref="P52:T52"/>
    <mergeCell ref="I17:I18"/>
    <mergeCell ref="F494:F495"/>
    <mergeCell ref="H1:Q1"/>
    <mergeCell ref="P480:V480"/>
    <mergeCell ref="P280:V280"/>
    <mergeCell ref="A268:Z268"/>
    <mergeCell ref="P274:V274"/>
    <mergeCell ref="A366:Z366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P171:T171"/>
    <mergeCell ref="A361:Z361"/>
    <mergeCell ref="P413:T413"/>
    <mergeCell ref="D92:E92"/>
    <mergeCell ref="D353:E353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P237:T237"/>
    <mergeCell ref="A161:O162"/>
    <mergeCell ref="P118:V118"/>
    <mergeCell ref="P343:V343"/>
    <mergeCell ref="D55:E55"/>
    <mergeCell ref="D30:E30"/>
    <mergeCell ref="A311:Z311"/>
    <mergeCell ref="A140:Z140"/>
    <mergeCell ref="D72:E72"/>
    <mergeCell ref="S494:S495"/>
    <mergeCell ref="I494:I495"/>
    <mergeCell ref="A300:O301"/>
    <mergeCell ref="K494:K495"/>
    <mergeCell ref="P170:T170"/>
    <mergeCell ref="A94:O95"/>
    <mergeCell ref="D66:E66"/>
    <mergeCell ref="D126:E126"/>
    <mergeCell ref="D197:E197"/>
    <mergeCell ref="P381:T381"/>
    <mergeCell ref="D253:E253"/>
    <mergeCell ref="D351:E351"/>
    <mergeCell ref="D411:E411"/>
    <mergeCell ref="P330:V330"/>
    <mergeCell ref="D289:E289"/>
    <mergeCell ref="P160:T160"/>
    <mergeCell ref="P209:T209"/>
    <mergeCell ref="P147:T147"/>
    <mergeCell ref="I493:R493"/>
    <mergeCell ref="P161:V161"/>
    <mergeCell ref="P234:T234"/>
    <mergeCell ref="D142:E142"/>
    <mergeCell ref="A386:Z386"/>
    <mergeCell ref="D442:E442"/>
    <mergeCell ref="B17:B18"/>
    <mergeCell ref="P143:V143"/>
    <mergeCell ref="P248:V248"/>
    <mergeCell ref="D131:E131"/>
    <mergeCell ref="S493:T493"/>
    <mergeCell ref="P252:T252"/>
    <mergeCell ref="P56:T56"/>
    <mergeCell ref="V10:W10"/>
    <mergeCell ref="A124:Z124"/>
    <mergeCell ref="D431:E431"/>
    <mergeCell ref="P99:T99"/>
    <mergeCell ref="A422:Z422"/>
    <mergeCell ref="D53:E53"/>
    <mergeCell ref="A50:Z50"/>
    <mergeCell ref="W17:W18"/>
    <mergeCell ref="Y493:Z493"/>
    <mergeCell ref="D429:E429"/>
    <mergeCell ref="P458:T458"/>
    <mergeCell ref="P485:V485"/>
    <mergeCell ref="P473:T473"/>
    <mergeCell ref="P416:V416"/>
    <mergeCell ref="P487:V487"/>
    <mergeCell ref="A461:O462"/>
    <mergeCell ref="P407:T407"/>
    <mergeCell ref="R1:T1"/>
    <mergeCell ref="P150:T150"/>
    <mergeCell ref="D71:E71"/>
    <mergeCell ref="P392:T392"/>
    <mergeCell ref="P326:T326"/>
    <mergeCell ref="D332:E332"/>
    <mergeCell ref="A316:O317"/>
    <mergeCell ref="D307:E307"/>
    <mergeCell ref="P457:T457"/>
    <mergeCell ref="A443:O444"/>
    <mergeCell ref="P221:T221"/>
    <mergeCell ref="P215:T215"/>
    <mergeCell ref="A74:O75"/>
    <mergeCell ref="P165:T165"/>
    <mergeCell ref="P432:T432"/>
    <mergeCell ref="D98:E98"/>
    <mergeCell ref="D73:E73"/>
    <mergeCell ref="P30:T30"/>
    <mergeCell ref="P375:V375"/>
    <mergeCell ref="P179:V179"/>
    <mergeCell ref="A374:O375"/>
    <mergeCell ref="P290:T290"/>
    <mergeCell ref="A258:Z258"/>
    <mergeCell ref="A63:O64"/>
    <mergeCell ref="H9:I9"/>
    <mergeCell ref="P24:V24"/>
    <mergeCell ref="A49:Z49"/>
    <mergeCell ref="P322:V322"/>
    <mergeCell ref="P211:V211"/>
    <mergeCell ref="P453:V453"/>
    <mergeCell ref="P389:T389"/>
    <mergeCell ref="P309:V309"/>
    <mergeCell ref="D297:E297"/>
    <mergeCell ref="A370:Z370"/>
    <mergeCell ref="A256:O257"/>
    <mergeCell ref="P88:V88"/>
    <mergeCell ref="A79:O80"/>
    <mergeCell ref="D70:E70"/>
    <mergeCell ref="P391:T391"/>
    <mergeCell ref="D312:E312"/>
    <mergeCell ref="D263:E263"/>
    <mergeCell ref="P220:T220"/>
    <mergeCell ref="A65:Z65"/>
    <mergeCell ref="D238:E238"/>
    <mergeCell ref="D426:E426"/>
    <mergeCell ref="P86:T86"/>
    <mergeCell ref="P328:T328"/>
    <mergeCell ref="P213:T213"/>
    <mergeCell ref="D473:E473"/>
    <mergeCell ref="D60:E60"/>
    <mergeCell ref="P73:T73"/>
    <mergeCell ref="P315:T315"/>
    <mergeCell ref="D187:E187"/>
    <mergeCell ref="P231:T231"/>
    <mergeCell ref="D174:E174"/>
    <mergeCell ref="P87:V87"/>
    <mergeCell ref="A276:Z276"/>
    <mergeCell ref="P245:V245"/>
    <mergeCell ref="D78:E78"/>
    <mergeCell ref="D205:E205"/>
    <mergeCell ref="D363:E363"/>
    <mergeCell ref="D357:E357"/>
    <mergeCell ref="A87:O88"/>
    <mergeCell ref="P172:T172"/>
    <mergeCell ref="P466:V466"/>
    <mergeCell ref="A210:O211"/>
    <mergeCell ref="P67:V67"/>
    <mergeCell ref="P264:T264"/>
    <mergeCell ref="P239:T239"/>
    <mergeCell ref="D169:E169"/>
    <mergeCell ref="P353:T353"/>
    <mergeCell ref="A134:Z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7 X83 X90 X98 X101 X106 X113 X115:X116 X120 X126 X130 X136 X164:X166 X168 X170 X175 X202:X209 X215:X216 X218 X220:X221 X225:X226 X231 X233:X234 X238 X278 X306:X308 X319:X321 X327:X328 X332 X334 X340:X341 X363 X372 X381 X393:X394 X396 X419 X425 X429 X431 X440 X446:X451 X473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4o50xXc/8qCXL4GsS1N7UvpmKkpHnFjCGJ1x/iJVijWnN74qThxQNNLQNfGp90WXspLMNXhIwF8W105OPsSZQ==" saltValue="P50Qwo+u8Yx7LyxirXz27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