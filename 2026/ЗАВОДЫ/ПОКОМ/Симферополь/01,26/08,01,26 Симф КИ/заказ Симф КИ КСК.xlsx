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7515E7DC-93D8-4C00-ABC6-52276B9104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X25" i="1"/>
  <c r="Y24" i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D7" i="1"/>
  <c r="Q6" i="1"/>
  <c r="P2" i="1"/>
  <c r="F10" i="1" l="1"/>
  <c r="J9" i="1"/>
  <c r="F9" i="1"/>
  <c r="A10" i="1"/>
  <c r="BP28" i="1"/>
  <c r="BN28" i="1"/>
  <c r="Z28" i="1"/>
  <c r="Z32" i="1" s="1"/>
  <c r="Y32" i="1"/>
  <c r="Y499" i="1" s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H9" i="1"/>
  <c r="Y25" i="1"/>
  <c r="BP22" i="1"/>
  <c r="BN22" i="1"/>
  <c r="Z22" i="1"/>
  <c r="Z24" i="1" s="1"/>
  <c r="B505" i="1"/>
  <c r="X497" i="1"/>
  <c r="X498" i="1" s="1"/>
  <c r="X495" i="1"/>
  <c r="Y33" i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Z96" i="1" s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Z119" i="1" s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Z225" i="1" s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Z268" i="1" s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Z357" i="1" s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Z402" i="1" s="1"/>
  <c r="BP398" i="1"/>
  <c r="BN398" i="1"/>
  <c r="Z398" i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325" i="1" l="1"/>
  <c r="Z283" i="1"/>
  <c r="Y496" i="1"/>
  <c r="Y495" i="1"/>
  <c r="Z441" i="1"/>
  <c r="Z312" i="1"/>
  <c r="Z303" i="1"/>
  <c r="Z500" i="1" s="1"/>
  <c r="Y497" i="1"/>
  <c r="Y498" i="1" l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<sst xmlns="http://schemas.openxmlformats.org/spreadsheetml/2006/main" count="2318" uniqueCount="781">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</sst>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6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100</v>
      </c>
      <c r="Y41" s="55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240</v>
      </c>
      <c r="Y43" s="554">
        <f>IFERROR(IF(X43="",0,CEILING((X43/$H43),1)*$H43),"")</f>
        <v>240</v>
      </c>
      <c r="Z43" s="36">
        <f>IFERROR(IF(Y43=0,"",ROUNDUP(Y43/H43,0)*0.00902),"")</f>
        <v>0.54120000000000001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251.40000000000003</v>
      </c>
      <c r="BN43" s="64">
        <f>IFERROR(Y43*I43/H43,"0")</f>
        <v>251.40000000000003</v>
      </c>
      <c r="BO43" s="64">
        <f>IFERROR(1/J43*(X43/H43),"0")</f>
        <v>0.45454545454545459</v>
      </c>
      <c r="BP43" s="64">
        <f>IFERROR(1/J43*(Y43/H43),"0")</f>
        <v>0.45454545454545459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69.259259259259267</v>
      </c>
      <c r="Y44" s="555">
        <f>IFERROR(Y41/H41,"0")+IFERROR(Y42/H42,"0")+IFERROR(Y43/H43,"0")</f>
        <v>70</v>
      </c>
      <c r="Z44" s="555">
        <f>IFERROR(IF(Z41="",0,Z41),"0")+IFERROR(IF(Z42="",0,Z42),"0")+IFERROR(IF(Z43="",0,Z43),"0")</f>
        <v>0.73099999999999998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340</v>
      </c>
      <c r="Y45" s="555">
        <f>IFERROR(SUM(Y41:Y43),"0")</f>
        <v>348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150</v>
      </c>
      <c r="Y53" s="554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360</v>
      </c>
      <c r="Y57" s="554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93.888888888888886</v>
      </c>
      <c r="Y58" s="555">
        <f>IFERROR(Y52/H52,"0")+IFERROR(Y53/H53,"0")+IFERROR(Y54/H54,"0")+IFERROR(Y55/H55,"0")+IFERROR(Y56/H56,"0")+IFERROR(Y57/H57,"0")</f>
        <v>94</v>
      </c>
      <c r="Z58" s="555">
        <f>IFERROR(IF(Z52="",0,Z52),"0")+IFERROR(IF(Z53="",0,Z53),"0")+IFERROR(IF(Z54="",0,Z54),"0")+IFERROR(IF(Z55="",0,Z55),"0")+IFERROR(IF(Z56="",0,Z56),"0")+IFERROR(IF(Z57="",0,Z57),"0")</f>
        <v>0.98731999999999998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510</v>
      </c>
      <c r="Y59" s="555">
        <f>IFERROR(SUM(Y52:Y57),"0")</f>
        <v>511.20000000000005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61.111111111111114</v>
      </c>
      <c r="Y64" s="555">
        <f>IFERROR(Y61/H61,"0")+IFERROR(Y62/H62,"0")+IFERROR(Y63/H63,"0")</f>
        <v>62</v>
      </c>
      <c r="Z64" s="555">
        <f>IFERROR(IF(Z61="",0,Z61),"0")+IFERROR(IF(Z62="",0,Z62),"0")+IFERROR(IF(Z63="",0,Z63),"0")</f>
        <v>0.55326000000000009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255</v>
      </c>
      <c r="Y65" s="555">
        <f>IFERROR(SUM(Y61:Y63),"0")</f>
        <v>264.60000000000002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70</v>
      </c>
      <c r="Y79" s="554">
        <f>IFERROR(IF(X79="",0,CEILING((X79/$H79),1)*$H79),"")</f>
        <v>70.2</v>
      </c>
      <c r="Z79" s="36">
        <f>IFERROR(IF(Y79=0,"",ROUNDUP(Y79/H79,0)*0.01898),"")</f>
        <v>0.17082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73.679487179487182</v>
      </c>
      <c r="BN79" s="64">
        <f>IFERROR(Y79*I79/H79,"0")</f>
        <v>73.890000000000015</v>
      </c>
      <c r="BO79" s="64">
        <f>IFERROR(1/J79*(X79/H79),"0")</f>
        <v>0.14022435897435898</v>
      </c>
      <c r="BP79" s="64">
        <f>IFERROR(1/J79*(Y79/H79),"0")</f>
        <v>0.140625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8.9743589743589745</v>
      </c>
      <c r="Y81" s="555">
        <f>IFERROR(Y79/H79,"0")+IFERROR(Y80/H80,"0")</f>
        <v>9</v>
      </c>
      <c r="Z81" s="555">
        <f>IFERROR(IF(Z79="",0,Z79),"0")+IFERROR(IF(Z80="",0,Z80),"0")</f>
        <v>0.17082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70</v>
      </c>
      <c r="Y82" s="555">
        <f>IFERROR(SUM(Y79:Y80),"0")</f>
        <v>70.2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100</v>
      </c>
      <c r="Y85" s="55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109.25925925925927</v>
      </c>
      <c r="Y89" s="555">
        <f>IFERROR(Y85/H85,"0")+IFERROR(Y86/H86,"0")+IFERROR(Y87/H87,"0")+IFERROR(Y88/H88,"0")</f>
        <v>110</v>
      </c>
      <c r="Z89" s="555">
        <f>IFERROR(IF(Z85="",0,Z85),"0")+IFERROR(IF(Z86="",0,Z86),"0")+IFERROR(IF(Z87="",0,Z87),"0")+IFERROR(IF(Z88="",0,Z88),"0")</f>
        <v>1.0918000000000001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550</v>
      </c>
      <c r="Y90" s="555">
        <f>IFERROR(SUM(Y85:Y88),"0")</f>
        <v>558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250</v>
      </c>
      <c r="Y92" s="554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164.19753086419752</v>
      </c>
      <c r="Y96" s="555">
        <f>IFERROR(Y92/H92,"0")+IFERROR(Y93/H93,"0")+IFERROR(Y94/H94,"0")+IFERROR(Y95/H95,"0")</f>
        <v>165</v>
      </c>
      <c r="Z96" s="555">
        <f>IFERROR(IF(Z92="",0,Z92),"0")+IFERROR(IF(Z93="",0,Z93),"0")+IFERROR(IF(Z94="",0,Z94),"0")+IFERROR(IF(Z95="",0,Z95),"0")</f>
        <v>1.46072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610</v>
      </c>
      <c r="Y97" s="555">
        <f>IFERROR(SUM(Y92:Y95),"0")</f>
        <v>612.9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180</v>
      </c>
      <c r="Y103" s="554">
        <f>IFERROR(IF(X103="",0,CEILING((X103/$H103),1)*$H103),"")</f>
        <v>180</v>
      </c>
      <c r="Z103" s="36">
        <f>IFERROR(IF(Y103=0,"",ROUNDUP(Y103/H103,0)*0.00902),"")</f>
        <v>0.36080000000000001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187.60000000000002</v>
      </c>
      <c r="BN103" s="64">
        <f>IFERROR(Y103*I103/H103,"0")</f>
        <v>187.60000000000002</v>
      </c>
      <c r="BO103" s="64">
        <f>IFERROR(1/J103*(X103/H103),"0")</f>
        <v>0.30303030303030304</v>
      </c>
      <c r="BP103" s="64">
        <f>IFERROR(1/J103*(Y103/H103),"0")</f>
        <v>0.30303030303030304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44.629629629629633</v>
      </c>
      <c r="Y105" s="555">
        <f>IFERROR(Y100/H100,"0")+IFERROR(Y101/H101,"0")+IFERROR(Y102/H102,"0")+IFERROR(Y103/H103,"0")+IFERROR(Y104/H104,"0")</f>
        <v>45</v>
      </c>
      <c r="Z105" s="555">
        <f>IFERROR(IF(Z100="",0,Z100),"0")+IFERROR(IF(Z101="",0,Z101),"0")+IFERROR(IF(Z102="",0,Z102),"0")+IFERROR(IF(Z103="",0,Z103),"0")+IFERROR(IF(Z104="",0,Z104),"0")</f>
        <v>0.45569999999999999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230</v>
      </c>
      <c r="Y106" s="555">
        <f>IFERROR(SUM(Y100:Y104),"0")</f>
        <v>234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250</v>
      </c>
      <c r="Y115" s="554">
        <f>IFERROR(IF(X115="",0,CEILING((X115/$H115),1)*$H115),"")</f>
        <v>251.1</v>
      </c>
      <c r="Z115" s="36">
        <f>IFERROR(IF(Y115=0,"",ROUNDUP(Y115/H115,0)*0.01898),"")</f>
        <v>0.58838000000000001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265.06172839506172</v>
      </c>
      <c r="BN115" s="64">
        <f>IFERROR(Y115*I115/H115,"0")</f>
        <v>266.22799999999995</v>
      </c>
      <c r="BO115" s="64">
        <f>IFERROR(1/J115*(X115/H115),"0")</f>
        <v>0.48225308641975312</v>
      </c>
      <c r="BP115" s="64">
        <f>IFERROR(1/J115*(Y115/H115),"0")</f>
        <v>0.484375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119.19753086419753</v>
      </c>
      <c r="Y119" s="555">
        <f>IFERROR(Y115/H115,"0")+IFERROR(Y116/H116,"0")+IFERROR(Y117/H117,"0")+IFERROR(Y118/H118,"0")</f>
        <v>120</v>
      </c>
      <c r="Z119" s="555">
        <f>IFERROR(IF(Z115="",0,Z115),"0")+IFERROR(IF(Z116="",0,Z116),"0")+IFERROR(IF(Z117="",0,Z117),"0")+IFERROR(IF(Z118="",0,Z118),"0")</f>
        <v>1.16777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484</v>
      </c>
      <c r="Y120" s="555">
        <f>IFERROR(SUM(Y115:Y118),"0")</f>
        <v>486.9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13.2</v>
      </c>
      <c r="Y122" s="554">
        <f>IFERROR(IF(X122="",0,CEILING((X122/$H122),1)*$H122),"")</f>
        <v>13.86</v>
      </c>
      <c r="Z122" s="36">
        <f>IFERROR(IF(Y122=0,"",ROUNDUP(Y122/H122,0)*0.00651),"")</f>
        <v>4.5569999999999999E-2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14.92</v>
      </c>
      <c r="BN122" s="64">
        <f>IFERROR(Y122*I122/H122,"0")</f>
        <v>15.666</v>
      </c>
      <c r="BO122" s="64">
        <f>IFERROR(1/J122*(X122/H122),"0")</f>
        <v>3.6630036630036632E-2</v>
      </c>
      <c r="BP122" s="64">
        <f>IFERROR(1/J122*(Y122/H122),"0")</f>
        <v>3.8461538461538464E-2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6.6666666666666661</v>
      </c>
      <c r="Y123" s="555">
        <f>IFERROR(Y122/H122,"0")</f>
        <v>7</v>
      </c>
      <c r="Z123" s="555">
        <f>IFERROR(IF(Z122="",0,Z122),"0")</f>
        <v>4.5569999999999999E-2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13.2</v>
      </c>
      <c r="Y124" s="555">
        <f>IFERROR(SUM(Y122:Y122),"0")</f>
        <v>13.86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42</v>
      </c>
      <c r="Y133" s="554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15.000000000000002</v>
      </c>
      <c r="Y134" s="555">
        <f>IFERROR(Y132/H132,"0")+IFERROR(Y133/H133,"0")</f>
        <v>15.000000000000002</v>
      </c>
      <c r="Z134" s="555">
        <f>IFERROR(IF(Z132="",0,Z132),"0")+IFERROR(IF(Z133="",0,Z133),"0")</f>
        <v>9.7650000000000001E-2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42</v>
      </c>
      <c r="Y135" s="555">
        <f>IFERROR(SUM(Y132:Y133),"0")</f>
        <v>42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30</v>
      </c>
      <c r="Y153" s="554">
        <f t="shared" si="5"/>
        <v>33.6</v>
      </c>
      <c r="Z153" s="36">
        <f>IFERROR(IF(Y153=0,"",ROUNDUP(Y153/H153,0)*0.00902),"")</f>
        <v>7.2160000000000002E-2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31.357142857142854</v>
      </c>
      <c r="BN153" s="64">
        <f t="shared" si="7"/>
        <v>35.119999999999997</v>
      </c>
      <c r="BO153" s="64">
        <f t="shared" si="8"/>
        <v>5.4112554112554112E-2</v>
      </c>
      <c r="BP153" s="64">
        <f t="shared" si="9"/>
        <v>6.0606060606060608E-2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16.666666666666664</v>
      </c>
      <c r="Y154" s="555">
        <f>IFERROR(Y148/H148,"0")+IFERROR(Y149/H149,"0")+IFERROR(Y150/H150,"0")+IFERROR(Y151/H151,"0")+IFERROR(Y152/H152,"0")+IFERROR(Y153/H153,"0")</f>
        <v>18</v>
      </c>
      <c r="Z154" s="555">
        <f>IFERROR(IF(Z148="",0,Z148),"0")+IFERROR(IF(Z149="",0,Z149),"0")+IFERROR(IF(Z150="",0,Z150),"0")+IFERROR(IF(Z151="",0,Z151),"0")+IFERROR(IF(Z152="",0,Z152),"0")+IFERROR(IF(Z153="",0,Z153),"0")</f>
        <v>0.16236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70</v>
      </c>
      <c r="Y155" s="555">
        <f>IFERROR(SUM(Y148:Y153),"0")</f>
        <v>75.599999999999994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120</v>
      </c>
      <c r="Y171" s="554">
        <f t="shared" si="10"/>
        <v>121.80000000000001</v>
      </c>
      <c r="Z171" s="36">
        <f>IFERROR(IF(Y171=0,"",ROUNDUP(Y171/H171,0)*0.00902),"")</f>
        <v>0.26158000000000003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125.42857142857142</v>
      </c>
      <c r="BN171" s="64">
        <f t="shared" si="12"/>
        <v>127.30999999999999</v>
      </c>
      <c r="BO171" s="64">
        <f t="shared" si="13"/>
        <v>0.21645021645021645</v>
      </c>
      <c r="BP171" s="64">
        <f t="shared" si="14"/>
        <v>0.2196969696969697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87.5</v>
      </c>
      <c r="Y173" s="554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198.8095238095238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200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1.1680000000000001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502.5</v>
      </c>
      <c r="Y182" s="555">
        <f>IFERROR(SUM(Y167:Y180),"0")</f>
        <v>506.1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21</v>
      </c>
      <c r="Y184" s="554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29</v>
      </c>
      <c r="Z187" s="555">
        <f>IFERROR(IF(Z184="",0,Z184),"0")+IFERROR(IF(Z185="",0,Z185),"0")+IFERROR(IF(Z186="",0,Z186),"0")</f>
        <v>0.1711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35</v>
      </c>
      <c r="Y188" s="555">
        <f>IFERROR(SUM(Y184:Y186),"0")</f>
        <v>36.540000000000006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120</v>
      </c>
      <c r="Y205" s="554">
        <f t="shared" ref="Y205:Y212" si="15">IFERROR(IF(X205="",0,CEILING((X205/$H205),1)*$H205),"")</f>
        <v>124.2</v>
      </c>
      <c r="Z205" s="36">
        <f>IFERROR(IF(Y205=0,"",ROUNDUP(Y205/H205,0)*0.00902),"")</f>
        <v>0.20746000000000001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124.2222222222222</v>
      </c>
      <c r="BN205" s="64">
        <f t="shared" ref="BN205:BN212" si="17">IFERROR(Y205*I205/H205,"0")</f>
        <v>128.57</v>
      </c>
      <c r="BO205" s="64">
        <f t="shared" ref="BO205:BO212" si="18">IFERROR(1/J205*(X205/H205),"0")</f>
        <v>0.16835016835016836</v>
      </c>
      <c r="BP205" s="64">
        <f t="shared" ref="BP205:BP212" si="19">IFERROR(1/J205*(Y205/H205),"0")</f>
        <v>0.17424242424242425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200</v>
      </c>
      <c r="Y207" s="554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50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135</v>
      </c>
      <c r="Y209" s="554">
        <f t="shared" si="15"/>
        <v>135</v>
      </c>
      <c r="Z209" s="36">
        <f>IFERROR(IF(Y209=0,"",ROUNDUP(Y209/H209,0)*0.00502),"")</f>
        <v>0.3765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144.75</v>
      </c>
      <c r="BN209" s="64">
        <f t="shared" si="17"/>
        <v>144.75</v>
      </c>
      <c r="BO209" s="64">
        <f t="shared" si="18"/>
        <v>0.32051282051282054</v>
      </c>
      <c r="BP209" s="64">
        <f t="shared" si="19"/>
        <v>0.32051282051282054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75</v>
      </c>
      <c r="Y210" s="554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105</v>
      </c>
      <c r="Y211" s="554">
        <f t="shared" si="15"/>
        <v>106.2</v>
      </c>
      <c r="Z211" s="36">
        <f>IFERROR(IF(Y211=0,"",ROUNDUP(Y211/H211,0)*0.00502),"")</f>
        <v>0.29618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110.83333333333333</v>
      </c>
      <c r="BN211" s="64">
        <f t="shared" si="17"/>
        <v>112.1</v>
      </c>
      <c r="BO211" s="64">
        <f t="shared" si="18"/>
        <v>0.2492877492877493</v>
      </c>
      <c r="BP211" s="64">
        <f t="shared" si="19"/>
        <v>0.25213675213675218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84</v>
      </c>
      <c r="Y212" s="554">
        <f t="shared" si="15"/>
        <v>84.600000000000009</v>
      </c>
      <c r="Z212" s="36">
        <f>IFERROR(IF(Y212=0,"",ROUNDUP(Y212/H212,0)*0.00502),"")</f>
        <v>0.23594000000000001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88.666666666666657</v>
      </c>
      <c r="BN212" s="64">
        <f t="shared" si="17"/>
        <v>89.3</v>
      </c>
      <c r="BO212" s="64">
        <f t="shared" si="18"/>
        <v>0.19943019943019943</v>
      </c>
      <c r="BP212" s="64">
        <f t="shared" si="19"/>
        <v>0.20085470085470092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299.44444444444446</v>
      </c>
      <c r="Y213" s="555">
        <f>IFERROR(Y205/H205,"0")+IFERROR(Y206/H206,"0")+IFERROR(Y207/H207,"0")+IFERROR(Y208/H208,"0")+IFERROR(Y209/H209,"0")+IFERROR(Y210/H210,"0")+IFERROR(Y211/H211,"0")+IFERROR(Y212/H212,"0")</f>
        <v>304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1.8500799999999999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819</v>
      </c>
      <c r="Y214" s="555">
        <f>IFERROR(SUM(Y205:Y212),"0")</f>
        <v>838.80000000000007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120</v>
      </c>
      <c r="Y218" s="554">
        <f t="shared" si="20"/>
        <v>121.79999999999998</v>
      </c>
      <c r="Z218" s="36">
        <f>IFERROR(IF(Y218=0,"",ROUNDUP(Y218/H218,0)*0.01898),"")</f>
        <v>0.26572000000000001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126.8137931034483</v>
      </c>
      <c r="BN218" s="64">
        <f t="shared" si="22"/>
        <v>128.71600000000001</v>
      </c>
      <c r="BO218" s="64">
        <f t="shared" si="23"/>
        <v>0.21551724137931036</v>
      </c>
      <c r="BP218" s="64">
        <f t="shared" si="24"/>
        <v>0.21875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200</v>
      </c>
      <c r="Y224" s="554">
        <f t="shared" si="20"/>
        <v>201.6</v>
      </c>
      <c r="Z224" s="36">
        <f t="shared" si="25"/>
        <v>0.54683999999999999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221.50000000000003</v>
      </c>
      <c r="BN224" s="64">
        <f t="shared" si="22"/>
        <v>223.27200000000002</v>
      </c>
      <c r="BO224" s="64">
        <f t="shared" si="23"/>
        <v>0.45787545787545797</v>
      </c>
      <c r="BP224" s="64">
        <f t="shared" si="24"/>
        <v>0.46153846153846156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363.79310344827593</v>
      </c>
      <c r="Y225" s="555">
        <f>IFERROR(Y216/H216,"0")+IFERROR(Y217/H217,"0")+IFERROR(Y218/H218,"0")+IFERROR(Y219/H219,"0")+IFERROR(Y220/H220,"0")+IFERROR(Y221/H221,"0")+IFERROR(Y222/H222,"0")+IFERROR(Y223/H223,"0")+IFERROR(Y224/H224,"0")</f>
        <v>365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2.5507300000000002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960</v>
      </c>
      <c r="Y226" s="555">
        <f>IFERROR(SUM(Y216:Y224),"0")</f>
        <v>964.19999999999993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32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35.360000000000007</v>
      </c>
      <c r="BN229" s="64">
        <f>IFERROR(Y229*I229/H229,"0")</f>
        <v>37.128000000000007</v>
      </c>
      <c r="BO229" s="64">
        <f>IFERROR(1/J229*(X229/H229),"0")</f>
        <v>7.3260073260073263E-2</v>
      </c>
      <c r="BP229" s="64">
        <f>IFERROR(1/J229*(Y229/H229),"0")</f>
        <v>7.6923076923076941E-2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26.666666666666668</v>
      </c>
      <c r="Y230" s="555">
        <f>IFERROR(Y228/H228,"0")+IFERROR(Y229/H229,"0")</f>
        <v>28.000000000000004</v>
      </c>
      <c r="Z230" s="555">
        <f>IFERROR(IF(Z228="",0,Z228),"0")+IFERROR(IF(Z229="",0,Z229),"0")</f>
        <v>0.18228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64</v>
      </c>
      <c r="Y231" s="555">
        <f>IFERROR(SUM(Y228:Y229),"0")</f>
        <v>67.2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80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82.827586206896555</v>
      </c>
      <c r="BN236" s="64">
        <f t="shared" si="28"/>
        <v>84.070000000000007</v>
      </c>
      <c r="BO236" s="64">
        <f t="shared" si="29"/>
        <v>0.10775862068965518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28</v>
      </c>
      <c r="Y237" s="554">
        <f t="shared" si="26"/>
        <v>28</v>
      </c>
      <c r="Z237" s="36">
        <f>IFERROR(IF(Y237=0,"",ROUNDUP(Y237/H237,0)*0.00902),"")</f>
        <v>6.3140000000000002E-2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29.330000000000002</v>
      </c>
      <c r="BN237" s="64">
        <f t="shared" si="28"/>
        <v>29.330000000000002</v>
      </c>
      <c r="BO237" s="64">
        <f t="shared" si="29"/>
        <v>5.3030303030303032E-2</v>
      </c>
      <c r="BP237" s="64">
        <f t="shared" si="30"/>
        <v>5.3030303030303032E-2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25.896551724137932</v>
      </c>
      <c r="Y243" s="555">
        <f>IFERROR(Y234/H234,"0")+IFERROR(Y235/H235,"0")+IFERROR(Y236/H236,"0")+IFERROR(Y237/H237,"0")+IFERROR(Y238/H238,"0")+IFERROR(Y239/H239,"0")+IFERROR(Y240/H240,"0")+IFERROR(Y241/H241,"0")+IFERROR(Y242/H242,"0")</f>
        <v>26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0.30424000000000001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156</v>
      </c>
      <c r="Y244" s="555">
        <f>IFERROR(SUM(Y234:Y242),"0")</f>
        <v>157.19999999999999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120</v>
      </c>
      <c r="Y281" s="554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91.666666666666671</v>
      </c>
      <c r="Y283" s="555">
        <f>IFERROR(Y280/H280,"0")+IFERROR(Y281/H281,"0")+IFERROR(Y282/H282,"0")</f>
        <v>92</v>
      </c>
      <c r="Z283" s="555">
        <f>IFERROR(IF(Z280="",0,Z280),"0")+IFERROR(IF(Z281="",0,Z281),"0")+IFERROR(IF(Z282="",0,Z282),"0")</f>
        <v>0.59892000000000001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220</v>
      </c>
      <c r="Y284" s="555">
        <f>IFERROR(SUM(Y280:Y282),"0")</f>
        <v>220.8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30</v>
      </c>
      <c r="Y311" s="554">
        <f t="shared" si="31"/>
        <v>30.6</v>
      </c>
      <c r="Z311" s="36">
        <f>IFERROR(IF(Y311=0,"",ROUNDUP(Y311/H311,0)*0.00651),"")</f>
        <v>0.11067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33.800000000000004</v>
      </c>
      <c r="BN311" s="64">
        <f t="shared" si="33"/>
        <v>34.475999999999999</v>
      </c>
      <c r="BO311" s="64">
        <f t="shared" si="34"/>
        <v>9.1575091575091583E-2</v>
      </c>
      <c r="BP311" s="64">
        <f t="shared" si="35"/>
        <v>9.3406593406593408E-2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50</v>
      </c>
      <c r="Y312" s="555">
        <f>IFERROR(Y306/H306,"0")+IFERROR(Y307/H307,"0")+IFERROR(Y308/H308,"0")+IFERROR(Y309/H309,"0")+IFERROR(Y310/H310,"0")+IFERROR(Y311/H311,"0")</f>
        <v>51</v>
      </c>
      <c r="Z312" s="555">
        <f>IFERROR(IF(Z306="",0,Z306),"0")+IFERROR(IF(Z307="",0,Z307),"0")+IFERROR(IF(Z308="",0,Z308),"0")+IFERROR(IF(Z309="",0,Z309),"0")+IFERROR(IF(Z310="",0,Z310),"0")+IFERROR(IF(Z311="",0,Z311),"0")</f>
        <v>0.28134999999999999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100</v>
      </c>
      <c r="Y313" s="555">
        <f>IFERROR(SUM(Y306:Y311),"0")</f>
        <v>102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200</v>
      </c>
      <c r="Y324" s="554">
        <f>IFERROR(IF(X324="",0,CEILING((X324/$H324),1)*$H324),"")</f>
        <v>201.60000000000002</v>
      </c>
      <c r="Z324" s="36">
        <f>IFERROR(IF(Y324=0,"",ROUNDUP(Y324/H324,0)*0.01898),"")</f>
        <v>0.45552000000000004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211.76190476190476</v>
      </c>
      <c r="BN324" s="64">
        <f>IFERROR(Y324*I324/H324,"0")</f>
        <v>213.45600000000002</v>
      </c>
      <c r="BO324" s="64">
        <f>IFERROR(1/J324*(X324/H324),"0")</f>
        <v>0.37202380952380953</v>
      </c>
      <c r="BP324" s="64">
        <f>IFERROR(1/J324*(Y324/H324),"0")</f>
        <v>0.375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58.241758241758241</v>
      </c>
      <c r="Y325" s="555">
        <f>IFERROR(Y322/H322,"0")+IFERROR(Y323/H323,"0")+IFERROR(Y324/H324,"0")</f>
        <v>60</v>
      </c>
      <c r="Z325" s="555">
        <f>IFERROR(IF(Z322="",0,Z322),"0")+IFERROR(IF(Z323="",0,Z323),"0")+IFERROR(IF(Z324="",0,Z324),"0")</f>
        <v>1.1388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470</v>
      </c>
      <c r="Y326" s="555">
        <f>IFERROR(SUM(Y322:Y324),"0")</f>
        <v>484.2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350</v>
      </c>
      <c r="Y344" s="554">
        <f>IFERROR(IF(X344="",0,CEILING((X344/$H344),1)*$H344),"")</f>
        <v>350.7</v>
      </c>
      <c r="Z344" s="36">
        <f>IFERROR(IF(Y344=0,"",ROUNDUP(Y344/H344,0)*0.00651),"")</f>
        <v>1.08717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390</v>
      </c>
      <c r="BN344" s="64">
        <f>IFERROR(Y344*I344/H344,"0")</f>
        <v>390.78</v>
      </c>
      <c r="BO344" s="64">
        <f>IFERROR(1/J344*(X344/H344),"0")</f>
        <v>0.91575091575091572</v>
      </c>
      <c r="BP344" s="64">
        <f>IFERROR(1/J344*(Y344/H344),"0")</f>
        <v>0.91758241758241765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466.66666666666663</v>
      </c>
      <c r="Y345" s="555">
        <f>IFERROR(Y342/H342,"0")+IFERROR(Y343/H343,"0")+IFERROR(Y344/H344,"0")</f>
        <v>467</v>
      </c>
      <c r="Z345" s="555">
        <f>IFERROR(IF(Z342="",0,Z342),"0")+IFERROR(IF(Z343="",0,Z343),"0")+IFERROR(IF(Z344="",0,Z344),"0")</f>
        <v>3.0401699999999998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980</v>
      </c>
      <c r="Y346" s="555">
        <f>IFERROR(SUM(Y342:Y344),"0")</f>
        <v>980.7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1900</v>
      </c>
      <c r="Y350" s="554">
        <f t="shared" ref="Y350:Y356" si="36">IFERROR(IF(X350="",0,CEILING((X350/$H350),1)*$H350),"")</f>
        <v>1905</v>
      </c>
      <c r="Z350" s="36">
        <f>IFERROR(IF(Y350=0,"",ROUNDUP(Y350/H350,0)*0.02175),"")</f>
        <v>2.7622499999999999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1959.5333333333333</v>
      </c>
      <c r="BN350" s="64">
        <f t="shared" ref="BN350:BN356" si="38">IFERROR(Y350*I350/H350,"0")</f>
        <v>1964.69</v>
      </c>
      <c r="BO350" s="64">
        <f t="shared" ref="BO350:BO356" si="39">IFERROR(1/J350*(X350/H350),"0")</f>
        <v>2.6388888888888888</v>
      </c>
      <c r="BP350" s="64">
        <f t="shared" ref="BP350:BP356" si="40">IFERROR(1/J350*(Y350/H350),"0")</f>
        <v>2.645833333333333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1250</v>
      </c>
      <c r="Y351" s="554">
        <f t="shared" si="36"/>
        <v>1260</v>
      </c>
      <c r="Z351" s="36">
        <f>IFERROR(IF(Y351=0,"",ROUNDUP(Y351/H351,0)*0.02175),"")</f>
        <v>1.827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1289.1666666666667</v>
      </c>
      <c r="BN351" s="64">
        <f t="shared" si="38"/>
        <v>1299.48</v>
      </c>
      <c r="BO351" s="64">
        <f t="shared" si="39"/>
        <v>1.7361111111111109</v>
      </c>
      <c r="BP351" s="64">
        <f t="shared" si="40"/>
        <v>1.75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1700</v>
      </c>
      <c r="Y352" s="554">
        <f t="shared" si="36"/>
        <v>1710</v>
      </c>
      <c r="Z352" s="36">
        <f>IFERROR(IF(Y352=0,"",ROUNDUP(Y352/H352,0)*0.02175),"")</f>
        <v>2.4794999999999998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1753.2666666666667</v>
      </c>
      <c r="BN352" s="64">
        <f t="shared" si="38"/>
        <v>1763.5800000000002</v>
      </c>
      <c r="BO352" s="64">
        <f t="shared" si="39"/>
        <v>2.3611111111111107</v>
      </c>
      <c r="BP352" s="64">
        <f t="shared" si="40"/>
        <v>2.375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376.66666666666663</v>
      </c>
      <c r="Y357" s="555">
        <f>IFERROR(Y350/H350,"0")+IFERROR(Y351/H351,"0")+IFERROR(Y352/H352,"0")+IFERROR(Y353/H353,"0")+IFERROR(Y354/H354,"0")+IFERROR(Y355/H355,"0")+IFERROR(Y356/H356,"0")</f>
        <v>379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8.2432499999999997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5650</v>
      </c>
      <c r="Y358" s="555">
        <f>IFERROR(SUM(Y350:Y356),"0")</f>
        <v>5685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20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21.097777777777779</v>
      </c>
      <c r="BN370" s="64">
        <f>IFERROR(Y370*I370/H370,"0")</f>
        <v>28.481999999999996</v>
      </c>
      <c r="BO370" s="64">
        <f>IFERROR(1/J370*(X370/H370),"0")</f>
        <v>3.4722222222222224E-2</v>
      </c>
      <c r="BP370" s="64">
        <f>IFERROR(1/J370*(Y370/H370),"0")</f>
        <v>4.6875E-2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2.2222222222222223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20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10.5</v>
      </c>
      <c r="Y400" s="554">
        <f t="shared" si="41"/>
        <v>10.5</v>
      </c>
      <c r="Z400" s="36">
        <f t="shared" si="46"/>
        <v>2.5100000000000001E-2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11.149999999999999</v>
      </c>
      <c r="BN400" s="64">
        <f t="shared" si="43"/>
        <v>11.149999999999999</v>
      </c>
      <c r="BO400" s="64">
        <f t="shared" si="44"/>
        <v>2.1367521367521368E-2</v>
      </c>
      <c r="BP400" s="64">
        <f t="shared" si="45"/>
        <v>2.1367521367521368E-2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13.333333333333332</v>
      </c>
      <c r="Y402" s="555">
        <f>IFERROR(Y393/H393,"0")+IFERROR(Y394/H394,"0")+IFERROR(Y395/H395,"0")+IFERROR(Y396/H396,"0")+IFERROR(Y397/H397,"0")+IFERROR(Y398/H398,"0")+IFERROR(Y399/H399,"0")+IFERROR(Y400/H400,"0")+IFERROR(Y401/H401,"0")</f>
        <v>14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7.0279999999999995E-2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28</v>
      </c>
      <c r="Y403" s="555">
        <f>IFERROR(SUM(Y393:Y401),"0")</f>
        <v>29.400000000000002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50</v>
      </c>
      <c r="Y429" s="554">
        <f t="shared" ref="Y429:Y440" si="47">IFERROR(IF(X429="",0,CEILING((X429/$H429),1)*$H429),"")</f>
        <v>52.800000000000004</v>
      </c>
      <c r="Z429" s="36">
        <f t="shared" ref="Z429:Z435" si="48">IFERROR(IF(Y429=0,"",ROUNDUP(Y429/H429,0)*0.01196),"")</f>
        <v>0.1196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53.314393939393938</v>
      </c>
      <c r="BN429" s="64">
        <f t="shared" ref="BN429:BN440" si="50">IFERROR(Y429*I429/H429,"0")</f>
        <v>56.3</v>
      </c>
      <c r="BO429" s="64">
        <f t="shared" ref="BO429:BO440" si="51">IFERROR(1/J429*(X429/H429),"0")</f>
        <v>9.1054778554778545E-2</v>
      </c>
      <c r="BP429" s="64">
        <f t="shared" ref="BP429:BP440" si="52">IFERROR(1/J429*(Y429/H429),"0")</f>
        <v>9.6153846153846159E-2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60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86.375000000000014</v>
      </c>
      <c r="BN437" s="64">
        <f t="shared" si="50"/>
        <v>89.830000000000013</v>
      </c>
      <c r="BO437" s="64">
        <f t="shared" si="51"/>
        <v>9.4696969696969696E-2</v>
      </c>
      <c r="BP437" s="64">
        <f t="shared" si="52"/>
        <v>9.8484848484848481E-2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90</v>
      </c>
      <c r="Y440" s="554">
        <f t="shared" si="47"/>
        <v>91.2</v>
      </c>
      <c r="Z440" s="36">
        <f>IFERROR(IF(Y440=0,"",ROUNDUP(Y440/H440,0)*0.00902),"")</f>
        <v>0.17138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129.5625</v>
      </c>
      <c r="BN440" s="64">
        <f t="shared" si="50"/>
        <v>131.29000000000002</v>
      </c>
      <c r="BO440" s="64">
        <f t="shared" si="51"/>
        <v>0.14204545454545456</v>
      </c>
      <c r="BP440" s="64">
        <f t="shared" si="52"/>
        <v>0.14393939393939395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82.386363636363626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0.91056000000000004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420</v>
      </c>
      <c r="Y442" s="555">
        <f>IFERROR(SUM(Y429:Y440),"0")</f>
        <v>428.15999999999997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70</v>
      </c>
      <c r="Y444" s="554">
        <f>IFERROR(IF(X444="",0,CEILING((X444/$H444),1)*$H444),"")</f>
        <v>73.92</v>
      </c>
      <c r="Z444" s="36">
        <f>IFERROR(IF(Y444=0,"",ROUNDUP(Y444/H444,0)*0.01196),"")</f>
        <v>0.16744000000000001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74.640151515151501</v>
      </c>
      <c r="BN444" s="64">
        <f>IFERROR(Y444*I444/H444,"0")</f>
        <v>78.819999999999993</v>
      </c>
      <c r="BO444" s="64">
        <f>IFERROR(1/J444*(X444/H444),"0")</f>
        <v>0.12747668997668998</v>
      </c>
      <c r="BP444" s="64">
        <f>IFERROR(1/J444*(Y444/H444),"0")</f>
        <v>0.13461538461538464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13.257575757575758</v>
      </c>
      <c r="Y447" s="555">
        <f>IFERROR(Y444/H444,"0")+IFERROR(Y445/H445,"0")+IFERROR(Y446/H446,"0")</f>
        <v>14</v>
      </c>
      <c r="Z447" s="555">
        <f>IFERROR(IF(Z444="",0,Z444),"0")+IFERROR(IF(Z445="",0,Z445),"0")+IFERROR(IF(Z446="",0,Z446),"0")</f>
        <v>0.16744000000000001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70</v>
      </c>
      <c r="Y448" s="555">
        <f>IFERROR(SUM(Y444:Y446),"0")</f>
        <v>73.92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60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63.977272727272727</v>
      </c>
      <c r="BN452" s="64">
        <f t="shared" si="55"/>
        <v>67.559999999999988</v>
      </c>
      <c r="BO452" s="64">
        <f t="shared" si="56"/>
        <v>0.10926573426573427</v>
      </c>
      <c r="BP452" s="64">
        <f t="shared" si="57"/>
        <v>0.11538461538461539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24</v>
      </c>
      <c r="Y453" s="554">
        <f t="shared" si="53"/>
        <v>24</v>
      </c>
      <c r="Z453" s="36">
        <f>IFERROR(IF(Y453=0,"",ROUNDUP(Y453/H453,0)*0.00902),"")</f>
        <v>4.5100000000000001E-2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34.550000000000004</v>
      </c>
      <c r="BN453" s="64">
        <f t="shared" si="55"/>
        <v>34.550000000000004</v>
      </c>
      <c r="BO453" s="64">
        <f t="shared" si="56"/>
        <v>3.787878787878788E-2</v>
      </c>
      <c r="BP453" s="64">
        <f t="shared" si="57"/>
        <v>3.787878787878788E-2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24</v>
      </c>
      <c r="Y454" s="554">
        <f t="shared" si="53"/>
        <v>24</v>
      </c>
      <c r="Z454" s="36">
        <f>IFERROR(IF(Y454=0,"",ROUNDUP(Y454/H454,0)*0.00902),"")</f>
        <v>4.5100000000000001E-2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33.35</v>
      </c>
      <c r="BN454" s="64">
        <f t="shared" si="55"/>
        <v>33.35</v>
      </c>
      <c r="BO454" s="64">
        <f t="shared" si="56"/>
        <v>3.787878787878788E-2</v>
      </c>
      <c r="BP454" s="64">
        <f t="shared" si="57"/>
        <v>3.787878787878788E-2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33.86363636363636</v>
      </c>
      <c r="Y456" s="555">
        <f>IFERROR(Y450/H450,"0")+IFERROR(Y451/H451,"0")+IFERROR(Y452/H452,"0")+IFERROR(Y453/H453,"0")+IFERROR(Y454/H454,"0")+IFERROR(Y455/H455,"0")</f>
        <v>35</v>
      </c>
      <c r="Z456" s="555">
        <f>IFERROR(IF(Z450="",0,Z450),"0")+IFERROR(IF(Z451="",0,Z451),"0")+IFERROR(IF(Z452="",0,Z452),"0")+IFERROR(IF(Z453="",0,Z453),"0")+IFERROR(IF(Z454="",0,Z454),"0")+IFERROR(IF(Z455="",0,Z455),"0")</f>
        <v>0.35098000000000001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168</v>
      </c>
      <c r="Y457" s="555">
        <f>IFERROR(SUM(Y450:Y455),"0")</f>
        <v>173.76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20</v>
      </c>
      <c r="Y467" s="554">
        <f>IFERROR(IF(X467="",0,CEILING((X467/$H467),1)*$H467),"")</f>
        <v>24</v>
      </c>
      <c r="Z467" s="36">
        <f>IFERROR(IF(Y467=0,"",ROUNDUP(Y467/H467,0)*0.01898),"")</f>
        <v>3.7960000000000001E-2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20.683333333333334</v>
      </c>
      <c r="BN467" s="64">
        <f>IFERROR(Y467*I467/H467,"0")</f>
        <v>24.820000000000004</v>
      </c>
      <c r="BO467" s="64">
        <f>IFERROR(1/J467*(X467/H467),"0")</f>
        <v>2.6041666666666668E-2</v>
      </c>
      <c r="BP467" s="64">
        <f>IFERROR(1/J467*(Y467/H467),"0")</f>
        <v>3.125E-2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1.6666666666666667</v>
      </c>
      <c r="Y469" s="555">
        <f>IFERROR(Y465/H465,"0")+IFERROR(Y466/H466,"0")+IFERROR(Y467/H467,"0")+IFERROR(Y468/H468,"0")</f>
        <v>2</v>
      </c>
      <c r="Z469" s="555">
        <f>IFERROR(IF(Z465="",0,Z465),"0")+IFERROR(IF(Z466="",0,Z466),"0")+IFERROR(IF(Z467="",0,Z467),"0")+IFERROR(IF(Z468="",0,Z468),"0")</f>
        <v>3.7960000000000001E-2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20</v>
      </c>
      <c r="Y470" s="555">
        <f>IFERROR(SUM(Y465:Y468),"0")</f>
        <v>24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700</v>
      </c>
      <c r="Y482" s="554">
        <f>IFERROR(IF(X482="",0,CEILING((X482/$H482),1)*$H482),"")</f>
        <v>702</v>
      </c>
      <c r="Z482" s="36">
        <f>IFERROR(IF(Y482=0,"",ROUNDUP(Y482/H482,0)*0.01898),"")</f>
        <v>1.48044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738.42222222222222</v>
      </c>
      <c r="BN482" s="64">
        <f>IFERROR(Y482*I482/H482,"0")</f>
        <v>740.53199999999993</v>
      </c>
      <c r="BO482" s="64">
        <f>IFERROR(1/J482*(X482/H482),"0")</f>
        <v>1.2152777777777777</v>
      </c>
      <c r="BP482" s="64">
        <f>IFERROR(1/J482*(Y482/H482),"0")</f>
        <v>1.21875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77.777777777777771</v>
      </c>
      <c r="Y483" s="555">
        <f>IFERROR(Y482/H482,"0")</f>
        <v>78</v>
      </c>
      <c r="Z483" s="555">
        <f>IFERROR(IF(Z482="",0,Z482),"0")</f>
        <v>1.48044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700</v>
      </c>
      <c r="Y484" s="555">
        <f>IFERROR(SUM(Y482:Y482),"0")</f>
        <v>702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15214.7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15389.899999999998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16144.736313419442</v>
      </c>
      <c r="Y496" s="555">
        <f>IFERROR(SUM(BN22:BN492),"0")</f>
        <v>16330.988999999994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27</v>
      </c>
      <c r="Y497" s="38">
        <f>ROUNDUP(SUM(BP22:BP492),0)</f>
        <v>27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16819.736313419442</v>
      </c>
      <c r="Y498" s="555">
        <f>GrossWeightTotalR+PalletQtyTotalR*25</f>
        <v>17005.988999999994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3021.4883040543959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3051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30.715039999999998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348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846.00000000000011</v>
      </c>
      <c r="E505" s="46">
        <f>IFERROR(Y85*1,"0")+IFERROR(Y86*1,"0")+IFERROR(Y87*1,"0")+IFERROR(Y88*1,"0")+IFERROR(Y92*1,"0")+IFERROR(Y93*1,"0")+IFERROR(Y94*1,"0")+IFERROR(Y95*1,"0")</f>
        <v>1170.9000000000001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734.7600000000001</v>
      </c>
      <c r="G505" s="46">
        <f>IFERROR(Y127*1,"0")+IFERROR(Y128*1,"0")+IFERROR(Y132*1,"0")+IFERROR(Y133*1,"0")+IFERROR(Y137*1,"0")+IFERROR(Y138*1,"0")</f>
        <v>152.96</v>
      </c>
      <c r="H505" s="46">
        <f>IFERROR(Y143*1,"0")+IFERROR(Y144*1,"0")+IFERROR(Y148*1,"0")+IFERROR(Y149*1,"0")+IFERROR(Y150*1,"0")+IFERROR(Y151*1,"0")+IFERROR(Y152*1,"0")+IFERROR(Y153*1,"0")+IFERROR(Y157*1,"0")</f>
        <v>75.599999999999994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542.64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1870.1999999999996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176.99999999999997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220.8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586.20000000000005</v>
      </c>
      <c r="R505" s="46">
        <f>IFERROR(Y342*1,"0")+IFERROR(Y343*1,"0")+IFERROR(Y344*1,"0")</f>
        <v>980.7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6222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29.400000000000002</v>
      </c>
      <c r="V505" s="46">
        <f>IFERROR(Y411*1,"0")+IFERROR(Y415*1,"0")+IFERROR(Y416*1,"0")+IFERROR(Y417*1,"0")+IFERROR(Y418*1,"0")</f>
        <v>10.5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675.83999999999992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726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2026-01-08T09:09:44Z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