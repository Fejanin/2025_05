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229A31D4-D5DE-46E3-A90C-9493CAC8E8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заказа'!$X$268:$X$268</definedName>
    <definedName name="GrossWeightTotalR">'Бланк заказа'!$Y$268:$Y$268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заказа'!$X$269:$X$269</definedName>
    <definedName name="PalletQtyTotalR">'Бланк заказа'!$Y$269:$Y$269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заказа'!$B$218:$B$218</definedName>
    <definedName name="ProductId76">'Бланк заказа'!$B$224:$B$224</definedName>
    <definedName name="ProductId77">'Бланк заказа'!$B$230:$B$230</definedName>
    <definedName name="ProductId78">'Бланк заказа'!$B$234:$B$234</definedName>
    <definedName name="ProductId79">'Бланк заказа'!$B$240:$B$240</definedName>
    <definedName name="ProductId8">'Бланк заказа'!$B$33:$B$33</definedName>
    <definedName name="ProductId80">'Бланк заказа'!$B$241:$B$241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заказа'!$X$218:$X$218</definedName>
    <definedName name="SalesQty76">'Бланк заказа'!$X$224:$X$224</definedName>
    <definedName name="SalesQty77">'Бланк заказа'!$X$230:$X$230</definedName>
    <definedName name="SalesQty78">'Бланк заказа'!$X$234:$X$234</definedName>
    <definedName name="SalesQty79">'Бланк заказа'!$X$240:$X$240</definedName>
    <definedName name="SalesQty8">'Бланк заказа'!$X$33:$X$33</definedName>
    <definedName name="SalesQty80">'Бланк заказа'!$X$241:$X$241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заказа'!$Y$218:$Y$218</definedName>
    <definedName name="SalesRoundBox76">'Бланк заказа'!$Y$224:$Y$224</definedName>
    <definedName name="SalesRoundBox77">'Бланк заказа'!$Y$230:$Y$230</definedName>
    <definedName name="SalesRoundBox78">'Бланк заказа'!$Y$234:$Y$234</definedName>
    <definedName name="SalesRoundBox79">'Бланк заказа'!$Y$240:$Y$240</definedName>
    <definedName name="SalesRoundBox8">'Бланк заказа'!$Y$33:$Y$33</definedName>
    <definedName name="SalesRoundBox80">'Бланк заказа'!$Y$241:$Y$241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заказа'!$W$218:$W$218</definedName>
    <definedName name="UnitOfMeasure76">'Бланк заказа'!$W$224:$W$224</definedName>
    <definedName name="UnitOfMeasure77">'Бланк заказа'!$W$230:$W$230</definedName>
    <definedName name="UnitOfMeasure78">'Бланк заказа'!$W$234:$W$234</definedName>
    <definedName name="UnitOfMeasure79">'Бланк заказа'!$W$240:$W$240</definedName>
    <definedName name="UnitOfMeasure8">'Бланк заказа'!$W$33:$W$33</definedName>
    <definedName name="UnitOfMeasure80">'Бланк заказа'!$W$241:$W$241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7" i="1" l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Y266" i="1"/>
  <c r="X266" i="1"/>
  <c r="Z265" i="1"/>
  <c r="X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BP261" i="1"/>
  <c r="BO261" i="1"/>
  <c r="BN261" i="1"/>
  <c r="BM261" i="1"/>
  <c r="Z261" i="1"/>
  <c r="Y261" i="1"/>
  <c r="P261" i="1"/>
  <c r="BO260" i="1"/>
  <c r="BM260" i="1"/>
  <c r="Z260" i="1"/>
  <c r="Y260" i="1"/>
  <c r="P260" i="1"/>
  <c r="BP259" i="1"/>
  <c r="BO259" i="1"/>
  <c r="BN259" i="1"/>
  <c r="BM259" i="1"/>
  <c r="Z259" i="1"/>
  <c r="Y259" i="1"/>
  <c r="P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BP255" i="1"/>
  <c r="BO255" i="1"/>
  <c r="BN255" i="1"/>
  <c r="BM255" i="1"/>
  <c r="Z255" i="1"/>
  <c r="Y255" i="1"/>
  <c r="Y265" i="1" s="1"/>
  <c r="P255" i="1"/>
  <c r="X253" i="1"/>
  <c r="X252" i="1"/>
  <c r="BP251" i="1"/>
  <c r="BO251" i="1"/>
  <c r="BN251" i="1"/>
  <c r="BM251" i="1"/>
  <c r="Z251" i="1"/>
  <c r="Y251" i="1"/>
  <c r="P251" i="1"/>
  <c r="BO250" i="1"/>
  <c r="BM250" i="1"/>
  <c r="Z250" i="1"/>
  <c r="Y250" i="1"/>
  <c r="P250" i="1"/>
  <c r="BP249" i="1"/>
  <c r="BO249" i="1"/>
  <c r="BN249" i="1"/>
  <c r="BM249" i="1"/>
  <c r="Z249" i="1"/>
  <c r="Z252" i="1" s="1"/>
  <c r="Y249" i="1"/>
  <c r="Y253" i="1" s="1"/>
  <c r="P249" i="1"/>
  <c r="X247" i="1"/>
  <c r="Y246" i="1"/>
  <c r="X246" i="1"/>
  <c r="BP245" i="1"/>
  <c r="BO245" i="1"/>
  <c r="BN245" i="1"/>
  <c r="BM245" i="1"/>
  <c r="Z245" i="1"/>
  <c r="Z246" i="1" s="1"/>
  <c r="Y245" i="1"/>
  <c r="Y247" i="1" s="1"/>
  <c r="P245" i="1"/>
  <c r="X243" i="1"/>
  <c r="X242" i="1"/>
  <c r="BP241" i="1"/>
  <c r="BO241" i="1"/>
  <c r="BN241" i="1"/>
  <c r="BM241" i="1"/>
  <c r="Z241" i="1"/>
  <c r="Y241" i="1"/>
  <c r="P241" i="1"/>
  <c r="BO240" i="1"/>
  <c r="BM240" i="1"/>
  <c r="Z240" i="1"/>
  <c r="Z242" i="1" s="1"/>
  <c r="Y240" i="1"/>
  <c r="P240" i="1"/>
  <c r="X236" i="1"/>
  <c r="Z235" i="1"/>
  <c r="X235" i="1"/>
  <c r="BO234" i="1"/>
  <c r="BM234" i="1"/>
  <c r="Z234" i="1"/>
  <c r="Y234" i="1"/>
  <c r="P234" i="1"/>
  <c r="Y232" i="1"/>
  <c r="X232" i="1"/>
  <c r="Z231" i="1"/>
  <c r="X231" i="1"/>
  <c r="BO230" i="1"/>
  <c r="BM230" i="1"/>
  <c r="Z230" i="1"/>
  <c r="Y230" i="1"/>
  <c r="P230" i="1"/>
  <c r="X226" i="1"/>
  <c r="Z225" i="1"/>
  <c r="X225" i="1"/>
  <c r="BO224" i="1"/>
  <c r="BM224" i="1"/>
  <c r="Z224" i="1"/>
  <c r="Y224" i="1"/>
  <c r="P224" i="1"/>
  <c r="Y220" i="1"/>
  <c r="X220" i="1"/>
  <c r="Z219" i="1"/>
  <c r="X219" i="1"/>
  <c r="BO218" i="1"/>
  <c r="BM218" i="1"/>
  <c r="Z218" i="1"/>
  <c r="Y218" i="1"/>
  <c r="P218" i="1"/>
  <c r="X214" i="1"/>
  <c r="X213" i="1"/>
  <c r="BO212" i="1"/>
  <c r="BM212" i="1"/>
  <c r="Z212" i="1"/>
  <c r="Y212" i="1"/>
  <c r="P212" i="1"/>
  <c r="BP211" i="1"/>
  <c r="BO211" i="1"/>
  <c r="BN211" i="1"/>
  <c r="BM211" i="1"/>
  <c r="Z211" i="1"/>
  <c r="Z213" i="1" s="1"/>
  <c r="Y211" i="1"/>
  <c r="P211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3" i="1"/>
  <c r="X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Y199" i="1"/>
  <c r="P199" i="1"/>
  <c r="BO198" i="1"/>
  <c r="BM198" i="1"/>
  <c r="Z198" i="1"/>
  <c r="Y198" i="1"/>
  <c r="P198" i="1"/>
  <c r="BP197" i="1"/>
  <c r="BO197" i="1"/>
  <c r="BN197" i="1"/>
  <c r="BM197" i="1"/>
  <c r="Z197" i="1"/>
  <c r="Z202" i="1" s="1"/>
  <c r="Y197" i="1"/>
  <c r="P197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89" i="1"/>
  <c r="Y188" i="1"/>
  <c r="X188" i="1"/>
  <c r="BP187" i="1"/>
  <c r="BO187" i="1"/>
  <c r="BN187" i="1"/>
  <c r="BM187" i="1"/>
  <c r="Z187" i="1"/>
  <c r="Z188" i="1" s="1"/>
  <c r="Y187" i="1"/>
  <c r="Y189" i="1" s="1"/>
  <c r="Y185" i="1"/>
  <c r="X185" i="1"/>
  <c r="Z184" i="1"/>
  <c r="X184" i="1"/>
  <c r="BO183" i="1"/>
  <c r="BM183" i="1"/>
  <c r="Z183" i="1"/>
  <c r="Y183" i="1"/>
  <c r="P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BP180" i="1"/>
  <c r="BO180" i="1"/>
  <c r="BN180" i="1"/>
  <c r="BM180" i="1"/>
  <c r="Z180" i="1"/>
  <c r="Y180" i="1"/>
  <c r="Y184" i="1" s="1"/>
  <c r="P180" i="1"/>
  <c r="X176" i="1"/>
  <c r="X175" i="1"/>
  <c r="BP174" i="1"/>
  <c r="BO174" i="1"/>
  <c r="BN174" i="1"/>
  <c r="BM174" i="1"/>
  <c r="Z174" i="1"/>
  <c r="Y174" i="1"/>
  <c r="P174" i="1"/>
  <c r="BO173" i="1"/>
  <c r="BM173" i="1"/>
  <c r="Z173" i="1"/>
  <c r="Z175" i="1" s="1"/>
  <c r="Y173" i="1"/>
  <c r="P173" i="1"/>
  <c r="X169" i="1"/>
  <c r="Z168" i="1"/>
  <c r="X168" i="1"/>
  <c r="BO167" i="1"/>
  <c r="BM167" i="1"/>
  <c r="Z167" i="1"/>
  <c r="Y167" i="1"/>
  <c r="P167" i="1"/>
  <c r="Y164" i="1"/>
  <c r="X164" i="1"/>
  <c r="Z163" i="1"/>
  <c r="X163" i="1"/>
  <c r="BO162" i="1"/>
  <c r="BM162" i="1"/>
  <c r="Z162" i="1"/>
  <c r="Y162" i="1"/>
  <c r="P162" i="1"/>
  <c r="X159" i="1"/>
  <c r="Z158" i="1"/>
  <c r="X158" i="1"/>
  <c r="BO157" i="1"/>
  <c r="BM157" i="1"/>
  <c r="Z157" i="1"/>
  <c r="Y157" i="1"/>
  <c r="P157" i="1"/>
  <c r="Y154" i="1"/>
  <c r="X154" i="1"/>
  <c r="Z153" i="1"/>
  <c r="X153" i="1"/>
  <c r="BO152" i="1"/>
  <c r="BM152" i="1"/>
  <c r="Z152" i="1"/>
  <c r="Y152" i="1"/>
  <c r="P152" i="1"/>
  <c r="X149" i="1"/>
  <c r="X148" i="1"/>
  <c r="BO147" i="1"/>
  <c r="BM147" i="1"/>
  <c r="Z147" i="1"/>
  <c r="Y147" i="1"/>
  <c r="P147" i="1"/>
  <c r="BP146" i="1"/>
  <c r="BO146" i="1"/>
  <c r="BN146" i="1"/>
  <c r="BM146" i="1"/>
  <c r="Z146" i="1"/>
  <c r="Z148" i="1" s="1"/>
  <c r="Y146" i="1"/>
  <c r="P146" i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Y140" i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Z124" i="1"/>
  <c r="Z126" i="1" s="1"/>
  <c r="Y124" i="1"/>
  <c r="Y127" i="1" s="1"/>
  <c r="P124" i="1"/>
  <c r="X122" i="1"/>
  <c r="X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Z121" i="1" s="1"/>
  <c r="Y113" i="1"/>
  <c r="Y121" i="1" s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Z109" i="1" s="1"/>
  <c r="Y107" i="1"/>
  <c r="Y110" i="1" s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BP98" i="1" s="1"/>
  <c r="P98" i="1"/>
  <c r="BP97" i="1"/>
  <c r="BO97" i="1"/>
  <c r="BN97" i="1"/>
  <c r="BM97" i="1"/>
  <c r="Z97" i="1"/>
  <c r="Z103" i="1" s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Y94" i="1" s="1"/>
  <c r="P91" i="1"/>
  <c r="X88" i="1"/>
  <c r="Z87" i="1"/>
  <c r="X87" i="1"/>
  <c r="BO86" i="1"/>
  <c r="BM86" i="1"/>
  <c r="Z86" i="1"/>
  <c r="Y86" i="1"/>
  <c r="Y87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BP74" i="1" s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Y71" i="1" s="1"/>
  <c r="P68" i="1"/>
  <c r="X66" i="1"/>
  <c r="Z65" i="1"/>
  <c r="X65" i="1"/>
  <c r="BO64" i="1"/>
  <c r="BM64" i="1"/>
  <c r="Z64" i="1"/>
  <c r="Y64" i="1"/>
  <c r="Y65" i="1" s="1"/>
  <c r="P64" i="1"/>
  <c r="X62" i="1"/>
  <c r="Z61" i="1"/>
  <c r="X61" i="1"/>
  <c r="BO60" i="1"/>
  <c r="BM60" i="1"/>
  <c r="Z60" i="1"/>
  <c r="Y60" i="1"/>
  <c r="Y61" i="1" s="1"/>
  <c r="P60" i="1"/>
  <c r="X57" i="1"/>
  <c r="X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BP53" i="1" s="1"/>
  <c r="P53" i="1"/>
  <c r="BP52" i="1"/>
  <c r="BO52" i="1"/>
  <c r="BN52" i="1"/>
  <c r="BM52" i="1"/>
  <c r="Z52" i="1"/>
  <c r="Z56" i="1" s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48" i="1" s="1"/>
  <c r="Y45" i="1"/>
  <c r="Y49" i="1" s="1"/>
  <c r="P45" i="1"/>
  <c r="X42" i="1"/>
  <c r="X41" i="1"/>
  <c r="BP40" i="1"/>
  <c r="BO40" i="1"/>
  <c r="BN40" i="1"/>
  <c r="BM40" i="1"/>
  <c r="Z40" i="1"/>
  <c r="Y40" i="1"/>
  <c r="P40" i="1"/>
  <c r="BO39" i="1"/>
  <c r="BM39" i="1"/>
  <c r="Z39" i="1"/>
  <c r="Z41" i="1" s="1"/>
  <c r="Y39" i="1"/>
  <c r="Y42" i="1" s="1"/>
  <c r="P39" i="1"/>
  <c r="X35" i="1"/>
  <c r="X34" i="1"/>
  <c r="BO33" i="1"/>
  <c r="BM33" i="1"/>
  <c r="Z33" i="1"/>
  <c r="Y33" i="1"/>
  <c r="BP33" i="1" s="1"/>
  <c r="P33" i="1"/>
  <c r="BP32" i="1"/>
  <c r="BO32" i="1"/>
  <c r="BN32" i="1"/>
  <c r="BM32" i="1"/>
  <c r="Z32" i="1"/>
  <c r="Z34" i="1" s="1"/>
  <c r="Y32" i="1"/>
  <c r="Y34" i="1" s="1"/>
  <c r="P32" i="1"/>
  <c r="X29" i="1"/>
  <c r="X267" i="1" s="1"/>
  <c r="X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69" i="1" s="1"/>
  <c r="BM22" i="1"/>
  <c r="X268" i="1" s="1"/>
  <c r="X270" i="1" s="1"/>
  <c r="Z22" i="1"/>
  <c r="Z28" i="1" s="1"/>
  <c r="Y22" i="1"/>
  <c r="Y29" i="1" s="1"/>
  <c r="P22" i="1"/>
  <c r="H10" i="1"/>
  <c r="A9" i="1"/>
  <c r="F10" i="1" s="1"/>
  <c r="D7" i="1"/>
  <c r="Q6" i="1"/>
  <c r="P2" i="1"/>
  <c r="H9" i="1" l="1"/>
  <c r="A10" i="1"/>
  <c r="Y28" i="1"/>
  <c r="Y35" i="1"/>
  <c r="Y267" i="1" s="1"/>
  <c r="Y41" i="1"/>
  <c r="Y48" i="1"/>
  <c r="Y57" i="1"/>
  <c r="Y62" i="1"/>
  <c r="Y66" i="1"/>
  <c r="Y70" i="1"/>
  <c r="Y76" i="1"/>
  <c r="Y83" i="1"/>
  <c r="Y88" i="1"/>
  <c r="Y93" i="1"/>
  <c r="Y104" i="1"/>
  <c r="Y109" i="1"/>
  <c r="Y122" i="1"/>
  <c r="Y126" i="1"/>
  <c r="Y137" i="1"/>
  <c r="Y143" i="1"/>
  <c r="BP140" i="1"/>
  <c r="BN140" i="1"/>
  <c r="Y142" i="1"/>
  <c r="BP147" i="1"/>
  <c r="BN147" i="1"/>
  <c r="Y158" i="1"/>
  <c r="BP157" i="1"/>
  <c r="BN157" i="1"/>
  <c r="Y168" i="1"/>
  <c r="BP167" i="1"/>
  <c r="BN167" i="1"/>
  <c r="BP198" i="1"/>
  <c r="BN198" i="1"/>
  <c r="BP200" i="1"/>
  <c r="BN200" i="1"/>
  <c r="Y202" i="1"/>
  <c r="BP212" i="1"/>
  <c r="BN212" i="1"/>
  <c r="Y225" i="1"/>
  <c r="BP224" i="1"/>
  <c r="BN224" i="1"/>
  <c r="Y235" i="1"/>
  <c r="BP234" i="1"/>
  <c r="BN234" i="1"/>
  <c r="F9" i="1"/>
  <c r="J9" i="1"/>
  <c r="BN22" i="1"/>
  <c r="BP22" i="1"/>
  <c r="BN24" i="1"/>
  <c r="BN26" i="1"/>
  <c r="X271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20" i="1"/>
  <c r="BN124" i="1"/>
  <c r="BP124" i="1"/>
  <c r="Y136" i="1"/>
  <c r="BN135" i="1"/>
  <c r="Z142" i="1"/>
  <c r="Z272" i="1" s="1"/>
  <c r="Y148" i="1"/>
  <c r="Y149" i="1"/>
  <c r="Y153" i="1"/>
  <c r="BP152" i="1"/>
  <c r="BN152" i="1"/>
  <c r="Y159" i="1"/>
  <c r="Y163" i="1"/>
  <c r="BP162" i="1"/>
  <c r="BN162" i="1"/>
  <c r="Y169" i="1"/>
  <c r="Y176" i="1"/>
  <c r="BP173" i="1"/>
  <c r="BN173" i="1"/>
  <c r="Y175" i="1"/>
  <c r="BP181" i="1"/>
  <c r="BN181" i="1"/>
  <c r="BP183" i="1"/>
  <c r="BN183" i="1"/>
  <c r="Y203" i="1"/>
  <c r="Y213" i="1"/>
  <c r="Y214" i="1"/>
  <c r="Y219" i="1"/>
  <c r="BP218" i="1"/>
  <c r="BN218" i="1"/>
  <c r="Y226" i="1"/>
  <c r="Y231" i="1"/>
  <c r="BP230" i="1"/>
  <c r="BN230" i="1"/>
  <c r="Y236" i="1"/>
  <c r="Y243" i="1"/>
  <c r="BP240" i="1"/>
  <c r="BN240" i="1"/>
  <c r="Y242" i="1"/>
  <c r="BP250" i="1"/>
  <c r="BN250" i="1"/>
  <c r="Y252" i="1"/>
  <c r="BP256" i="1"/>
  <c r="BN256" i="1"/>
  <c r="BP258" i="1"/>
  <c r="BN258" i="1"/>
  <c r="BP260" i="1"/>
  <c r="BN260" i="1"/>
  <c r="BP262" i="1"/>
  <c r="BN262" i="1"/>
  <c r="BP264" i="1"/>
  <c r="BN264" i="1"/>
  <c r="Y268" i="1" l="1"/>
  <c r="Y269" i="1"/>
  <c r="Y271" i="1"/>
  <c r="B280" i="1" l="1"/>
  <c r="Y270" i="1"/>
  <c r="A280" i="1" s="1"/>
  <c r="C280" i="1"/>
</calcChain>
</file>

<file path=xl/sharedStrings.xml><?xml version="1.0" encoding="utf-8"?>
<sst xmlns="http://schemas.openxmlformats.org/spreadsheetml/2006/main" count="1216" uniqueCount="395">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</sst>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01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67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4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80" fillId="0" borderId="43" xfId="0" applyFont="1" applyBorder="1" applyAlignment="1">
      <alignment horizontal="left" vertical="center" wrapText="1"/>
    </xf>
    <xf numFmtId="0" fontId="169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16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0"/>
  <sheetViews>
    <sheetView showGridLines="0" tabSelected="1" topLeftCell="A259" zoomScaleNormal="100" zoomScaleSheetLayoutView="100" workbookViewId="0">
      <selection activeCell="AA273" sqref="AA273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14" t="s">
        <v>0</v>
      </c>
      <c r="E1" s="295"/>
      <c r="F1" s="295"/>
      <c r="G1" s="12" t="s">
        <v>1</v>
      </c>
      <c r="H1" s="314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47" t="s">
        <v>8</v>
      </c>
      <c r="B5" s="321"/>
      <c r="C5" s="322"/>
      <c r="D5" s="316"/>
      <c r="E5" s="317"/>
      <c r="F5" s="438" t="s">
        <v>9</v>
      </c>
      <c r="G5" s="322"/>
      <c r="H5" s="316"/>
      <c r="I5" s="410"/>
      <c r="J5" s="410"/>
      <c r="K5" s="410"/>
      <c r="L5" s="410"/>
      <c r="M5" s="317"/>
      <c r="N5" s="61"/>
      <c r="P5" s="24" t="s">
        <v>10</v>
      </c>
      <c r="Q5" s="443">
        <v>46038</v>
      </c>
      <c r="R5" s="346"/>
      <c r="T5" s="370" t="s">
        <v>11</v>
      </c>
      <c r="U5" s="331"/>
      <c r="V5" s="371" t="s">
        <v>12</v>
      </c>
      <c r="W5" s="346"/>
      <c r="AB5" s="51"/>
      <c r="AC5" s="51"/>
      <c r="AD5" s="51"/>
      <c r="AE5" s="51"/>
    </row>
    <row r="6" spans="1:32" s="265" customFormat="1" ht="24" customHeight="1" x14ac:dyDescent="0.2">
      <c r="A6" s="347" t="s">
        <v>13</v>
      </c>
      <c r="B6" s="321"/>
      <c r="C6" s="322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6"/>
      <c r="N6" s="62"/>
      <c r="P6" s="24" t="s">
        <v>15</v>
      </c>
      <c r="Q6" s="446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4" t="s">
        <v>16</v>
      </c>
      <c r="U6" s="331"/>
      <c r="V6" s="397" t="s">
        <v>17</v>
      </c>
      <c r="W6" s="301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7"/>
      <c r="U7" s="331"/>
      <c r="V7" s="398"/>
      <c r="W7" s="399"/>
      <c r="AB7" s="51"/>
      <c r="AC7" s="51"/>
      <c r="AD7" s="51"/>
      <c r="AE7" s="51"/>
    </row>
    <row r="8" spans="1:32" s="265" customFormat="1" ht="25.5" customHeight="1" x14ac:dyDescent="0.2">
      <c r="A8" s="455" t="s">
        <v>18</v>
      </c>
      <c r="B8" s="278"/>
      <c r="C8" s="279"/>
      <c r="D8" s="311" t="s">
        <v>19</v>
      </c>
      <c r="E8" s="312"/>
      <c r="F8" s="312"/>
      <c r="G8" s="312"/>
      <c r="H8" s="312"/>
      <c r="I8" s="312"/>
      <c r="J8" s="312"/>
      <c r="K8" s="312"/>
      <c r="L8" s="312"/>
      <c r="M8" s="313"/>
      <c r="N8" s="64"/>
      <c r="P8" s="24" t="s">
        <v>20</v>
      </c>
      <c r="Q8" s="354">
        <v>0.375</v>
      </c>
      <c r="R8" s="307"/>
      <c r="T8" s="287"/>
      <c r="U8" s="331"/>
      <c r="V8" s="398"/>
      <c r="W8" s="399"/>
      <c r="AB8" s="51"/>
      <c r="AC8" s="51"/>
      <c r="AD8" s="51"/>
      <c r="AE8" s="51"/>
    </row>
    <row r="9" spans="1:32" s="265" customFormat="1" ht="39.950000000000003" customHeight="1" x14ac:dyDescent="0.2">
      <c r="A9" s="3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57"/>
      <c r="E9" s="283"/>
      <c r="F9" s="3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82" t="str">
        <f>IF(AND($A$9="Тип доверенности/получателя при получении в адресе перегруза:",$D$9="Разовая доверенность"),"Введите ФИО","")</f>
        <v/>
      </c>
      <c r="I9" s="283"/>
      <c r="J9" s="28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3"/>
      <c r="L9" s="283"/>
      <c r="M9" s="283"/>
      <c r="N9" s="266"/>
      <c r="P9" s="26" t="s">
        <v>21</v>
      </c>
      <c r="Q9" s="343"/>
      <c r="R9" s="344"/>
      <c r="T9" s="287"/>
      <c r="U9" s="331"/>
      <c r="V9" s="400"/>
      <c r="W9" s="401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57"/>
      <c r="E10" s="283"/>
      <c r="F10" s="3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390" t="str">
        <f>IFERROR(VLOOKUP($D$10,Proxy,2,FALSE),"")</f>
        <v/>
      </c>
      <c r="I10" s="287"/>
      <c r="J10" s="287"/>
      <c r="K10" s="287"/>
      <c r="L10" s="287"/>
      <c r="M10" s="287"/>
      <c r="N10" s="264"/>
      <c r="P10" s="26" t="s">
        <v>22</v>
      </c>
      <c r="Q10" s="375"/>
      <c r="R10" s="376"/>
      <c r="U10" s="24" t="s">
        <v>23</v>
      </c>
      <c r="V10" s="300" t="s">
        <v>24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420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66" t="s">
        <v>29</v>
      </c>
      <c r="B12" s="321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2"/>
      <c r="N12" s="65"/>
      <c r="P12" s="24" t="s">
        <v>30</v>
      </c>
      <c r="Q12" s="354"/>
      <c r="R12" s="307"/>
      <c r="S12" s="23"/>
      <c r="U12" s="24"/>
      <c r="V12" s="295"/>
      <c r="W12" s="287"/>
      <c r="AB12" s="51"/>
      <c r="AC12" s="51"/>
      <c r="AD12" s="51"/>
      <c r="AE12" s="51"/>
    </row>
    <row r="13" spans="1:32" s="265" customFormat="1" ht="23.25" customHeight="1" x14ac:dyDescent="0.2">
      <c r="A13" s="366" t="s">
        <v>31</v>
      </c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2"/>
      <c r="N13" s="65"/>
      <c r="O13" s="26"/>
      <c r="P13" s="26" t="s">
        <v>32</v>
      </c>
      <c r="Q13" s="420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66" t="s">
        <v>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4" t="s">
        <v>34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321"/>
      <c r="M15" s="322"/>
      <c r="N15" s="66"/>
      <c r="P15" s="363" t="s">
        <v>35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6" t="s">
        <v>38</v>
      </c>
      <c r="D17" s="297" t="s">
        <v>39</v>
      </c>
      <c r="E17" s="334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3"/>
      <c r="R17" s="333"/>
      <c r="S17" s="333"/>
      <c r="T17" s="334"/>
      <c r="U17" s="452" t="s">
        <v>51</v>
      </c>
      <c r="V17" s="322"/>
      <c r="W17" s="297" t="s">
        <v>52</v>
      </c>
      <c r="X17" s="297" t="s">
        <v>53</v>
      </c>
      <c r="Y17" s="453" t="s">
        <v>54</v>
      </c>
      <c r="Z17" s="408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33"/>
      <c r="AF17" s="434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5"/>
      <c r="E18" s="337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5"/>
      <c r="Q18" s="336"/>
      <c r="R18" s="336"/>
      <c r="S18" s="336"/>
      <c r="T18" s="337"/>
      <c r="U18" s="70" t="s">
        <v>61</v>
      </c>
      <c r="V18" s="70" t="s">
        <v>62</v>
      </c>
      <c r="W18" s="298"/>
      <c r="X18" s="298"/>
      <c r="Y18" s="454"/>
      <c r="Z18" s="409"/>
      <c r="AA18" s="392"/>
      <c r="AB18" s="392"/>
      <c r="AC18" s="392"/>
      <c r="AD18" s="435"/>
      <c r="AE18" s="436"/>
      <c r="AF18" s="437"/>
      <c r="AG18" s="69"/>
      <c r="BD18" s="68"/>
    </row>
    <row r="19" spans="1:68" ht="27.75" customHeight="1" x14ac:dyDescent="0.2">
      <c r="A19" s="284" t="s">
        <v>63</v>
      </c>
      <c r="B19" s="285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3"/>
      <c r="AB20" s="263"/>
      <c r="AC20" s="263"/>
    </row>
    <row r="21" spans="1:68" ht="14.25" customHeight="1" x14ac:dyDescent="0.25">
      <c r="A21" s="288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70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70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75</v>
      </c>
      <c r="B24" s="54" t="s">
        <v>76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70</v>
      </c>
      <c r="X24" s="268">
        <v>72</v>
      </c>
      <c r="Y24" s="269">
        <f t="shared" si="0"/>
        <v>72</v>
      </c>
      <c r="Z24" s="36">
        <f t="shared" si="1"/>
        <v>1.1160000000000001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537.84</v>
      </c>
      <c r="BN24" s="67">
        <f t="shared" si="3"/>
        <v>537.84</v>
      </c>
      <c r="BO24" s="67">
        <f t="shared" si="4"/>
        <v>0.8571428571428571</v>
      </c>
      <c r="BP24" s="67">
        <f t="shared" si="5"/>
        <v>0.8571428571428571</v>
      </c>
    </row>
    <row r="25" spans="1:68" ht="27" customHeight="1" x14ac:dyDescent="0.25">
      <c r="A25" s="54" t="s">
        <v>77</v>
      </c>
      <c r="B25" s="54" t="s">
        <v>78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70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82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70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8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70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9"/>
      <c r="B28" s="287"/>
      <c r="C28" s="287"/>
      <c r="D28" s="287"/>
      <c r="E28" s="287"/>
      <c r="F28" s="287"/>
      <c r="G28" s="287"/>
      <c r="H28" s="287"/>
      <c r="I28" s="287"/>
      <c r="J28" s="287"/>
      <c r="K28" s="287"/>
      <c r="L28" s="287"/>
      <c r="M28" s="287"/>
      <c r="N28" s="287"/>
      <c r="O28" s="290"/>
      <c r="P28" s="277" t="s">
        <v>83</v>
      </c>
      <c r="Q28" s="278"/>
      <c r="R28" s="278"/>
      <c r="S28" s="278"/>
      <c r="T28" s="278"/>
      <c r="U28" s="278"/>
      <c r="V28" s="279"/>
      <c r="W28" s="37" t="s">
        <v>70</v>
      </c>
      <c r="X28" s="270">
        <f>IFERROR(SUM(X22:X27),"0")</f>
        <v>72</v>
      </c>
      <c r="Y28" s="270">
        <f>IFERROR(SUM(Y22:Y27),"0")</f>
        <v>72</v>
      </c>
      <c r="Z28" s="270">
        <f>IFERROR(IF(Z22="",0,Z22),"0")+IFERROR(IF(Z23="",0,Z23),"0")+IFERROR(IF(Z24="",0,Z24),"0")+IFERROR(IF(Z25="",0,Z25),"0")+IFERROR(IF(Z26="",0,Z26),"0")+IFERROR(IF(Z27="",0,Z27),"0")</f>
        <v>1.1160000000000001</v>
      </c>
      <c r="AA28" s="271"/>
      <c r="AB28" s="271"/>
      <c r="AC28" s="271"/>
    </row>
    <row r="29" spans="1:68" x14ac:dyDescent="0.2">
      <c r="A29" s="287"/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90"/>
      <c r="P29" s="277" t="s">
        <v>83</v>
      </c>
      <c r="Q29" s="278"/>
      <c r="R29" s="278"/>
      <c r="S29" s="278"/>
      <c r="T29" s="278"/>
      <c r="U29" s="278"/>
      <c r="V29" s="279"/>
      <c r="W29" s="37" t="s">
        <v>84</v>
      </c>
      <c r="X29" s="270">
        <f>IFERROR(SUMPRODUCT(X22:X27*H22:H27),"0")</f>
        <v>518.4</v>
      </c>
      <c r="Y29" s="270">
        <f>IFERROR(SUMPRODUCT(Y22:Y27*H22:H27),"0")</f>
        <v>518.4</v>
      </c>
      <c r="Z29" s="37"/>
      <c r="AA29" s="271"/>
      <c r="AB29" s="271"/>
      <c r="AC29" s="271"/>
    </row>
    <row r="30" spans="1:68" ht="16.5" customHeight="1" x14ac:dyDescent="0.25">
      <c r="A30" s="286" t="s">
        <v>85</v>
      </c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63"/>
      <c r="AB30" s="263"/>
      <c r="AC30" s="263"/>
    </row>
    <row r="31" spans="1:68" ht="14.25" customHeight="1" x14ac:dyDescent="0.25">
      <c r="A31" s="288" t="s">
        <v>64</v>
      </c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62"/>
      <c r="AB31" s="262"/>
      <c r="AC31" s="26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2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70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70</v>
      </c>
      <c r="X33" s="268">
        <v>12</v>
      </c>
      <c r="Y33" s="269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89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290"/>
      <c r="P34" s="277" t="s">
        <v>83</v>
      </c>
      <c r="Q34" s="278"/>
      <c r="R34" s="278"/>
      <c r="S34" s="278"/>
      <c r="T34" s="278"/>
      <c r="U34" s="278"/>
      <c r="V34" s="279"/>
      <c r="W34" s="37" t="s">
        <v>70</v>
      </c>
      <c r="X34" s="270">
        <f>IFERROR(SUM(X32:X33),"0")</f>
        <v>12</v>
      </c>
      <c r="Y34" s="270">
        <f>IFERROR(SUM(Y32:Y33),"0")</f>
        <v>12</v>
      </c>
      <c r="Z34" s="270">
        <f>IFERROR(IF(Z32="",0,Z32),"0")+IFERROR(IF(Z33="",0,Z33),"0")</f>
        <v>0.186</v>
      </c>
      <c r="AA34" s="271"/>
      <c r="AB34" s="271"/>
      <c r="AC34" s="271"/>
    </row>
    <row r="35" spans="1:68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290"/>
      <c r="P35" s="277" t="s">
        <v>83</v>
      </c>
      <c r="Q35" s="278"/>
      <c r="R35" s="278"/>
      <c r="S35" s="278"/>
      <c r="T35" s="278"/>
      <c r="U35" s="278"/>
      <c r="V35" s="279"/>
      <c r="W35" s="37" t="s">
        <v>84</v>
      </c>
      <c r="X35" s="270">
        <f>IFERROR(SUMPRODUCT(X32:X33*H32:H33),"0")</f>
        <v>76.800000000000011</v>
      </c>
      <c r="Y35" s="270">
        <f>IFERROR(SUMPRODUCT(Y32:Y33*H32:H33),"0")</f>
        <v>76.800000000000011</v>
      </c>
      <c r="Z35" s="37"/>
      <c r="AA35" s="271"/>
      <c r="AB35" s="271"/>
      <c r="AC35" s="271"/>
    </row>
    <row r="36" spans="1:68" ht="27.75" customHeight="1" x14ac:dyDescent="0.2">
      <c r="A36" s="284" t="s">
        <v>91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48"/>
      <c r="AB36" s="48"/>
      <c r="AC36" s="48"/>
    </row>
    <row r="37" spans="1:68" ht="16.5" customHeight="1" x14ac:dyDescent="0.25">
      <c r="A37" s="286" t="s">
        <v>92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63"/>
      <c r="AB37" s="263"/>
      <c r="AC37" s="263"/>
    </row>
    <row r="38" spans="1:68" ht="14.25" customHeight="1" x14ac:dyDescent="0.25">
      <c r="A38" s="288" t="s">
        <v>93</v>
      </c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70</v>
      </c>
      <c r="X39" s="268">
        <v>154</v>
      </c>
      <c r="Y39" s="269">
        <f>IFERROR(IF(X39="","",X39),"")</f>
        <v>154</v>
      </c>
      <c r="Z39" s="36">
        <f>IFERROR(IF(X39="","",X39*0.00941),"")</f>
        <v>1.4491400000000001</v>
      </c>
      <c r="AA39" s="56"/>
      <c r="AB39" s="57"/>
      <c r="AC39" s="88" t="s">
        <v>98</v>
      </c>
      <c r="AG39" s="67"/>
      <c r="AJ39" s="71" t="s">
        <v>99</v>
      </c>
      <c r="AK39" s="71">
        <v>140</v>
      </c>
      <c r="BB39" s="89" t="s">
        <v>100</v>
      </c>
      <c r="BM39" s="67">
        <f>IFERROR(X39*I39,"0")</f>
        <v>295.9572</v>
      </c>
      <c r="BN39" s="67">
        <f>IFERROR(Y39*I39,"0")</f>
        <v>295.9572</v>
      </c>
      <c r="BO39" s="67">
        <f>IFERROR(X39/J39,"0")</f>
        <v>1.1000000000000001</v>
      </c>
      <c r="BP39" s="67">
        <f>IFERROR(Y39/J39,"0")</f>
        <v>1.1000000000000001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96</v>
      </c>
      <c r="L40" s="32" t="s">
        <v>68</v>
      </c>
      <c r="M40" s="33" t="s">
        <v>69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70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98</v>
      </c>
      <c r="AG40" s="67"/>
      <c r="AJ40" s="71" t="s">
        <v>72</v>
      </c>
      <c r="AK40" s="71">
        <v>1</v>
      </c>
      <c r="BB40" s="91" t="s">
        <v>100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9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90"/>
      <c r="P41" s="277" t="s">
        <v>83</v>
      </c>
      <c r="Q41" s="278"/>
      <c r="R41" s="278"/>
      <c r="S41" s="278"/>
      <c r="T41" s="278"/>
      <c r="U41" s="278"/>
      <c r="V41" s="279"/>
      <c r="W41" s="37" t="s">
        <v>70</v>
      </c>
      <c r="X41" s="270">
        <f>IFERROR(SUM(X39:X40),"0")</f>
        <v>154</v>
      </c>
      <c r="Y41" s="270">
        <f>IFERROR(SUM(Y39:Y40),"0")</f>
        <v>154</v>
      </c>
      <c r="Z41" s="270">
        <f>IFERROR(IF(Z39="",0,Z39),"0")+IFERROR(IF(Z40="",0,Z40),"0")</f>
        <v>1.4491400000000001</v>
      </c>
      <c r="AA41" s="271"/>
      <c r="AB41" s="271"/>
      <c r="AC41" s="271"/>
    </row>
    <row r="42" spans="1:68" x14ac:dyDescent="0.2">
      <c r="A42" s="287"/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90"/>
      <c r="P42" s="277" t="s">
        <v>83</v>
      </c>
      <c r="Q42" s="278"/>
      <c r="R42" s="278"/>
      <c r="S42" s="278"/>
      <c r="T42" s="278"/>
      <c r="U42" s="278"/>
      <c r="V42" s="279"/>
      <c r="W42" s="37" t="s">
        <v>84</v>
      </c>
      <c r="X42" s="270">
        <f>IFERROR(SUMPRODUCT(X39:X40*H39:H40),"0")</f>
        <v>231</v>
      </c>
      <c r="Y42" s="270">
        <f>IFERROR(SUMPRODUCT(Y39:Y40*H39:H40),"0")</f>
        <v>231</v>
      </c>
      <c r="Z42" s="37"/>
      <c r="AA42" s="271"/>
      <c r="AB42" s="271"/>
      <c r="AC42" s="271"/>
    </row>
    <row r="43" spans="1:68" ht="16.5" customHeight="1" x14ac:dyDescent="0.25">
      <c r="A43" s="286" t="s">
        <v>103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3"/>
      <c r="AB43" s="263"/>
      <c r="AC43" s="263"/>
    </row>
    <row r="44" spans="1:68" ht="14.25" customHeight="1" x14ac:dyDescent="0.25">
      <c r="A44" s="288" t="s">
        <v>64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67</v>
      </c>
      <c r="L45" s="32" t="s">
        <v>68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70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72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67</v>
      </c>
      <c r="L46" s="32" t="s">
        <v>109</v>
      </c>
      <c r="M46" s="33" t="s">
        <v>69</v>
      </c>
      <c r="N46" s="33"/>
      <c r="O46" s="32">
        <v>180</v>
      </c>
      <c r="P46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70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110</v>
      </c>
      <c r="AG46" s="67"/>
      <c r="AJ46" s="71" t="s">
        <v>111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112</v>
      </c>
      <c r="B47" s="54" t="s">
        <v>113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67</v>
      </c>
      <c r="L47" s="32" t="s">
        <v>68</v>
      </c>
      <c r="M47" s="33" t="s">
        <v>69</v>
      </c>
      <c r="N47" s="33"/>
      <c r="O47" s="32">
        <v>180</v>
      </c>
      <c r="P47" s="32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70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114</v>
      </c>
      <c r="AG47" s="67"/>
      <c r="AJ47" s="71" t="s">
        <v>72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9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90"/>
      <c r="P48" s="277" t="s">
        <v>83</v>
      </c>
      <c r="Q48" s="278"/>
      <c r="R48" s="278"/>
      <c r="S48" s="278"/>
      <c r="T48" s="278"/>
      <c r="U48" s="278"/>
      <c r="V48" s="279"/>
      <c r="W48" s="37" t="s">
        <v>70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x14ac:dyDescent="0.2">
      <c r="A49" s="287"/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90"/>
      <c r="P49" s="277" t="s">
        <v>83</v>
      </c>
      <c r="Q49" s="278"/>
      <c r="R49" s="278"/>
      <c r="S49" s="278"/>
      <c r="T49" s="278"/>
      <c r="U49" s="278"/>
      <c r="V49" s="279"/>
      <c r="W49" s="37" t="s">
        <v>84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customHeight="1" x14ac:dyDescent="0.25">
      <c r="A50" s="286" t="s">
        <v>115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63"/>
      <c r="AB50" s="263"/>
      <c r="AC50" s="263"/>
    </row>
    <row r="51" spans="1:68" ht="14.25" customHeight="1" x14ac:dyDescent="0.25">
      <c r="A51" s="288" t="s">
        <v>64</v>
      </c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287"/>
      <c r="S51" s="287"/>
      <c r="T51" s="287"/>
      <c r="U51" s="287"/>
      <c r="V51" s="287"/>
      <c r="W51" s="287"/>
      <c r="X51" s="287"/>
      <c r="Y51" s="287"/>
      <c r="Z51" s="287"/>
      <c r="AA51" s="262"/>
      <c r="AB51" s="262"/>
      <c r="AC51" s="262"/>
    </row>
    <row r="52" spans="1:68" ht="27" customHeight="1" x14ac:dyDescent="0.25">
      <c r="A52" s="54" t="s">
        <v>116</v>
      </c>
      <c r="B52" s="54" t="s">
        <v>117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67</v>
      </c>
      <c r="L52" s="32" t="s">
        <v>109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70</v>
      </c>
      <c r="X52" s="268">
        <v>36</v>
      </c>
      <c r="Y52" s="269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118</v>
      </c>
      <c r="AG52" s="67"/>
      <c r="AJ52" s="71" t="s">
        <v>111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customHeight="1" x14ac:dyDescent="0.25">
      <c r="A53" s="54" t="s">
        <v>119</v>
      </c>
      <c r="B53" s="54" t="s">
        <v>120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67</v>
      </c>
      <c r="L53" s="32" t="s">
        <v>109</v>
      </c>
      <c r="M53" s="33" t="s">
        <v>69</v>
      </c>
      <c r="N53" s="33"/>
      <c r="O53" s="32">
        <v>180</v>
      </c>
      <c r="P53" s="35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70</v>
      </c>
      <c r="X53" s="268">
        <v>132</v>
      </c>
      <c r="Y53" s="269">
        <f>IFERROR(IF(X53="","",X53),"")</f>
        <v>132</v>
      </c>
      <c r="Z53" s="36">
        <f>IFERROR(IF(X53="","",X53*0.0155),"")</f>
        <v>2.0459999999999998</v>
      </c>
      <c r="AA53" s="56"/>
      <c r="AB53" s="57"/>
      <c r="AC53" s="100" t="s">
        <v>121</v>
      </c>
      <c r="AG53" s="67"/>
      <c r="AJ53" s="71" t="s">
        <v>111</v>
      </c>
      <c r="AK53" s="71">
        <v>12</v>
      </c>
      <c r="BB53" s="101" t="s">
        <v>1</v>
      </c>
      <c r="BM53" s="67">
        <f>IFERROR(X53*I53,"0")</f>
        <v>961.75199999999995</v>
      </c>
      <c r="BN53" s="67">
        <f>IFERROR(Y53*I53,"0")</f>
        <v>961.75199999999995</v>
      </c>
      <c r="BO53" s="67">
        <f>IFERROR(X53/J53,"0")</f>
        <v>1.5714285714285714</v>
      </c>
      <c r="BP53" s="67">
        <f>IFERROR(Y53/J53,"0")</f>
        <v>1.5714285714285714</v>
      </c>
    </row>
    <row r="54" spans="1:68" ht="27" customHeight="1" x14ac:dyDescent="0.25">
      <c r="A54" s="54" t="s">
        <v>122</v>
      </c>
      <c r="B54" s="54" t="s">
        <v>123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67</v>
      </c>
      <c r="L54" s="32" t="s">
        <v>109</v>
      </c>
      <c r="M54" s="33" t="s">
        <v>69</v>
      </c>
      <c r="N54" s="33"/>
      <c r="O54" s="32">
        <v>180</v>
      </c>
      <c r="P54" s="43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70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121</v>
      </c>
      <c r="AG54" s="67"/>
      <c r="AJ54" s="71" t="s">
        <v>111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124</v>
      </c>
      <c r="B55" s="54" t="s">
        <v>125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70</v>
      </c>
      <c r="X55" s="268">
        <v>84</v>
      </c>
      <c r="Y55" s="269">
        <f>IFERROR(IF(X55="","",X55),"")</f>
        <v>84</v>
      </c>
      <c r="Z55" s="36">
        <f>IFERROR(IF(X55="","",X55*0.0155),"")</f>
        <v>1.302</v>
      </c>
      <c r="AA55" s="56"/>
      <c r="AB55" s="57"/>
      <c r="AC55" s="104" t="s">
        <v>121</v>
      </c>
      <c r="AG55" s="67"/>
      <c r="AJ55" s="71" t="s">
        <v>99</v>
      </c>
      <c r="AK55" s="71">
        <v>84</v>
      </c>
      <c r="BB55" s="105" t="s">
        <v>1</v>
      </c>
      <c r="BM55" s="67">
        <f>IFERROR(X55*I55,"0")</f>
        <v>613.19999999999993</v>
      </c>
      <c r="BN55" s="67">
        <f>IFERROR(Y55*I55,"0")</f>
        <v>613.19999999999993</v>
      </c>
      <c r="BO55" s="67">
        <f>IFERROR(X55/J55,"0")</f>
        <v>1</v>
      </c>
      <c r="BP55" s="67">
        <f>IFERROR(Y55/J55,"0")</f>
        <v>1</v>
      </c>
    </row>
    <row r="56" spans="1:68" x14ac:dyDescent="0.2">
      <c r="A56" s="289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90"/>
      <c r="P56" s="277" t="s">
        <v>83</v>
      </c>
      <c r="Q56" s="278"/>
      <c r="R56" s="278"/>
      <c r="S56" s="278"/>
      <c r="T56" s="278"/>
      <c r="U56" s="278"/>
      <c r="V56" s="279"/>
      <c r="W56" s="37" t="s">
        <v>70</v>
      </c>
      <c r="X56" s="270">
        <f>IFERROR(SUM(X52:X55),"0")</f>
        <v>252</v>
      </c>
      <c r="Y56" s="270">
        <f>IFERROR(SUM(Y52:Y55),"0")</f>
        <v>252</v>
      </c>
      <c r="Z56" s="270">
        <f>IFERROR(IF(Z52="",0,Z52),"0")+IFERROR(IF(Z53="",0,Z53),"0")+IFERROR(IF(Z54="",0,Z54),"0")+IFERROR(IF(Z55="",0,Z55),"0")</f>
        <v>3.9060000000000001</v>
      </c>
      <c r="AA56" s="271"/>
      <c r="AB56" s="271"/>
      <c r="AC56" s="271"/>
    </row>
    <row r="57" spans="1:68" x14ac:dyDescent="0.2">
      <c r="A57" s="287"/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90"/>
      <c r="P57" s="277" t="s">
        <v>83</v>
      </c>
      <c r="Q57" s="278"/>
      <c r="R57" s="278"/>
      <c r="S57" s="278"/>
      <c r="T57" s="278"/>
      <c r="U57" s="278"/>
      <c r="V57" s="279"/>
      <c r="W57" s="37" t="s">
        <v>84</v>
      </c>
      <c r="X57" s="270">
        <f>IFERROR(SUMPRODUCT(X52:X55*H52:H55),"0")</f>
        <v>1764</v>
      </c>
      <c r="Y57" s="270">
        <f>IFERROR(SUMPRODUCT(Y52:Y55*H52:H55),"0")</f>
        <v>1764</v>
      </c>
      <c r="Z57" s="37"/>
      <c r="AA57" s="271"/>
      <c r="AB57" s="271"/>
      <c r="AC57" s="271"/>
    </row>
    <row r="58" spans="1:68" ht="16.5" customHeight="1" x14ac:dyDescent="0.25">
      <c r="A58" s="286" t="s">
        <v>126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63"/>
      <c r="AB58" s="263"/>
      <c r="AC58" s="263"/>
    </row>
    <row r="59" spans="1:68" ht="14.25" customHeight="1" x14ac:dyDescent="0.25">
      <c r="A59" s="288" t="s">
        <v>64</v>
      </c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62"/>
      <c r="AB59" s="262"/>
      <c r="AC59" s="262"/>
    </row>
    <row r="60" spans="1:68" ht="16.5" customHeight="1" x14ac:dyDescent="0.25">
      <c r="A60" s="54" t="s">
        <v>127</v>
      </c>
      <c r="B60" s="54" t="s">
        <v>128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70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129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9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90"/>
      <c r="P61" s="277" t="s">
        <v>83</v>
      </c>
      <c r="Q61" s="278"/>
      <c r="R61" s="278"/>
      <c r="S61" s="278"/>
      <c r="T61" s="278"/>
      <c r="U61" s="278"/>
      <c r="V61" s="279"/>
      <c r="W61" s="37" t="s">
        <v>70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90"/>
      <c r="P62" s="277" t="s">
        <v>83</v>
      </c>
      <c r="Q62" s="278"/>
      <c r="R62" s="278"/>
      <c r="S62" s="278"/>
      <c r="T62" s="278"/>
      <c r="U62" s="278"/>
      <c r="V62" s="279"/>
      <c r="W62" s="37" t="s">
        <v>84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288" t="s">
        <v>93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62"/>
      <c r="AB63" s="262"/>
      <c r="AC63" s="262"/>
    </row>
    <row r="64" spans="1:68" ht="27" customHeight="1" x14ac:dyDescent="0.25">
      <c r="A64" s="54" t="s">
        <v>130</v>
      </c>
      <c r="B64" s="54" t="s">
        <v>131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132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9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90"/>
      <c r="P65" s="277" t="s">
        <v>83</v>
      </c>
      <c r="Q65" s="278"/>
      <c r="R65" s="278"/>
      <c r="S65" s="278"/>
      <c r="T65" s="278"/>
      <c r="U65" s="278"/>
      <c r="V65" s="279"/>
      <c r="W65" s="37" t="s">
        <v>70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90"/>
      <c r="P66" s="277" t="s">
        <v>83</v>
      </c>
      <c r="Q66" s="278"/>
      <c r="R66" s="278"/>
      <c r="S66" s="278"/>
      <c r="T66" s="278"/>
      <c r="U66" s="278"/>
      <c r="V66" s="279"/>
      <c r="W66" s="37" t="s">
        <v>84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288" t="s">
        <v>133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2"/>
      <c r="AB67" s="262"/>
      <c r="AC67" s="262"/>
    </row>
    <row r="68" spans="1:68" ht="16.5" customHeight="1" x14ac:dyDescent="0.25">
      <c r="A68" s="54" t="s">
        <v>134</v>
      </c>
      <c r="B68" s="54" t="s">
        <v>135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70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136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137</v>
      </c>
      <c r="B69" s="54" t="s">
        <v>138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136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9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90"/>
      <c r="P70" s="277" t="s">
        <v>83</v>
      </c>
      <c r="Q70" s="278"/>
      <c r="R70" s="278"/>
      <c r="S70" s="278"/>
      <c r="T70" s="278"/>
      <c r="U70" s="278"/>
      <c r="V70" s="279"/>
      <c r="W70" s="37" t="s">
        <v>70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90"/>
      <c r="P71" s="277" t="s">
        <v>83</v>
      </c>
      <c r="Q71" s="278"/>
      <c r="R71" s="278"/>
      <c r="S71" s="278"/>
      <c r="T71" s="278"/>
      <c r="U71" s="278"/>
      <c r="V71" s="279"/>
      <c r="W71" s="37" t="s">
        <v>84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288" t="s">
        <v>139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62"/>
      <c r="AB72" s="262"/>
      <c r="AC72" s="262"/>
    </row>
    <row r="73" spans="1:68" ht="27" customHeight="1" x14ac:dyDescent="0.25">
      <c r="A73" s="54" t="s">
        <v>140</v>
      </c>
      <c r="B73" s="54" t="s">
        <v>141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70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136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142</v>
      </c>
      <c r="B74" s="54" t="s">
        <v>143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96</v>
      </c>
      <c r="L74" s="32" t="s">
        <v>109</v>
      </c>
      <c r="M74" s="33" t="s">
        <v>69</v>
      </c>
      <c r="N74" s="33"/>
      <c r="O74" s="32">
        <v>365</v>
      </c>
      <c r="P74" s="36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70</v>
      </c>
      <c r="X74" s="268">
        <v>28</v>
      </c>
      <c r="Y74" s="269">
        <f>IFERROR(IF(X74="","",X74),"")</f>
        <v>28</v>
      </c>
      <c r="Z74" s="36">
        <f>IFERROR(IF(X74="","",X74*0.00941),"")</f>
        <v>0.26347999999999999</v>
      </c>
      <c r="AA74" s="56"/>
      <c r="AB74" s="57"/>
      <c r="AC74" s="116" t="s">
        <v>144</v>
      </c>
      <c r="AG74" s="67"/>
      <c r="AJ74" s="71" t="s">
        <v>111</v>
      </c>
      <c r="AK74" s="71">
        <v>14</v>
      </c>
      <c r="BB74" s="117" t="s">
        <v>100</v>
      </c>
      <c r="BM74" s="67">
        <f>IFERROR(X74*I74,"0")</f>
        <v>43.68</v>
      </c>
      <c r="BN74" s="67">
        <f>IFERROR(Y74*I74,"0")</f>
        <v>43.68</v>
      </c>
      <c r="BO74" s="67">
        <f>IFERROR(X74/J74,"0")</f>
        <v>0.2</v>
      </c>
      <c r="BP74" s="67">
        <f>IFERROR(Y74/J74,"0")</f>
        <v>0.2</v>
      </c>
    </row>
    <row r="75" spans="1:68" ht="27" customHeight="1" x14ac:dyDescent="0.25">
      <c r="A75" s="54" t="s">
        <v>145</v>
      </c>
      <c r="B75" s="54" t="s">
        <v>146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96</v>
      </c>
      <c r="L75" s="32" t="s">
        <v>109</v>
      </c>
      <c r="M75" s="33" t="s">
        <v>69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144</v>
      </c>
      <c r="AG75" s="67"/>
      <c r="AJ75" s="71" t="s">
        <v>111</v>
      </c>
      <c r="AK75" s="71">
        <v>14</v>
      </c>
      <c r="BB75" s="119" t="s">
        <v>100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8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90"/>
      <c r="P76" s="277" t="s">
        <v>83</v>
      </c>
      <c r="Q76" s="278"/>
      <c r="R76" s="278"/>
      <c r="S76" s="278"/>
      <c r="T76" s="278"/>
      <c r="U76" s="278"/>
      <c r="V76" s="279"/>
      <c r="W76" s="37" t="s">
        <v>70</v>
      </c>
      <c r="X76" s="270">
        <f>IFERROR(SUM(X73:X75),"0")</f>
        <v>42</v>
      </c>
      <c r="Y76" s="270">
        <f>IFERROR(SUM(Y73:Y75),"0")</f>
        <v>42</v>
      </c>
      <c r="Z76" s="270">
        <f>IFERROR(IF(Z73="",0,Z73),"0")+IFERROR(IF(Z74="",0,Z74),"0")+IFERROR(IF(Z75="",0,Z75),"0")</f>
        <v>0.39522000000000002</v>
      </c>
      <c r="AA76" s="271"/>
      <c r="AB76" s="271"/>
      <c r="AC76" s="271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90"/>
      <c r="P77" s="277" t="s">
        <v>83</v>
      </c>
      <c r="Q77" s="278"/>
      <c r="R77" s="278"/>
      <c r="S77" s="278"/>
      <c r="T77" s="278"/>
      <c r="U77" s="278"/>
      <c r="V77" s="279"/>
      <c r="W77" s="37" t="s">
        <v>84</v>
      </c>
      <c r="X77" s="270">
        <f>IFERROR(SUMPRODUCT(X73:X75*H73:H75),"0")</f>
        <v>50.400000000000006</v>
      </c>
      <c r="Y77" s="270">
        <f>IFERROR(SUMPRODUCT(Y73:Y75*H73:H75),"0")</f>
        <v>50.400000000000006</v>
      </c>
      <c r="Z77" s="37"/>
      <c r="AA77" s="271"/>
      <c r="AB77" s="271"/>
      <c r="AC77" s="271"/>
    </row>
    <row r="78" spans="1:68" ht="16.5" customHeight="1" x14ac:dyDescent="0.25">
      <c r="A78" s="286" t="s">
        <v>147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63"/>
      <c r="AB78" s="263"/>
      <c r="AC78" s="263"/>
    </row>
    <row r="79" spans="1:68" ht="14.25" customHeight="1" x14ac:dyDescent="0.25">
      <c r="A79" s="288" t="s">
        <v>64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2"/>
      <c r="AB79" s="262"/>
      <c r="AC79" s="262"/>
    </row>
    <row r="80" spans="1:68" ht="27" customHeight="1" x14ac:dyDescent="0.25">
      <c r="A80" s="54" t="s">
        <v>148</v>
      </c>
      <c r="B80" s="54" t="s">
        <v>149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150</v>
      </c>
      <c r="L80" s="32" t="s">
        <v>109</v>
      </c>
      <c r="M80" s="33" t="s">
        <v>69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70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111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70</v>
      </c>
      <c r="X81" s="268">
        <v>240</v>
      </c>
      <c r="Y81" s="269">
        <f>IFERROR(IF(X81="","",X81),"")</f>
        <v>240</v>
      </c>
      <c r="Z81" s="36">
        <f>IFERROR(IF(X81="","",X81*0.00866),"")</f>
        <v>2.0783999999999998</v>
      </c>
      <c r="AA81" s="56"/>
      <c r="AB81" s="57"/>
      <c r="AC81" s="122" t="s">
        <v>151</v>
      </c>
      <c r="AG81" s="67"/>
      <c r="AJ81" s="71" t="s">
        <v>99</v>
      </c>
      <c r="AK81" s="71">
        <v>144</v>
      </c>
      <c r="BB81" s="123" t="s">
        <v>1</v>
      </c>
      <c r="BM81" s="67">
        <f>IFERROR(X81*I81,"0")</f>
        <v>1251.1679999999999</v>
      </c>
      <c r="BN81" s="67">
        <f>IFERROR(Y81*I81,"0")</f>
        <v>1251.1679999999999</v>
      </c>
      <c r="BO81" s="67">
        <f>IFERROR(X81/J81,"0")</f>
        <v>1.6666666666666667</v>
      </c>
      <c r="BP81" s="67">
        <f>IFERROR(Y81/J81,"0")</f>
        <v>1.6666666666666667</v>
      </c>
    </row>
    <row r="82" spans="1:68" x14ac:dyDescent="0.2">
      <c r="A82" s="289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90"/>
      <c r="P82" s="277" t="s">
        <v>83</v>
      </c>
      <c r="Q82" s="278"/>
      <c r="R82" s="278"/>
      <c r="S82" s="278"/>
      <c r="T82" s="278"/>
      <c r="U82" s="278"/>
      <c r="V82" s="279"/>
      <c r="W82" s="37" t="s">
        <v>70</v>
      </c>
      <c r="X82" s="270">
        <f>IFERROR(SUM(X80:X81),"0")</f>
        <v>240</v>
      </c>
      <c r="Y82" s="270">
        <f>IFERROR(SUM(Y80:Y81),"0")</f>
        <v>240</v>
      </c>
      <c r="Z82" s="270">
        <f>IFERROR(IF(Z80="",0,Z80),"0")+IFERROR(IF(Z81="",0,Z81),"0")</f>
        <v>2.0783999999999998</v>
      </c>
      <c r="AA82" s="271"/>
      <c r="AB82" s="271"/>
      <c r="AC82" s="271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90"/>
      <c r="P83" s="277" t="s">
        <v>83</v>
      </c>
      <c r="Q83" s="278"/>
      <c r="R83" s="278"/>
      <c r="S83" s="278"/>
      <c r="T83" s="278"/>
      <c r="U83" s="278"/>
      <c r="V83" s="279"/>
      <c r="W83" s="37" t="s">
        <v>84</v>
      </c>
      <c r="X83" s="270">
        <f>IFERROR(SUMPRODUCT(X80:X81*H80:H81),"0")</f>
        <v>1200</v>
      </c>
      <c r="Y83" s="270">
        <f>IFERROR(SUMPRODUCT(Y80:Y81*H80:H81),"0")</f>
        <v>1200</v>
      </c>
      <c r="Z83" s="37"/>
      <c r="AA83" s="271"/>
      <c r="AB83" s="271"/>
      <c r="AC83" s="271"/>
    </row>
    <row r="84" spans="1:68" ht="16.5" customHeight="1" x14ac:dyDescent="0.25">
      <c r="A84" s="286" t="s">
        <v>154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63"/>
      <c r="AB84" s="263"/>
      <c r="AC84" s="263"/>
    </row>
    <row r="85" spans="1:68" ht="14.25" customHeight="1" x14ac:dyDescent="0.25">
      <c r="A85" s="288" t="s">
        <v>139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2"/>
      <c r="AB85" s="262"/>
      <c r="AC85" s="262"/>
    </row>
    <row r="86" spans="1:68" ht="27" customHeight="1" x14ac:dyDescent="0.25">
      <c r="A86" s="54" t="s">
        <v>155</v>
      </c>
      <c r="B86" s="54" t="s">
        <v>156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96</v>
      </c>
      <c r="L86" s="32" t="s">
        <v>109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70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157</v>
      </c>
      <c r="AG86" s="67"/>
      <c r="AJ86" s="71" t="s">
        <v>111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9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90"/>
      <c r="P87" s="277" t="s">
        <v>83</v>
      </c>
      <c r="Q87" s="278"/>
      <c r="R87" s="278"/>
      <c r="S87" s="278"/>
      <c r="T87" s="278"/>
      <c r="U87" s="278"/>
      <c r="V87" s="279"/>
      <c r="W87" s="37" t="s">
        <v>70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90"/>
      <c r="P88" s="277" t="s">
        <v>83</v>
      </c>
      <c r="Q88" s="278"/>
      <c r="R88" s="278"/>
      <c r="S88" s="278"/>
      <c r="T88" s="278"/>
      <c r="U88" s="278"/>
      <c r="V88" s="279"/>
      <c r="W88" s="37" t="s">
        <v>84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6" t="s">
        <v>158</v>
      </c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63"/>
      <c r="AB89" s="263"/>
      <c r="AC89" s="263"/>
    </row>
    <row r="90" spans="1:68" ht="14.25" customHeight="1" x14ac:dyDescent="0.25">
      <c r="A90" s="288" t="s">
        <v>159</v>
      </c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62"/>
      <c r="AB90" s="262"/>
      <c r="AC90" s="262"/>
    </row>
    <row r="91" spans="1:68" ht="27" customHeight="1" x14ac:dyDescent="0.25">
      <c r="A91" s="54" t="s">
        <v>160</v>
      </c>
      <c r="B91" s="54" t="s">
        <v>161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96</v>
      </c>
      <c r="L91" s="32" t="s">
        <v>109</v>
      </c>
      <c r="M91" s="33" t="s">
        <v>69</v>
      </c>
      <c r="N91" s="33"/>
      <c r="O91" s="32">
        <v>180</v>
      </c>
      <c r="P91" s="38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70</v>
      </c>
      <c r="X91" s="268">
        <v>42</v>
      </c>
      <c r="Y91" s="269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162</v>
      </c>
      <c r="AG91" s="67"/>
      <c r="AJ91" s="71" t="s">
        <v>111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163</v>
      </c>
      <c r="B92" s="54" t="s">
        <v>164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96</v>
      </c>
      <c r="L92" s="32" t="s">
        <v>109</v>
      </c>
      <c r="M92" s="33" t="s">
        <v>69</v>
      </c>
      <c r="N92" s="33"/>
      <c r="O92" s="32">
        <v>180</v>
      </c>
      <c r="P92" s="3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70</v>
      </c>
      <c r="X92" s="268">
        <v>56</v>
      </c>
      <c r="Y92" s="269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165</v>
      </c>
      <c r="AG92" s="67"/>
      <c r="AJ92" s="71" t="s">
        <v>111</v>
      </c>
      <c r="AK92" s="71">
        <v>14</v>
      </c>
      <c r="BB92" s="129" t="s">
        <v>100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89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90"/>
      <c r="P93" s="277" t="s">
        <v>83</v>
      </c>
      <c r="Q93" s="278"/>
      <c r="R93" s="278"/>
      <c r="S93" s="278"/>
      <c r="T93" s="278"/>
      <c r="U93" s="278"/>
      <c r="V93" s="279"/>
      <c r="W93" s="37" t="s">
        <v>70</v>
      </c>
      <c r="X93" s="270">
        <f>IFERROR(SUM(X91:X92),"0")</f>
        <v>98</v>
      </c>
      <c r="Y93" s="270">
        <f>IFERROR(SUM(Y91:Y92),"0")</f>
        <v>98</v>
      </c>
      <c r="Z93" s="270">
        <f>IFERROR(IF(Z91="",0,Z91),"0")+IFERROR(IF(Z92="",0,Z92),"0")</f>
        <v>1.75224</v>
      </c>
      <c r="AA93" s="271"/>
      <c r="AB93" s="271"/>
      <c r="AC93" s="271"/>
    </row>
    <row r="94" spans="1:68" x14ac:dyDescent="0.2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90"/>
      <c r="P94" s="277" t="s">
        <v>83</v>
      </c>
      <c r="Q94" s="278"/>
      <c r="R94" s="278"/>
      <c r="S94" s="278"/>
      <c r="T94" s="278"/>
      <c r="U94" s="278"/>
      <c r="V94" s="279"/>
      <c r="W94" s="37" t="s">
        <v>84</v>
      </c>
      <c r="X94" s="270">
        <f>IFERROR(SUMPRODUCT(X91:X92*H91:H92),"0")</f>
        <v>352.8</v>
      </c>
      <c r="Y94" s="270">
        <f>IFERROR(SUMPRODUCT(Y91:Y92*H91:H92),"0")</f>
        <v>352.8</v>
      </c>
      <c r="Z94" s="37"/>
      <c r="AA94" s="271"/>
      <c r="AB94" s="271"/>
      <c r="AC94" s="271"/>
    </row>
    <row r="95" spans="1:68" ht="16.5" customHeight="1" x14ac:dyDescent="0.25">
      <c r="A95" s="286" t="s">
        <v>166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63"/>
      <c r="AB95" s="263"/>
      <c r="AC95" s="263"/>
    </row>
    <row r="96" spans="1:68" ht="14.25" customHeight="1" x14ac:dyDescent="0.25">
      <c r="A96" s="288" t="s">
        <v>139</v>
      </c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62"/>
      <c r="AB96" s="262"/>
      <c r="AC96" s="262"/>
    </row>
    <row r="97" spans="1:68" ht="27" customHeight="1" x14ac:dyDescent="0.25">
      <c r="A97" s="54" t="s">
        <v>167</v>
      </c>
      <c r="B97" s="54" t="s">
        <v>168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96</v>
      </c>
      <c r="L97" s="32" t="s">
        <v>109</v>
      </c>
      <c r="M97" s="33" t="s">
        <v>69</v>
      </c>
      <c r="N97" s="33"/>
      <c r="O97" s="32">
        <v>180</v>
      </c>
      <c r="P97" s="32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70</v>
      </c>
      <c r="X97" s="268">
        <v>28</v>
      </c>
      <c r="Y97" s="269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157</v>
      </c>
      <c r="AG97" s="67"/>
      <c r="AJ97" s="71" t="s">
        <v>111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169</v>
      </c>
      <c r="B98" s="54" t="s">
        <v>170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70</v>
      </c>
      <c r="X98" s="268">
        <v>126</v>
      </c>
      <c r="Y98" s="269">
        <f t="shared" si="6"/>
        <v>126</v>
      </c>
      <c r="Z98" s="36">
        <f t="shared" si="7"/>
        <v>2.2528800000000002</v>
      </c>
      <c r="AA98" s="56"/>
      <c r="AB98" s="57"/>
      <c r="AC98" s="132" t="s">
        <v>157</v>
      </c>
      <c r="AG98" s="67"/>
      <c r="AJ98" s="71" t="s">
        <v>99</v>
      </c>
      <c r="AK98" s="71">
        <v>70</v>
      </c>
      <c r="BB98" s="133" t="s">
        <v>100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customHeight="1" x14ac:dyDescent="0.25">
      <c r="A99" s="54" t="s">
        <v>171</v>
      </c>
      <c r="B99" s="54" t="s">
        <v>172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96</v>
      </c>
      <c r="L99" s="32" t="s">
        <v>68</v>
      </c>
      <c r="M99" s="33" t="s">
        <v>69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70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72</v>
      </c>
      <c r="AK99" s="71">
        <v>1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174</v>
      </c>
      <c r="B100" s="54" t="s">
        <v>175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1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70</v>
      </c>
      <c r="X100" s="268">
        <v>56</v>
      </c>
      <c r="Y100" s="269">
        <f t="shared" si="6"/>
        <v>56</v>
      </c>
      <c r="Z100" s="36">
        <f t="shared" si="7"/>
        <v>1.0012799999999999</v>
      </c>
      <c r="AA100" s="56"/>
      <c r="AB100" s="57"/>
      <c r="AC100" s="136" t="s">
        <v>157</v>
      </c>
      <c r="AG100" s="67"/>
      <c r="AJ100" s="71" t="s">
        <v>99</v>
      </c>
      <c r="AK100" s="71">
        <v>70</v>
      </c>
      <c r="BB100" s="137" t="s">
        <v>100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96</v>
      </c>
      <c r="L101" s="32" t="s">
        <v>68</v>
      </c>
      <c r="M101" s="33" t="s">
        <v>69</v>
      </c>
      <c r="N101" s="33"/>
      <c r="O101" s="32">
        <v>180</v>
      </c>
      <c r="P101" s="42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70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157</v>
      </c>
      <c r="AG101" s="67"/>
      <c r="AJ101" s="71" t="s">
        <v>72</v>
      </c>
      <c r="AK101" s="71">
        <v>1</v>
      </c>
      <c r="BB101" s="139" t="s">
        <v>100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178</v>
      </c>
      <c r="B102" s="54" t="s">
        <v>179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96</v>
      </c>
      <c r="L102" s="32" t="s">
        <v>109</v>
      </c>
      <c r="M102" s="33" t="s">
        <v>69</v>
      </c>
      <c r="N102" s="33"/>
      <c r="O102" s="32">
        <v>180</v>
      </c>
      <c r="P102" s="42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70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111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9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90"/>
      <c r="P103" s="277" t="s">
        <v>83</v>
      </c>
      <c r="Q103" s="278"/>
      <c r="R103" s="278"/>
      <c r="S103" s="278"/>
      <c r="T103" s="278"/>
      <c r="U103" s="278"/>
      <c r="V103" s="279"/>
      <c r="W103" s="37" t="s">
        <v>70</v>
      </c>
      <c r="X103" s="270">
        <f>IFERROR(SUM(X97:X102),"0")</f>
        <v>210</v>
      </c>
      <c r="Y103" s="270">
        <f>IFERROR(SUM(Y97:Y102),"0")</f>
        <v>210</v>
      </c>
      <c r="Z103" s="270">
        <f>IFERROR(IF(Z97="",0,Z97),"0")+IFERROR(IF(Z98="",0,Z98),"0")+IFERROR(IF(Z99="",0,Z99),"0")+IFERROR(IF(Z100="",0,Z100),"0")+IFERROR(IF(Z101="",0,Z101),"0")+IFERROR(IF(Z102="",0,Z102),"0")</f>
        <v>3.7547999999999999</v>
      </c>
      <c r="AA103" s="271"/>
      <c r="AB103" s="271"/>
      <c r="AC103" s="271"/>
    </row>
    <row r="104" spans="1:68" x14ac:dyDescent="0.2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90"/>
      <c r="P104" s="277" t="s">
        <v>83</v>
      </c>
      <c r="Q104" s="278"/>
      <c r="R104" s="278"/>
      <c r="S104" s="278"/>
      <c r="T104" s="278"/>
      <c r="U104" s="278"/>
      <c r="V104" s="279"/>
      <c r="W104" s="37" t="s">
        <v>84</v>
      </c>
      <c r="X104" s="270">
        <f>IFERROR(SUMPRODUCT(X97:X102*H97:H102),"0")</f>
        <v>604.79999999999995</v>
      </c>
      <c r="Y104" s="270">
        <f>IFERROR(SUMPRODUCT(Y97:Y102*H97:H102),"0")</f>
        <v>604.79999999999995</v>
      </c>
      <c r="Z104" s="37"/>
      <c r="AA104" s="271"/>
      <c r="AB104" s="271"/>
      <c r="AC104" s="271"/>
    </row>
    <row r="105" spans="1:68" ht="16.5" customHeight="1" x14ac:dyDescent="0.25">
      <c r="A105" s="286" t="s">
        <v>181</v>
      </c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63"/>
      <c r="AB105" s="263"/>
      <c r="AC105" s="263"/>
    </row>
    <row r="106" spans="1:68" ht="14.25" customHeight="1" x14ac:dyDescent="0.25">
      <c r="A106" s="288" t="s">
        <v>133</v>
      </c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62"/>
      <c r="AB106" s="262"/>
      <c r="AC106" s="262"/>
    </row>
    <row r="107" spans="1:68" ht="27" customHeight="1" x14ac:dyDescent="0.25">
      <c r="A107" s="54" t="s">
        <v>182</v>
      </c>
      <c r="B107" s="54" t="s">
        <v>183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96</v>
      </c>
      <c r="L107" s="32" t="s">
        <v>109</v>
      </c>
      <c r="M107" s="33" t="s">
        <v>69</v>
      </c>
      <c r="N107" s="33"/>
      <c r="O107" s="32">
        <v>180</v>
      </c>
      <c r="P107" s="42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70</v>
      </c>
      <c r="X107" s="268">
        <v>28</v>
      </c>
      <c r="Y107" s="269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184</v>
      </c>
      <c r="AG107" s="67"/>
      <c r="AJ107" s="71" t="s">
        <v>111</v>
      </c>
      <c r="AK107" s="71">
        <v>14</v>
      </c>
      <c r="BB107" s="143" t="s">
        <v>100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customHeight="1" x14ac:dyDescent="0.25">
      <c r="A108" s="54" t="s">
        <v>185</v>
      </c>
      <c r="B108" s="54" t="s">
        <v>186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96</v>
      </c>
      <c r="L108" s="32" t="s">
        <v>68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70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72</v>
      </c>
      <c r="AK108" s="71">
        <v>1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9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90"/>
      <c r="P109" s="277" t="s">
        <v>83</v>
      </c>
      <c r="Q109" s="278"/>
      <c r="R109" s="278"/>
      <c r="S109" s="278"/>
      <c r="T109" s="278"/>
      <c r="U109" s="278"/>
      <c r="V109" s="279"/>
      <c r="W109" s="37" t="s">
        <v>70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0.26207999999999998</v>
      </c>
      <c r="AA109" s="271"/>
      <c r="AB109" s="271"/>
      <c r="AC109" s="271"/>
    </row>
    <row r="110" spans="1:68" x14ac:dyDescent="0.2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90"/>
      <c r="P110" s="277" t="s">
        <v>83</v>
      </c>
      <c r="Q110" s="278"/>
      <c r="R110" s="278"/>
      <c r="S110" s="278"/>
      <c r="T110" s="278"/>
      <c r="U110" s="278"/>
      <c r="V110" s="279"/>
      <c r="W110" s="37" t="s">
        <v>84</v>
      </c>
      <c r="X110" s="270">
        <f>IFERROR(SUMPRODUCT(X107:X108*H107:H108),"0")</f>
        <v>60.480000000000004</v>
      </c>
      <c r="Y110" s="270">
        <f>IFERROR(SUMPRODUCT(Y107:Y108*H107:H108),"0")</f>
        <v>60.480000000000004</v>
      </c>
      <c r="Z110" s="37"/>
      <c r="AA110" s="271"/>
      <c r="AB110" s="271"/>
      <c r="AC110" s="271"/>
    </row>
    <row r="111" spans="1:68" ht="16.5" customHeight="1" x14ac:dyDescent="0.25">
      <c r="A111" s="286" t="s">
        <v>187</v>
      </c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63"/>
      <c r="AB111" s="263"/>
      <c r="AC111" s="263"/>
    </row>
    <row r="112" spans="1:68" ht="14.25" customHeight="1" x14ac:dyDescent="0.25">
      <c r="A112" s="288" t="s">
        <v>64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2"/>
      <c r="AB112" s="262"/>
      <c r="AC112" s="262"/>
    </row>
    <row r="113" spans="1:68" ht="27" customHeight="1" x14ac:dyDescent="0.25">
      <c r="A113" s="54" t="s">
        <v>188</v>
      </c>
      <c r="B113" s="54" t="s">
        <v>189</v>
      </c>
      <c r="C113" s="31">
        <v>4301071074</v>
      </c>
      <c r="D113" s="272">
        <v>4620207491157</v>
      </c>
      <c r="E113" s="273"/>
      <c r="F113" s="267">
        <v>0.7</v>
      </c>
      <c r="G113" s="32">
        <v>10</v>
      </c>
      <c r="H113" s="267">
        <v>7</v>
      </c>
      <c r="I113" s="267">
        <v>7.28</v>
      </c>
      <c r="J113" s="32">
        <v>84</v>
      </c>
      <c r="K113" s="32" t="s">
        <v>67</v>
      </c>
      <c r="L113" s="32" t="s">
        <v>109</v>
      </c>
      <c r="M113" s="33" t="s">
        <v>69</v>
      </c>
      <c r="N113" s="33"/>
      <c r="O113" s="32">
        <v>180</v>
      </c>
      <c r="P113" s="33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5"/>
      <c r="R113" s="275"/>
      <c r="S113" s="275"/>
      <c r="T113" s="276"/>
      <c r="U113" s="34"/>
      <c r="V113" s="34"/>
      <c r="W113" s="35" t="s">
        <v>70</v>
      </c>
      <c r="X113" s="268">
        <v>36</v>
      </c>
      <c r="Y113" s="269">
        <f t="shared" ref="Y113:Y120" si="12">IFERROR(IF(X113="","",X113),"")</f>
        <v>36</v>
      </c>
      <c r="Z113" s="36">
        <f t="shared" ref="Z113:Z120" si="13">IFERROR(IF(X113="","",X113*0.0155),"")</f>
        <v>0.55800000000000005</v>
      </c>
      <c r="AA113" s="56"/>
      <c r="AB113" s="57"/>
      <c r="AC113" s="146" t="s">
        <v>190</v>
      </c>
      <c r="AG113" s="67"/>
      <c r="AJ113" s="71" t="s">
        <v>111</v>
      </c>
      <c r="AK113" s="71">
        <v>12</v>
      </c>
      <c r="BB113" s="147" t="s">
        <v>1</v>
      </c>
      <c r="BM113" s="67">
        <f t="shared" ref="BM113:BM120" si="14">IFERROR(X113*I113,"0")</f>
        <v>262.08</v>
      </c>
      <c r="BN113" s="67">
        <f t="shared" ref="BN113:BN120" si="15">IFERROR(Y113*I113,"0")</f>
        <v>262.08</v>
      </c>
      <c r="BO113" s="67">
        <f t="shared" ref="BO113:BO120" si="16">IFERROR(X113/J113,"0")</f>
        <v>0.42857142857142855</v>
      </c>
      <c r="BP113" s="67">
        <f t="shared" ref="BP113:BP120" si="17">IFERROR(Y113/J113,"0")</f>
        <v>0.42857142857142855</v>
      </c>
    </row>
    <row r="114" spans="1:68" ht="27" customHeight="1" x14ac:dyDescent="0.25">
      <c r="A114" s="54" t="s">
        <v>191</v>
      </c>
      <c r="B114" s="54" t="s">
        <v>192</v>
      </c>
      <c r="C114" s="31">
        <v>4301071121</v>
      </c>
      <c r="D114" s="272">
        <v>4620207491393</v>
      </c>
      <c r="E114" s="273"/>
      <c r="F114" s="267">
        <v>0.4</v>
      </c>
      <c r="G114" s="32">
        <v>16</v>
      </c>
      <c r="H114" s="267">
        <v>6.4</v>
      </c>
      <c r="I114" s="267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42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5"/>
      <c r="R114" s="275"/>
      <c r="S114" s="275"/>
      <c r="T114" s="276"/>
      <c r="U114" s="34"/>
      <c r="V114" s="34"/>
      <c r="W114" s="35" t="s">
        <v>70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194</v>
      </c>
      <c r="B115" s="54" t="s">
        <v>195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67</v>
      </c>
      <c r="L115" s="32" t="s">
        <v>109</v>
      </c>
      <c r="M115" s="33" t="s">
        <v>69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70</v>
      </c>
      <c r="X115" s="268">
        <v>36</v>
      </c>
      <c r="Y115" s="269">
        <f t="shared" si="12"/>
        <v>36</v>
      </c>
      <c r="Z115" s="36">
        <f t="shared" si="13"/>
        <v>0.55800000000000005</v>
      </c>
      <c r="AA115" s="56"/>
      <c r="AB115" s="57"/>
      <c r="AC115" s="150" t="s">
        <v>151</v>
      </c>
      <c r="AG115" s="67"/>
      <c r="AJ115" s="71" t="s">
        <v>111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196</v>
      </c>
      <c r="B116" s="54" t="s">
        <v>197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2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70</v>
      </c>
      <c r="X116" s="268">
        <v>204</v>
      </c>
      <c r="Y116" s="269">
        <f t="shared" si="12"/>
        <v>204</v>
      </c>
      <c r="Z116" s="36">
        <f t="shared" si="13"/>
        <v>3.1619999999999999</v>
      </c>
      <c r="AA116" s="56"/>
      <c r="AB116" s="57"/>
      <c r="AC116" s="152" t="s">
        <v>151</v>
      </c>
      <c r="AG116" s="67"/>
      <c r="AJ116" s="71" t="s">
        <v>99</v>
      </c>
      <c r="AK116" s="71">
        <v>84</v>
      </c>
      <c r="BB116" s="153" t="s">
        <v>1</v>
      </c>
      <c r="BM116" s="67">
        <f t="shared" si="14"/>
        <v>1489.2</v>
      </c>
      <c r="BN116" s="67">
        <f t="shared" si="15"/>
        <v>1489.2</v>
      </c>
      <c r="BO116" s="67">
        <f t="shared" si="16"/>
        <v>2.4285714285714284</v>
      </c>
      <c r="BP116" s="67">
        <f t="shared" si="17"/>
        <v>2.4285714285714284</v>
      </c>
    </row>
    <row r="117" spans="1:68" ht="27" customHeight="1" x14ac:dyDescent="0.25">
      <c r="A117" s="54" t="s">
        <v>198</v>
      </c>
      <c r="B117" s="54" t="s">
        <v>199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70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201</v>
      </c>
      <c r="B118" s="54" t="s">
        <v>202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67</v>
      </c>
      <c r="L118" s="32" t="s">
        <v>109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70</v>
      </c>
      <c r="X118" s="268">
        <v>48</v>
      </c>
      <c r="Y118" s="269">
        <f t="shared" si="12"/>
        <v>48</v>
      </c>
      <c r="Z118" s="36">
        <f t="shared" si="13"/>
        <v>0.74399999999999999</v>
      </c>
      <c r="AA118" s="56"/>
      <c r="AB118" s="57"/>
      <c r="AC118" s="156" t="s">
        <v>151</v>
      </c>
      <c r="AG118" s="67"/>
      <c r="AJ118" s="71" t="s">
        <v>111</v>
      </c>
      <c r="AK118" s="71">
        <v>12</v>
      </c>
      <c r="BB118" s="157" t="s">
        <v>1</v>
      </c>
      <c r="BM118" s="67">
        <f t="shared" si="14"/>
        <v>322.54079999999999</v>
      </c>
      <c r="BN118" s="67">
        <f t="shared" si="15"/>
        <v>322.54079999999999</v>
      </c>
      <c r="BO118" s="67">
        <f t="shared" si="16"/>
        <v>0.5714285714285714</v>
      </c>
      <c r="BP118" s="67">
        <f t="shared" si="17"/>
        <v>0.5714285714285714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70</v>
      </c>
      <c r="X119" s="268">
        <v>216</v>
      </c>
      <c r="Y119" s="269">
        <f t="shared" si="12"/>
        <v>216</v>
      </c>
      <c r="Z119" s="36">
        <f t="shared" si="13"/>
        <v>3.3479999999999999</v>
      </c>
      <c r="AA119" s="56"/>
      <c r="AB119" s="57"/>
      <c r="AC119" s="158" t="s">
        <v>151</v>
      </c>
      <c r="AG119" s="67"/>
      <c r="AJ119" s="71" t="s">
        <v>99</v>
      </c>
      <c r="AK119" s="71">
        <v>84</v>
      </c>
      <c r="BB119" s="159" t="s">
        <v>1</v>
      </c>
      <c r="BM119" s="67">
        <f t="shared" si="14"/>
        <v>1576.8</v>
      </c>
      <c r="BN119" s="67">
        <f t="shared" si="15"/>
        <v>1576.8</v>
      </c>
      <c r="BO119" s="67">
        <f t="shared" si="16"/>
        <v>2.5714285714285716</v>
      </c>
      <c r="BP119" s="67">
        <f t="shared" si="17"/>
        <v>2.5714285714285716</v>
      </c>
    </row>
    <row r="120" spans="1:68" ht="27" customHeight="1" x14ac:dyDescent="0.25">
      <c r="A120" s="54" t="s">
        <v>205</v>
      </c>
      <c r="B120" s="54" t="s">
        <v>206</v>
      </c>
      <c r="C120" s="31">
        <v>4301071075</v>
      </c>
      <c r="D120" s="272">
        <v>4620207491102</v>
      </c>
      <c r="E120" s="273"/>
      <c r="F120" s="267">
        <v>0.7</v>
      </c>
      <c r="G120" s="32">
        <v>10</v>
      </c>
      <c r="H120" s="267">
        <v>7</v>
      </c>
      <c r="I120" s="267">
        <v>7.23</v>
      </c>
      <c r="J120" s="32">
        <v>84</v>
      </c>
      <c r="K120" s="32" t="s">
        <v>67</v>
      </c>
      <c r="L120" s="32" t="s">
        <v>68</v>
      </c>
      <c r="M120" s="33" t="s">
        <v>69</v>
      </c>
      <c r="N120" s="33"/>
      <c r="O120" s="32">
        <v>180</v>
      </c>
      <c r="P120" s="31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5"/>
      <c r="R120" s="275"/>
      <c r="S120" s="275"/>
      <c r="T120" s="276"/>
      <c r="U120" s="34"/>
      <c r="V120" s="34"/>
      <c r="W120" s="35" t="s">
        <v>70</v>
      </c>
      <c r="X120" s="268">
        <v>36</v>
      </c>
      <c r="Y120" s="269">
        <f t="shared" si="12"/>
        <v>36</v>
      </c>
      <c r="Z120" s="36">
        <f t="shared" si="13"/>
        <v>0.55800000000000005</v>
      </c>
      <c r="AA120" s="56"/>
      <c r="AB120" s="57"/>
      <c r="AC120" s="160" t="s">
        <v>207</v>
      </c>
      <c r="AG120" s="67"/>
      <c r="AJ120" s="71" t="s">
        <v>72</v>
      </c>
      <c r="AK120" s="71">
        <v>1</v>
      </c>
      <c r="BB120" s="161" t="s">
        <v>1</v>
      </c>
      <c r="BM120" s="67">
        <f t="shared" si="14"/>
        <v>260.28000000000003</v>
      </c>
      <c r="BN120" s="67">
        <f t="shared" si="15"/>
        <v>260.28000000000003</v>
      </c>
      <c r="BO120" s="67">
        <f t="shared" si="16"/>
        <v>0.42857142857142855</v>
      </c>
      <c r="BP120" s="67">
        <f t="shared" si="17"/>
        <v>0.42857142857142855</v>
      </c>
    </row>
    <row r="121" spans="1:68" x14ac:dyDescent="0.2">
      <c r="A121" s="289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90"/>
      <c r="P121" s="277" t="s">
        <v>83</v>
      </c>
      <c r="Q121" s="278"/>
      <c r="R121" s="278"/>
      <c r="S121" s="278"/>
      <c r="T121" s="278"/>
      <c r="U121" s="278"/>
      <c r="V121" s="279"/>
      <c r="W121" s="37" t="s">
        <v>70</v>
      </c>
      <c r="X121" s="270">
        <f>IFERROR(SUM(X113:X120),"0")</f>
        <v>576</v>
      </c>
      <c r="Y121" s="270">
        <f>IFERROR(SUM(Y113:Y120),"0")</f>
        <v>576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8.9280000000000008</v>
      </c>
      <c r="AA121" s="271"/>
      <c r="AB121" s="271"/>
      <c r="AC121" s="271"/>
    </row>
    <row r="122" spans="1:68" x14ac:dyDescent="0.2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90"/>
      <c r="P122" s="277" t="s">
        <v>83</v>
      </c>
      <c r="Q122" s="278"/>
      <c r="R122" s="278"/>
      <c r="S122" s="278"/>
      <c r="T122" s="278"/>
      <c r="U122" s="278"/>
      <c r="V122" s="279"/>
      <c r="W122" s="37" t="s">
        <v>84</v>
      </c>
      <c r="X122" s="270">
        <f>IFERROR(SUMPRODUCT(X113:X120*H113:H120),"0")</f>
        <v>3981.6000000000004</v>
      </c>
      <c r="Y122" s="270">
        <f>IFERROR(SUMPRODUCT(Y113:Y120*H113:H120),"0")</f>
        <v>3981.6000000000004</v>
      </c>
      <c r="Z122" s="37"/>
      <c r="AA122" s="271"/>
      <c r="AB122" s="271"/>
      <c r="AC122" s="271"/>
    </row>
    <row r="123" spans="1:68" ht="14.25" customHeight="1" x14ac:dyDescent="0.25">
      <c r="A123" s="288" t="s">
        <v>139</v>
      </c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62"/>
      <c r="AB123" s="262"/>
      <c r="AC123" s="262"/>
    </row>
    <row r="124" spans="1:68" ht="27" customHeight="1" x14ac:dyDescent="0.25">
      <c r="A124" s="54" t="s">
        <v>208</v>
      </c>
      <c r="B124" s="54" t="s">
        <v>209</v>
      </c>
      <c r="C124" s="31">
        <v>4301135670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96</v>
      </c>
      <c r="L124" s="32" t="s">
        <v>109</v>
      </c>
      <c r="M124" s="33" t="s">
        <v>69</v>
      </c>
      <c r="N124" s="33"/>
      <c r="O124" s="32">
        <v>180</v>
      </c>
      <c r="P124" s="45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70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111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211</v>
      </c>
      <c r="B125" s="54" t="s">
        <v>212</v>
      </c>
      <c r="C125" s="31">
        <v>4301135826</v>
      </c>
      <c r="D125" s="272">
        <v>4620207490983</v>
      </c>
      <c r="E125" s="273"/>
      <c r="F125" s="267">
        <v>0.22</v>
      </c>
      <c r="G125" s="32">
        <v>12</v>
      </c>
      <c r="H125" s="267">
        <v>2.64</v>
      </c>
      <c r="I125" s="267">
        <v>3.3435999999999999</v>
      </c>
      <c r="J125" s="32">
        <v>70</v>
      </c>
      <c r="K125" s="32" t="s">
        <v>96</v>
      </c>
      <c r="L125" s="32" t="s">
        <v>68</v>
      </c>
      <c r="M125" s="33" t="s">
        <v>69</v>
      </c>
      <c r="N125" s="33"/>
      <c r="O125" s="32">
        <v>180</v>
      </c>
      <c r="P125" s="41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5"/>
      <c r="R125" s="275"/>
      <c r="S125" s="275"/>
      <c r="T125" s="276"/>
      <c r="U125" s="34"/>
      <c r="V125" s="34"/>
      <c r="W125" s="35" t="s">
        <v>70</v>
      </c>
      <c r="X125" s="268">
        <v>0</v>
      </c>
      <c r="Y125" s="26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213</v>
      </c>
      <c r="AG125" s="67"/>
      <c r="AJ125" s="71" t="s">
        <v>72</v>
      </c>
      <c r="AK125" s="71">
        <v>1</v>
      </c>
      <c r="BB125" s="165" t="s">
        <v>100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89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90"/>
      <c r="P126" s="277" t="s">
        <v>83</v>
      </c>
      <c r="Q126" s="278"/>
      <c r="R126" s="278"/>
      <c r="S126" s="278"/>
      <c r="T126" s="278"/>
      <c r="U126" s="278"/>
      <c r="V126" s="279"/>
      <c r="W126" s="37" t="s">
        <v>70</v>
      </c>
      <c r="X126" s="270">
        <f>IFERROR(SUM(X124:X125),"0")</f>
        <v>0</v>
      </c>
      <c r="Y126" s="270">
        <f>IFERROR(SUM(Y124:Y125),"0")</f>
        <v>0</v>
      </c>
      <c r="Z126" s="270">
        <f>IFERROR(IF(Z124="",0,Z124),"0")+IFERROR(IF(Z125="",0,Z125),"0")</f>
        <v>0</v>
      </c>
      <c r="AA126" s="271"/>
      <c r="AB126" s="271"/>
      <c r="AC126" s="271"/>
    </row>
    <row r="127" spans="1:68" x14ac:dyDescent="0.2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90"/>
      <c r="P127" s="277" t="s">
        <v>83</v>
      </c>
      <c r="Q127" s="278"/>
      <c r="R127" s="278"/>
      <c r="S127" s="278"/>
      <c r="T127" s="278"/>
      <c r="U127" s="278"/>
      <c r="V127" s="279"/>
      <c r="W127" s="37" t="s">
        <v>84</v>
      </c>
      <c r="X127" s="270">
        <f>IFERROR(SUMPRODUCT(X124:X125*H124:H125),"0")</f>
        <v>0</v>
      </c>
      <c r="Y127" s="270">
        <f>IFERROR(SUMPRODUCT(Y124:Y125*H124:H125),"0")</f>
        <v>0</v>
      </c>
      <c r="Z127" s="37"/>
      <c r="AA127" s="271"/>
      <c r="AB127" s="271"/>
      <c r="AC127" s="271"/>
    </row>
    <row r="128" spans="1:68" ht="14.25" customHeight="1" x14ac:dyDescent="0.25">
      <c r="A128" s="288" t="s">
        <v>214</v>
      </c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62"/>
      <c r="AB128" s="262"/>
      <c r="AC128" s="262"/>
    </row>
    <row r="129" spans="1:68" ht="27" customHeight="1" x14ac:dyDescent="0.25">
      <c r="A129" s="54" t="s">
        <v>215</v>
      </c>
      <c r="B129" s="54" t="s">
        <v>216</v>
      </c>
      <c r="C129" s="31">
        <v>4301071094</v>
      </c>
      <c r="D129" s="272">
        <v>4620207491140</v>
      </c>
      <c r="E129" s="273"/>
      <c r="F129" s="267">
        <v>0.6</v>
      </c>
      <c r="G129" s="32">
        <v>10</v>
      </c>
      <c r="H129" s="267">
        <v>6</v>
      </c>
      <c r="I129" s="267">
        <v>6.28</v>
      </c>
      <c r="J129" s="32">
        <v>84</v>
      </c>
      <c r="K129" s="32" t="s">
        <v>67</v>
      </c>
      <c r="L129" s="32" t="s">
        <v>68</v>
      </c>
      <c r="M129" s="33" t="s">
        <v>69</v>
      </c>
      <c r="N129" s="33"/>
      <c r="O129" s="32">
        <v>180</v>
      </c>
      <c r="P129" s="33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5"/>
      <c r="R129" s="275"/>
      <c r="S129" s="275"/>
      <c r="T129" s="276"/>
      <c r="U129" s="34"/>
      <c r="V129" s="34"/>
      <c r="W129" s="35" t="s">
        <v>70</v>
      </c>
      <c r="X129" s="268">
        <v>12</v>
      </c>
      <c r="Y129" s="269">
        <f>IFERROR(IF(X129="","",X129),"")</f>
        <v>12</v>
      </c>
      <c r="Z129" s="36">
        <f>IFERROR(IF(X129="","",X129*0.0155),"")</f>
        <v>0.186</v>
      </c>
      <c r="AA129" s="56"/>
      <c r="AB129" s="57"/>
      <c r="AC129" s="166" t="s">
        <v>217</v>
      </c>
      <c r="AG129" s="67"/>
      <c r="AJ129" s="71" t="s">
        <v>72</v>
      </c>
      <c r="AK129" s="71">
        <v>1</v>
      </c>
      <c r="BB129" s="167" t="s">
        <v>100</v>
      </c>
      <c r="BM129" s="67">
        <f>IFERROR(X129*I129,"0")</f>
        <v>75.36</v>
      </c>
      <c r="BN129" s="67">
        <f>IFERROR(Y129*I129,"0")</f>
        <v>75.36</v>
      </c>
      <c r="BO129" s="67">
        <f>IFERROR(X129/J129,"0")</f>
        <v>0.14285714285714285</v>
      </c>
      <c r="BP129" s="67">
        <f>IFERROR(Y129/J129,"0")</f>
        <v>0.14285714285714285</v>
      </c>
    </row>
    <row r="130" spans="1:68" x14ac:dyDescent="0.2">
      <c r="A130" s="289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90"/>
      <c r="P130" s="277" t="s">
        <v>83</v>
      </c>
      <c r="Q130" s="278"/>
      <c r="R130" s="278"/>
      <c r="S130" s="278"/>
      <c r="T130" s="278"/>
      <c r="U130" s="278"/>
      <c r="V130" s="279"/>
      <c r="W130" s="37" t="s">
        <v>70</v>
      </c>
      <c r="X130" s="270">
        <f>IFERROR(SUM(X129:X129),"0")</f>
        <v>12</v>
      </c>
      <c r="Y130" s="270">
        <f>IFERROR(SUM(Y129:Y129),"0")</f>
        <v>12</v>
      </c>
      <c r="Z130" s="270">
        <f>IFERROR(IF(Z129="",0,Z129),"0")</f>
        <v>0.186</v>
      </c>
      <c r="AA130" s="271"/>
      <c r="AB130" s="271"/>
      <c r="AC130" s="271"/>
    </row>
    <row r="131" spans="1:68" x14ac:dyDescent="0.2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90"/>
      <c r="P131" s="277" t="s">
        <v>83</v>
      </c>
      <c r="Q131" s="278"/>
      <c r="R131" s="278"/>
      <c r="S131" s="278"/>
      <c r="T131" s="278"/>
      <c r="U131" s="278"/>
      <c r="V131" s="279"/>
      <c r="W131" s="37" t="s">
        <v>84</v>
      </c>
      <c r="X131" s="270">
        <f>IFERROR(SUMPRODUCT(X129:X129*H129:H129),"0")</f>
        <v>72</v>
      </c>
      <c r="Y131" s="270">
        <f>IFERROR(SUMPRODUCT(Y129:Y129*H129:H129),"0")</f>
        <v>72</v>
      </c>
      <c r="Z131" s="37"/>
      <c r="AA131" s="271"/>
      <c r="AB131" s="271"/>
      <c r="AC131" s="271"/>
    </row>
    <row r="132" spans="1:68" ht="16.5" customHeight="1" x14ac:dyDescent="0.25">
      <c r="A132" s="286" t="s">
        <v>218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63"/>
      <c r="AB132" s="263"/>
      <c r="AC132" s="263"/>
    </row>
    <row r="133" spans="1:68" ht="14.25" customHeight="1" x14ac:dyDescent="0.25">
      <c r="A133" s="288" t="s">
        <v>139</v>
      </c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62"/>
      <c r="AB133" s="262"/>
      <c r="AC133" s="262"/>
    </row>
    <row r="134" spans="1:68" ht="27" customHeight="1" x14ac:dyDescent="0.25">
      <c r="A134" s="54" t="s">
        <v>219</v>
      </c>
      <c r="B134" s="54" t="s">
        <v>220</v>
      </c>
      <c r="C134" s="31">
        <v>4301135555</v>
      </c>
      <c r="D134" s="272">
        <v>4607111034014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96</v>
      </c>
      <c r="L134" s="32" t="s">
        <v>97</v>
      </c>
      <c r="M134" s="33" t="s">
        <v>69</v>
      </c>
      <c r="N134" s="33"/>
      <c r="O134" s="32">
        <v>180</v>
      </c>
      <c r="P134" s="4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70</v>
      </c>
      <c r="X134" s="268">
        <v>84</v>
      </c>
      <c r="Y134" s="269">
        <f>IFERROR(IF(X134="","",X134),"")</f>
        <v>84</v>
      </c>
      <c r="Z134" s="36">
        <f>IFERROR(IF(X134="","",X134*0.01788),"")</f>
        <v>1.5019199999999999</v>
      </c>
      <c r="AA134" s="56"/>
      <c r="AB134" s="57"/>
      <c r="AC134" s="168" t="s">
        <v>221</v>
      </c>
      <c r="AG134" s="67"/>
      <c r="AJ134" s="71" t="s">
        <v>99</v>
      </c>
      <c r="AK134" s="71">
        <v>70</v>
      </c>
      <c r="BB134" s="169" t="s">
        <v>100</v>
      </c>
      <c r="BM134" s="67">
        <f>IFERROR(X134*I134,"0")</f>
        <v>311.10239999999999</v>
      </c>
      <c r="BN134" s="67">
        <f>IFERROR(Y134*I134,"0")</f>
        <v>311.10239999999999</v>
      </c>
      <c r="BO134" s="67">
        <f>IFERROR(X134/J134,"0")</f>
        <v>1.2</v>
      </c>
      <c r="BP134" s="67">
        <f>IFERROR(Y134/J134,"0")</f>
        <v>1.2</v>
      </c>
    </row>
    <row r="135" spans="1:68" ht="27" customHeight="1" x14ac:dyDescent="0.25">
      <c r="A135" s="54" t="s">
        <v>222</v>
      </c>
      <c r="B135" s="54" t="s">
        <v>223</v>
      </c>
      <c r="C135" s="31">
        <v>4301135532</v>
      </c>
      <c r="D135" s="272">
        <v>4607111033994</v>
      </c>
      <c r="E135" s="273"/>
      <c r="F135" s="267">
        <v>0.25</v>
      </c>
      <c r="G135" s="32">
        <v>12</v>
      </c>
      <c r="H135" s="267">
        <v>3</v>
      </c>
      <c r="I135" s="267">
        <v>3.7035999999999998</v>
      </c>
      <c r="J135" s="32">
        <v>70</v>
      </c>
      <c r="K135" s="32" t="s">
        <v>96</v>
      </c>
      <c r="L135" s="32" t="s">
        <v>97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5"/>
      <c r="R135" s="275"/>
      <c r="S135" s="275"/>
      <c r="T135" s="276"/>
      <c r="U135" s="34"/>
      <c r="V135" s="34"/>
      <c r="W135" s="35" t="s">
        <v>70</v>
      </c>
      <c r="X135" s="268">
        <v>154</v>
      </c>
      <c r="Y135" s="269">
        <f>IFERROR(IF(X135="","",X135),"")</f>
        <v>154</v>
      </c>
      <c r="Z135" s="36">
        <f>IFERROR(IF(X135="","",X135*0.01788),"")</f>
        <v>2.75352</v>
      </c>
      <c r="AA135" s="56"/>
      <c r="AB135" s="57"/>
      <c r="AC135" s="170" t="s">
        <v>157</v>
      </c>
      <c r="AG135" s="67"/>
      <c r="AJ135" s="71" t="s">
        <v>99</v>
      </c>
      <c r="AK135" s="71">
        <v>70</v>
      </c>
      <c r="BB135" s="171" t="s">
        <v>100</v>
      </c>
      <c r="BM135" s="67">
        <f>IFERROR(X135*I135,"0")</f>
        <v>570.35439999999994</v>
      </c>
      <c r="BN135" s="67">
        <f>IFERROR(Y135*I135,"0")</f>
        <v>570.35439999999994</v>
      </c>
      <c r="BO135" s="67">
        <f>IFERROR(X135/J135,"0")</f>
        <v>2.2000000000000002</v>
      </c>
      <c r="BP135" s="67">
        <f>IFERROR(Y135/J135,"0")</f>
        <v>2.2000000000000002</v>
      </c>
    </row>
    <row r="136" spans="1:68" x14ac:dyDescent="0.2">
      <c r="A136" s="289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90"/>
      <c r="P136" s="277" t="s">
        <v>83</v>
      </c>
      <c r="Q136" s="278"/>
      <c r="R136" s="278"/>
      <c r="S136" s="278"/>
      <c r="T136" s="278"/>
      <c r="U136" s="278"/>
      <c r="V136" s="279"/>
      <c r="W136" s="37" t="s">
        <v>70</v>
      </c>
      <c r="X136" s="270">
        <f>IFERROR(SUM(X134:X135),"0")</f>
        <v>238</v>
      </c>
      <c r="Y136" s="270">
        <f>IFERROR(SUM(Y134:Y135),"0")</f>
        <v>238</v>
      </c>
      <c r="Z136" s="270">
        <f>IFERROR(IF(Z134="",0,Z134),"0")+IFERROR(IF(Z135="",0,Z135),"0")</f>
        <v>4.2554400000000001</v>
      </c>
      <c r="AA136" s="271"/>
      <c r="AB136" s="271"/>
      <c r="AC136" s="271"/>
    </row>
    <row r="137" spans="1:68" x14ac:dyDescent="0.2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90"/>
      <c r="P137" s="277" t="s">
        <v>83</v>
      </c>
      <c r="Q137" s="278"/>
      <c r="R137" s="278"/>
      <c r="S137" s="278"/>
      <c r="T137" s="278"/>
      <c r="U137" s="278"/>
      <c r="V137" s="279"/>
      <c r="W137" s="37" t="s">
        <v>84</v>
      </c>
      <c r="X137" s="270">
        <f>IFERROR(SUMPRODUCT(X134:X135*H134:H135),"0")</f>
        <v>714</v>
      </c>
      <c r="Y137" s="270">
        <f>IFERROR(SUMPRODUCT(Y134:Y135*H134:H135),"0")</f>
        <v>714</v>
      </c>
      <c r="Z137" s="37"/>
      <c r="AA137" s="271"/>
      <c r="AB137" s="271"/>
      <c r="AC137" s="271"/>
    </row>
    <row r="138" spans="1:68" ht="16.5" customHeight="1" x14ac:dyDescent="0.25">
      <c r="A138" s="286" t="s">
        <v>224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63"/>
      <c r="AB138" s="263"/>
      <c r="AC138" s="263"/>
    </row>
    <row r="139" spans="1:68" ht="14.25" customHeight="1" x14ac:dyDescent="0.25">
      <c r="A139" s="288" t="s">
        <v>139</v>
      </c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62"/>
      <c r="AB139" s="262"/>
      <c r="AC139" s="262"/>
    </row>
    <row r="140" spans="1:68" ht="27" customHeight="1" x14ac:dyDescent="0.25">
      <c r="A140" s="54" t="s">
        <v>225</v>
      </c>
      <c r="B140" s="54" t="s">
        <v>226</v>
      </c>
      <c r="C140" s="31">
        <v>4301135824</v>
      </c>
      <c r="D140" s="272">
        <v>4607111039095</v>
      </c>
      <c r="E140" s="273"/>
      <c r="F140" s="267">
        <v>0.25</v>
      </c>
      <c r="G140" s="32">
        <v>12</v>
      </c>
      <c r="H140" s="267">
        <v>3</v>
      </c>
      <c r="I140" s="267">
        <v>3.7480000000000002</v>
      </c>
      <c r="J140" s="32">
        <v>70</v>
      </c>
      <c r="K140" s="32" t="s">
        <v>96</v>
      </c>
      <c r="L140" s="32" t="s">
        <v>68</v>
      </c>
      <c r="M140" s="33" t="s">
        <v>69</v>
      </c>
      <c r="N140" s="33"/>
      <c r="O140" s="32">
        <v>180</v>
      </c>
      <c r="P140" s="37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5"/>
      <c r="R140" s="275"/>
      <c r="S140" s="275"/>
      <c r="T140" s="276"/>
      <c r="U140" s="34"/>
      <c r="V140" s="34"/>
      <c r="W140" s="35" t="s">
        <v>70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72</v>
      </c>
      <c r="AK140" s="71">
        <v>1</v>
      </c>
      <c r="BB140" s="173" t="s">
        <v>100</v>
      </c>
      <c r="BM140" s="67">
        <f>IFERROR(X140*I140,"0")</f>
        <v>104.944</v>
      </c>
      <c r="BN140" s="67">
        <f>IFERROR(Y140*I140,"0")</f>
        <v>104.944</v>
      </c>
      <c r="BO140" s="67">
        <f>IFERROR(X140/J140,"0")</f>
        <v>0.4</v>
      </c>
      <c r="BP140" s="67">
        <f>IFERROR(Y140/J140,"0")</f>
        <v>0.4</v>
      </c>
    </row>
    <row r="141" spans="1:68" ht="16.5" customHeight="1" x14ac:dyDescent="0.25">
      <c r="A141" s="54" t="s">
        <v>228</v>
      </c>
      <c r="B141" s="54" t="s">
        <v>229</v>
      </c>
      <c r="C141" s="31">
        <v>4301135550</v>
      </c>
      <c r="D141" s="272">
        <v>4607111034199</v>
      </c>
      <c r="E141" s="273"/>
      <c r="F141" s="267">
        <v>0.25</v>
      </c>
      <c r="G141" s="32">
        <v>12</v>
      </c>
      <c r="H141" s="267">
        <v>3</v>
      </c>
      <c r="I141" s="267">
        <v>3.7035999999999998</v>
      </c>
      <c r="J141" s="32">
        <v>70</v>
      </c>
      <c r="K141" s="32" t="s">
        <v>96</v>
      </c>
      <c r="L141" s="32" t="s">
        <v>97</v>
      </c>
      <c r="M141" s="33" t="s">
        <v>69</v>
      </c>
      <c r="N141" s="33"/>
      <c r="O141" s="32">
        <v>180</v>
      </c>
      <c r="P141" s="38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5"/>
      <c r="R141" s="275"/>
      <c r="S141" s="275"/>
      <c r="T141" s="276"/>
      <c r="U141" s="34"/>
      <c r="V141" s="34"/>
      <c r="W141" s="35" t="s">
        <v>70</v>
      </c>
      <c r="X141" s="268">
        <v>98</v>
      </c>
      <c r="Y141" s="269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230</v>
      </c>
      <c r="AG141" s="67"/>
      <c r="AJ141" s="71" t="s">
        <v>99</v>
      </c>
      <c r="AK141" s="71">
        <v>70</v>
      </c>
      <c r="BB141" s="175" t="s">
        <v>100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89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90"/>
      <c r="P142" s="277" t="s">
        <v>83</v>
      </c>
      <c r="Q142" s="278"/>
      <c r="R142" s="278"/>
      <c r="S142" s="278"/>
      <c r="T142" s="278"/>
      <c r="U142" s="278"/>
      <c r="V142" s="279"/>
      <c r="W142" s="37" t="s">
        <v>70</v>
      </c>
      <c r="X142" s="270">
        <f>IFERROR(SUM(X140:X141),"0")</f>
        <v>126</v>
      </c>
      <c r="Y142" s="270">
        <f>IFERROR(SUM(Y140:Y141),"0")</f>
        <v>126</v>
      </c>
      <c r="Z142" s="270">
        <f>IFERROR(IF(Z140="",0,Z140),"0")+IFERROR(IF(Z141="",0,Z141),"0")</f>
        <v>2.2528800000000002</v>
      </c>
      <c r="AA142" s="271"/>
      <c r="AB142" s="271"/>
      <c r="AC142" s="271"/>
    </row>
    <row r="143" spans="1:68" x14ac:dyDescent="0.2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90"/>
      <c r="P143" s="277" t="s">
        <v>83</v>
      </c>
      <c r="Q143" s="278"/>
      <c r="R143" s="278"/>
      <c r="S143" s="278"/>
      <c r="T143" s="278"/>
      <c r="U143" s="278"/>
      <c r="V143" s="279"/>
      <c r="W143" s="37" t="s">
        <v>84</v>
      </c>
      <c r="X143" s="270">
        <f>IFERROR(SUMPRODUCT(X140:X141*H140:H141),"0")</f>
        <v>378</v>
      </c>
      <c r="Y143" s="270">
        <f>IFERROR(SUMPRODUCT(Y140:Y141*H140:H141),"0")</f>
        <v>378</v>
      </c>
      <c r="Z143" s="37"/>
      <c r="AA143" s="271"/>
      <c r="AB143" s="271"/>
      <c r="AC143" s="271"/>
    </row>
    <row r="144" spans="1:68" ht="16.5" customHeight="1" x14ac:dyDescent="0.25">
      <c r="A144" s="286" t="s">
        <v>231</v>
      </c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63"/>
      <c r="AB144" s="263"/>
      <c r="AC144" s="263"/>
    </row>
    <row r="145" spans="1:68" ht="14.25" customHeight="1" x14ac:dyDescent="0.25">
      <c r="A145" s="288" t="s">
        <v>139</v>
      </c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62"/>
      <c r="AB145" s="262"/>
      <c r="AC145" s="262"/>
    </row>
    <row r="146" spans="1:68" ht="27" customHeight="1" x14ac:dyDescent="0.25">
      <c r="A146" s="54" t="s">
        <v>232</v>
      </c>
      <c r="B146" s="54" t="s">
        <v>233</v>
      </c>
      <c r="C146" s="31">
        <v>4301135753</v>
      </c>
      <c r="D146" s="272">
        <v>4620207490914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4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70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221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ht="27" customHeight="1" x14ac:dyDescent="0.25">
      <c r="A147" s="54" t="s">
        <v>234</v>
      </c>
      <c r="B147" s="54" t="s">
        <v>235</v>
      </c>
      <c r="C147" s="31">
        <v>4301135778</v>
      </c>
      <c r="D147" s="272">
        <v>4620207490853</v>
      </c>
      <c r="E147" s="273"/>
      <c r="F147" s="267">
        <v>0.2</v>
      </c>
      <c r="G147" s="32">
        <v>12</v>
      </c>
      <c r="H147" s="267">
        <v>2.4</v>
      </c>
      <c r="I147" s="267">
        <v>2.68</v>
      </c>
      <c r="J147" s="32">
        <v>70</v>
      </c>
      <c r="K147" s="32" t="s">
        <v>96</v>
      </c>
      <c r="L147" s="32" t="s">
        <v>109</v>
      </c>
      <c r="M147" s="33" t="s">
        <v>69</v>
      </c>
      <c r="N147" s="33"/>
      <c r="O147" s="32">
        <v>180</v>
      </c>
      <c r="P147" s="30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5"/>
      <c r="R147" s="275"/>
      <c r="S147" s="275"/>
      <c r="T147" s="276"/>
      <c r="U147" s="34"/>
      <c r="V147" s="34"/>
      <c r="W147" s="35" t="s">
        <v>70</v>
      </c>
      <c r="X147" s="268">
        <v>42</v>
      </c>
      <c r="Y147" s="269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221</v>
      </c>
      <c r="AG147" s="67"/>
      <c r="AJ147" s="71" t="s">
        <v>111</v>
      </c>
      <c r="AK147" s="71">
        <v>14</v>
      </c>
      <c r="BB147" s="179" t="s">
        <v>100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x14ac:dyDescent="0.2">
      <c r="A148" s="289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90"/>
      <c r="P148" s="277" t="s">
        <v>83</v>
      </c>
      <c r="Q148" s="278"/>
      <c r="R148" s="278"/>
      <c r="S148" s="278"/>
      <c r="T148" s="278"/>
      <c r="U148" s="278"/>
      <c r="V148" s="279"/>
      <c r="W148" s="37" t="s">
        <v>70</v>
      </c>
      <c r="X148" s="270">
        <f>IFERROR(SUM(X146:X147),"0")</f>
        <v>84</v>
      </c>
      <c r="Y148" s="270">
        <f>IFERROR(SUM(Y146:Y147),"0")</f>
        <v>84</v>
      </c>
      <c r="Z148" s="270">
        <f>IFERROR(IF(Z146="",0,Z146),"0")+IFERROR(IF(Z147="",0,Z147),"0")</f>
        <v>1.5019199999999999</v>
      </c>
      <c r="AA148" s="271"/>
      <c r="AB148" s="271"/>
      <c r="AC148" s="271"/>
    </row>
    <row r="149" spans="1:68" x14ac:dyDescent="0.2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90"/>
      <c r="P149" s="277" t="s">
        <v>83</v>
      </c>
      <c r="Q149" s="278"/>
      <c r="R149" s="278"/>
      <c r="S149" s="278"/>
      <c r="T149" s="278"/>
      <c r="U149" s="278"/>
      <c r="V149" s="279"/>
      <c r="W149" s="37" t="s">
        <v>84</v>
      </c>
      <c r="X149" s="270">
        <f>IFERROR(SUMPRODUCT(X146:X147*H146:H147),"0")</f>
        <v>201.6</v>
      </c>
      <c r="Y149" s="270">
        <f>IFERROR(SUMPRODUCT(Y146:Y147*H146:H147),"0")</f>
        <v>201.6</v>
      </c>
      <c r="Z149" s="37"/>
      <c r="AA149" s="271"/>
      <c r="AB149" s="271"/>
      <c r="AC149" s="271"/>
    </row>
    <row r="150" spans="1:68" ht="16.5" customHeight="1" x14ac:dyDescent="0.25">
      <c r="A150" s="286" t="s">
        <v>236</v>
      </c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63"/>
      <c r="AB150" s="263"/>
      <c r="AC150" s="263"/>
    </row>
    <row r="151" spans="1:68" ht="14.25" customHeight="1" x14ac:dyDescent="0.25">
      <c r="A151" s="288" t="s">
        <v>139</v>
      </c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62"/>
      <c r="AB151" s="262"/>
      <c r="AC151" s="262"/>
    </row>
    <row r="152" spans="1:68" ht="27" customHeight="1" x14ac:dyDescent="0.25">
      <c r="A152" s="54" t="s">
        <v>237</v>
      </c>
      <c r="B152" s="54" t="s">
        <v>238</v>
      </c>
      <c r="C152" s="31">
        <v>4301135570</v>
      </c>
      <c r="D152" s="272">
        <v>4607111035806</v>
      </c>
      <c r="E152" s="273"/>
      <c r="F152" s="267">
        <v>0.25</v>
      </c>
      <c r="G152" s="32">
        <v>12</v>
      </c>
      <c r="H152" s="267">
        <v>3</v>
      </c>
      <c r="I152" s="267">
        <v>3.7035999999999998</v>
      </c>
      <c r="J152" s="32">
        <v>70</v>
      </c>
      <c r="K152" s="32" t="s">
        <v>96</v>
      </c>
      <c r="L152" s="32" t="s">
        <v>109</v>
      </c>
      <c r="M152" s="33" t="s">
        <v>69</v>
      </c>
      <c r="N152" s="33"/>
      <c r="O152" s="32">
        <v>180</v>
      </c>
      <c r="P152" s="29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5"/>
      <c r="R152" s="275"/>
      <c r="S152" s="275"/>
      <c r="T152" s="276"/>
      <c r="U152" s="34"/>
      <c r="V152" s="34"/>
      <c r="W152" s="35" t="s">
        <v>70</v>
      </c>
      <c r="X152" s="268">
        <v>14</v>
      </c>
      <c r="Y152" s="269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239</v>
      </c>
      <c r="AG152" s="67"/>
      <c r="AJ152" s="71" t="s">
        <v>111</v>
      </c>
      <c r="AK152" s="71">
        <v>14</v>
      </c>
      <c r="BB152" s="181" t="s">
        <v>100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89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90"/>
      <c r="P153" s="277" t="s">
        <v>83</v>
      </c>
      <c r="Q153" s="278"/>
      <c r="R153" s="278"/>
      <c r="S153" s="278"/>
      <c r="T153" s="278"/>
      <c r="U153" s="278"/>
      <c r="V153" s="279"/>
      <c r="W153" s="37" t="s">
        <v>70</v>
      </c>
      <c r="X153" s="270">
        <f>IFERROR(SUM(X152:X152),"0")</f>
        <v>14</v>
      </c>
      <c r="Y153" s="270">
        <f>IFERROR(SUM(Y152:Y152),"0")</f>
        <v>14</v>
      </c>
      <c r="Z153" s="270">
        <f>IFERROR(IF(Z152="",0,Z152),"0")</f>
        <v>0.25031999999999999</v>
      </c>
      <c r="AA153" s="271"/>
      <c r="AB153" s="271"/>
      <c r="AC153" s="271"/>
    </row>
    <row r="154" spans="1:68" x14ac:dyDescent="0.2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90"/>
      <c r="P154" s="277" t="s">
        <v>83</v>
      </c>
      <c r="Q154" s="278"/>
      <c r="R154" s="278"/>
      <c r="S154" s="278"/>
      <c r="T154" s="278"/>
      <c r="U154" s="278"/>
      <c r="V154" s="279"/>
      <c r="W154" s="37" t="s">
        <v>84</v>
      </c>
      <c r="X154" s="270">
        <f>IFERROR(SUMPRODUCT(X152:X152*H152:H152),"0")</f>
        <v>42</v>
      </c>
      <c r="Y154" s="270">
        <f>IFERROR(SUMPRODUCT(Y152:Y152*H152:H152),"0")</f>
        <v>42</v>
      </c>
      <c r="Z154" s="37"/>
      <c r="AA154" s="271"/>
      <c r="AB154" s="271"/>
      <c r="AC154" s="271"/>
    </row>
    <row r="155" spans="1:68" ht="16.5" customHeight="1" x14ac:dyDescent="0.25">
      <c r="A155" s="286" t="s">
        <v>240</v>
      </c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63"/>
      <c r="AB155" s="263"/>
      <c r="AC155" s="263"/>
    </row>
    <row r="156" spans="1:68" ht="14.25" customHeight="1" x14ac:dyDescent="0.25">
      <c r="A156" s="288" t="s">
        <v>139</v>
      </c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62"/>
      <c r="AB156" s="262"/>
      <c r="AC156" s="262"/>
    </row>
    <row r="157" spans="1:68" ht="16.5" customHeight="1" x14ac:dyDescent="0.25">
      <c r="A157" s="54" t="s">
        <v>241</v>
      </c>
      <c r="B157" s="54" t="s">
        <v>242</v>
      </c>
      <c r="C157" s="31">
        <v>4301135607</v>
      </c>
      <c r="D157" s="272">
        <v>4607111039613</v>
      </c>
      <c r="E157" s="273"/>
      <c r="F157" s="267">
        <v>0.09</v>
      </c>
      <c r="G157" s="32">
        <v>30</v>
      </c>
      <c r="H157" s="267">
        <v>2.7</v>
      </c>
      <c r="I157" s="267">
        <v>3.09</v>
      </c>
      <c r="J157" s="32">
        <v>126</v>
      </c>
      <c r="K157" s="32" t="s">
        <v>96</v>
      </c>
      <c r="L157" s="32" t="s">
        <v>109</v>
      </c>
      <c r="M157" s="33" t="s">
        <v>69</v>
      </c>
      <c r="N157" s="33"/>
      <c r="O157" s="32">
        <v>180</v>
      </c>
      <c r="P157" s="2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5"/>
      <c r="R157" s="275"/>
      <c r="S157" s="275"/>
      <c r="T157" s="276"/>
      <c r="U157" s="34"/>
      <c r="V157" s="34"/>
      <c r="W157" s="35" t="s">
        <v>70</v>
      </c>
      <c r="X157" s="268">
        <v>14</v>
      </c>
      <c r="Y157" s="269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227</v>
      </c>
      <c r="AG157" s="67"/>
      <c r="AJ157" s="71" t="s">
        <v>111</v>
      </c>
      <c r="AK157" s="71">
        <v>14</v>
      </c>
      <c r="BB157" s="183" t="s">
        <v>100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89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90"/>
      <c r="P158" s="277" t="s">
        <v>83</v>
      </c>
      <c r="Q158" s="278"/>
      <c r="R158" s="278"/>
      <c r="S158" s="278"/>
      <c r="T158" s="278"/>
      <c r="U158" s="278"/>
      <c r="V158" s="279"/>
      <c r="W158" s="37" t="s">
        <v>70</v>
      </c>
      <c r="X158" s="270">
        <f>IFERROR(SUM(X157:X157),"0")</f>
        <v>14</v>
      </c>
      <c r="Y158" s="270">
        <f>IFERROR(SUM(Y157:Y157),"0")</f>
        <v>14</v>
      </c>
      <c r="Z158" s="270">
        <f>IFERROR(IF(Z157="",0,Z157),"0")</f>
        <v>0.13103999999999999</v>
      </c>
      <c r="AA158" s="271"/>
      <c r="AB158" s="271"/>
      <c r="AC158" s="271"/>
    </row>
    <row r="159" spans="1:68" x14ac:dyDescent="0.2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90"/>
      <c r="P159" s="277" t="s">
        <v>83</v>
      </c>
      <c r="Q159" s="278"/>
      <c r="R159" s="278"/>
      <c r="S159" s="278"/>
      <c r="T159" s="278"/>
      <c r="U159" s="278"/>
      <c r="V159" s="279"/>
      <c r="W159" s="37" t="s">
        <v>84</v>
      </c>
      <c r="X159" s="270">
        <f>IFERROR(SUMPRODUCT(X157:X157*H157:H157),"0")</f>
        <v>37.800000000000004</v>
      </c>
      <c r="Y159" s="270">
        <f>IFERROR(SUMPRODUCT(Y157:Y157*H157:H157),"0")</f>
        <v>37.800000000000004</v>
      </c>
      <c r="Z159" s="37"/>
      <c r="AA159" s="271"/>
      <c r="AB159" s="271"/>
      <c r="AC159" s="271"/>
    </row>
    <row r="160" spans="1:68" ht="16.5" customHeight="1" x14ac:dyDescent="0.25">
      <c r="A160" s="286" t="s">
        <v>243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63"/>
      <c r="AB160" s="263"/>
      <c r="AC160" s="263"/>
    </row>
    <row r="161" spans="1:68" ht="14.25" customHeight="1" x14ac:dyDescent="0.25">
      <c r="A161" s="288" t="s">
        <v>214</v>
      </c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62"/>
      <c r="AB161" s="262"/>
      <c r="AC161" s="262"/>
    </row>
    <row r="162" spans="1:68" ht="27" customHeight="1" x14ac:dyDescent="0.25">
      <c r="A162" s="54" t="s">
        <v>244</v>
      </c>
      <c r="B162" s="54" t="s">
        <v>245</v>
      </c>
      <c r="C162" s="31">
        <v>4301135540</v>
      </c>
      <c r="D162" s="272">
        <v>4607111035646</v>
      </c>
      <c r="E162" s="273"/>
      <c r="F162" s="267">
        <v>0.2</v>
      </c>
      <c r="G162" s="32">
        <v>8</v>
      </c>
      <c r="H162" s="267">
        <v>1.6</v>
      </c>
      <c r="I162" s="267">
        <v>2.12</v>
      </c>
      <c r="J162" s="32">
        <v>72</v>
      </c>
      <c r="K162" s="32" t="s">
        <v>246</v>
      </c>
      <c r="L162" s="32" t="s">
        <v>68</v>
      </c>
      <c r="M162" s="33" t="s">
        <v>69</v>
      </c>
      <c r="N162" s="33"/>
      <c r="O162" s="32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5"/>
      <c r="R162" s="275"/>
      <c r="S162" s="275"/>
      <c r="T162" s="276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247</v>
      </c>
      <c r="AG162" s="67"/>
      <c r="AJ162" s="71" t="s">
        <v>72</v>
      </c>
      <c r="AK162" s="71">
        <v>1</v>
      </c>
      <c r="BB162" s="185" t="s">
        <v>100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9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90"/>
      <c r="P163" s="277" t="s">
        <v>83</v>
      </c>
      <c r="Q163" s="278"/>
      <c r="R163" s="278"/>
      <c r="S163" s="278"/>
      <c r="T163" s="278"/>
      <c r="U163" s="278"/>
      <c r="V163" s="279"/>
      <c r="W163" s="37" t="s">
        <v>70</v>
      </c>
      <c r="X163" s="270">
        <f>IFERROR(SUM(X162:X162),"0")</f>
        <v>0</v>
      </c>
      <c r="Y163" s="270">
        <f>IFERROR(SUM(Y162:Y162),"0")</f>
        <v>0</v>
      </c>
      <c r="Z163" s="270">
        <f>IFERROR(IF(Z162="",0,Z162),"0")</f>
        <v>0</v>
      </c>
      <c r="AA163" s="271"/>
      <c r="AB163" s="271"/>
      <c r="AC163" s="271"/>
    </row>
    <row r="164" spans="1:68" x14ac:dyDescent="0.2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90"/>
      <c r="P164" s="277" t="s">
        <v>83</v>
      </c>
      <c r="Q164" s="278"/>
      <c r="R164" s="278"/>
      <c r="S164" s="278"/>
      <c r="T164" s="278"/>
      <c r="U164" s="278"/>
      <c r="V164" s="279"/>
      <c r="W164" s="37" t="s">
        <v>84</v>
      </c>
      <c r="X164" s="270">
        <f>IFERROR(SUMPRODUCT(X162:X162*H162:H162),"0")</f>
        <v>0</v>
      </c>
      <c r="Y164" s="270">
        <f>IFERROR(SUMPRODUCT(Y162:Y162*H162:H162),"0")</f>
        <v>0</v>
      </c>
      <c r="Z164" s="37"/>
      <c r="AA164" s="271"/>
      <c r="AB164" s="271"/>
      <c r="AC164" s="271"/>
    </row>
    <row r="165" spans="1:68" ht="16.5" customHeight="1" x14ac:dyDescent="0.25">
      <c r="A165" s="286" t="s">
        <v>248</v>
      </c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63"/>
      <c r="AB165" s="263"/>
      <c r="AC165" s="263"/>
    </row>
    <row r="166" spans="1:68" ht="14.25" customHeight="1" x14ac:dyDescent="0.25">
      <c r="A166" s="288" t="s">
        <v>139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62"/>
      <c r="AB166" s="262"/>
      <c r="AC166" s="262"/>
    </row>
    <row r="167" spans="1:68" ht="27" customHeight="1" x14ac:dyDescent="0.25">
      <c r="A167" s="54" t="s">
        <v>249</v>
      </c>
      <c r="B167" s="54" t="s">
        <v>250</v>
      </c>
      <c r="C167" s="31">
        <v>4301135591</v>
      </c>
      <c r="D167" s="272">
        <v>4607111036568</v>
      </c>
      <c r="E167" s="273"/>
      <c r="F167" s="267">
        <v>0.28000000000000003</v>
      </c>
      <c r="G167" s="32">
        <v>6</v>
      </c>
      <c r="H167" s="267">
        <v>1.68</v>
      </c>
      <c r="I167" s="267">
        <v>2.1017999999999999</v>
      </c>
      <c r="J167" s="32">
        <v>140</v>
      </c>
      <c r="K167" s="32" t="s">
        <v>96</v>
      </c>
      <c r="L167" s="32" t="s">
        <v>68</v>
      </c>
      <c r="M167" s="33" t="s">
        <v>69</v>
      </c>
      <c r="N167" s="33"/>
      <c r="O167" s="32">
        <v>180</v>
      </c>
      <c r="P167" s="35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5"/>
      <c r="R167" s="275"/>
      <c r="S167" s="275"/>
      <c r="T167" s="276"/>
      <c r="U167" s="34"/>
      <c r="V167" s="34"/>
      <c r="W167" s="35" t="s">
        <v>70</v>
      </c>
      <c r="X167" s="268">
        <v>0</v>
      </c>
      <c r="Y167" s="269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251</v>
      </c>
      <c r="AG167" s="67"/>
      <c r="AJ167" s="71" t="s">
        <v>72</v>
      </c>
      <c r="AK167" s="71">
        <v>1</v>
      </c>
      <c r="BB167" s="187" t="s">
        <v>100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89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90"/>
      <c r="P168" s="277" t="s">
        <v>83</v>
      </c>
      <c r="Q168" s="278"/>
      <c r="R168" s="278"/>
      <c r="S168" s="278"/>
      <c r="T168" s="278"/>
      <c r="U168" s="278"/>
      <c r="V168" s="279"/>
      <c r="W168" s="37" t="s">
        <v>70</v>
      </c>
      <c r="X168" s="270">
        <f>IFERROR(SUM(X167:X167),"0")</f>
        <v>0</v>
      </c>
      <c r="Y168" s="270">
        <f>IFERROR(SUM(Y167:Y167),"0")</f>
        <v>0</v>
      </c>
      <c r="Z168" s="270">
        <f>IFERROR(IF(Z167="",0,Z167),"0")</f>
        <v>0</v>
      </c>
      <c r="AA168" s="271"/>
      <c r="AB168" s="271"/>
      <c r="AC168" s="271"/>
    </row>
    <row r="169" spans="1:68" x14ac:dyDescent="0.2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90"/>
      <c r="P169" s="277" t="s">
        <v>83</v>
      </c>
      <c r="Q169" s="278"/>
      <c r="R169" s="278"/>
      <c r="S169" s="278"/>
      <c r="T169" s="278"/>
      <c r="U169" s="278"/>
      <c r="V169" s="279"/>
      <c r="W169" s="37" t="s">
        <v>84</v>
      </c>
      <c r="X169" s="270">
        <f>IFERROR(SUMPRODUCT(X167:X167*H167:H167),"0")</f>
        <v>0</v>
      </c>
      <c r="Y169" s="270">
        <f>IFERROR(SUMPRODUCT(Y167:Y167*H167:H167),"0")</f>
        <v>0</v>
      </c>
      <c r="Z169" s="37"/>
      <c r="AA169" s="271"/>
      <c r="AB169" s="271"/>
      <c r="AC169" s="271"/>
    </row>
    <row r="170" spans="1:68" ht="27.75" customHeight="1" x14ac:dyDescent="0.2">
      <c r="A170" s="284" t="s">
        <v>252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48"/>
      <c r="AB170" s="48"/>
      <c r="AC170" s="48"/>
    </row>
    <row r="171" spans="1:68" ht="16.5" customHeight="1" x14ac:dyDescent="0.25">
      <c r="A171" s="286" t="s">
        <v>253</v>
      </c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63"/>
      <c r="AB171" s="263"/>
      <c r="AC171" s="263"/>
    </row>
    <row r="172" spans="1:68" ht="14.25" customHeight="1" x14ac:dyDescent="0.25">
      <c r="A172" s="288" t="s">
        <v>64</v>
      </c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62"/>
      <c r="AB172" s="262"/>
      <c r="AC172" s="262"/>
    </row>
    <row r="173" spans="1:68" ht="16.5" customHeight="1" x14ac:dyDescent="0.25">
      <c r="A173" s="54" t="s">
        <v>254</v>
      </c>
      <c r="B173" s="54" t="s">
        <v>255</v>
      </c>
      <c r="C173" s="31">
        <v>4301071062</v>
      </c>
      <c r="D173" s="272">
        <v>4607111036384</v>
      </c>
      <c r="E173" s="273"/>
      <c r="F173" s="267">
        <v>5</v>
      </c>
      <c r="G173" s="32">
        <v>1</v>
      </c>
      <c r="H173" s="267">
        <v>5</v>
      </c>
      <c r="I173" s="267">
        <v>5.2106000000000003</v>
      </c>
      <c r="J173" s="32">
        <v>144</v>
      </c>
      <c r="K173" s="32" t="s">
        <v>67</v>
      </c>
      <c r="L173" s="32" t="s">
        <v>109</v>
      </c>
      <c r="M173" s="33" t="s">
        <v>69</v>
      </c>
      <c r="N173" s="33"/>
      <c r="O173" s="32">
        <v>180</v>
      </c>
      <c r="P173" s="30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5"/>
      <c r="R173" s="275"/>
      <c r="S173" s="275"/>
      <c r="T173" s="276"/>
      <c r="U173" s="34"/>
      <c r="V173" s="34"/>
      <c r="W173" s="35" t="s">
        <v>70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111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257</v>
      </c>
      <c r="B174" s="54" t="s">
        <v>258</v>
      </c>
      <c r="C174" s="31">
        <v>4301071050</v>
      </c>
      <c r="D174" s="272">
        <v>4607111036216</v>
      </c>
      <c r="E174" s="273"/>
      <c r="F174" s="267">
        <v>5</v>
      </c>
      <c r="G174" s="32">
        <v>1</v>
      </c>
      <c r="H174" s="267">
        <v>5</v>
      </c>
      <c r="I174" s="267">
        <v>5.2131999999999996</v>
      </c>
      <c r="J174" s="32">
        <v>144</v>
      </c>
      <c r="K174" s="32" t="s">
        <v>67</v>
      </c>
      <c r="L174" s="32" t="s">
        <v>109</v>
      </c>
      <c r="M174" s="33" t="s">
        <v>69</v>
      </c>
      <c r="N174" s="33"/>
      <c r="O174" s="32">
        <v>180</v>
      </c>
      <c r="P174" s="45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5"/>
      <c r="R174" s="275"/>
      <c r="S174" s="275"/>
      <c r="T174" s="276"/>
      <c r="U174" s="34"/>
      <c r="V174" s="34"/>
      <c r="W174" s="35" t="s">
        <v>70</v>
      </c>
      <c r="X174" s="268">
        <v>72</v>
      </c>
      <c r="Y174" s="269">
        <f>IFERROR(IF(X174="","",X174),"")</f>
        <v>72</v>
      </c>
      <c r="Z174" s="36">
        <f>IFERROR(IF(X174="","",X174*0.00866),"")</f>
        <v>0.62351999999999996</v>
      </c>
      <c r="AA174" s="56"/>
      <c r="AB174" s="57"/>
      <c r="AC174" s="190" t="s">
        <v>259</v>
      </c>
      <c r="AG174" s="67"/>
      <c r="AJ174" s="71" t="s">
        <v>111</v>
      </c>
      <c r="AK174" s="71">
        <v>12</v>
      </c>
      <c r="BB174" s="191" t="s">
        <v>1</v>
      </c>
      <c r="BM174" s="67">
        <f>IFERROR(X174*I174,"0")</f>
        <v>375.35039999999998</v>
      </c>
      <c r="BN174" s="67">
        <f>IFERROR(Y174*I174,"0")</f>
        <v>375.35039999999998</v>
      </c>
      <c r="BO174" s="67">
        <f>IFERROR(X174/J174,"0")</f>
        <v>0.5</v>
      </c>
      <c r="BP174" s="67">
        <f>IFERROR(Y174/J174,"0")</f>
        <v>0.5</v>
      </c>
    </row>
    <row r="175" spans="1:68" x14ac:dyDescent="0.2">
      <c r="A175" s="289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90"/>
      <c r="P175" s="277" t="s">
        <v>83</v>
      </c>
      <c r="Q175" s="278"/>
      <c r="R175" s="278"/>
      <c r="S175" s="278"/>
      <c r="T175" s="278"/>
      <c r="U175" s="278"/>
      <c r="V175" s="279"/>
      <c r="W175" s="37" t="s">
        <v>70</v>
      </c>
      <c r="X175" s="270">
        <f>IFERROR(SUM(X173:X174),"0")</f>
        <v>72</v>
      </c>
      <c r="Y175" s="270">
        <f>IFERROR(SUM(Y173:Y174),"0")</f>
        <v>72</v>
      </c>
      <c r="Z175" s="270">
        <f>IFERROR(IF(Z173="",0,Z173),"0")+IFERROR(IF(Z174="",0,Z174),"0")</f>
        <v>0.62351999999999996</v>
      </c>
      <c r="AA175" s="271"/>
      <c r="AB175" s="271"/>
      <c r="AC175" s="271"/>
    </row>
    <row r="176" spans="1:68" x14ac:dyDescent="0.2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90"/>
      <c r="P176" s="277" t="s">
        <v>83</v>
      </c>
      <c r="Q176" s="278"/>
      <c r="R176" s="278"/>
      <c r="S176" s="278"/>
      <c r="T176" s="278"/>
      <c r="U176" s="278"/>
      <c r="V176" s="279"/>
      <c r="W176" s="37" t="s">
        <v>84</v>
      </c>
      <c r="X176" s="270">
        <f>IFERROR(SUMPRODUCT(X173:X174*H173:H174),"0")</f>
        <v>360</v>
      </c>
      <c r="Y176" s="270">
        <f>IFERROR(SUMPRODUCT(Y173:Y174*H173:H174),"0")</f>
        <v>360</v>
      </c>
      <c r="Z176" s="37"/>
      <c r="AA176" s="271"/>
      <c r="AB176" s="271"/>
      <c r="AC176" s="271"/>
    </row>
    <row r="177" spans="1:68" ht="27.75" customHeight="1" x14ac:dyDescent="0.2">
      <c r="A177" s="284" t="s">
        <v>260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48"/>
      <c r="AB177" s="48"/>
      <c r="AC177" s="48"/>
    </row>
    <row r="178" spans="1:68" ht="16.5" customHeight="1" x14ac:dyDescent="0.25">
      <c r="A178" s="286" t="s">
        <v>261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63"/>
      <c r="AB178" s="263"/>
      <c r="AC178" s="263"/>
    </row>
    <row r="179" spans="1:68" ht="14.25" customHeight="1" x14ac:dyDescent="0.25">
      <c r="A179" s="288" t="s">
        <v>93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2"/>
      <c r="AB179" s="262"/>
      <c r="AC179" s="262"/>
    </row>
    <row r="180" spans="1:68" ht="16.5" customHeight="1" x14ac:dyDescent="0.25">
      <c r="A180" s="54" t="s">
        <v>262</v>
      </c>
      <c r="B180" s="54" t="s">
        <v>263</v>
      </c>
      <c r="C180" s="31">
        <v>4301132179</v>
      </c>
      <c r="D180" s="272">
        <v>4607111035691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5"/>
      <c r="R180" s="275"/>
      <c r="S180" s="275"/>
      <c r="T180" s="276"/>
      <c r="U180" s="34"/>
      <c r="V180" s="34"/>
      <c r="W180" s="35" t="s">
        <v>70</v>
      </c>
      <c r="X180" s="268">
        <v>140</v>
      </c>
      <c r="Y180" s="269">
        <f>IFERROR(IF(X180="","",X180),"")</f>
        <v>140</v>
      </c>
      <c r="Z180" s="36">
        <f>IFERROR(IF(X180="","",X180*0.01788),"")</f>
        <v>2.5032000000000001</v>
      </c>
      <c r="AA180" s="56"/>
      <c r="AB180" s="57"/>
      <c r="AC180" s="192" t="s">
        <v>264</v>
      </c>
      <c r="AG180" s="67"/>
      <c r="AJ180" s="71" t="s">
        <v>99</v>
      </c>
      <c r="AK180" s="71">
        <v>70</v>
      </c>
      <c r="BB180" s="193" t="s">
        <v>100</v>
      </c>
      <c r="BM180" s="67">
        <f>IFERROR(X180*I180,"0")</f>
        <v>474.32</v>
      </c>
      <c r="BN180" s="67">
        <f>IFERROR(Y180*I180,"0")</f>
        <v>474.32</v>
      </c>
      <c r="BO180" s="67">
        <f>IFERROR(X180/J180,"0")</f>
        <v>2</v>
      </c>
      <c r="BP180" s="67">
        <f>IFERROR(Y180/J180,"0")</f>
        <v>2</v>
      </c>
    </row>
    <row r="181" spans="1:68" ht="27" customHeight="1" x14ac:dyDescent="0.25">
      <c r="A181" s="54" t="s">
        <v>265</v>
      </c>
      <c r="B181" s="54" t="s">
        <v>266</v>
      </c>
      <c r="C181" s="31">
        <v>4301132182</v>
      </c>
      <c r="D181" s="272">
        <v>4607111035721</v>
      </c>
      <c r="E181" s="273"/>
      <c r="F181" s="267">
        <v>0.25</v>
      </c>
      <c r="G181" s="32">
        <v>12</v>
      </c>
      <c r="H181" s="267">
        <v>3</v>
      </c>
      <c r="I181" s="267">
        <v>3.3879999999999999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365</v>
      </c>
      <c r="P181" s="44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5"/>
      <c r="R181" s="275"/>
      <c r="S181" s="275"/>
      <c r="T181" s="276"/>
      <c r="U181" s="34"/>
      <c r="V181" s="34"/>
      <c r="W181" s="35" t="s">
        <v>70</v>
      </c>
      <c r="X181" s="268">
        <v>98</v>
      </c>
      <c r="Y181" s="269">
        <f>IFERROR(IF(X181="","",X181),"")</f>
        <v>98</v>
      </c>
      <c r="Z181" s="36">
        <f>IFERROR(IF(X181="","",X181*0.01788),"")</f>
        <v>1.75224</v>
      </c>
      <c r="AA181" s="56"/>
      <c r="AB181" s="57"/>
      <c r="AC181" s="194" t="s">
        <v>267</v>
      </c>
      <c r="AG181" s="67"/>
      <c r="AJ181" s="71" t="s">
        <v>99</v>
      </c>
      <c r="AK181" s="71">
        <v>70</v>
      </c>
      <c r="BB181" s="195" t="s">
        <v>100</v>
      </c>
      <c r="BM181" s="67">
        <f>IFERROR(X181*I181,"0")</f>
        <v>332.024</v>
      </c>
      <c r="BN181" s="67">
        <f>IFERROR(Y181*I181,"0")</f>
        <v>332.024</v>
      </c>
      <c r="BO181" s="67">
        <f>IFERROR(X181/J181,"0")</f>
        <v>1.4</v>
      </c>
      <c r="BP181" s="67">
        <f>IFERROR(Y181/J181,"0")</f>
        <v>1.4</v>
      </c>
    </row>
    <row r="182" spans="1:68" ht="27" customHeight="1" x14ac:dyDescent="0.25">
      <c r="A182" s="54" t="s">
        <v>268</v>
      </c>
      <c r="B182" s="54" t="s">
        <v>269</v>
      </c>
      <c r="C182" s="31">
        <v>4301132170</v>
      </c>
      <c r="D182" s="272">
        <v>4607111038487</v>
      </c>
      <c r="E182" s="273"/>
      <c r="F182" s="267">
        <v>0.25</v>
      </c>
      <c r="G182" s="32">
        <v>12</v>
      </c>
      <c r="H182" s="267">
        <v>3</v>
      </c>
      <c r="I182" s="267">
        <v>3.7360000000000002</v>
      </c>
      <c r="J182" s="32">
        <v>70</v>
      </c>
      <c r="K182" s="32" t="s">
        <v>96</v>
      </c>
      <c r="L182" s="32" t="s">
        <v>97</v>
      </c>
      <c r="M182" s="33" t="s">
        <v>69</v>
      </c>
      <c r="N182" s="33"/>
      <c r="O182" s="32">
        <v>180</v>
      </c>
      <c r="P182" s="35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5"/>
      <c r="R182" s="275"/>
      <c r="S182" s="275"/>
      <c r="T182" s="276"/>
      <c r="U182" s="34"/>
      <c r="V182" s="34"/>
      <c r="W182" s="35" t="s">
        <v>70</v>
      </c>
      <c r="X182" s="268">
        <v>126</v>
      </c>
      <c r="Y182" s="269">
        <f>IFERROR(IF(X182="","",X182),"")</f>
        <v>126</v>
      </c>
      <c r="Z182" s="36">
        <f>IFERROR(IF(X182="","",X182*0.01788),"")</f>
        <v>2.2528800000000002</v>
      </c>
      <c r="AA182" s="56"/>
      <c r="AB182" s="57"/>
      <c r="AC182" s="196" t="s">
        <v>270</v>
      </c>
      <c r="AG182" s="67"/>
      <c r="AJ182" s="71" t="s">
        <v>99</v>
      </c>
      <c r="AK182" s="71">
        <v>70</v>
      </c>
      <c r="BB182" s="197" t="s">
        <v>100</v>
      </c>
      <c r="BM182" s="67">
        <f>IFERROR(X182*I182,"0")</f>
        <v>470.73600000000005</v>
      </c>
      <c r="BN182" s="67">
        <f>IFERROR(Y182*I182,"0")</f>
        <v>470.73600000000005</v>
      </c>
      <c r="BO182" s="67">
        <f>IFERROR(X182/J182,"0")</f>
        <v>1.8</v>
      </c>
      <c r="BP182" s="67">
        <f>IFERROR(Y182/J182,"0")</f>
        <v>1.8</v>
      </c>
    </row>
    <row r="183" spans="1:68" ht="27" customHeight="1" x14ac:dyDescent="0.25">
      <c r="A183" s="54" t="s">
        <v>271</v>
      </c>
      <c r="B183" s="54" t="s">
        <v>272</v>
      </c>
      <c r="C183" s="31">
        <v>4301132243</v>
      </c>
      <c r="D183" s="272">
        <v>4620207491195</v>
      </c>
      <c r="E183" s="273"/>
      <c r="F183" s="267">
        <v>0.23</v>
      </c>
      <c r="G183" s="32">
        <v>12</v>
      </c>
      <c r="H183" s="267">
        <v>2.76</v>
      </c>
      <c r="I183" s="267">
        <v>3.1480000000000001</v>
      </c>
      <c r="J183" s="32">
        <v>70</v>
      </c>
      <c r="K183" s="32" t="s">
        <v>96</v>
      </c>
      <c r="L183" s="32" t="s">
        <v>68</v>
      </c>
      <c r="M183" s="33" t="s">
        <v>69</v>
      </c>
      <c r="N183" s="33"/>
      <c r="O183" s="32">
        <v>180</v>
      </c>
      <c r="P183" s="427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3" s="275"/>
      <c r="R183" s="275"/>
      <c r="S183" s="275"/>
      <c r="T183" s="276"/>
      <c r="U183" s="34"/>
      <c r="V183" s="34"/>
      <c r="W183" s="35" t="s">
        <v>70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273</v>
      </c>
      <c r="AG183" s="67"/>
      <c r="AJ183" s="71" t="s">
        <v>72</v>
      </c>
      <c r="AK183" s="71">
        <v>1</v>
      </c>
      <c r="BB183" s="199" t="s">
        <v>100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89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90"/>
      <c r="P184" s="277" t="s">
        <v>83</v>
      </c>
      <c r="Q184" s="278"/>
      <c r="R184" s="278"/>
      <c r="S184" s="278"/>
      <c r="T184" s="278"/>
      <c r="U184" s="278"/>
      <c r="V184" s="279"/>
      <c r="W184" s="37" t="s">
        <v>70</v>
      </c>
      <c r="X184" s="270">
        <f>IFERROR(SUM(X180:X183),"0")</f>
        <v>364</v>
      </c>
      <c r="Y184" s="270">
        <f>IFERROR(SUM(Y180:Y183),"0")</f>
        <v>364</v>
      </c>
      <c r="Z184" s="270">
        <f>IFERROR(IF(Z180="",0,Z180),"0")+IFERROR(IF(Z181="",0,Z181),"0")+IFERROR(IF(Z182="",0,Z182),"0")+IFERROR(IF(Z183="",0,Z183),"0")</f>
        <v>6.5083200000000003</v>
      </c>
      <c r="AA184" s="271"/>
      <c r="AB184" s="271"/>
      <c r="AC184" s="271"/>
    </row>
    <row r="185" spans="1:68" x14ac:dyDescent="0.2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90"/>
      <c r="P185" s="277" t="s">
        <v>83</v>
      </c>
      <c r="Q185" s="278"/>
      <c r="R185" s="278"/>
      <c r="S185" s="278"/>
      <c r="T185" s="278"/>
      <c r="U185" s="278"/>
      <c r="V185" s="279"/>
      <c r="W185" s="37" t="s">
        <v>84</v>
      </c>
      <c r="X185" s="270">
        <f>IFERROR(SUMPRODUCT(X180:X183*H180:H183),"0")</f>
        <v>1092</v>
      </c>
      <c r="Y185" s="270">
        <f>IFERROR(SUMPRODUCT(Y180:Y183*H180:H183),"0")</f>
        <v>1092</v>
      </c>
      <c r="Z185" s="37"/>
      <c r="AA185" s="271"/>
      <c r="AB185" s="271"/>
      <c r="AC185" s="271"/>
    </row>
    <row r="186" spans="1:68" ht="14.25" customHeight="1" x14ac:dyDescent="0.25">
      <c r="A186" s="288" t="s">
        <v>274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62"/>
      <c r="AB186" s="262"/>
      <c r="AC186" s="262"/>
    </row>
    <row r="187" spans="1:68" ht="27" customHeight="1" x14ac:dyDescent="0.25">
      <c r="A187" s="54" t="s">
        <v>275</v>
      </c>
      <c r="B187" s="54" t="s">
        <v>276</v>
      </c>
      <c r="C187" s="31">
        <v>4301051855</v>
      </c>
      <c r="D187" s="272">
        <v>4680115885875</v>
      </c>
      <c r="E187" s="273"/>
      <c r="F187" s="267">
        <v>1</v>
      </c>
      <c r="G187" s="32">
        <v>9</v>
      </c>
      <c r="H187" s="267">
        <v>9</v>
      </c>
      <c r="I187" s="267">
        <v>9.41</v>
      </c>
      <c r="J187" s="32">
        <v>64</v>
      </c>
      <c r="K187" s="32" t="s">
        <v>277</v>
      </c>
      <c r="L187" s="32" t="s">
        <v>68</v>
      </c>
      <c r="M187" s="33" t="s">
        <v>278</v>
      </c>
      <c r="N187" s="33"/>
      <c r="O187" s="32">
        <v>365</v>
      </c>
      <c r="P187" s="340" t="s">
        <v>279</v>
      </c>
      <c r="Q187" s="275"/>
      <c r="R187" s="275"/>
      <c r="S187" s="275"/>
      <c r="T187" s="276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280</v>
      </c>
      <c r="AG187" s="67"/>
      <c r="AJ187" s="71" t="s">
        <v>72</v>
      </c>
      <c r="AK187" s="71">
        <v>1</v>
      </c>
      <c r="BB187" s="201" t="s">
        <v>281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90"/>
      <c r="P188" s="277" t="s">
        <v>83</v>
      </c>
      <c r="Q188" s="278"/>
      <c r="R188" s="278"/>
      <c r="S188" s="278"/>
      <c r="T188" s="278"/>
      <c r="U188" s="278"/>
      <c r="V188" s="279"/>
      <c r="W188" s="37" t="s">
        <v>70</v>
      </c>
      <c r="X188" s="270">
        <f>IFERROR(SUM(X187:X187),"0")</f>
        <v>0</v>
      </c>
      <c r="Y188" s="270">
        <f>IFERROR(SUM(Y187:Y187),"0")</f>
        <v>0</v>
      </c>
      <c r="Z188" s="270">
        <f>IFERROR(IF(Z187="",0,Z187),"0")</f>
        <v>0</v>
      </c>
      <c r="AA188" s="271"/>
      <c r="AB188" s="271"/>
      <c r="AC188" s="271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90"/>
      <c r="P189" s="277" t="s">
        <v>83</v>
      </c>
      <c r="Q189" s="278"/>
      <c r="R189" s="278"/>
      <c r="S189" s="278"/>
      <c r="T189" s="278"/>
      <c r="U189" s="278"/>
      <c r="V189" s="279"/>
      <c r="W189" s="37" t="s">
        <v>84</v>
      </c>
      <c r="X189" s="270">
        <f>IFERROR(SUMPRODUCT(X187:X187*H187:H187),"0")</f>
        <v>0</v>
      </c>
      <c r="Y189" s="270">
        <f>IFERROR(SUMPRODUCT(Y187:Y187*H187:H187),"0")</f>
        <v>0</v>
      </c>
      <c r="Z189" s="37"/>
      <c r="AA189" s="271"/>
      <c r="AB189" s="271"/>
      <c r="AC189" s="271"/>
    </row>
    <row r="190" spans="1:68" ht="27.75" customHeight="1" x14ac:dyDescent="0.2">
      <c r="A190" s="284" t="s">
        <v>282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48"/>
      <c r="AB190" s="48"/>
      <c r="AC190" s="48"/>
    </row>
    <row r="191" spans="1:68" ht="16.5" customHeight="1" x14ac:dyDescent="0.25">
      <c r="A191" s="286" t="s">
        <v>283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3"/>
      <c r="AB191" s="263"/>
      <c r="AC191" s="263"/>
    </row>
    <row r="192" spans="1:68" ht="14.25" customHeight="1" x14ac:dyDescent="0.25">
      <c r="A192" s="288" t="s">
        <v>93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62"/>
      <c r="AB192" s="262"/>
      <c r="AC192" s="262"/>
    </row>
    <row r="193" spans="1:68" ht="27" customHeight="1" x14ac:dyDescent="0.25">
      <c r="A193" s="54" t="s">
        <v>284</v>
      </c>
      <c r="B193" s="54" t="s">
        <v>285</v>
      </c>
      <c r="C193" s="31">
        <v>4301132227</v>
      </c>
      <c r="D193" s="272">
        <v>4620207491133</v>
      </c>
      <c r="E193" s="273"/>
      <c r="F193" s="267">
        <v>0.23</v>
      </c>
      <c r="G193" s="32">
        <v>12</v>
      </c>
      <c r="H193" s="267">
        <v>2.76</v>
      </c>
      <c r="I193" s="267">
        <v>2.98</v>
      </c>
      <c r="J193" s="32">
        <v>70</v>
      </c>
      <c r="K193" s="32" t="s">
        <v>96</v>
      </c>
      <c r="L193" s="32" t="s">
        <v>109</v>
      </c>
      <c r="M193" s="33" t="s">
        <v>69</v>
      </c>
      <c r="N193" s="33"/>
      <c r="O193" s="32">
        <v>180</v>
      </c>
      <c r="P193" s="40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5"/>
      <c r="R193" s="275"/>
      <c r="S193" s="275"/>
      <c r="T193" s="276"/>
      <c r="U193" s="34"/>
      <c r="V193" s="34"/>
      <c r="W193" s="35" t="s">
        <v>70</v>
      </c>
      <c r="X193" s="268">
        <v>42</v>
      </c>
      <c r="Y193" s="269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2" t="s">
        <v>286</v>
      </c>
      <c r="AG193" s="67"/>
      <c r="AJ193" s="71" t="s">
        <v>111</v>
      </c>
      <c r="AK193" s="71">
        <v>14</v>
      </c>
      <c r="BB193" s="203" t="s">
        <v>100</v>
      </c>
      <c r="BM193" s="67">
        <f>IFERROR(X193*I193,"0")</f>
        <v>125.16</v>
      </c>
      <c r="BN193" s="67">
        <f>IFERROR(Y193*I193,"0")</f>
        <v>125.16</v>
      </c>
      <c r="BO193" s="67">
        <f>IFERROR(X193/J193,"0")</f>
        <v>0.6</v>
      </c>
      <c r="BP193" s="67">
        <f>IFERROR(Y193/J193,"0")</f>
        <v>0.6</v>
      </c>
    </row>
    <row r="194" spans="1:68" x14ac:dyDescent="0.2">
      <c r="A194" s="289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90"/>
      <c r="P194" s="277" t="s">
        <v>83</v>
      </c>
      <c r="Q194" s="278"/>
      <c r="R194" s="278"/>
      <c r="S194" s="278"/>
      <c r="T194" s="278"/>
      <c r="U194" s="278"/>
      <c r="V194" s="279"/>
      <c r="W194" s="37" t="s">
        <v>70</v>
      </c>
      <c r="X194" s="270">
        <f>IFERROR(SUM(X193:X193),"0")</f>
        <v>42</v>
      </c>
      <c r="Y194" s="270">
        <f>IFERROR(SUM(Y193:Y193),"0")</f>
        <v>42</v>
      </c>
      <c r="Z194" s="270">
        <f>IFERROR(IF(Z193="",0,Z193),"0")</f>
        <v>0.75095999999999996</v>
      </c>
      <c r="AA194" s="271"/>
      <c r="AB194" s="271"/>
      <c r="AC194" s="271"/>
    </row>
    <row r="195" spans="1:68" x14ac:dyDescent="0.2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90"/>
      <c r="P195" s="277" t="s">
        <v>83</v>
      </c>
      <c r="Q195" s="278"/>
      <c r="R195" s="278"/>
      <c r="S195" s="278"/>
      <c r="T195" s="278"/>
      <c r="U195" s="278"/>
      <c r="V195" s="279"/>
      <c r="W195" s="37" t="s">
        <v>84</v>
      </c>
      <c r="X195" s="270">
        <f>IFERROR(SUMPRODUCT(X193:X193*H193:H193),"0")</f>
        <v>115.91999999999999</v>
      </c>
      <c r="Y195" s="270">
        <f>IFERROR(SUMPRODUCT(Y193:Y193*H193:H193),"0")</f>
        <v>115.91999999999999</v>
      </c>
      <c r="Z195" s="37"/>
      <c r="AA195" s="271"/>
      <c r="AB195" s="271"/>
      <c r="AC195" s="271"/>
    </row>
    <row r="196" spans="1:68" ht="14.25" customHeight="1" x14ac:dyDescent="0.25">
      <c r="A196" s="288" t="s">
        <v>139</v>
      </c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62"/>
      <c r="AB196" s="262"/>
      <c r="AC196" s="262"/>
    </row>
    <row r="197" spans="1:68" ht="27" customHeight="1" x14ac:dyDescent="0.25">
      <c r="A197" s="54" t="s">
        <v>287</v>
      </c>
      <c r="B197" s="54" t="s">
        <v>288</v>
      </c>
      <c r="C197" s="31">
        <v>4301135834</v>
      </c>
      <c r="D197" s="272">
        <v>4620207491188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70</v>
      </c>
      <c r="X197" s="268">
        <v>14</v>
      </c>
      <c r="Y197" s="269">
        <f>IFERROR(IF(X197="","",X197),"")</f>
        <v>14</v>
      </c>
      <c r="Z197" s="36">
        <f>IFERROR(IF(X197="","",X197*0.01788),"")</f>
        <v>0.25031999999999999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43.450400000000002</v>
      </c>
      <c r="BN197" s="67">
        <f>IFERROR(Y197*I197,"0")</f>
        <v>43.450400000000002</v>
      </c>
      <c r="BO197" s="67">
        <f>IFERROR(X197/J197,"0")</f>
        <v>0.2</v>
      </c>
      <c r="BP197" s="67">
        <f>IFERROR(Y197/J197,"0")</f>
        <v>0.2</v>
      </c>
    </row>
    <row r="198" spans="1:68" ht="27" customHeight="1" x14ac:dyDescent="0.25">
      <c r="A198" s="54" t="s">
        <v>290</v>
      </c>
      <c r="B198" s="54" t="s">
        <v>291</v>
      </c>
      <c r="C198" s="31">
        <v>4301135707</v>
      </c>
      <c r="D198" s="272">
        <v>4620207490198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96</v>
      </c>
      <c r="L198" s="32" t="s">
        <v>109</v>
      </c>
      <c r="M198" s="33" t="s">
        <v>69</v>
      </c>
      <c r="N198" s="33"/>
      <c r="O198" s="32">
        <v>180</v>
      </c>
      <c r="P198" s="4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70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111</v>
      </c>
      <c r="AK198" s="71">
        <v>14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293</v>
      </c>
      <c r="B199" s="54" t="s">
        <v>294</v>
      </c>
      <c r="C199" s="31">
        <v>4301135829</v>
      </c>
      <c r="D199" s="272">
        <v>4620207490235</v>
      </c>
      <c r="E199" s="273"/>
      <c r="F199" s="267">
        <v>0.2</v>
      </c>
      <c r="G199" s="32">
        <v>12</v>
      </c>
      <c r="H199" s="267">
        <v>2.4</v>
      </c>
      <c r="I199" s="267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4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5"/>
      <c r="R199" s="275"/>
      <c r="S199" s="275"/>
      <c r="T199" s="276"/>
      <c r="U199" s="34"/>
      <c r="V199" s="34"/>
      <c r="W199" s="35" t="s">
        <v>70</v>
      </c>
      <c r="X199" s="268">
        <v>14</v>
      </c>
      <c r="Y199" s="269">
        <f>IFERROR(IF(X199="","",X199),"")</f>
        <v>14</v>
      </c>
      <c r="Z199" s="36">
        <f>IFERROR(IF(X199="","",X199*0.01788),"")</f>
        <v>0.25031999999999999</v>
      </c>
      <c r="AA199" s="56"/>
      <c r="AB199" s="57"/>
      <c r="AC199" s="208" t="s">
        <v>295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43.450400000000002</v>
      </c>
      <c r="BN199" s="67">
        <f>IFERROR(Y199*I199,"0")</f>
        <v>43.450400000000002</v>
      </c>
      <c r="BO199" s="67">
        <f>IFERROR(X199/J199,"0")</f>
        <v>0.2</v>
      </c>
      <c r="BP199" s="67">
        <f>IFERROR(Y199/J199,"0")</f>
        <v>0.2</v>
      </c>
    </row>
    <row r="200" spans="1:68" ht="27" customHeight="1" x14ac:dyDescent="0.25">
      <c r="A200" s="54" t="s">
        <v>296</v>
      </c>
      <c r="B200" s="54" t="s">
        <v>297</v>
      </c>
      <c r="C200" s="31">
        <v>4301135697</v>
      </c>
      <c r="D200" s="272">
        <v>4620207490259</v>
      </c>
      <c r="E200" s="273"/>
      <c r="F200" s="267">
        <v>0.2</v>
      </c>
      <c r="G200" s="32">
        <v>12</v>
      </c>
      <c r="H200" s="267">
        <v>2.4</v>
      </c>
      <c r="I200" s="267">
        <v>3.1036000000000001</v>
      </c>
      <c r="J200" s="32">
        <v>70</v>
      </c>
      <c r="K200" s="32" t="s">
        <v>96</v>
      </c>
      <c r="L200" s="32" t="s">
        <v>109</v>
      </c>
      <c r="M200" s="33" t="s">
        <v>69</v>
      </c>
      <c r="N200" s="33"/>
      <c r="O200" s="32">
        <v>180</v>
      </c>
      <c r="P200" s="44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5"/>
      <c r="R200" s="275"/>
      <c r="S200" s="275"/>
      <c r="T200" s="276"/>
      <c r="U200" s="34"/>
      <c r="V200" s="34"/>
      <c r="W200" s="35" t="s">
        <v>70</v>
      </c>
      <c r="X200" s="268">
        <v>0</v>
      </c>
      <c r="Y200" s="269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292</v>
      </c>
      <c r="AG200" s="67"/>
      <c r="AJ200" s="71" t="s">
        <v>111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298</v>
      </c>
      <c r="B201" s="54" t="s">
        <v>299</v>
      </c>
      <c r="C201" s="31">
        <v>4301135681</v>
      </c>
      <c r="D201" s="272">
        <v>4620207490143</v>
      </c>
      <c r="E201" s="273"/>
      <c r="F201" s="267">
        <v>0.22</v>
      </c>
      <c r="G201" s="32">
        <v>12</v>
      </c>
      <c r="H201" s="267">
        <v>2.64</v>
      </c>
      <c r="I201" s="267">
        <v>3.3435999999999999</v>
      </c>
      <c r="J201" s="32">
        <v>70</v>
      </c>
      <c r="K201" s="32" t="s">
        <v>96</v>
      </c>
      <c r="L201" s="32" t="s">
        <v>68</v>
      </c>
      <c r="M201" s="33" t="s">
        <v>69</v>
      </c>
      <c r="N201" s="33"/>
      <c r="O201" s="32">
        <v>180</v>
      </c>
      <c r="P201" s="421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5"/>
      <c r="R201" s="275"/>
      <c r="S201" s="275"/>
      <c r="T201" s="276"/>
      <c r="U201" s="34"/>
      <c r="V201" s="34"/>
      <c r="W201" s="35" t="s">
        <v>70</v>
      </c>
      <c r="X201" s="268">
        <v>0</v>
      </c>
      <c r="Y201" s="269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300</v>
      </c>
      <c r="AG201" s="67"/>
      <c r="AJ201" s="71" t="s">
        <v>72</v>
      </c>
      <c r="AK201" s="71">
        <v>1</v>
      </c>
      <c r="BB201" s="213" t="s">
        <v>100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89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90"/>
      <c r="P202" s="277" t="s">
        <v>83</v>
      </c>
      <c r="Q202" s="278"/>
      <c r="R202" s="278"/>
      <c r="S202" s="278"/>
      <c r="T202" s="278"/>
      <c r="U202" s="278"/>
      <c r="V202" s="279"/>
      <c r="W202" s="37" t="s">
        <v>70</v>
      </c>
      <c r="X202" s="270">
        <f>IFERROR(SUM(X197:X201),"0")</f>
        <v>28</v>
      </c>
      <c r="Y202" s="270">
        <f>IFERROR(SUM(Y197:Y201),"0")</f>
        <v>28</v>
      </c>
      <c r="Z202" s="270">
        <f>IFERROR(IF(Z197="",0,Z197),"0")+IFERROR(IF(Z198="",0,Z198),"0")+IFERROR(IF(Z199="",0,Z199),"0")+IFERROR(IF(Z200="",0,Z200),"0")+IFERROR(IF(Z201="",0,Z201),"0")</f>
        <v>0.50063999999999997</v>
      </c>
      <c r="AA202" s="271"/>
      <c r="AB202" s="271"/>
      <c r="AC202" s="271"/>
    </row>
    <row r="203" spans="1:68" x14ac:dyDescent="0.2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90"/>
      <c r="P203" s="277" t="s">
        <v>83</v>
      </c>
      <c r="Q203" s="278"/>
      <c r="R203" s="278"/>
      <c r="S203" s="278"/>
      <c r="T203" s="278"/>
      <c r="U203" s="278"/>
      <c r="V203" s="279"/>
      <c r="W203" s="37" t="s">
        <v>84</v>
      </c>
      <c r="X203" s="270">
        <f>IFERROR(SUMPRODUCT(X197:X201*H197:H201),"0")</f>
        <v>67.2</v>
      </c>
      <c r="Y203" s="270">
        <f>IFERROR(SUMPRODUCT(Y197:Y201*H197:H201),"0")</f>
        <v>67.2</v>
      </c>
      <c r="Z203" s="37"/>
      <c r="AA203" s="271"/>
      <c r="AB203" s="271"/>
      <c r="AC203" s="271"/>
    </row>
    <row r="204" spans="1:68" ht="16.5" customHeight="1" x14ac:dyDescent="0.25">
      <c r="A204" s="286" t="s">
        <v>301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63"/>
      <c r="AB204" s="263"/>
      <c r="AC204" s="263"/>
    </row>
    <row r="205" spans="1:68" ht="14.25" customHeight="1" x14ac:dyDescent="0.25">
      <c r="A205" s="288" t="s">
        <v>64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62"/>
      <c r="AB205" s="262"/>
      <c r="AC205" s="262"/>
    </row>
    <row r="206" spans="1:68" ht="27" customHeight="1" x14ac:dyDescent="0.25">
      <c r="A206" s="54" t="s">
        <v>302</v>
      </c>
      <c r="B206" s="54" t="s">
        <v>303</v>
      </c>
      <c r="C206" s="31">
        <v>4301071097</v>
      </c>
      <c r="D206" s="272">
        <v>4620207491096</v>
      </c>
      <c r="E206" s="273"/>
      <c r="F206" s="267">
        <v>1</v>
      </c>
      <c r="G206" s="32">
        <v>5</v>
      </c>
      <c r="H206" s="267">
        <v>5</v>
      </c>
      <c r="I206" s="267">
        <v>5.23</v>
      </c>
      <c r="J206" s="32">
        <v>84</v>
      </c>
      <c r="K206" s="32" t="s">
        <v>67</v>
      </c>
      <c r="L206" s="32" t="s">
        <v>109</v>
      </c>
      <c r="M206" s="33" t="s">
        <v>69</v>
      </c>
      <c r="N206" s="33"/>
      <c r="O206" s="32">
        <v>180</v>
      </c>
      <c r="P206" s="38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5"/>
      <c r="R206" s="275"/>
      <c r="S206" s="275"/>
      <c r="T206" s="276"/>
      <c r="U206" s="34"/>
      <c r="V206" s="34"/>
      <c r="W206" s="35" t="s">
        <v>70</v>
      </c>
      <c r="X206" s="268">
        <v>36</v>
      </c>
      <c r="Y206" s="269">
        <f>IFERROR(IF(X206="","",X206),"")</f>
        <v>36</v>
      </c>
      <c r="Z206" s="36">
        <f>IFERROR(IF(X206="","",X206*0.0155),"")</f>
        <v>0.55800000000000005</v>
      </c>
      <c r="AA206" s="56"/>
      <c r="AB206" s="57"/>
      <c r="AC206" s="214" t="s">
        <v>304</v>
      </c>
      <c r="AG206" s="67"/>
      <c r="AJ206" s="71" t="s">
        <v>111</v>
      </c>
      <c r="AK206" s="71">
        <v>12</v>
      </c>
      <c r="BB206" s="215" t="s">
        <v>1</v>
      </c>
      <c r="BM206" s="67">
        <f>IFERROR(X206*I206,"0")</f>
        <v>188.28000000000003</v>
      </c>
      <c r="BN206" s="67">
        <f>IFERROR(Y206*I206,"0")</f>
        <v>188.28000000000003</v>
      </c>
      <c r="BO206" s="67">
        <f>IFERROR(X206/J206,"0")</f>
        <v>0.42857142857142855</v>
      </c>
      <c r="BP206" s="67">
        <f>IFERROR(Y206/J206,"0")</f>
        <v>0.42857142857142855</v>
      </c>
    </row>
    <row r="207" spans="1:68" x14ac:dyDescent="0.2">
      <c r="A207" s="289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90"/>
      <c r="P207" s="277" t="s">
        <v>83</v>
      </c>
      <c r="Q207" s="278"/>
      <c r="R207" s="278"/>
      <c r="S207" s="278"/>
      <c r="T207" s="278"/>
      <c r="U207" s="278"/>
      <c r="V207" s="279"/>
      <c r="W207" s="37" t="s">
        <v>70</v>
      </c>
      <c r="X207" s="270">
        <f>IFERROR(SUM(X206:X206),"0")</f>
        <v>36</v>
      </c>
      <c r="Y207" s="270">
        <f>IFERROR(SUM(Y206:Y206),"0")</f>
        <v>36</v>
      </c>
      <c r="Z207" s="270">
        <f>IFERROR(IF(Z206="",0,Z206),"0")</f>
        <v>0.55800000000000005</v>
      </c>
      <c r="AA207" s="271"/>
      <c r="AB207" s="271"/>
      <c r="AC207" s="271"/>
    </row>
    <row r="208" spans="1:68" x14ac:dyDescent="0.2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90"/>
      <c r="P208" s="277" t="s">
        <v>83</v>
      </c>
      <c r="Q208" s="278"/>
      <c r="R208" s="278"/>
      <c r="S208" s="278"/>
      <c r="T208" s="278"/>
      <c r="U208" s="278"/>
      <c r="V208" s="279"/>
      <c r="W208" s="37" t="s">
        <v>84</v>
      </c>
      <c r="X208" s="270">
        <f>IFERROR(SUMPRODUCT(X206:X206*H206:H206),"0")</f>
        <v>180</v>
      </c>
      <c r="Y208" s="270">
        <f>IFERROR(SUMPRODUCT(Y206:Y206*H206:H206),"0")</f>
        <v>180</v>
      </c>
      <c r="Z208" s="37"/>
      <c r="AA208" s="271"/>
      <c r="AB208" s="271"/>
      <c r="AC208" s="271"/>
    </row>
    <row r="209" spans="1:68" ht="16.5" customHeight="1" x14ac:dyDescent="0.25">
      <c r="A209" s="286" t="s">
        <v>305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63"/>
      <c r="AB209" s="263"/>
      <c r="AC209" s="263"/>
    </row>
    <row r="210" spans="1:68" ht="14.25" customHeight="1" x14ac:dyDescent="0.25">
      <c r="A210" s="288" t="s">
        <v>139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2"/>
      <c r="AB210" s="262"/>
      <c r="AC210" s="262"/>
    </row>
    <row r="211" spans="1:68" ht="27" customHeight="1" x14ac:dyDescent="0.25">
      <c r="A211" s="54" t="s">
        <v>306</v>
      </c>
      <c r="B211" s="54" t="s">
        <v>307</v>
      </c>
      <c r="C211" s="31">
        <v>4301135691</v>
      </c>
      <c r="D211" s="272">
        <v>4620207490549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8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75"/>
      <c r="R211" s="275"/>
      <c r="S211" s="275"/>
      <c r="T211" s="276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308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309</v>
      </c>
      <c r="B212" s="54" t="s">
        <v>310</v>
      </c>
      <c r="C212" s="31">
        <v>4301135694</v>
      </c>
      <c r="D212" s="272">
        <v>4620207490501</v>
      </c>
      <c r="E212" s="273"/>
      <c r="F212" s="267">
        <v>0.2</v>
      </c>
      <c r="G212" s="32">
        <v>12</v>
      </c>
      <c r="H212" s="267">
        <v>2.4</v>
      </c>
      <c r="I212" s="267">
        <v>3.1036000000000001</v>
      </c>
      <c r="J212" s="32">
        <v>70</v>
      </c>
      <c r="K212" s="32" t="s">
        <v>96</v>
      </c>
      <c r="L212" s="32" t="s">
        <v>68</v>
      </c>
      <c r="M212" s="33" t="s">
        <v>69</v>
      </c>
      <c r="N212" s="33"/>
      <c r="O212" s="32">
        <v>180</v>
      </c>
      <c r="P212" s="39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75"/>
      <c r="R212" s="275"/>
      <c r="S212" s="275"/>
      <c r="T212" s="276"/>
      <c r="U212" s="34"/>
      <c r="V212" s="34"/>
      <c r="W212" s="35" t="s">
        <v>70</v>
      </c>
      <c r="X212" s="268">
        <v>0</v>
      </c>
      <c r="Y212" s="26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308</v>
      </c>
      <c r="AG212" s="67"/>
      <c r="AJ212" s="71" t="s">
        <v>72</v>
      </c>
      <c r="AK212" s="71">
        <v>1</v>
      </c>
      <c r="BB212" s="219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90"/>
      <c r="P213" s="277" t="s">
        <v>83</v>
      </c>
      <c r="Q213" s="278"/>
      <c r="R213" s="278"/>
      <c r="S213" s="278"/>
      <c r="T213" s="278"/>
      <c r="U213" s="278"/>
      <c r="V213" s="279"/>
      <c r="W213" s="37" t="s">
        <v>70</v>
      </c>
      <c r="X213" s="270">
        <f>IFERROR(SUM(X211:X212),"0")</f>
        <v>0</v>
      </c>
      <c r="Y213" s="270">
        <f>IFERROR(SUM(Y211:Y212),"0")</f>
        <v>0</v>
      </c>
      <c r="Z213" s="270">
        <f>IFERROR(IF(Z211="",0,Z211),"0")+IFERROR(IF(Z212="",0,Z212),"0")</f>
        <v>0</v>
      </c>
      <c r="AA213" s="271"/>
      <c r="AB213" s="271"/>
      <c r="AC213" s="271"/>
    </row>
    <row r="214" spans="1:68" x14ac:dyDescent="0.2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90"/>
      <c r="P214" s="277" t="s">
        <v>83</v>
      </c>
      <c r="Q214" s="278"/>
      <c r="R214" s="278"/>
      <c r="S214" s="278"/>
      <c r="T214" s="278"/>
      <c r="U214" s="278"/>
      <c r="V214" s="279"/>
      <c r="W214" s="37" t="s">
        <v>84</v>
      </c>
      <c r="X214" s="270">
        <f>IFERROR(SUMPRODUCT(X211:X212*H211:H212),"0")</f>
        <v>0</v>
      </c>
      <c r="Y214" s="270">
        <f>IFERROR(SUMPRODUCT(Y211:Y212*H211:H212),"0")</f>
        <v>0</v>
      </c>
      <c r="Z214" s="37"/>
      <c r="AA214" s="271"/>
      <c r="AB214" s="271"/>
      <c r="AC214" s="271"/>
    </row>
    <row r="215" spans="1:68" ht="27.75" customHeight="1" x14ac:dyDescent="0.2">
      <c r="A215" s="284" t="s">
        <v>311</v>
      </c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  <c r="AA215" s="48"/>
      <c r="AB215" s="48"/>
      <c r="AC215" s="48"/>
    </row>
    <row r="216" spans="1:68" ht="16.5" customHeight="1" x14ac:dyDescent="0.25">
      <c r="A216" s="286" t="s">
        <v>312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3"/>
      <c r="AB216" s="263"/>
      <c r="AC216" s="263"/>
    </row>
    <row r="217" spans="1:68" ht="14.25" customHeight="1" x14ac:dyDescent="0.25">
      <c r="A217" s="288" t="s">
        <v>64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62"/>
      <c r="AB217" s="262"/>
      <c r="AC217" s="262"/>
    </row>
    <row r="218" spans="1:68" ht="27" customHeight="1" x14ac:dyDescent="0.25">
      <c r="A218" s="54" t="s">
        <v>313</v>
      </c>
      <c r="B218" s="54" t="s">
        <v>314</v>
      </c>
      <c r="C218" s="31">
        <v>4301071036</v>
      </c>
      <c r="D218" s="272">
        <v>4607111036162</v>
      </c>
      <c r="E218" s="273"/>
      <c r="F218" s="267">
        <v>0.8</v>
      </c>
      <c r="G218" s="32">
        <v>8</v>
      </c>
      <c r="H218" s="267">
        <v>6.4</v>
      </c>
      <c r="I218" s="267">
        <v>6.6811999999999996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90</v>
      </c>
      <c r="P218" s="45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8" s="275"/>
      <c r="R218" s="275"/>
      <c r="S218" s="275"/>
      <c r="T218" s="276"/>
      <c r="U218" s="34"/>
      <c r="V218" s="34"/>
      <c r="W218" s="35" t="s">
        <v>70</v>
      </c>
      <c r="X218" s="268">
        <v>0</v>
      </c>
      <c r="Y218" s="269">
        <f>IFERROR(IF(X218="","",X218),"")</f>
        <v>0</v>
      </c>
      <c r="Z218" s="36">
        <f>IFERROR(IF(X218="","",X218*0.0155),"")</f>
        <v>0</v>
      </c>
      <c r="AA218" s="56"/>
      <c r="AB218" s="57"/>
      <c r="AC218" s="220" t="s">
        <v>315</v>
      </c>
      <c r="AG218" s="67"/>
      <c r="AJ218" s="71" t="s">
        <v>72</v>
      </c>
      <c r="AK218" s="71">
        <v>1</v>
      </c>
      <c r="BB218" s="221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9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90"/>
      <c r="P219" s="277" t="s">
        <v>83</v>
      </c>
      <c r="Q219" s="278"/>
      <c r="R219" s="278"/>
      <c r="S219" s="278"/>
      <c r="T219" s="278"/>
      <c r="U219" s="278"/>
      <c r="V219" s="279"/>
      <c r="W219" s="37" t="s">
        <v>70</v>
      </c>
      <c r="X219" s="270">
        <f>IFERROR(SUM(X218:X218),"0")</f>
        <v>0</v>
      </c>
      <c r="Y219" s="270">
        <f>IFERROR(SUM(Y218:Y218),"0")</f>
        <v>0</v>
      </c>
      <c r="Z219" s="270">
        <f>IFERROR(IF(Z218="",0,Z218),"0")</f>
        <v>0</v>
      </c>
      <c r="AA219" s="271"/>
      <c r="AB219" s="271"/>
      <c r="AC219" s="271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90"/>
      <c r="P220" s="277" t="s">
        <v>83</v>
      </c>
      <c r="Q220" s="278"/>
      <c r="R220" s="278"/>
      <c r="S220" s="278"/>
      <c r="T220" s="278"/>
      <c r="U220" s="278"/>
      <c r="V220" s="279"/>
      <c r="W220" s="37" t="s">
        <v>84</v>
      </c>
      <c r="X220" s="270">
        <f>IFERROR(SUMPRODUCT(X218:X218*H218:H218),"0")</f>
        <v>0</v>
      </c>
      <c r="Y220" s="270">
        <f>IFERROR(SUMPRODUCT(Y218:Y218*H218:H218),"0")</f>
        <v>0</v>
      </c>
      <c r="Z220" s="37"/>
      <c r="AA220" s="271"/>
      <c r="AB220" s="271"/>
      <c r="AC220" s="271"/>
    </row>
    <row r="221" spans="1:68" ht="27.75" customHeight="1" x14ac:dyDescent="0.2">
      <c r="A221" s="284" t="s">
        <v>316</v>
      </c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  <c r="AA221" s="48"/>
      <c r="AB221" s="48"/>
      <c r="AC221" s="48"/>
    </row>
    <row r="222" spans="1:68" ht="16.5" customHeight="1" x14ac:dyDescent="0.25">
      <c r="A222" s="286" t="s">
        <v>317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3"/>
      <c r="AB222" s="263"/>
      <c r="AC222" s="263"/>
    </row>
    <row r="223" spans="1:68" ht="14.25" customHeight="1" x14ac:dyDescent="0.25">
      <c r="A223" s="288" t="s">
        <v>64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62"/>
      <c r="AB223" s="262"/>
      <c r="AC223" s="262"/>
    </row>
    <row r="224" spans="1:68" ht="27" customHeight="1" x14ac:dyDescent="0.25">
      <c r="A224" s="54" t="s">
        <v>318</v>
      </c>
      <c r="B224" s="54" t="s">
        <v>319</v>
      </c>
      <c r="C224" s="31">
        <v>4301071029</v>
      </c>
      <c r="D224" s="272">
        <v>4607111035899</v>
      </c>
      <c r="E224" s="273"/>
      <c r="F224" s="267">
        <v>1</v>
      </c>
      <c r="G224" s="32">
        <v>5</v>
      </c>
      <c r="H224" s="267">
        <v>5</v>
      </c>
      <c r="I224" s="267">
        <v>5.2619999999999996</v>
      </c>
      <c r="J224" s="32">
        <v>84</v>
      </c>
      <c r="K224" s="32" t="s">
        <v>67</v>
      </c>
      <c r="L224" s="32" t="s">
        <v>97</v>
      </c>
      <c r="M224" s="33" t="s">
        <v>69</v>
      </c>
      <c r="N224" s="33"/>
      <c r="O224" s="32">
        <v>180</v>
      </c>
      <c r="P224" s="37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4" s="275"/>
      <c r="R224" s="275"/>
      <c r="S224" s="275"/>
      <c r="T224" s="276"/>
      <c r="U224" s="34"/>
      <c r="V224" s="34"/>
      <c r="W224" s="35" t="s">
        <v>70</v>
      </c>
      <c r="X224" s="268">
        <v>72</v>
      </c>
      <c r="Y224" s="269">
        <f>IFERROR(IF(X224="","",X224),"")</f>
        <v>72</v>
      </c>
      <c r="Z224" s="36">
        <f>IFERROR(IF(X224="","",X224*0.0155),"")</f>
        <v>1.1160000000000001</v>
      </c>
      <c r="AA224" s="56"/>
      <c r="AB224" s="57"/>
      <c r="AC224" s="222" t="s">
        <v>259</v>
      </c>
      <c r="AG224" s="67"/>
      <c r="AJ224" s="71" t="s">
        <v>99</v>
      </c>
      <c r="AK224" s="71">
        <v>84</v>
      </c>
      <c r="BB224" s="223" t="s">
        <v>1</v>
      </c>
      <c r="BM224" s="67">
        <f>IFERROR(X224*I224,"0")</f>
        <v>378.86399999999998</v>
      </c>
      <c r="BN224" s="67">
        <f>IFERROR(Y224*I224,"0")</f>
        <v>378.86399999999998</v>
      </c>
      <c r="BO224" s="67">
        <f>IFERROR(X224/J224,"0")</f>
        <v>0.8571428571428571</v>
      </c>
      <c r="BP224" s="67">
        <f>IFERROR(Y224/J224,"0")</f>
        <v>0.8571428571428571</v>
      </c>
    </row>
    <row r="225" spans="1:68" x14ac:dyDescent="0.2">
      <c r="A225" s="289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90"/>
      <c r="P225" s="277" t="s">
        <v>83</v>
      </c>
      <c r="Q225" s="278"/>
      <c r="R225" s="278"/>
      <c r="S225" s="278"/>
      <c r="T225" s="278"/>
      <c r="U225" s="278"/>
      <c r="V225" s="279"/>
      <c r="W225" s="37" t="s">
        <v>70</v>
      </c>
      <c r="X225" s="270">
        <f>IFERROR(SUM(X224:X224),"0")</f>
        <v>72</v>
      </c>
      <c r="Y225" s="270">
        <f>IFERROR(SUM(Y224:Y224),"0")</f>
        <v>72</v>
      </c>
      <c r="Z225" s="270">
        <f>IFERROR(IF(Z224="",0,Z224),"0")</f>
        <v>1.1160000000000001</v>
      </c>
      <c r="AA225" s="271"/>
      <c r="AB225" s="271"/>
      <c r="AC225" s="271"/>
    </row>
    <row r="226" spans="1:68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90"/>
      <c r="P226" s="277" t="s">
        <v>83</v>
      </c>
      <c r="Q226" s="278"/>
      <c r="R226" s="278"/>
      <c r="S226" s="278"/>
      <c r="T226" s="278"/>
      <c r="U226" s="278"/>
      <c r="V226" s="279"/>
      <c r="W226" s="37" t="s">
        <v>84</v>
      </c>
      <c r="X226" s="270">
        <f>IFERROR(SUMPRODUCT(X224:X224*H224:H224),"0")</f>
        <v>360</v>
      </c>
      <c r="Y226" s="270">
        <f>IFERROR(SUMPRODUCT(Y224:Y224*H224:H224),"0")</f>
        <v>360</v>
      </c>
      <c r="Z226" s="37"/>
      <c r="AA226" s="271"/>
      <c r="AB226" s="271"/>
      <c r="AC226" s="271"/>
    </row>
    <row r="227" spans="1:68" ht="27.75" customHeight="1" x14ac:dyDescent="0.2">
      <c r="A227" s="284" t="s">
        <v>320</v>
      </c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  <c r="AA227" s="48"/>
      <c r="AB227" s="48"/>
      <c r="AC227" s="48"/>
    </row>
    <row r="228" spans="1:68" ht="16.5" customHeight="1" x14ac:dyDescent="0.25">
      <c r="A228" s="286" t="s">
        <v>321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3"/>
      <c r="AB228" s="263"/>
      <c r="AC228" s="263"/>
    </row>
    <row r="229" spans="1:68" ht="14.25" customHeight="1" x14ac:dyDescent="0.25">
      <c r="A229" s="288" t="s">
        <v>322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62"/>
      <c r="AB229" s="262"/>
      <c r="AC229" s="262"/>
    </row>
    <row r="230" spans="1:68" ht="27" customHeight="1" x14ac:dyDescent="0.25">
      <c r="A230" s="54" t="s">
        <v>323</v>
      </c>
      <c r="B230" s="54" t="s">
        <v>324</v>
      </c>
      <c r="C230" s="31">
        <v>4301133004</v>
      </c>
      <c r="D230" s="272">
        <v>4607111039774</v>
      </c>
      <c r="E230" s="273"/>
      <c r="F230" s="267">
        <v>0.25</v>
      </c>
      <c r="G230" s="32">
        <v>12</v>
      </c>
      <c r="H230" s="267">
        <v>3</v>
      </c>
      <c r="I230" s="267">
        <v>3.22</v>
      </c>
      <c r="J230" s="32">
        <v>70</v>
      </c>
      <c r="K230" s="32" t="s">
        <v>96</v>
      </c>
      <c r="L230" s="32" t="s">
        <v>68</v>
      </c>
      <c r="M230" s="33" t="s">
        <v>69</v>
      </c>
      <c r="N230" s="33"/>
      <c r="O230" s="32">
        <v>180</v>
      </c>
      <c r="P230" s="32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5"/>
      <c r="R230" s="275"/>
      <c r="S230" s="275"/>
      <c r="T230" s="276"/>
      <c r="U230" s="34"/>
      <c r="V230" s="34"/>
      <c r="W230" s="35" t="s">
        <v>70</v>
      </c>
      <c r="X230" s="268">
        <v>0</v>
      </c>
      <c r="Y230" s="269">
        <f>IFERROR(IF(X230="","",X230),"")</f>
        <v>0</v>
      </c>
      <c r="Z230" s="36">
        <f>IFERROR(IF(X230="","",X230*0.01788),"")</f>
        <v>0</v>
      </c>
      <c r="AA230" s="56"/>
      <c r="AB230" s="57"/>
      <c r="AC230" s="224" t="s">
        <v>325</v>
      </c>
      <c r="AG230" s="67"/>
      <c r="AJ230" s="71" t="s">
        <v>72</v>
      </c>
      <c r="AK230" s="71">
        <v>1</v>
      </c>
      <c r="BB230" s="225" t="s">
        <v>100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x14ac:dyDescent="0.2">
      <c r="A231" s="289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90"/>
      <c r="P231" s="277" t="s">
        <v>83</v>
      </c>
      <c r="Q231" s="278"/>
      <c r="R231" s="278"/>
      <c r="S231" s="278"/>
      <c r="T231" s="278"/>
      <c r="U231" s="278"/>
      <c r="V231" s="279"/>
      <c r="W231" s="37" t="s">
        <v>70</v>
      </c>
      <c r="X231" s="270">
        <f>IFERROR(SUM(X230:X230),"0")</f>
        <v>0</v>
      </c>
      <c r="Y231" s="270">
        <f>IFERROR(SUM(Y230:Y230),"0")</f>
        <v>0</v>
      </c>
      <c r="Z231" s="270">
        <f>IFERROR(IF(Z230="",0,Z230),"0")</f>
        <v>0</v>
      </c>
      <c r="AA231" s="271"/>
      <c r="AB231" s="271"/>
      <c r="AC231" s="271"/>
    </row>
    <row r="232" spans="1:68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90"/>
      <c r="P232" s="277" t="s">
        <v>83</v>
      </c>
      <c r="Q232" s="278"/>
      <c r="R232" s="278"/>
      <c r="S232" s="278"/>
      <c r="T232" s="278"/>
      <c r="U232" s="278"/>
      <c r="V232" s="279"/>
      <c r="W232" s="37" t="s">
        <v>84</v>
      </c>
      <c r="X232" s="270">
        <f>IFERROR(SUMPRODUCT(X230:X230*H230:H230),"0")</f>
        <v>0</v>
      </c>
      <c r="Y232" s="270">
        <f>IFERROR(SUMPRODUCT(Y230:Y230*H230:H230),"0")</f>
        <v>0</v>
      </c>
      <c r="Z232" s="37"/>
      <c r="AA232" s="271"/>
      <c r="AB232" s="271"/>
      <c r="AC232" s="271"/>
    </row>
    <row r="233" spans="1:68" ht="14.25" customHeight="1" x14ac:dyDescent="0.25">
      <c r="A233" s="288" t="s">
        <v>139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62"/>
      <c r="AB233" s="262"/>
      <c r="AC233" s="262"/>
    </row>
    <row r="234" spans="1:68" ht="37.5" customHeight="1" x14ac:dyDescent="0.25">
      <c r="A234" s="54" t="s">
        <v>326</v>
      </c>
      <c r="B234" s="54" t="s">
        <v>327</v>
      </c>
      <c r="C234" s="31">
        <v>4301135400</v>
      </c>
      <c r="D234" s="272">
        <v>4607111039361</v>
      </c>
      <c r="E234" s="273"/>
      <c r="F234" s="267">
        <v>0.25</v>
      </c>
      <c r="G234" s="32">
        <v>12</v>
      </c>
      <c r="H234" s="267">
        <v>3</v>
      </c>
      <c r="I234" s="267">
        <v>3.7035999999999998</v>
      </c>
      <c r="J234" s="32">
        <v>70</v>
      </c>
      <c r="K234" s="32" t="s">
        <v>96</v>
      </c>
      <c r="L234" s="32" t="s">
        <v>68</v>
      </c>
      <c r="M234" s="33" t="s">
        <v>69</v>
      </c>
      <c r="N234" s="33"/>
      <c r="O234" s="32">
        <v>180</v>
      </c>
      <c r="P234" s="30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5"/>
      <c r="R234" s="275"/>
      <c r="S234" s="275"/>
      <c r="T234" s="276"/>
      <c r="U234" s="34"/>
      <c r="V234" s="34"/>
      <c r="W234" s="35" t="s">
        <v>70</v>
      </c>
      <c r="X234" s="268">
        <v>0</v>
      </c>
      <c r="Y234" s="269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325</v>
      </c>
      <c r="AG234" s="67"/>
      <c r="AJ234" s="71" t="s">
        <v>72</v>
      </c>
      <c r="AK234" s="71">
        <v>1</v>
      </c>
      <c r="BB234" s="227" t="s">
        <v>100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89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90"/>
      <c r="P235" s="277" t="s">
        <v>83</v>
      </c>
      <c r="Q235" s="278"/>
      <c r="R235" s="278"/>
      <c r="S235" s="278"/>
      <c r="T235" s="278"/>
      <c r="U235" s="278"/>
      <c r="V235" s="279"/>
      <c r="W235" s="37" t="s">
        <v>70</v>
      </c>
      <c r="X235" s="270">
        <f>IFERROR(SUM(X234:X234),"0")</f>
        <v>0</v>
      </c>
      <c r="Y235" s="270">
        <f>IFERROR(SUM(Y234:Y234),"0")</f>
        <v>0</v>
      </c>
      <c r="Z235" s="270">
        <f>IFERROR(IF(Z234="",0,Z234),"0")</f>
        <v>0</v>
      </c>
      <c r="AA235" s="271"/>
      <c r="AB235" s="271"/>
      <c r="AC235" s="271"/>
    </row>
    <row r="236" spans="1:68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90"/>
      <c r="P236" s="277" t="s">
        <v>83</v>
      </c>
      <c r="Q236" s="278"/>
      <c r="R236" s="278"/>
      <c r="S236" s="278"/>
      <c r="T236" s="278"/>
      <c r="U236" s="278"/>
      <c r="V236" s="279"/>
      <c r="W236" s="37" t="s">
        <v>84</v>
      </c>
      <c r="X236" s="270">
        <f>IFERROR(SUMPRODUCT(X234:X234*H234:H234),"0")</f>
        <v>0</v>
      </c>
      <c r="Y236" s="270">
        <f>IFERROR(SUMPRODUCT(Y234:Y234*H234:H234),"0")</f>
        <v>0</v>
      </c>
      <c r="Z236" s="37"/>
      <c r="AA236" s="271"/>
      <c r="AB236" s="271"/>
      <c r="AC236" s="271"/>
    </row>
    <row r="237" spans="1:68" ht="27.75" customHeight="1" x14ac:dyDescent="0.2">
      <c r="A237" s="284" t="s">
        <v>328</v>
      </c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  <c r="AA237" s="48"/>
      <c r="AB237" s="48"/>
      <c r="AC237" s="48"/>
    </row>
    <row r="238" spans="1:68" ht="16.5" customHeight="1" x14ac:dyDescent="0.25">
      <c r="A238" s="286" t="s">
        <v>328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3"/>
      <c r="AB238" s="263"/>
      <c r="AC238" s="263"/>
    </row>
    <row r="239" spans="1:68" ht="14.25" customHeight="1" x14ac:dyDescent="0.25">
      <c r="A239" s="288" t="s">
        <v>64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62"/>
      <c r="AB239" s="262"/>
      <c r="AC239" s="262"/>
    </row>
    <row r="240" spans="1:68" ht="27" customHeight="1" x14ac:dyDescent="0.25">
      <c r="A240" s="54" t="s">
        <v>329</v>
      </c>
      <c r="B240" s="54" t="s">
        <v>330</v>
      </c>
      <c r="C240" s="31">
        <v>4301071014</v>
      </c>
      <c r="D240" s="272">
        <v>4640242181264</v>
      </c>
      <c r="E240" s="273"/>
      <c r="F240" s="267">
        <v>0.7</v>
      </c>
      <c r="G240" s="32">
        <v>10</v>
      </c>
      <c r="H240" s="267">
        <v>7</v>
      </c>
      <c r="I240" s="267">
        <v>7.28</v>
      </c>
      <c r="J240" s="32">
        <v>84</v>
      </c>
      <c r="K240" s="32" t="s">
        <v>67</v>
      </c>
      <c r="L240" s="32" t="s">
        <v>68</v>
      </c>
      <c r="M240" s="33" t="s">
        <v>69</v>
      </c>
      <c r="N240" s="33"/>
      <c r="O240" s="32">
        <v>180</v>
      </c>
      <c r="P240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0" s="275"/>
      <c r="R240" s="275"/>
      <c r="S240" s="275"/>
      <c r="T240" s="276"/>
      <c r="U240" s="34"/>
      <c r="V240" s="34"/>
      <c r="W240" s="35" t="s">
        <v>70</v>
      </c>
      <c r="X240" s="268">
        <v>0</v>
      </c>
      <c r="Y240" s="269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331</v>
      </c>
      <c r="AG240" s="67"/>
      <c r="AJ240" s="71" t="s">
        <v>72</v>
      </c>
      <c r="AK240" s="71">
        <v>1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t="27" customHeight="1" x14ac:dyDescent="0.25">
      <c r="A241" s="54" t="s">
        <v>332</v>
      </c>
      <c r="B241" s="54" t="s">
        <v>333</v>
      </c>
      <c r="C241" s="31">
        <v>4301071021</v>
      </c>
      <c r="D241" s="272">
        <v>4640242181325</v>
      </c>
      <c r="E241" s="273"/>
      <c r="F241" s="267">
        <v>0.7</v>
      </c>
      <c r="G241" s="32">
        <v>10</v>
      </c>
      <c r="H241" s="267">
        <v>7</v>
      </c>
      <c r="I241" s="267">
        <v>7.28</v>
      </c>
      <c r="J241" s="32">
        <v>84</v>
      </c>
      <c r="K241" s="32" t="s">
        <v>67</v>
      </c>
      <c r="L241" s="32" t="s">
        <v>68</v>
      </c>
      <c r="M241" s="33" t="s">
        <v>69</v>
      </c>
      <c r="N241" s="33"/>
      <c r="O241" s="32">
        <v>180</v>
      </c>
      <c r="P241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1" s="275"/>
      <c r="R241" s="275"/>
      <c r="S241" s="275"/>
      <c r="T241" s="276"/>
      <c r="U241" s="34"/>
      <c r="V241" s="34"/>
      <c r="W241" s="35" t="s">
        <v>70</v>
      </c>
      <c r="X241" s="268">
        <v>0</v>
      </c>
      <c r="Y241" s="269">
        <f>IFERROR(IF(X241="","",X241),"")</f>
        <v>0</v>
      </c>
      <c r="Z241" s="36">
        <f>IFERROR(IF(X241="","",X241*0.0155),"")</f>
        <v>0</v>
      </c>
      <c r="AA241" s="56"/>
      <c r="AB241" s="57"/>
      <c r="AC241" s="230" t="s">
        <v>331</v>
      </c>
      <c r="AG241" s="67"/>
      <c r="AJ241" s="71" t="s">
        <v>72</v>
      </c>
      <c r="AK241" s="71">
        <v>1</v>
      </c>
      <c r="BB241" s="231" t="s">
        <v>1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89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90"/>
      <c r="P242" s="277" t="s">
        <v>83</v>
      </c>
      <c r="Q242" s="278"/>
      <c r="R242" s="278"/>
      <c r="S242" s="278"/>
      <c r="T242" s="278"/>
      <c r="U242" s="278"/>
      <c r="V242" s="279"/>
      <c r="W242" s="37" t="s">
        <v>70</v>
      </c>
      <c r="X242" s="270">
        <f>IFERROR(SUM(X240:X241),"0")</f>
        <v>0</v>
      </c>
      <c r="Y242" s="270">
        <f>IFERROR(SUM(Y240:Y241),"0")</f>
        <v>0</v>
      </c>
      <c r="Z242" s="270">
        <f>IFERROR(IF(Z240="",0,Z240),"0")+IFERROR(IF(Z241="",0,Z241),"0")</f>
        <v>0</v>
      </c>
      <c r="AA242" s="271"/>
      <c r="AB242" s="271"/>
      <c r="AC242" s="271"/>
    </row>
    <row r="243" spans="1:68" x14ac:dyDescent="0.2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90"/>
      <c r="P243" s="277" t="s">
        <v>83</v>
      </c>
      <c r="Q243" s="278"/>
      <c r="R243" s="278"/>
      <c r="S243" s="278"/>
      <c r="T243" s="278"/>
      <c r="U243" s="278"/>
      <c r="V243" s="279"/>
      <c r="W243" s="37" t="s">
        <v>84</v>
      </c>
      <c r="X243" s="270">
        <f>IFERROR(SUMPRODUCT(X240:X241*H240:H241),"0")</f>
        <v>0</v>
      </c>
      <c r="Y243" s="270">
        <f>IFERROR(SUMPRODUCT(Y240:Y241*H240:H241),"0")</f>
        <v>0</v>
      </c>
      <c r="Z243" s="37"/>
      <c r="AA243" s="271"/>
      <c r="AB243" s="271"/>
      <c r="AC243" s="271"/>
    </row>
    <row r="244" spans="1:68" ht="14.25" customHeight="1" x14ac:dyDescent="0.25">
      <c r="A244" s="288" t="s">
        <v>93</v>
      </c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62"/>
      <c r="AB244" s="262"/>
      <c r="AC244" s="262"/>
    </row>
    <row r="245" spans="1:68" ht="27" customHeight="1" x14ac:dyDescent="0.25">
      <c r="A245" s="54" t="s">
        <v>334</v>
      </c>
      <c r="B245" s="54" t="s">
        <v>335</v>
      </c>
      <c r="C245" s="31">
        <v>4301132080</v>
      </c>
      <c r="D245" s="272">
        <v>4640242180397</v>
      </c>
      <c r="E245" s="273"/>
      <c r="F245" s="267">
        <v>1</v>
      </c>
      <c r="G245" s="32">
        <v>6</v>
      </c>
      <c r="H245" s="267">
        <v>6</v>
      </c>
      <c r="I245" s="267">
        <v>6.26</v>
      </c>
      <c r="J245" s="32">
        <v>84</v>
      </c>
      <c r="K245" s="32" t="s">
        <v>67</v>
      </c>
      <c r="L245" s="32" t="s">
        <v>97</v>
      </c>
      <c r="M245" s="33" t="s">
        <v>69</v>
      </c>
      <c r="N245" s="33"/>
      <c r="O245" s="32">
        <v>180</v>
      </c>
      <c r="P245" s="37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5" s="275"/>
      <c r="R245" s="275"/>
      <c r="S245" s="275"/>
      <c r="T245" s="276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336</v>
      </c>
      <c r="AG245" s="67"/>
      <c r="AJ245" s="71" t="s">
        <v>99</v>
      </c>
      <c r="AK245" s="71">
        <v>84</v>
      </c>
      <c r="BB245" s="233" t="s">
        <v>100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x14ac:dyDescent="0.2">
      <c r="A246" s="289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90"/>
      <c r="P246" s="277" t="s">
        <v>83</v>
      </c>
      <c r="Q246" s="278"/>
      <c r="R246" s="278"/>
      <c r="S246" s="278"/>
      <c r="T246" s="278"/>
      <c r="U246" s="278"/>
      <c r="V246" s="279"/>
      <c r="W246" s="37" t="s">
        <v>70</v>
      </c>
      <c r="X246" s="270">
        <f>IFERROR(SUM(X245:X245),"0")</f>
        <v>0</v>
      </c>
      <c r="Y246" s="270">
        <f>IFERROR(SUM(Y245:Y245),"0")</f>
        <v>0</v>
      </c>
      <c r="Z246" s="270">
        <f>IFERROR(IF(Z245="",0,Z245),"0")</f>
        <v>0</v>
      </c>
      <c r="AA246" s="271"/>
      <c r="AB246" s="271"/>
      <c r="AC246" s="271"/>
    </row>
    <row r="247" spans="1:68" x14ac:dyDescent="0.2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90"/>
      <c r="P247" s="277" t="s">
        <v>83</v>
      </c>
      <c r="Q247" s="278"/>
      <c r="R247" s="278"/>
      <c r="S247" s="278"/>
      <c r="T247" s="278"/>
      <c r="U247" s="278"/>
      <c r="V247" s="279"/>
      <c r="W247" s="37" t="s">
        <v>84</v>
      </c>
      <c r="X247" s="270">
        <f>IFERROR(SUMPRODUCT(X245:X245*H245:H245),"0")</f>
        <v>0</v>
      </c>
      <c r="Y247" s="270">
        <f>IFERROR(SUMPRODUCT(Y245:Y245*H245:H245),"0")</f>
        <v>0</v>
      </c>
      <c r="Z247" s="37"/>
      <c r="AA247" s="271"/>
      <c r="AB247" s="271"/>
      <c r="AC247" s="271"/>
    </row>
    <row r="248" spans="1:68" ht="14.25" customHeight="1" x14ac:dyDescent="0.25">
      <c r="A248" s="288" t="s">
        <v>133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2"/>
      <c r="AB248" s="262"/>
      <c r="AC248" s="262"/>
    </row>
    <row r="249" spans="1:68" ht="27" customHeight="1" x14ac:dyDescent="0.25">
      <c r="A249" s="54" t="s">
        <v>337</v>
      </c>
      <c r="B249" s="54" t="s">
        <v>338</v>
      </c>
      <c r="C249" s="31">
        <v>4301136051</v>
      </c>
      <c r="D249" s="272">
        <v>4640242180304</v>
      </c>
      <c r="E249" s="273"/>
      <c r="F249" s="267">
        <v>2.7</v>
      </c>
      <c r="G249" s="32">
        <v>1</v>
      </c>
      <c r="H249" s="267">
        <v>2.7</v>
      </c>
      <c r="I249" s="267">
        <v>2.8906000000000001</v>
      </c>
      <c r="J249" s="32">
        <v>126</v>
      </c>
      <c r="K249" s="32" t="s">
        <v>96</v>
      </c>
      <c r="L249" s="32" t="s">
        <v>109</v>
      </c>
      <c r="M249" s="33" t="s">
        <v>69</v>
      </c>
      <c r="N249" s="33"/>
      <c r="O249" s="32">
        <v>180</v>
      </c>
      <c r="P249" s="29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9" s="275"/>
      <c r="R249" s="275"/>
      <c r="S249" s="275"/>
      <c r="T249" s="276"/>
      <c r="U249" s="34"/>
      <c r="V249" s="34"/>
      <c r="W249" s="35" t="s">
        <v>70</v>
      </c>
      <c r="X249" s="268">
        <v>0</v>
      </c>
      <c r="Y249" s="269">
        <f>IFERROR(IF(X249="","",X249),"")</f>
        <v>0</v>
      </c>
      <c r="Z249" s="36">
        <f>IFERROR(IF(X249="","",X249*0.00936),"")</f>
        <v>0</v>
      </c>
      <c r="AA249" s="56"/>
      <c r="AB249" s="57"/>
      <c r="AC249" s="234" t="s">
        <v>339</v>
      </c>
      <c r="AG249" s="67"/>
      <c r="AJ249" s="71" t="s">
        <v>111</v>
      </c>
      <c r="AK249" s="71">
        <v>14</v>
      </c>
      <c r="BB249" s="235" t="s">
        <v>100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customHeight="1" x14ac:dyDescent="0.25">
      <c r="A250" s="54" t="s">
        <v>340</v>
      </c>
      <c r="B250" s="54" t="s">
        <v>341</v>
      </c>
      <c r="C250" s="31">
        <v>4301136053</v>
      </c>
      <c r="D250" s="272">
        <v>4640242180236</v>
      </c>
      <c r="E250" s="273"/>
      <c r="F250" s="267">
        <v>5</v>
      </c>
      <c r="G250" s="32">
        <v>1</v>
      </c>
      <c r="H250" s="267">
        <v>5</v>
      </c>
      <c r="I250" s="267">
        <v>5.2350000000000003</v>
      </c>
      <c r="J250" s="32">
        <v>84</v>
      </c>
      <c r="K250" s="32" t="s">
        <v>67</v>
      </c>
      <c r="L250" s="32" t="s">
        <v>97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0" s="275"/>
      <c r="R250" s="275"/>
      <c r="S250" s="275"/>
      <c r="T250" s="276"/>
      <c r="U250" s="34"/>
      <c r="V250" s="34"/>
      <c r="W250" s="35" t="s">
        <v>70</v>
      </c>
      <c r="X250" s="268">
        <v>0</v>
      </c>
      <c r="Y250" s="269">
        <f>IFERROR(IF(X250="","",X250),"")</f>
        <v>0</v>
      </c>
      <c r="Z250" s="36">
        <f>IFERROR(IF(X250="","",X250*0.0155),"")</f>
        <v>0</v>
      </c>
      <c r="AA250" s="56"/>
      <c r="AB250" s="57"/>
      <c r="AC250" s="236" t="s">
        <v>339</v>
      </c>
      <c r="AG250" s="67"/>
      <c r="AJ250" s="71" t="s">
        <v>99</v>
      </c>
      <c r="AK250" s="71">
        <v>84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customHeight="1" x14ac:dyDescent="0.25">
      <c r="A251" s="54" t="s">
        <v>342</v>
      </c>
      <c r="B251" s="54" t="s">
        <v>343</v>
      </c>
      <c r="C251" s="31">
        <v>4301136052</v>
      </c>
      <c r="D251" s="272">
        <v>4640242180410</v>
      </c>
      <c r="E251" s="273"/>
      <c r="F251" s="267">
        <v>2.2400000000000002</v>
      </c>
      <c r="G251" s="32">
        <v>1</v>
      </c>
      <c r="H251" s="267">
        <v>2.2400000000000002</v>
      </c>
      <c r="I251" s="267">
        <v>2.4319999999999999</v>
      </c>
      <c r="J251" s="32">
        <v>126</v>
      </c>
      <c r="K251" s="32" t="s">
        <v>96</v>
      </c>
      <c r="L251" s="32" t="s">
        <v>109</v>
      </c>
      <c r="M251" s="33" t="s">
        <v>69</v>
      </c>
      <c r="N251" s="33"/>
      <c r="O251" s="32">
        <v>180</v>
      </c>
      <c r="P251" s="39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1" s="275"/>
      <c r="R251" s="275"/>
      <c r="S251" s="275"/>
      <c r="T251" s="276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339</v>
      </c>
      <c r="AG251" s="67"/>
      <c r="AJ251" s="71" t="s">
        <v>111</v>
      </c>
      <c r="AK251" s="71">
        <v>14</v>
      </c>
      <c r="BB251" s="239" t="s">
        <v>100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x14ac:dyDescent="0.2">
      <c r="A252" s="289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90"/>
      <c r="P252" s="277" t="s">
        <v>83</v>
      </c>
      <c r="Q252" s="278"/>
      <c r="R252" s="278"/>
      <c r="S252" s="278"/>
      <c r="T252" s="278"/>
      <c r="U252" s="278"/>
      <c r="V252" s="279"/>
      <c r="W252" s="37" t="s">
        <v>70</v>
      </c>
      <c r="X252" s="270">
        <f>IFERROR(SUM(X249:X251),"0")</f>
        <v>0</v>
      </c>
      <c r="Y252" s="270">
        <f>IFERROR(SUM(Y249:Y251),"0")</f>
        <v>0</v>
      </c>
      <c r="Z252" s="270">
        <f>IFERROR(IF(Z249="",0,Z249),"0")+IFERROR(IF(Z250="",0,Z250),"0")+IFERROR(IF(Z251="",0,Z251),"0")</f>
        <v>0</v>
      </c>
      <c r="AA252" s="271"/>
      <c r="AB252" s="271"/>
      <c r="AC252" s="271"/>
    </row>
    <row r="253" spans="1:68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90"/>
      <c r="P253" s="277" t="s">
        <v>83</v>
      </c>
      <c r="Q253" s="278"/>
      <c r="R253" s="278"/>
      <c r="S253" s="278"/>
      <c r="T253" s="278"/>
      <c r="U253" s="278"/>
      <c r="V253" s="279"/>
      <c r="W253" s="37" t="s">
        <v>84</v>
      </c>
      <c r="X253" s="270">
        <f>IFERROR(SUMPRODUCT(X249:X251*H249:H251),"0")</f>
        <v>0</v>
      </c>
      <c r="Y253" s="270">
        <f>IFERROR(SUMPRODUCT(Y249:Y251*H249:H251),"0")</f>
        <v>0</v>
      </c>
      <c r="Z253" s="37"/>
      <c r="AA253" s="271"/>
      <c r="AB253" s="271"/>
      <c r="AC253" s="271"/>
    </row>
    <row r="254" spans="1:68" ht="14.25" customHeight="1" x14ac:dyDescent="0.25">
      <c r="A254" s="288" t="s">
        <v>139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62"/>
      <c r="AB254" s="262"/>
      <c r="AC254" s="262"/>
    </row>
    <row r="255" spans="1:68" ht="37.5" customHeight="1" x14ac:dyDescent="0.25">
      <c r="A255" s="54" t="s">
        <v>344</v>
      </c>
      <c r="B255" s="54" t="s">
        <v>345</v>
      </c>
      <c r="C255" s="31">
        <v>4301135504</v>
      </c>
      <c r="D255" s="272">
        <v>4640242181554</v>
      </c>
      <c r="E255" s="273"/>
      <c r="F255" s="267">
        <v>3</v>
      </c>
      <c r="G255" s="32">
        <v>1</v>
      </c>
      <c r="H255" s="267">
        <v>3</v>
      </c>
      <c r="I255" s="267">
        <v>3.1920000000000002</v>
      </c>
      <c r="J255" s="32">
        <v>126</v>
      </c>
      <c r="K255" s="32" t="s">
        <v>96</v>
      </c>
      <c r="L255" s="32" t="s">
        <v>68</v>
      </c>
      <c r="M255" s="33" t="s">
        <v>69</v>
      </c>
      <c r="N255" s="33"/>
      <c r="O255" s="32">
        <v>180</v>
      </c>
      <c r="P255" s="32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5" s="275"/>
      <c r="R255" s="275"/>
      <c r="S255" s="275"/>
      <c r="T255" s="276"/>
      <c r="U255" s="34"/>
      <c r="V255" s="34"/>
      <c r="W255" s="35" t="s">
        <v>70</v>
      </c>
      <c r="X255" s="268">
        <v>0</v>
      </c>
      <c r="Y255" s="269">
        <f t="shared" ref="Y255:Y264" si="18">IFERROR(IF(X255="","",X255),"")</f>
        <v>0</v>
      </c>
      <c r="Z255" s="36">
        <f>IFERROR(IF(X255="","",X255*0.00936),"")</f>
        <v>0</v>
      </c>
      <c r="AA255" s="56"/>
      <c r="AB255" s="57"/>
      <c r="AC255" s="240" t="s">
        <v>346</v>
      </c>
      <c r="AG255" s="67"/>
      <c r="AJ255" s="71" t="s">
        <v>72</v>
      </c>
      <c r="AK255" s="71">
        <v>1</v>
      </c>
      <c r="BB255" s="241" t="s">
        <v>100</v>
      </c>
      <c r="BM255" s="67">
        <f t="shared" ref="BM255:BM264" si="19">IFERROR(X255*I255,"0")</f>
        <v>0</v>
      </c>
      <c r="BN255" s="67">
        <f t="shared" ref="BN255:BN264" si="20">IFERROR(Y255*I255,"0")</f>
        <v>0</v>
      </c>
      <c r="BO255" s="67">
        <f t="shared" ref="BO255:BO264" si="21">IFERROR(X255/J255,"0")</f>
        <v>0</v>
      </c>
      <c r="BP255" s="67">
        <f t="shared" ref="BP255:BP264" si="22">IFERROR(Y255/J255,"0")</f>
        <v>0</v>
      </c>
    </row>
    <row r="256" spans="1:68" ht="27" customHeight="1" x14ac:dyDescent="0.25">
      <c r="A256" s="54" t="s">
        <v>347</v>
      </c>
      <c r="B256" s="54" t="s">
        <v>348</v>
      </c>
      <c r="C256" s="31">
        <v>4301135518</v>
      </c>
      <c r="D256" s="272">
        <v>4640242181561</v>
      </c>
      <c r="E256" s="273"/>
      <c r="F256" s="267">
        <v>3.7</v>
      </c>
      <c r="G256" s="32">
        <v>1</v>
      </c>
      <c r="H256" s="267">
        <v>3.7</v>
      </c>
      <c r="I256" s="267">
        <v>3.8919999999999999</v>
      </c>
      <c r="J256" s="32">
        <v>126</v>
      </c>
      <c r="K256" s="32" t="s">
        <v>96</v>
      </c>
      <c r="L256" s="32" t="s">
        <v>109</v>
      </c>
      <c r="M256" s="33" t="s">
        <v>69</v>
      </c>
      <c r="N256" s="33"/>
      <c r="O256" s="32">
        <v>180</v>
      </c>
      <c r="P256" s="4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6" s="275"/>
      <c r="R256" s="275"/>
      <c r="S256" s="275"/>
      <c r="T256" s="276"/>
      <c r="U256" s="34"/>
      <c r="V256" s="34"/>
      <c r="W256" s="35" t="s">
        <v>70</v>
      </c>
      <c r="X256" s="268">
        <v>0</v>
      </c>
      <c r="Y256" s="269">
        <f t="shared" si="18"/>
        <v>0</v>
      </c>
      <c r="Z256" s="36">
        <f>IFERROR(IF(X256="","",X256*0.00936),"")</f>
        <v>0</v>
      </c>
      <c r="AA256" s="56"/>
      <c r="AB256" s="57"/>
      <c r="AC256" s="242" t="s">
        <v>349</v>
      </c>
      <c r="AG256" s="67"/>
      <c r="AJ256" s="71" t="s">
        <v>111</v>
      </c>
      <c r="AK256" s="71">
        <v>14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customHeight="1" x14ac:dyDescent="0.25">
      <c r="A257" s="54" t="s">
        <v>350</v>
      </c>
      <c r="B257" s="54" t="s">
        <v>351</v>
      </c>
      <c r="C257" s="31">
        <v>4301135374</v>
      </c>
      <c r="D257" s="272">
        <v>4640242181424</v>
      </c>
      <c r="E257" s="273"/>
      <c r="F257" s="267">
        <v>5.5</v>
      </c>
      <c r="G257" s="32">
        <v>1</v>
      </c>
      <c r="H257" s="267">
        <v>5.5</v>
      </c>
      <c r="I257" s="267">
        <v>5.7350000000000003</v>
      </c>
      <c r="J257" s="32">
        <v>84</v>
      </c>
      <c r="K257" s="32" t="s">
        <v>67</v>
      </c>
      <c r="L257" s="32" t="s">
        <v>109</v>
      </c>
      <c r="M257" s="33" t="s">
        <v>69</v>
      </c>
      <c r="N257" s="33"/>
      <c r="O257" s="32">
        <v>180</v>
      </c>
      <c r="P257" s="40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7" s="275"/>
      <c r="R257" s="275"/>
      <c r="S257" s="275"/>
      <c r="T257" s="276"/>
      <c r="U257" s="34"/>
      <c r="V257" s="34"/>
      <c r="W257" s="35" t="s">
        <v>70</v>
      </c>
      <c r="X257" s="268">
        <v>12</v>
      </c>
      <c r="Y257" s="269">
        <f t="shared" si="18"/>
        <v>12</v>
      </c>
      <c r="Z257" s="36">
        <f>IFERROR(IF(X257="","",X257*0.0155),"")</f>
        <v>0.186</v>
      </c>
      <c r="AA257" s="56"/>
      <c r="AB257" s="57"/>
      <c r="AC257" s="244" t="s">
        <v>346</v>
      </c>
      <c r="AG257" s="67"/>
      <c r="AJ257" s="71" t="s">
        <v>111</v>
      </c>
      <c r="AK257" s="71">
        <v>12</v>
      </c>
      <c r="BB257" s="245" t="s">
        <v>100</v>
      </c>
      <c r="BM257" s="67">
        <f t="shared" si="19"/>
        <v>68.820000000000007</v>
      </c>
      <c r="BN257" s="67">
        <f t="shared" si="20"/>
        <v>68.820000000000007</v>
      </c>
      <c r="BO257" s="67">
        <f t="shared" si="21"/>
        <v>0.14285714285714285</v>
      </c>
      <c r="BP257" s="67">
        <f t="shared" si="22"/>
        <v>0.14285714285714285</v>
      </c>
    </row>
    <row r="258" spans="1:68" ht="27" customHeight="1" x14ac:dyDescent="0.25">
      <c r="A258" s="54" t="s">
        <v>352</v>
      </c>
      <c r="B258" s="54" t="s">
        <v>353</v>
      </c>
      <c r="C258" s="31">
        <v>4301135405</v>
      </c>
      <c r="D258" s="272">
        <v>4640242181523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96</v>
      </c>
      <c r="L258" s="32" t="s">
        <v>109</v>
      </c>
      <c r="M258" s="33" t="s">
        <v>69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8" s="275"/>
      <c r="R258" s="275"/>
      <c r="S258" s="275"/>
      <c r="T258" s="276"/>
      <c r="U258" s="34"/>
      <c r="V258" s="34"/>
      <c r="W258" s="35" t="s">
        <v>70</v>
      </c>
      <c r="X258" s="268">
        <v>70</v>
      </c>
      <c r="Y258" s="269">
        <f t="shared" si="18"/>
        <v>70</v>
      </c>
      <c r="Z258" s="36">
        <f t="shared" ref="Z258:Z263" si="23">IFERROR(IF(X258="","",X258*0.00936),"")</f>
        <v>0.6552</v>
      </c>
      <c r="AA258" s="56"/>
      <c r="AB258" s="57"/>
      <c r="AC258" s="246" t="s">
        <v>349</v>
      </c>
      <c r="AG258" s="67"/>
      <c r="AJ258" s="71" t="s">
        <v>111</v>
      </c>
      <c r="AK258" s="71">
        <v>14</v>
      </c>
      <c r="BB258" s="247" t="s">
        <v>100</v>
      </c>
      <c r="BM258" s="67">
        <f t="shared" si="19"/>
        <v>223.44</v>
      </c>
      <c r="BN258" s="67">
        <f t="shared" si="20"/>
        <v>223.44</v>
      </c>
      <c r="BO258" s="67">
        <f t="shared" si="21"/>
        <v>0.55555555555555558</v>
      </c>
      <c r="BP258" s="67">
        <f t="shared" si="22"/>
        <v>0.55555555555555558</v>
      </c>
    </row>
    <row r="259" spans="1:68" ht="27" customHeight="1" x14ac:dyDescent="0.25">
      <c r="A259" s="54" t="s">
        <v>354</v>
      </c>
      <c r="B259" s="54" t="s">
        <v>355</v>
      </c>
      <c r="C259" s="31">
        <v>4301135375</v>
      </c>
      <c r="D259" s="272">
        <v>4640242181486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96</v>
      </c>
      <c r="L259" s="32" t="s">
        <v>109</v>
      </c>
      <c r="M259" s="33" t="s">
        <v>69</v>
      </c>
      <c r="N259" s="33"/>
      <c r="O259" s="32">
        <v>180</v>
      </c>
      <c r="P259" s="3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70</v>
      </c>
      <c r="X259" s="268">
        <v>42</v>
      </c>
      <c r="Y259" s="269">
        <f t="shared" si="18"/>
        <v>42</v>
      </c>
      <c r="Z259" s="36">
        <f t="shared" si="23"/>
        <v>0.39312000000000002</v>
      </c>
      <c r="AA259" s="56"/>
      <c r="AB259" s="57"/>
      <c r="AC259" s="248" t="s">
        <v>346</v>
      </c>
      <c r="AG259" s="67"/>
      <c r="AJ259" s="71" t="s">
        <v>111</v>
      </c>
      <c r="AK259" s="71">
        <v>14</v>
      </c>
      <c r="BB259" s="249" t="s">
        <v>100</v>
      </c>
      <c r="BM259" s="67">
        <f t="shared" si="19"/>
        <v>163.464</v>
      </c>
      <c r="BN259" s="67">
        <f t="shared" si="20"/>
        <v>163.464</v>
      </c>
      <c r="BO259" s="67">
        <f t="shared" si="21"/>
        <v>0.33333333333333331</v>
      </c>
      <c r="BP259" s="67">
        <f t="shared" si="22"/>
        <v>0.33333333333333331</v>
      </c>
    </row>
    <row r="260" spans="1:68" ht="37.5" customHeight="1" x14ac:dyDescent="0.25">
      <c r="A260" s="54" t="s">
        <v>356</v>
      </c>
      <c r="B260" s="54" t="s">
        <v>357</v>
      </c>
      <c r="C260" s="31">
        <v>4301135402</v>
      </c>
      <c r="D260" s="272">
        <v>4640242181493</v>
      </c>
      <c r="E260" s="273"/>
      <c r="F260" s="267">
        <v>3.7</v>
      </c>
      <c r="G260" s="32">
        <v>1</v>
      </c>
      <c r="H260" s="267">
        <v>3.7</v>
      </c>
      <c r="I260" s="267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38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0" s="275"/>
      <c r="R260" s="275"/>
      <c r="S260" s="275"/>
      <c r="T260" s="276"/>
      <c r="U260" s="34"/>
      <c r="V260" s="34"/>
      <c r="W260" s="35" t="s">
        <v>70</v>
      </c>
      <c r="X260" s="268">
        <v>0</v>
      </c>
      <c r="Y260" s="269">
        <f t="shared" si="18"/>
        <v>0</v>
      </c>
      <c r="Z260" s="36">
        <f t="shared" si="23"/>
        <v>0</v>
      </c>
      <c r="AA260" s="56"/>
      <c r="AB260" s="57"/>
      <c r="AC260" s="250" t="s">
        <v>346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37.5" customHeight="1" x14ac:dyDescent="0.25">
      <c r="A261" s="54" t="s">
        <v>358</v>
      </c>
      <c r="B261" s="54" t="s">
        <v>359</v>
      </c>
      <c r="C261" s="31">
        <v>4301135403</v>
      </c>
      <c r="D261" s="272">
        <v>4640242181509</v>
      </c>
      <c r="E261" s="273"/>
      <c r="F261" s="267">
        <v>3.7</v>
      </c>
      <c r="G261" s="32">
        <v>1</v>
      </c>
      <c r="H261" s="267">
        <v>3.7</v>
      </c>
      <c r="I261" s="267">
        <v>3.8919999999999999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1" s="275"/>
      <c r="R261" s="275"/>
      <c r="S261" s="275"/>
      <c r="T261" s="276"/>
      <c r="U261" s="34"/>
      <c r="V261" s="34"/>
      <c r="W261" s="35" t="s">
        <v>70</v>
      </c>
      <c r="X261" s="268">
        <v>0</v>
      </c>
      <c r="Y261" s="269">
        <f t="shared" si="18"/>
        <v>0</v>
      </c>
      <c r="Z261" s="36">
        <f t="shared" si="23"/>
        <v>0</v>
      </c>
      <c r="AA261" s="56"/>
      <c r="AB261" s="57"/>
      <c r="AC261" s="252" t="s">
        <v>346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customHeight="1" x14ac:dyDescent="0.25">
      <c r="A262" s="54" t="s">
        <v>360</v>
      </c>
      <c r="B262" s="54" t="s">
        <v>361</v>
      </c>
      <c r="C262" s="31">
        <v>4301135304</v>
      </c>
      <c r="D262" s="272">
        <v>4640242181240</v>
      </c>
      <c r="E262" s="273"/>
      <c r="F262" s="267">
        <v>0.3</v>
      </c>
      <c r="G262" s="32">
        <v>9</v>
      </c>
      <c r="H262" s="267">
        <v>2.7</v>
      </c>
      <c r="I262" s="267">
        <v>2.88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2" s="275"/>
      <c r="R262" s="275"/>
      <c r="S262" s="275"/>
      <c r="T262" s="276"/>
      <c r="U262" s="34"/>
      <c r="V262" s="34"/>
      <c r="W262" s="35" t="s">
        <v>70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customHeight="1" x14ac:dyDescent="0.25">
      <c r="A263" s="54" t="s">
        <v>362</v>
      </c>
      <c r="B263" s="54" t="s">
        <v>363</v>
      </c>
      <c r="C263" s="31">
        <v>4301135610</v>
      </c>
      <c r="D263" s="272">
        <v>4640242181318</v>
      </c>
      <c r="E263" s="273"/>
      <c r="F263" s="267">
        <v>0.3</v>
      </c>
      <c r="G263" s="32">
        <v>9</v>
      </c>
      <c r="H263" s="267">
        <v>2.7</v>
      </c>
      <c r="I263" s="267">
        <v>2.988</v>
      </c>
      <c r="J263" s="32">
        <v>126</v>
      </c>
      <c r="K263" s="32" t="s">
        <v>96</v>
      </c>
      <c r="L263" s="32" t="s">
        <v>68</v>
      </c>
      <c r="M263" s="33" t="s">
        <v>69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3" s="275"/>
      <c r="R263" s="275"/>
      <c r="S263" s="275"/>
      <c r="T263" s="276"/>
      <c r="U263" s="34"/>
      <c r="V263" s="34"/>
      <c r="W263" s="35" t="s">
        <v>70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6" t="s">
        <v>349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364</v>
      </c>
      <c r="B264" s="54" t="s">
        <v>365</v>
      </c>
      <c r="C264" s="31">
        <v>4301135306</v>
      </c>
      <c r="D264" s="272">
        <v>4640242181387</v>
      </c>
      <c r="E264" s="273"/>
      <c r="F264" s="267">
        <v>0.3</v>
      </c>
      <c r="G264" s="32">
        <v>9</v>
      </c>
      <c r="H264" s="267">
        <v>2.7</v>
      </c>
      <c r="I264" s="267">
        <v>2.8450000000000002</v>
      </c>
      <c r="J264" s="32">
        <v>234</v>
      </c>
      <c r="K264" s="32" t="s">
        <v>150</v>
      </c>
      <c r="L264" s="32" t="s">
        <v>68</v>
      </c>
      <c r="M264" s="33" t="s">
        <v>69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4" s="275"/>
      <c r="R264" s="275"/>
      <c r="S264" s="275"/>
      <c r="T264" s="276"/>
      <c r="U264" s="34"/>
      <c r="V264" s="34"/>
      <c r="W264" s="35" t="s">
        <v>70</v>
      </c>
      <c r="X264" s="268">
        <v>0</v>
      </c>
      <c r="Y264" s="269">
        <f t="shared" si="18"/>
        <v>0</v>
      </c>
      <c r="Z264" s="36">
        <f>IFERROR(IF(X264="","",X264*0.00502),"")</f>
        <v>0</v>
      </c>
      <c r="AA264" s="56"/>
      <c r="AB264" s="57"/>
      <c r="AC264" s="258" t="s">
        <v>346</v>
      </c>
      <c r="AG264" s="67"/>
      <c r="AJ264" s="71" t="s">
        <v>72</v>
      </c>
      <c r="AK264" s="71">
        <v>1</v>
      </c>
      <c r="BB264" s="259" t="s">
        <v>100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x14ac:dyDescent="0.2">
      <c r="A265" s="289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90"/>
      <c r="P265" s="277" t="s">
        <v>83</v>
      </c>
      <c r="Q265" s="278"/>
      <c r="R265" s="278"/>
      <c r="S265" s="278"/>
      <c r="T265" s="278"/>
      <c r="U265" s="278"/>
      <c r="V265" s="279"/>
      <c r="W265" s="37" t="s">
        <v>70</v>
      </c>
      <c r="X265" s="270">
        <f>IFERROR(SUM(X255:X264),"0")</f>
        <v>124</v>
      </c>
      <c r="Y265" s="270">
        <f>IFERROR(SUM(Y255:Y264),"0")</f>
        <v>124</v>
      </c>
      <c r="Z265" s="270">
        <f>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+IFERROR(IF(Z264="",0,Z264),"0")</f>
        <v>1.2343199999999999</v>
      </c>
      <c r="AA265" s="271"/>
      <c r="AB265" s="271"/>
      <c r="AC265" s="271"/>
    </row>
    <row r="266" spans="1:68" x14ac:dyDescent="0.2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90"/>
      <c r="P266" s="277" t="s">
        <v>83</v>
      </c>
      <c r="Q266" s="278"/>
      <c r="R266" s="278"/>
      <c r="S266" s="278"/>
      <c r="T266" s="278"/>
      <c r="U266" s="278"/>
      <c r="V266" s="279"/>
      <c r="W266" s="37" t="s">
        <v>84</v>
      </c>
      <c r="X266" s="270">
        <f>IFERROR(SUMPRODUCT(X255:X264*H255:H264),"0")</f>
        <v>431.4</v>
      </c>
      <c r="Y266" s="270">
        <f>IFERROR(SUMPRODUCT(Y255:Y264*H255:H264),"0")</f>
        <v>431.4</v>
      </c>
      <c r="Z266" s="37"/>
      <c r="AA266" s="271"/>
      <c r="AB266" s="271"/>
      <c r="AC266" s="271"/>
    </row>
    <row r="267" spans="1:68" ht="15" customHeight="1" x14ac:dyDescent="0.2">
      <c r="A267" s="330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331"/>
      <c r="P267" s="320" t="s">
        <v>366</v>
      </c>
      <c r="Q267" s="321"/>
      <c r="R267" s="321"/>
      <c r="S267" s="321"/>
      <c r="T267" s="321"/>
      <c r="U267" s="321"/>
      <c r="V267" s="322"/>
      <c r="W267" s="37" t="s">
        <v>84</v>
      </c>
      <c r="X267" s="270">
        <f>IFERROR(X29+X35+X42+X49+X57+X62+X66+X71+X77+X83+X88+X94+X104+X110+X122+X127+X131+X137+X143+X149+X154+X159+X164+X169+X176+X185+X189+X195+X203+X208+X214+X220+X226+X232+X236+X243+X247+X253+X266,"0")</f>
        <v>12942.6</v>
      </c>
      <c r="Y267" s="270">
        <f>IFERROR(Y29+Y35+Y42+Y49+Y57+Y62+Y66+Y71+Y77+Y83+Y88+Y94+Y104+Y110+Y122+Y127+Y131+Y137+Y143+Y149+Y154+Y159+Y164+Y169+Y176+Y185+Y189+Y195+Y203+Y208+Y214+Y220+Y226+Y232+Y236+Y243+Y247+Y253+Y266,"0")</f>
        <v>12942.6</v>
      </c>
      <c r="Z267" s="37"/>
      <c r="AA267" s="271"/>
      <c r="AB267" s="271"/>
      <c r="AC267" s="271"/>
    </row>
    <row r="268" spans="1:68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331"/>
      <c r="P268" s="320" t="s">
        <v>367</v>
      </c>
      <c r="Q268" s="321"/>
      <c r="R268" s="321"/>
      <c r="S268" s="321"/>
      <c r="T268" s="321"/>
      <c r="U268" s="321"/>
      <c r="V268" s="322"/>
      <c r="W268" s="37" t="s">
        <v>84</v>
      </c>
      <c r="X268" s="270">
        <f>IFERROR(SUM(BM22:BM264),"0")</f>
        <v>14157.699599999994</v>
      </c>
      <c r="Y268" s="270">
        <f>IFERROR(SUM(BN22:BN264),"0")</f>
        <v>14157.699599999994</v>
      </c>
      <c r="Z268" s="37"/>
      <c r="AA268" s="271"/>
      <c r="AB268" s="271"/>
      <c r="AC268" s="271"/>
    </row>
    <row r="269" spans="1:68" x14ac:dyDescent="0.2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331"/>
      <c r="P269" s="320" t="s">
        <v>368</v>
      </c>
      <c r="Q269" s="321"/>
      <c r="R269" s="321"/>
      <c r="S269" s="321"/>
      <c r="T269" s="321"/>
      <c r="U269" s="321"/>
      <c r="V269" s="322"/>
      <c r="W269" s="37" t="s">
        <v>369</v>
      </c>
      <c r="X269" s="38">
        <f>ROUNDUP(SUM(BO22:BO264),0)</f>
        <v>35</v>
      </c>
      <c r="Y269" s="38">
        <f>ROUNDUP(SUM(BP22:BP264),0)</f>
        <v>35</v>
      </c>
      <c r="Z269" s="37"/>
      <c r="AA269" s="271"/>
      <c r="AB269" s="271"/>
      <c r="AC269" s="271"/>
    </row>
    <row r="270" spans="1:68" x14ac:dyDescent="0.2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331"/>
      <c r="P270" s="320" t="s">
        <v>370</v>
      </c>
      <c r="Q270" s="321"/>
      <c r="R270" s="321"/>
      <c r="S270" s="321"/>
      <c r="T270" s="321"/>
      <c r="U270" s="321"/>
      <c r="V270" s="322"/>
      <c r="W270" s="37" t="s">
        <v>84</v>
      </c>
      <c r="X270" s="270">
        <f>GrossWeightTotal+PalletQtyTotal*25</f>
        <v>15032.699599999994</v>
      </c>
      <c r="Y270" s="270">
        <f>GrossWeightTotalR+PalletQtyTotalR*25</f>
        <v>15032.699599999994</v>
      </c>
      <c r="Z270" s="37"/>
      <c r="AA270" s="271"/>
      <c r="AB270" s="271"/>
      <c r="AC270" s="271"/>
    </row>
    <row r="271" spans="1:68" x14ac:dyDescent="0.2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331"/>
      <c r="P271" s="320" t="s">
        <v>371</v>
      </c>
      <c r="Q271" s="321"/>
      <c r="R271" s="321"/>
      <c r="S271" s="321"/>
      <c r="T271" s="321"/>
      <c r="U271" s="321"/>
      <c r="V271" s="322"/>
      <c r="W271" s="37" t="s">
        <v>369</v>
      </c>
      <c r="X271" s="270">
        <f>IFERROR(X28+X34+X41+X48+X56+X61+X65+X70+X76+X82+X87+X93+X103+X109+X121+X126+X130+X136+X142+X148+X153+X158+X163+X168+X175+X184+X188+X194+X202+X207+X213+X219+X225+X231+X235+X242+X246+X252+X265,"0")</f>
        <v>2924</v>
      </c>
      <c r="Y271" s="270">
        <f>IFERROR(Y28+Y34+Y41+Y48+Y56+Y61+Y65+Y70+Y76+Y82+Y87+Y93+Y103+Y109+Y121+Y126+Y130+Y136+Y142+Y148+Y153+Y158+Y163+Y168+Y175+Y184+Y188+Y194+Y202+Y207+Y213+Y219+Y225+Y231+Y235+Y242+Y246+Y252+Y265,"0")</f>
        <v>2924</v>
      </c>
      <c r="Z271" s="37"/>
      <c r="AA271" s="271"/>
      <c r="AB271" s="271"/>
      <c r="AC271" s="271"/>
    </row>
    <row r="272" spans="1:68" ht="14.25" customHeight="1" x14ac:dyDescent="0.2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31"/>
      <c r="P272" s="320" t="s">
        <v>372</v>
      </c>
      <c r="Q272" s="321"/>
      <c r="R272" s="321"/>
      <c r="S272" s="321"/>
      <c r="T272" s="321"/>
      <c r="U272" s="321"/>
      <c r="V272" s="322"/>
      <c r="W272" s="39" t="s">
        <v>373</v>
      </c>
      <c r="X272" s="37"/>
      <c r="Y272" s="37"/>
      <c r="Z272" s="37">
        <f>IFERROR(Z28+Z34+Z41+Z48+Z56+Z61+Z65+Z70+Z76+Z82+Z87+Z93+Z103+Z109+Z121+Z126+Z130+Z136+Z142+Z148+Z153+Z158+Z163+Z168+Z175+Z184+Z188+Z194+Z202+Z207+Z213+Z219+Z225+Z231+Z235+Z242+Z246+Z252+Z265,"0")</f>
        <v>43.947559999999996</v>
      </c>
      <c r="AA272" s="271"/>
      <c r="AB272" s="271"/>
      <c r="AC272" s="271"/>
    </row>
    <row r="273" spans="1:32" ht="13.5" customHeight="1" thickBot="1" x14ac:dyDescent="0.25"/>
    <row r="274" spans="1:32" ht="27" customHeight="1" thickTop="1" thickBot="1" x14ac:dyDescent="0.25">
      <c r="A274" s="40" t="s">
        <v>374</v>
      </c>
      <c r="B274" s="280" t="s">
        <v>63</v>
      </c>
      <c r="C274" s="417"/>
      <c r="D274" s="280" t="s">
        <v>91</v>
      </c>
      <c r="E274" s="416"/>
      <c r="F274" s="416"/>
      <c r="G274" s="416"/>
      <c r="H274" s="416"/>
      <c r="I274" s="416"/>
      <c r="J274" s="416"/>
      <c r="K274" s="416"/>
      <c r="L274" s="416"/>
      <c r="M274" s="416"/>
      <c r="N274" s="416"/>
      <c r="O274" s="416"/>
      <c r="P274" s="416"/>
      <c r="Q274" s="416"/>
      <c r="R274" s="416"/>
      <c r="S274" s="416"/>
      <c r="T274" s="416"/>
      <c r="U274" s="417"/>
      <c r="V274" s="260" t="s">
        <v>252</v>
      </c>
      <c r="W274" s="260" t="s">
        <v>260</v>
      </c>
      <c r="X274" s="280" t="s">
        <v>282</v>
      </c>
      <c r="Y274" s="416"/>
      <c r="Z274" s="417"/>
      <c r="AA274" s="260" t="s">
        <v>311</v>
      </c>
      <c r="AB274" s="260" t="s">
        <v>316</v>
      </c>
      <c r="AC274" s="260" t="s">
        <v>320</v>
      </c>
      <c r="AD274" s="260" t="s">
        <v>328</v>
      </c>
      <c r="AF274" s="261"/>
    </row>
    <row r="275" spans="1:32" ht="14.25" customHeight="1" thickTop="1" x14ac:dyDescent="0.2">
      <c r="A275" s="368" t="s">
        <v>375</v>
      </c>
      <c r="B275" s="280" t="s">
        <v>63</v>
      </c>
      <c r="C275" s="280" t="s">
        <v>85</v>
      </c>
      <c r="D275" s="280" t="s">
        <v>92</v>
      </c>
      <c r="E275" s="280" t="s">
        <v>103</v>
      </c>
      <c r="F275" s="280" t="s">
        <v>115</v>
      </c>
      <c r="G275" s="280" t="s">
        <v>126</v>
      </c>
      <c r="H275" s="280" t="s">
        <v>147</v>
      </c>
      <c r="I275" s="280" t="s">
        <v>154</v>
      </c>
      <c r="J275" s="280" t="s">
        <v>158</v>
      </c>
      <c r="K275" s="280" t="s">
        <v>166</v>
      </c>
      <c r="L275" s="280" t="s">
        <v>181</v>
      </c>
      <c r="M275" s="280" t="s">
        <v>187</v>
      </c>
      <c r="N275" s="261"/>
      <c r="O275" s="280" t="s">
        <v>218</v>
      </c>
      <c r="P275" s="280" t="s">
        <v>224</v>
      </c>
      <c r="Q275" s="280" t="s">
        <v>231</v>
      </c>
      <c r="R275" s="280" t="s">
        <v>236</v>
      </c>
      <c r="S275" s="280" t="s">
        <v>240</v>
      </c>
      <c r="T275" s="280" t="s">
        <v>243</v>
      </c>
      <c r="U275" s="280" t="s">
        <v>248</v>
      </c>
      <c r="V275" s="280" t="s">
        <v>253</v>
      </c>
      <c r="W275" s="280" t="s">
        <v>261</v>
      </c>
      <c r="X275" s="280" t="s">
        <v>283</v>
      </c>
      <c r="Y275" s="280" t="s">
        <v>301</v>
      </c>
      <c r="Z275" s="280" t="s">
        <v>305</v>
      </c>
      <c r="AA275" s="280" t="s">
        <v>312</v>
      </c>
      <c r="AB275" s="280" t="s">
        <v>317</v>
      </c>
      <c r="AC275" s="280" t="s">
        <v>321</v>
      </c>
      <c r="AD275" s="280" t="s">
        <v>328</v>
      </c>
      <c r="AF275" s="261"/>
    </row>
    <row r="276" spans="1:32" ht="13.5" customHeight="1" thickBot="1" x14ac:dyDescent="0.25">
      <c r="A276" s="369"/>
      <c r="B276" s="281"/>
      <c r="C276" s="281"/>
      <c r="D276" s="281"/>
      <c r="E276" s="281"/>
      <c r="F276" s="281"/>
      <c r="G276" s="281"/>
      <c r="H276" s="281"/>
      <c r="I276" s="281"/>
      <c r="J276" s="281"/>
      <c r="K276" s="281"/>
      <c r="L276" s="281"/>
      <c r="M276" s="281"/>
      <c r="N276" s="261"/>
      <c r="O276" s="281"/>
      <c r="P276" s="281"/>
      <c r="Q276" s="281"/>
      <c r="R276" s="281"/>
      <c r="S276" s="281"/>
      <c r="T276" s="281"/>
      <c r="U276" s="281"/>
      <c r="V276" s="281"/>
      <c r="W276" s="281"/>
      <c r="X276" s="281"/>
      <c r="Y276" s="281"/>
      <c r="Z276" s="281"/>
      <c r="AA276" s="281"/>
      <c r="AB276" s="281"/>
      <c r="AC276" s="281"/>
      <c r="AD276" s="281"/>
      <c r="AF276" s="261"/>
    </row>
    <row r="277" spans="1:32" ht="18" customHeight="1" thickTop="1" thickBot="1" x14ac:dyDescent="0.25">
      <c r="A277" s="40" t="s">
        <v>376</v>
      </c>
      <c r="B277" s="46">
        <f>IFERROR(X22*H22,"0")+IFERROR(X23*H23,"0")+IFERROR(X24*H24,"0")+IFERROR(X25*H25,"0")+IFERROR(X26*H26,"0")+IFERROR(X27*H27,"0")</f>
        <v>518.4</v>
      </c>
      <c r="C277" s="46">
        <f>IFERROR(X32*H32,"0")+IFERROR(X33*H33,"0")</f>
        <v>76.800000000000011</v>
      </c>
      <c r="D277" s="46">
        <f>IFERROR(X39*H39,"0")+IFERROR(X40*H40,"0")</f>
        <v>231</v>
      </c>
      <c r="E277" s="46">
        <f>IFERROR(X45*H45,"0")+IFERROR(X46*H46,"0")+IFERROR(X47*H47,"0")</f>
        <v>0</v>
      </c>
      <c r="F277" s="46">
        <f>IFERROR(X52*H52,"0")+IFERROR(X53*H53,"0")+IFERROR(X54*H54,"0")+IFERROR(X55*H55,"0")</f>
        <v>1764</v>
      </c>
      <c r="G277" s="46">
        <f>IFERROR(X60*H60,"0")+IFERROR(X64*H64,"0")+IFERROR(X68*H68,"0")+IFERROR(X69*H69,"0")+IFERROR(X73*H73,"0")+IFERROR(X74*H74,"0")+IFERROR(X75*H75,"0")</f>
        <v>50.400000000000006</v>
      </c>
      <c r="H277" s="46">
        <f>IFERROR(X80*H80,"0")+IFERROR(X81*H81,"0")</f>
        <v>1200</v>
      </c>
      <c r="I277" s="46">
        <f>IFERROR(X86*H86,"0")</f>
        <v>50.4</v>
      </c>
      <c r="J277" s="46">
        <f>IFERROR(X91*H91,"0")+IFERROR(X92*H92,"0")</f>
        <v>352.8</v>
      </c>
      <c r="K277" s="46">
        <f>IFERROR(X97*H97,"0")+IFERROR(X98*H98,"0")+IFERROR(X99*H99,"0")+IFERROR(X100*H100,"0")+IFERROR(X101*H101,"0")+IFERROR(X102*H102,"0")</f>
        <v>604.79999999999995</v>
      </c>
      <c r="L277" s="46">
        <f>IFERROR(X107*H107,"0")+IFERROR(X108*H108,"0")</f>
        <v>60.480000000000004</v>
      </c>
      <c r="M277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4053.6000000000004</v>
      </c>
      <c r="N277" s="261"/>
      <c r="O277" s="46">
        <f>IFERROR(X134*H134,"0")+IFERROR(X135*H135,"0")</f>
        <v>714</v>
      </c>
      <c r="P277" s="46">
        <f>IFERROR(X140*H140,"0")+IFERROR(X141*H141,"0")</f>
        <v>378</v>
      </c>
      <c r="Q277" s="46">
        <f>IFERROR(X146*H146,"0")+IFERROR(X147*H147,"0")</f>
        <v>201.6</v>
      </c>
      <c r="R277" s="46">
        <f>IFERROR(X152*H152,"0")</f>
        <v>42</v>
      </c>
      <c r="S277" s="46">
        <f>IFERROR(X157*H157,"0")</f>
        <v>37.800000000000004</v>
      </c>
      <c r="T277" s="46">
        <f>IFERROR(X162*H162,"0")</f>
        <v>0</v>
      </c>
      <c r="U277" s="46">
        <f>IFERROR(X167*H167,"0")</f>
        <v>0</v>
      </c>
      <c r="V277" s="46">
        <f>IFERROR(X173*H173,"0")+IFERROR(X174*H174,"0")</f>
        <v>360</v>
      </c>
      <c r="W277" s="46">
        <f>IFERROR(X180*H180,"0")+IFERROR(X181*H181,"0")+IFERROR(X182*H182,"0")+IFERROR(X183*H183,"0")+IFERROR(X187*H187,"0")</f>
        <v>1092</v>
      </c>
      <c r="X277" s="46">
        <f>IFERROR(X193*H193,"0")+IFERROR(X197*H197,"0")+IFERROR(X198*H198,"0")+IFERROR(X199*H199,"0")+IFERROR(X200*H200,"0")+IFERROR(X201*H201,"0")</f>
        <v>183.11999999999998</v>
      </c>
      <c r="Y277" s="46">
        <f>IFERROR(X206*H206,"0")</f>
        <v>180</v>
      </c>
      <c r="Z277" s="46">
        <f>IFERROR(X211*H211,"0")+IFERROR(X212*H212,"0")</f>
        <v>0</v>
      </c>
      <c r="AA277" s="46">
        <f>IFERROR(X218*H218,"0")</f>
        <v>0</v>
      </c>
      <c r="AB277" s="46">
        <f>IFERROR(X224*H224,"0")</f>
        <v>360</v>
      </c>
      <c r="AC277" s="46">
        <f>IFERROR(X230*H230,"0")+IFERROR(X234*H234,"0")</f>
        <v>0</v>
      </c>
      <c r="AD277" s="46">
        <f>IFERROR(X240*H240,"0")+IFERROR(X241*H241,"0")+IFERROR(X245*H245,"0")+IFERROR(X249*H249,"0")+IFERROR(X250*H250,"0")+IFERROR(X251*H251,"0")+IFERROR(X255*H255,"0")+IFERROR(X256*H256,"0")+IFERROR(X257*H257,"0")+IFERROR(X258*H258,"0")+IFERROR(X259*H259,"0")+IFERROR(X260*H260,"0")+IFERROR(X261*H261,"0")+IFERROR(X262*H262,"0")+IFERROR(X263*H263,"0")+IFERROR(X264*H264,"0")</f>
        <v>431.4</v>
      </c>
      <c r="AF277" s="261"/>
    </row>
    <row r="278" spans="1:32" ht="13.5" customHeight="1" thickTop="1" x14ac:dyDescent="0.2">
      <c r="C278" s="261"/>
    </row>
    <row r="279" spans="1:32" ht="19.5" customHeight="1" x14ac:dyDescent="0.2">
      <c r="A279" s="58" t="s">
        <v>377</v>
      </c>
      <c r="B279" s="58" t="s">
        <v>378</v>
      </c>
      <c r="C279" s="58" t="s">
        <v>379</v>
      </c>
    </row>
    <row r="280" spans="1:32" x14ac:dyDescent="0.2">
      <c r="A280" s="59">
        <f>SUMPRODUCT(--(BB:BB="ЗПФ"),--(W:W="кор"),H:H,Y:Y)+SUMPRODUCT(--(BB:BB="ЗПФ"),--(W:W="кг"),Y:Y)</f>
        <v>8440.7999999999993</v>
      </c>
      <c r="B280" s="60">
        <f>SUMPRODUCT(--(BB:BB="ПГП"),--(W:W="кор"),H:H,Y:Y)+SUMPRODUCT(--(BB:BB="ПГП"),--(W:W="кг"),Y:Y)</f>
        <v>4501.8</v>
      </c>
      <c r="C280" s="60">
        <f>SUMPRODUCT(--(BB:BB="КИЗ"),--(W:W="кор"),H:H,Y:Y)+SUMPRODUCT(--(BB:BB="КИЗ"),--(W:W="кг"),Y:Y)</f>
        <v>0</v>
      </c>
    </row>
  </sheetData>
  <sheetProtection algorithmName="SHA-512" hashValue="TRpqM8dX4SwdF2OAiWDwmAUMml53OPdmomJHjEJafMyankdsPXDbKoUUGoqQ+9TAbPksN2cm2V4m10MDJOmlEQ==" saltValue="25TPb3N9mve5WdTnf+0k6g==" spinCount="100000" sheet="1" objects="1" scenarios="1" sort="0" autoFilter="0" pivotTables="0"/>
  <autoFilter ref="A18:AF27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86">
    <mergeCell ref="P272:V272"/>
    <mergeCell ref="D54:E54"/>
    <mergeCell ref="P185:V185"/>
    <mergeCell ref="V12:W12"/>
    <mergeCell ref="D262:E262"/>
    <mergeCell ref="P122:V122"/>
    <mergeCell ref="A265:O266"/>
    <mergeCell ref="P25:T25"/>
    <mergeCell ref="D275:D276"/>
    <mergeCell ref="A30:Z30"/>
    <mergeCell ref="A142:O143"/>
    <mergeCell ref="A202:O203"/>
    <mergeCell ref="P60:T60"/>
    <mergeCell ref="M275:M276"/>
    <mergeCell ref="P174:T174"/>
    <mergeCell ref="U17:V17"/>
    <mergeCell ref="Y17:Y18"/>
    <mergeCell ref="P124:T124"/>
    <mergeCell ref="P163:V163"/>
    <mergeCell ref="D32:E32"/>
    <mergeCell ref="D97:E97"/>
    <mergeCell ref="P76:V76"/>
    <mergeCell ref="A128:Z128"/>
    <mergeCell ref="A217:Z217"/>
    <mergeCell ref="AD17:AF18"/>
    <mergeCell ref="D101:E101"/>
    <mergeCell ref="P142:V142"/>
    <mergeCell ref="A132:Z132"/>
    <mergeCell ref="F5:G5"/>
    <mergeCell ref="A172:Z172"/>
    <mergeCell ref="E275:E276"/>
    <mergeCell ref="P169:V169"/>
    <mergeCell ref="G275:G276"/>
    <mergeCell ref="A221:Z221"/>
    <mergeCell ref="A223:Z223"/>
    <mergeCell ref="V11:W11"/>
    <mergeCell ref="P75:T75"/>
    <mergeCell ref="P146:T146"/>
    <mergeCell ref="D152:E152"/>
    <mergeCell ref="A136:O137"/>
    <mergeCell ref="A254:Z254"/>
    <mergeCell ref="P181:T181"/>
    <mergeCell ref="D23:E23"/>
    <mergeCell ref="P195:V195"/>
    <mergeCell ref="A20:Z20"/>
    <mergeCell ref="A194:O195"/>
    <mergeCell ref="AB275:AB276"/>
    <mergeCell ref="A112:Z112"/>
    <mergeCell ref="P2:W3"/>
    <mergeCell ref="P198:T198"/>
    <mergeCell ref="A43:Z43"/>
    <mergeCell ref="P54:T54"/>
    <mergeCell ref="D241:E241"/>
    <mergeCell ref="A170:Z170"/>
    <mergeCell ref="D10:E10"/>
    <mergeCell ref="P64:T64"/>
    <mergeCell ref="Z275:Z276"/>
    <mergeCell ref="F10:G10"/>
    <mergeCell ref="A121:O122"/>
    <mergeCell ref="P135:T135"/>
    <mergeCell ref="D99:E99"/>
    <mergeCell ref="P66:V66"/>
    <mergeCell ref="P137:V137"/>
    <mergeCell ref="D218:E218"/>
    <mergeCell ref="A191:Z191"/>
    <mergeCell ref="D249:E249"/>
    <mergeCell ref="A51:Z51"/>
    <mergeCell ref="P262:T262"/>
    <mergeCell ref="A178:Z178"/>
    <mergeCell ref="X274:Z274"/>
    <mergeCell ref="N17:N18"/>
    <mergeCell ref="Q5:R5"/>
    <mergeCell ref="AC275:AC276"/>
    <mergeCell ref="D86:E86"/>
    <mergeCell ref="D257:E257"/>
    <mergeCell ref="P107:T107"/>
    <mergeCell ref="P101:T101"/>
    <mergeCell ref="P194:V194"/>
    <mergeCell ref="A103:O104"/>
    <mergeCell ref="A233:Z233"/>
    <mergeCell ref="M17:M18"/>
    <mergeCell ref="A168:O169"/>
    <mergeCell ref="O17:O18"/>
    <mergeCell ref="P131:V131"/>
    <mergeCell ref="A248:Z248"/>
    <mergeCell ref="P102:T102"/>
    <mergeCell ref="P189:V189"/>
    <mergeCell ref="D33:E33"/>
    <mergeCell ref="A106:Z106"/>
    <mergeCell ref="P183:T183"/>
    <mergeCell ref="F17:F18"/>
    <mergeCell ref="D120:E120"/>
    <mergeCell ref="P199:T199"/>
    <mergeCell ref="D107:E107"/>
    <mergeCell ref="D234:E234"/>
    <mergeCell ref="P263:T263"/>
    <mergeCell ref="AA275:AA276"/>
    <mergeCell ref="P46:T46"/>
    <mergeCell ref="B274:C274"/>
    <mergeCell ref="A227:Z227"/>
    <mergeCell ref="D200:E200"/>
    <mergeCell ref="A9:C9"/>
    <mergeCell ref="P125:T125"/>
    <mergeCell ref="A242:O243"/>
    <mergeCell ref="A179:Z179"/>
    <mergeCell ref="H275:H276"/>
    <mergeCell ref="P70:V70"/>
    <mergeCell ref="A219:O220"/>
    <mergeCell ref="A156:Z156"/>
    <mergeCell ref="P103:V103"/>
    <mergeCell ref="Q13:R13"/>
    <mergeCell ref="A155:Z155"/>
    <mergeCell ref="P268:V268"/>
    <mergeCell ref="P201:T201"/>
    <mergeCell ref="P114:T114"/>
    <mergeCell ref="P241:T241"/>
    <mergeCell ref="D22:E22"/>
    <mergeCell ref="A222:Z222"/>
    <mergeCell ref="P200:T200"/>
    <mergeCell ref="P134:T134"/>
    <mergeCell ref="S275:S276"/>
    <mergeCell ref="D6:M6"/>
    <mergeCell ref="P266:V266"/>
    <mergeCell ref="A85:Z85"/>
    <mergeCell ref="P162:T162"/>
    <mergeCell ref="F275:F276"/>
    <mergeCell ref="P33:T33"/>
    <mergeCell ref="D256:E256"/>
    <mergeCell ref="A231:O232"/>
    <mergeCell ref="G17:G18"/>
    <mergeCell ref="P57:V57"/>
    <mergeCell ref="P184:V184"/>
    <mergeCell ref="P242:V242"/>
    <mergeCell ref="D80:E80"/>
    <mergeCell ref="P121:V121"/>
    <mergeCell ref="P42:V42"/>
    <mergeCell ref="Y275:Y276"/>
    <mergeCell ref="D274:U274"/>
    <mergeCell ref="P148:V148"/>
    <mergeCell ref="Q6:R6"/>
    <mergeCell ref="D102:E102"/>
    <mergeCell ref="P208:V208"/>
    <mergeCell ref="A204:Z204"/>
    <mergeCell ref="D25:E25"/>
    <mergeCell ref="P271:V271"/>
    <mergeCell ref="P94:V94"/>
    <mergeCell ref="A90:Z90"/>
    <mergeCell ref="P265:V265"/>
    <mergeCell ref="H5:M5"/>
    <mergeCell ref="P158:V158"/>
    <mergeCell ref="P98:T98"/>
    <mergeCell ref="D212:E212"/>
    <mergeCell ref="D146:E146"/>
    <mergeCell ref="A126:O127"/>
    <mergeCell ref="P219:V219"/>
    <mergeCell ref="A8:C8"/>
    <mergeCell ref="A10:C10"/>
    <mergeCell ref="P218:T218"/>
    <mergeCell ref="A21:Z21"/>
    <mergeCell ref="A192:Z192"/>
    <mergeCell ref="D17:E18"/>
    <mergeCell ref="D173:E173"/>
    <mergeCell ref="A213:O214"/>
    <mergeCell ref="X17:X18"/>
    <mergeCell ref="A188:O189"/>
    <mergeCell ref="A163:O164"/>
    <mergeCell ref="D250:E250"/>
    <mergeCell ref="AA17:AA18"/>
    <mergeCell ref="P212:T212"/>
    <mergeCell ref="AC17:AC18"/>
    <mergeCell ref="P108:T108"/>
    <mergeCell ref="A72:Z72"/>
    <mergeCell ref="P251:T251"/>
    <mergeCell ref="A175:O176"/>
    <mergeCell ref="P45:T45"/>
    <mergeCell ref="A235:O236"/>
    <mergeCell ref="D199:E199"/>
    <mergeCell ref="A59:Z59"/>
    <mergeCell ref="A93:O94"/>
    <mergeCell ref="P22:T22"/>
    <mergeCell ref="P193:T193"/>
    <mergeCell ref="P40:T40"/>
    <mergeCell ref="P236:V236"/>
    <mergeCell ref="P80:T80"/>
    <mergeCell ref="Z17:Z18"/>
    <mergeCell ref="AB17:AB18"/>
    <mergeCell ref="P29:V29"/>
    <mergeCell ref="T275:T276"/>
    <mergeCell ref="P28:V28"/>
    <mergeCell ref="A67:Z67"/>
    <mergeCell ref="A186:Z186"/>
    <mergeCell ref="D140:E140"/>
    <mergeCell ref="H17:H18"/>
    <mergeCell ref="P261:T261"/>
    <mergeCell ref="D198:E198"/>
    <mergeCell ref="A207:O208"/>
    <mergeCell ref="P104:V104"/>
    <mergeCell ref="P27:T27"/>
    <mergeCell ref="D75:E75"/>
    <mergeCell ref="D206:E206"/>
    <mergeCell ref="P247:V247"/>
    <mergeCell ref="P41:V41"/>
    <mergeCell ref="D181:E181"/>
    <mergeCell ref="P91:T91"/>
    <mergeCell ref="P252:V252"/>
    <mergeCell ref="P56:V56"/>
    <mergeCell ref="D39:E39"/>
    <mergeCell ref="A160:Z160"/>
    <mergeCell ref="K275:K276"/>
    <mergeCell ref="P256:T256"/>
    <mergeCell ref="P257:T257"/>
    <mergeCell ref="I275:I276"/>
    <mergeCell ref="P211:T211"/>
    <mergeCell ref="P260:T260"/>
    <mergeCell ref="A63:Z63"/>
    <mergeCell ref="P225:V225"/>
    <mergeCell ref="R275:R276"/>
    <mergeCell ref="P26:T26"/>
    <mergeCell ref="P71:V71"/>
    <mergeCell ref="A138:Z138"/>
    <mergeCell ref="P202:V202"/>
    <mergeCell ref="A196:Z196"/>
    <mergeCell ref="P115:T115"/>
    <mergeCell ref="P231:V231"/>
    <mergeCell ref="A61:O62"/>
    <mergeCell ref="A153:O154"/>
    <mergeCell ref="A133:Z133"/>
    <mergeCell ref="D125:E125"/>
    <mergeCell ref="Q275:Q276"/>
    <mergeCell ref="P141:T141"/>
    <mergeCell ref="A65:O66"/>
    <mergeCell ref="D193:E193"/>
    <mergeCell ref="P206:T206"/>
    <mergeCell ref="A56:O57"/>
    <mergeCell ref="D114:E114"/>
    <mergeCell ref="A252:O253"/>
    <mergeCell ref="P149:V149"/>
    <mergeCell ref="A145:Z145"/>
    <mergeCell ref="A139:Z139"/>
    <mergeCell ref="A210:Z210"/>
    <mergeCell ref="D74:E74"/>
    <mergeCell ref="D68:E68"/>
    <mergeCell ref="D201:E201"/>
    <mergeCell ref="P245:T245"/>
    <mergeCell ref="P126:V126"/>
    <mergeCell ref="P224:T224"/>
    <mergeCell ref="P220:V220"/>
    <mergeCell ref="P213:V213"/>
    <mergeCell ref="A209:Z209"/>
    <mergeCell ref="T5:U5"/>
    <mergeCell ref="D119:E119"/>
    <mergeCell ref="V5:W5"/>
    <mergeCell ref="D46:E46"/>
    <mergeCell ref="D40:E40"/>
    <mergeCell ref="A34:O35"/>
    <mergeCell ref="Q8:R8"/>
    <mergeCell ref="A28:O29"/>
    <mergeCell ref="P69:T69"/>
    <mergeCell ref="P83:V83"/>
    <mergeCell ref="A79:Z79"/>
    <mergeCell ref="A82:O83"/>
    <mergeCell ref="T6:U9"/>
    <mergeCell ref="Q10:R10"/>
    <mergeCell ref="A37:Z37"/>
    <mergeCell ref="P24:T24"/>
    <mergeCell ref="A13:M13"/>
    <mergeCell ref="A15:M15"/>
    <mergeCell ref="J9:M9"/>
    <mergeCell ref="D64:E64"/>
    <mergeCell ref="A38:Z38"/>
    <mergeCell ref="H10:M10"/>
    <mergeCell ref="V6:W9"/>
    <mergeCell ref="J275:J276"/>
    <mergeCell ref="L275:L276"/>
    <mergeCell ref="D52:E52"/>
    <mergeCell ref="P110:V110"/>
    <mergeCell ref="D27:E27"/>
    <mergeCell ref="P15:T16"/>
    <mergeCell ref="D116:E116"/>
    <mergeCell ref="A177:Z177"/>
    <mergeCell ref="D91:E91"/>
    <mergeCell ref="P23:T23"/>
    <mergeCell ref="D162:E162"/>
    <mergeCell ref="A41:O42"/>
    <mergeCell ref="D264:E264"/>
    <mergeCell ref="P65:V65"/>
    <mergeCell ref="D157:E157"/>
    <mergeCell ref="P136:V136"/>
    <mergeCell ref="D251:E251"/>
    <mergeCell ref="P74:T74"/>
    <mergeCell ref="P243:V243"/>
    <mergeCell ref="A19:Z19"/>
    <mergeCell ref="A190:Z190"/>
    <mergeCell ref="D182:E182"/>
    <mergeCell ref="A111:Z111"/>
    <mergeCell ref="A275:A276"/>
    <mergeCell ref="W275:W276"/>
    <mergeCell ref="P62:V62"/>
    <mergeCell ref="P127:V127"/>
    <mergeCell ref="A123:Z123"/>
    <mergeCell ref="A5:C5"/>
    <mergeCell ref="A237:Z237"/>
    <mergeCell ref="A17:A18"/>
    <mergeCell ref="K17:K18"/>
    <mergeCell ref="C17:C18"/>
    <mergeCell ref="A238:Z238"/>
    <mergeCell ref="D230:E230"/>
    <mergeCell ref="D9:E9"/>
    <mergeCell ref="D180:E180"/>
    <mergeCell ref="D118:E118"/>
    <mergeCell ref="F9:G9"/>
    <mergeCell ref="P53:T53"/>
    <mergeCell ref="P197:T197"/>
    <mergeCell ref="D167:E167"/>
    <mergeCell ref="P264:T264"/>
    <mergeCell ref="P68:T68"/>
    <mergeCell ref="P82:V82"/>
    <mergeCell ref="P253:V253"/>
    <mergeCell ref="A44:Z44"/>
    <mergeCell ref="A31:Z31"/>
    <mergeCell ref="P267:V267"/>
    <mergeCell ref="P270:V270"/>
    <mergeCell ref="B275:B276"/>
    <mergeCell ref="D255:E255"/>
    <mergeCell ref="P49:V49"/>
    <mergeCell ref="D24:E24"/>
    <mergeCell ref="Q11:R11"/>
    <mergeCell ref="D260:E260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P182:T182"/>
    <mergeCell ref="Q12:R12"/>
    <mergeCell ref="D261:E261"/>
    <mergeCell ref="A130:O131"/>
    <mergeCell ref="P119:T119"/>
    <mergeCell ref="A267:O272"/>
    <mergeCell ref="D100:E100"/>
    <mergeCell ref="P113:T113"/>
    <mergeCell ref="P17:T18"/>
    <mergeCell ref="A229:Z229"/>
    <mergeCell ref="AD275:AD276"/>
    <mergeCell ref="P129:T129"/>
    <mergeCell ref="P250:T250"/>
    <mergeCell ref="A166:Z166"/>
    <mergeCell ref="D108:E108"/>
    <mergeCell ref="P187:T187"/>
    <mergeCell ref="P258:T258"/>
    <mergeCell ref="P52:T52"/>
    <mergeCell ref="I17:I18"/>
    <mergeCell ref="D141:E141"/>
    <mergeCell ref="A48:O49"/>
    <mergeCell ref="D135:E135"/>
    <mergeCell ref="P176:V176"/>
    <mergeCell ref="A246:O247"/>
    <mergeCell ref="P203:V203"/>
    <mergeCell ref="P34:V34"/>
    <mergeCell ref="P214:V214"/>
    <mergeCell ref="A239:Z239"/>
    <mergeCell ref="A95:Z95"/>
    <mergeCell ref="C275:C276"/>
    <mergeCell ref="P259:T259"/>
    <mergeCell ref="D69:E69"/>
    <mergeCell ref="A109:O110"/>
    <mergeCell ref="P175:V175"/>
    <mergeCell ref="P240:T240"/>
    <mergeCell ref="U275:U276"/>
    <mergeCell ref="P93:V93"/>
    <mergeCell ref="P226:V226"/>
    <mergeCell ref="P164:V164"/>
    <mergeCell ref="P269:V269"/>
    <mergeCell ref="A216:Z216"/>
    <mergeCell ref="X275:X276"/>
    <mergeCell ref="A225:O226"/>
    <mergeCell ref="A89:Z89"/>
    <mergeCell ref="D147:E147"/>
    <mergeCell ref="P188:V188"/>
    <mergeCell ref="D245:E245"/>
    <mergeCell ref="P116:T116"/>
    <mergeCell ref="A105:Z105"/>
    <mergeCell ref="D224:E224"/>
    <mergeCell ref="P97:T97"/>
    <mergeCell ref="P230:T230"/>
    <mergeCell ref="P130:V130"/>
    <mergeCell ref="H1:Q1"/>
    <mergeCell ref="P109:V109"/>
    <mergeCell ref="V275:V276"/>
    <mergeCell ref="P246:V246"/>
    <mergeCell ref="P120:T120"/>
    <mergeCell ref="D259:E259"/>
    <mergeCell ref="D117:E117"/>
    <mergeCell ref="D92:E92"/>
    <mergeCell ref="D55:E55"/>
    <mergeCell ref="D5:E5"/>
    <mergeCell ref="P35:V35"/>
    <mergeCell ref="P39:T39"/>
    <mergeCell ref="P32:T32"/>
    <mergeCell ref="D211:E211"/>
    <mergeCell ref="D1:F1"/>
    <mergeCell ref="P47:T47"/>
    <mergeCell ref="J17:J18"/>
    <mergeCell ref="L17:L18"/>
    <mergeCell ref="P61:V61"/>
    <mergeCell ref="D240:E240"/>
    <mergeCell ref="P48:V48"/>
    <mergeCell ref="A244:Z244"/>
    <mergeCell ref="P255:T255"/>
    <mergeCell ref="A171:Z171"/>
    <mergeCell ref="A151:Z151"/>
    <mergeCell ref="P234:T234"/>
    <mergeCell ref="P154:V154"/>
    <mergeCell ref="A150:Z150"/>
    <mergeCell ref="A144:Z144"/>
    <mergeCell ref="A215:Z215"/>
    <mergeCell ref="D7:M7"/>
    <mergeCell ref="D129:E129"/>
    <mergeCell ref="P92:T92"/>
    <mergeCell ref="A184:O185"/>
    <mergeCell ref="P173:T173"/>
    <mergeCell ref="P100:T100"/>
    <mergeCell ref="D81:E81"/>
    <mergeCell ref="D8:M8"/>
    <mergeCell ref="A148:O149"/>
    <mergeCell ref="A228:Z228"/>
    <mergeCell ref="A165:Z165"/>
    <mergeCell ref="Q9:R9"/>
    <mergeCell ref="A12:M12"/>
    <mergeCell ref="A14:M14"/>
    <mergeCell ref="P140:T140"/>
    <mergeCell ref="D183:E183"/>
    <mergeCell ref="R1:T1"/>
    <mergeCell ref="A158:O159"/>
    <mergeCell ref="P275:P276"/>
    <mergeCell ref="D98:E98"/>
    <mergeCell ref="D73:E73"/>
    <mergeCell ref="P77:V77"/>
    <mergeCell ref="P152:T152"/>
    <mergeCell ref="A76:O77"/>
    <mergeCell ref="A58:Z58"/>
    <mergeCell ref="P168:V168"/>
    <mergeCell ref="B17:B18"/>
    <mergeCell ref="P143:V143"/>
    <mergeCell ref="P235:V235"/>
    <mergeCell ref="D258:E258"/>
    <mergeCell ref="P207:V207"/>
    <mergeCell ref="P81:T81"/>
    <mergeCell ref="D124:E124"/>
    <mergeCell ref="V10:W10"/>
    <mergeCell ref="P99:T99"/>
    <mergeCell ref="D197:E197"/>
    <mergeCell ref="D53:E53"/>
    <mergeCell ref="P232:V232"/>
    <mergeCell ref="D47:E47"/>
    <mergeCell ref="A84:Z84"/>
    <mergeCell ref="D60:E60"/>
    <mergeCell ref="P73:T73"/>
    <mergeCell ref="D187:E187"/>
    <mergeCell ref="D174:E174"/>
    <mergeCell ref="P87:V87"/>
    <mergeCell ref="O275:O276"/>
    <mergeCell ref="D45:E45"/>
    <mergeCell ref="H9:I9"/>
    <mergeCell ref="A36:Z36"/>
    <mergeCell ref="P88:V88"/>
    <mergeCell ref="A78:Z78"/>
    <mergeCell ref="P153:V153"/>
    <mergeCell ref="A205:Z205"/>
    <mergeCell ref="D263:E263"/>
    <mergeCell ref="A70:O71"/>
    <mergeCell ref="P86:T86"/>
    <mergeCell ref="P157:T157"/>
    <mergeCell ref="D134:E134"/>
    <mergeCell ref="P249:T249"/>
    <mergeCell ref="A87:O88"/>
    <mergeCell ref="P159:V159"/>
    <mergeCell ref="P147:T147"/>
    <mergeCell ref="W17:W18"/>
    <mergeCell ref="A50:Z5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3 X187 X197 X199 X201 X211:X212 X218 X230 X234 X240:X241 X255 X260:X264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24 X245 X250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3 X198 X200 X206 X249 X251 X256:X259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382</v>
      </c>
      <c r="D6" s="47" t="s">
        <v>383</v>
      </c>
      <c r="E6" s="47"/>
    </row>
    <row r="8" spans="2:8" x14ac:dyDescent="0.2">
      <c r="B8" s="47" t="s">
        <v>19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RlaRSTvIqy3hMXHlmCfd9yy7fsD6oAU6hmEuuSuGE6jxlvE9zxO6+HvawZhycWS7Ggq80IQy9nJ0gU5okAHtPw==" saltValue="vHolAaTOA0m6Ag439XS4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2026-01-21T10:48:25Z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