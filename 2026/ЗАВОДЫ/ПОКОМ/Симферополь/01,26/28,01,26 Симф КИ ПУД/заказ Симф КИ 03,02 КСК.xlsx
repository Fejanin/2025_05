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B635DB84-C233-44BE-BE64-0B2D511730F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X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Y463" i="1" s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7" i="1"/>
  <c r="Y386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Y365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Y343" i="1"/>
  <c r="X343" i="1"/>
  <c r="BP342" i="1"/>
  <c r="BO342" i="1"/>
  <c r="BN342" i="1"/>
  <c r="BM342" i="1"/>
  <c r="Z342" i="1"/>
  <c r="Y342" i="1"/>
  <c r="P342" i="1"/>
  <c r="BO341" i="1"/>
  <c r="BN341" i="1"/>
  <c r="BM341" i="1"/>
  <c r="Z341" i="1"/>
  <c r="Y341" i="1"/>
  <c r="BP341" i="1" s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201" i="1"/>
  <c r="X200" i="1"/>
  <c r="BO199" i="1"/>
  <c r="BM199" i="1"/>
  <c r="Z199" i="1"/>
  <c r="Y199" i="1"/>
  <c r="P199" i="1"/>
  <c r="BO198" i="1"/>
  <c r="BM198" i="1"/>
  <c r="Y198" i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Y185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P142" i="1"/>
  <c r="X139" i="1"/>
  <c r="Y138" i="1"/>
  <c r="X138" i="1"/>
  <c r="BP137" i="1"/>
  <c r="BO137" i="1"/>
  <c r="BN137" i="1"/>
  <c r="BM137" i="1"/>
  <c r="Z137" i="1"/>
  <c r="Y137" i="1"/>
  <c r="P137" i="1"/>
  <c r="BO136" i="1"/>
  <c r="BM136" i="1"/>
  <c r="Y136" i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Y118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P78" i="1"/>
  <c r="BO78" i="1"/>
  <c r="BN78" i="1"/>
  <c r="BM78" i="1"/>
  <c r="Z78" i="1"/>
  <c r="Y78" i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X64" i="1"/>
  <c r="Y63" i="1"/>
  <c r="X63" i="1"/>
  <c r="BP62" i="1"/>
  <c r="BO62" i="1"/>
  <c r="BN62" i="1"/>
  <c r="BM62" i="1"/>
  <c r="Z62" i="1"/>
  <c r="Y62" i="1"/>
  <c r="P62" i="1"/>
  <c r="BO61" i="1"/>
  <c r="BM61" i="1"/>
  <c r="Y61" i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2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43" i="1"/>
  <c r="BP55" i="1"/>
  <c r="BN55" i="1"/>
  <c r="Z55" i="1"/>
  <c r="BP67" i="1"/>
  <c r="BN67" i="1"/>
  <c r="Z67" i="1"/>
  <c r="Z68" i="1" s="1"/>
  <c r="Y76" i="1"/>
  <c r="BP71" i="1"/>
  <c r="BN71" i="1"/>
  <c r="Z71" i="1"/>
  <c r="Y75" i="1"/>
  <c r="E498" i="1"/>
  <c r="Y89" i="1"/>
  <c r="BP84" i="1"/>
  <c r="BN84" i="1"/>
  <c r="Z84" i="1"/>
  <c r="Y88" i="1"/>
  <c r="BP117" i="1"/>
  <c r="BN117" i="1"/>
  <c r="Z117" i="1"/>
  <c r="Y122" i="1"/>
  <c r="BP121" i="1"/>
  <c r="BN121" i="1"/>
  <c r="Z121" i="1"/>
  <c r="Z122" i="1" s="1"/>
  <c r="G498" i="1"/>
  <c r="Y129" i="1"/>
  <c r="BP126" i="1"/>
  <c r="BN126" i="1"/>
  <c r="Z126" i="1"/>
  <c r="Z128" i="1" s="1"/>
  <c r="BP151" i="1"/>
  <c r="BN151" i="1"/>
  <c r="Z151" i="1"/>
  <c r="Y156" i="1"/>
  <c r="BP155" i="1"/>
  <c r="BN155" i="1"/>
  <c r="Z155" i="1"/>
  <c r="Z156" i="1" s="1"/>
  <c r="I498" i="1"/>
  <c r="Y162" i="1"/>
  <c r="BP161" i="1"/>
  <c r="BN161" i="1"/>
  <c r="Z161" i="1"/>
  <c r="Z162" i="1" s="1"/>
  <c r="Y163" i="1"/>
  <c r="BP169" i="1"/>
  <c r="BN169" i="1"/>
  <c r="Z169" i="1"/>
  <c r="Y31" i="1"/>
  <c r="Y69" i="1"/>
  <c r="BP79" i="1"/>
  <c r="BN79" i="1"/>
  <c r="Z79" i="1"/>
  <c r="Z80" i="1" s="1"/>
  <c r="Y81" i="1"/>
  <c r="BP92" i="1"/>
  <c r="BN92" i="1"/>
  <c r="Z92" i="1"/>
  <c r="Z95" i="1" s="1"/>
  <c r="BP101" i="1"/>
  <c r="BN101" i="1"/>
  <c r="Z101" i="1"/>
  <c r="BP109" i="1"/>
  <c r="BN109" i="1"/>
  <c r="Z109" i="1"/>
  <c r="Y119" i="1"/>
  <c r="Y123" i="1"/>
  <c r="BP143" i="1"/>
  <c r="BN143" i="1"/>
  <c r="Z143" i="1"/>
  <c r="Z144" i="1" s="1"/>
  <c r="Y152" i="1"/>
  <c r="BP147" i="1"/>
  <c r="BN147" i="1"/>
  <c r="Z147" i="1"/>
  <c r="Y153" i="1"/>
  <c r="Y157" i="1"/>
  <c r="Y180" i="1"/>
  <c r="BP165" i="1"/>
  <c r="BN165" i="1"/>
  <c r="Z165" i="1"/>
  <c r="BP173" i="1"/>
  <c r="BN173" i="1"/>
  <c r="Z173" i="1"/>
  <c r="BP177" i="1"/>
  <c r="BN177" i="1"/>
  <c r="Z177" i="1"/>
  <c r="BP194" i="1"/>
  <c r="BN194" i="1"/>
  <c r="Z194" i="1"/>
  <c r="Z195" i="1" s="1"/>
  <c r="Y196" i="1"/>
  <c r="Y200" i="1"/>
  <c r="BP198" i="1"/>
  <c r="BN198" i="1"/>
  <c r="Z198" i="1"/>
  <c r="Z200" i="1" s="1"/>
  <c r="BP297" i="1"/>
  <c r="BN297" i="1"/>
  <c r="Z297" i="1"/>
  <c r="Q498" i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Y317" i="1"/>
  <c r="Z323" i="1"/>
  <c r="BP321" i="1"/>
  <c r="BN321" i="1"/>
  <c r="Z321" i="1"/>
  <c r="Y323" i="1"/>
  <c r="H498" i="1"/>
  <c r="H9" i="1"/>
  <c r="B498" i="1"/>
  <c r="X489" i="1"/>
  <c r="X490" i="1"/>
  <c r="Z23" i="1"/>
  <c r="Z24" i="1" s="1"/>
  <c r="BN23" i="1"/>
  <c r="Y489" i="1" s="1"/>
  <c r="Y491" i="1" s="1"/>
  <c r="Y24" i="1"/>
  <c r="X488" i="1"/>
  <c r="Z27" i="1"/>
  <c r="BN27" i="1"/>
  <c r="BP27" i="1"/>
  <c r="Y490" i="1" s="1"/>
  <c r="Z29" i="1"/>
  <c r="BN29" i="1"/>
  <c r="C498" i="1"/>
  <c r="Z41" i="1"/>
  <c r="Z43" i="1" s="1"/>
  <c r="BN41" i="1"/>
  <c r="Y44" i="1"/>
  <c r="D498" i="1"/>
  <c r="Y58" i="1"/>
  <c r="BP51" i="1"/>
  <c r="BN51" i="1"/>
  <c r="BP53" i="1"/>
  <c r="BN53" i="1"/>
  <c r="Z53" i="1"/>
  <c r="Z57" i="1" s="1"/>
  <c r="Y57" i="1"/>
  <c r="Z63" i="1"/>
  <c r="BP61" i="1"/>
  <c r="BN61" i="1"/>
  <c r="Z61" i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498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Z111" i="1" s="1"/>
  <c r="Y111" i="1"/>
  <c r="BP115" i="1"/>
  <c r="BN115" i="1"/>
  <c r="Z115" i="1"/>
  <c r="Z118" i="1" s="1"/>
  <c r="Y128" i="1"/>
  <c r="BP132" i="1"/>
  <c r="BN132" i="1"/>
  <c r="Z132" i="1"/>
  <c r="Z133" i="1" s="1"/>
  <c r="Y134" i="1"/>
  <c r="Y139" i="1"/>
  <c r="BP136" i="1"/>
  <c r="BN136" i="1"/>
  <c r="Z136" i="1"/>
  <c r="Z138" i="1" s="1"/>
  <c r="Y144" i="1"/>
  <c r="BP149" i="1"/>
  <c r="BN149" i="1"/>
  <c r="Z149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Z185" i="1" s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Z281" i="1" s="1"/>
  <c r="Y281" i="1"/>
  <c r="BP329" i="1"/>
  <c r="BN329" i="1"/>
  <c r="Z329" i="1"/>
  <c r="Y331" i="1"/>
  <c r="Y336" i="1"/>
  <c r="BP333" i="1"/>
  <c r="BN333" i="1"/>
  <c r="Z333" i="1"/>
  <c r="Y337" i="1"/>
  <c r="BP349" i="1"/>
  <c r="BN349" i="1"/>
  <c r="Z349" i="1"/>
  <c r="Y355" i="1"/>
  <c r="BP353" i="1"/>
  <c r="BN353" i="1"/>
  <c r="Z353" i="1"/>
  <c r="BP392" i="1"/>
  <c r="BN392" i="1"/>
  <c r="Z392" i="1"/>
  <c r="Z400" i="1" s="1"/>
  <c r="U498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Z439" i="1" s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498" i="1"/>
  <c r="Y195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Z223" i="1" s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Z301" i="1" s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498" i="1"/>
  <c r="Y344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O498" i="1"/>
  <c r="Y282" i="1"/>
  <c r="P498" i="1"/>
  <c r="Y287" i="1"/>
  <c r="S498" i="1"/>
  <c r="BP351" i="1"/>
  <c r="BN351" i="1"/>
  <c r="Z351" i="1"/>
  <c r="Z355" i="1" s="1"/>
  <c r="BP359" i="1"/>
  <c r="BN359" i="1"/>
  <c r="Z359" i="1"/>
  <c r="Z360" i="1" s="1"/>
  <c r="Y361" i="1"/>
  <c r="Y366" i="1"/>
  <c r="BP363" i="1"/>
  <c r="BN363" i="1"/>
  <c r="Z363" i="1"/>
  <c r="Z365" i="1" s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Y498" i="1"/>
  <c r="Y356" i="1"/>
  <c r="T498" i="1"/>
  <c r="Y375" i="1"/>
  <c r="X498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0" i="1"/>
  <c r="BN460" i="1"/>
  <c r="Z460" i="1"/>
  <c r="Z463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39" i="1"/>
  <c r="Z336" i="1" l="1"/>
  <c r="Z266" i="1"/>
  <c r="Z241" i="1"/>
  <c r="Z317" i="1"/>
  <c r="Z88" i="1"/>
  <c r="Z75" i="1"/>
  <c r="Y488" i="1"/>
  <c r="Z454" i="1"/>
  <c r="Z417" i="1"/>
  <c r="Z274" i="1"/>
  <c r="Z257" i="1"/>
  <c r="Z211" i="1"/>
  <c r="Z104" i="1"/>
  <c r="Z31" i="1"/>
  <c r="Z493" i="1" s="1"/>
  <c r="Y492" i="1"/>
  <c r="X491" i="1"/>
  <c r="Z179" i="1"/>
  <c r="Z152" i="1"/>
</calcChain>
</file>

<file path=xl/sharedStrings.xml><?xml version="1.0" encoding="utf-8"?>
<sst xmlns="http://schemas.openxmlformats.org/spreadsheetml/2006/main" count="2281" uniqueCount="767">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</sst>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65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46047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Воскресенье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0.375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150</v>
      </c>
      <c r="Y40" s="546">
        <f>IFERROR(IF(X40="",0,CEILING((X40/$H40),1)*$H40),"")</f>
        <v>151.20000000000002</v>
      </c>
      <c r="Z40" s="36">
        <f>IFERROR(IF(Y40=0,"",ROUNDUP(Y40/H40,0)*0.01898),"")</f>
        <v>0.26572000000000001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155.69444444444446</v>
      </c>
      <c r="BN40" s="64">
        <f>IFERROR(Y40*I40/H40,"0")</f>
        <v>156.94</v>
      </c>
      <c r="BO40" s="64">
        <f>IFERROR(1/J40*(X40/H40),"0")</f>
        <v>0.21701388888888887</v>
      </c>
      <c r="BP40" s="64">
        <f>IFERROR(1/J40*(Y40/H40),"0")</f>
        <v>0.21875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280</v>
      </c>
      <c r="Y41" s="546">
        <f>IFERROR(IF(X41="",0,CEILING((X41/$H41),1)*$H41),"")</f>
        <v>280</v>
      </c>
      <c r="Z41" s="36">
        <f>IFERROR(IF(Y41=0,"",ROUNDUP(Y41/H41,0)*0.00902),"")</f>
        <v>0.63139999999999996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293.3</v>
      </c>
      <c r="BN41" s="64">
        <f>IFERROR(Y41*I41/H41,"0")</f>
        <v>293.3</v>
      </c>
      <c r="BO41" s="64">
        <f>IFERROR(1/J41*(X41/H41),"0")</f>
        <v>0.53030303030303028</v>
      </c>
      <c r="BP41" s="64">
        <f>IFERROR(1/J41*(Y41/H41),"0")</f>
        <v>0.53030303030303028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83.888888888888886</v>
      </c>
      <c r="Y43" s="547">
        <f>IFERROR(Y40/H40,"0")+IFERROR(Y41/H41,"0")+IFERROR(Y42/H42,"0")</f>
        <v>84</v>
      </c>
      <c r="Z43" s="547">
        <f>IFERROR(IF(Z40="",0,Z40),"0")+IFERROR(IF(Z41="",0,Z41),"0")+IFERROR(IF(Z42="",0,Z42),"0")</f>
        <v>0.89711999999999992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430</v>
      </c>
      <c r="Y44" s="547">
        <f>IFERROR(SUM(Y40:Y42),"0")</f>
        <v>431.20000000000005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250</v>
      </c>
      <c r="Y52" s="546">
        <f t="shared" si="0"/>
        <v>259.20000000000005</v>
      </c>
      <c r="Z52" s="36">
        <f>IFERROR(IF(Y52=0,"",ROUNDUP(Y52/H52,0)*0.01898),"")</f>
        <v>0.45552000000000004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259.4907407407407</v>
      </c>
      <c r="BN52" s="64">
        <f t="shared" si="2"/>
        <v>269.04000000000002</v>
      </c>
      <c r="BO52" s="64">
        <f t="shared" si="3"/>
        <v>0.36168981481481477</v>
      </c>
      <c r="BP52" s="64">
        <f t="shared" si="4"/>
        <v>0.37500000000000006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405</v>
      </c>
      <c r="Y56" s="546">
        <f t="shared" si="0"/>
        <v>405</v>
      </c>
      <c r="Z56" s="36">
        <f>IFERROR(IF(Y56=0,"",ROUNDUP(Y56/H56,0)*0.00902),"")</f>
        <v>0.81180000000000008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422.1</v>
      </c>
      <c r="BN56" s="64">
        <f t="shared" si="2"/>
        <v>422.1</v>
      </c>
      <c r="BO56" s="64">
        <f t="shared" si="3"/>
        <v>0.68181818181818188</v>
      </c>
      <c r="BP56" s="64">
        <f t="shared" si="4"/>
        <v>0.68181818181818188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113.14814814814815</v>
      </c>
      <c r="Y57" s="547">
        <f>IFERROR(Y51/H51,"0")+IFERROR(Y52/H52,"0")+IFERROR(Y53/H53,"0")+IFERROR(Y54/H54,"0")+IFERROR(Y55/H55,"0")+IFERROR(Y56/H56,"0")</f>
        <v>114</v>
      </c>
      <c r="Z57" s="547">
        <f>IFERROR(IF(Z51="",0,Z51),"0")+IFERROR(IF(Z52="",0,Z52),"0")+IFERROR(IF(Z53="",0,Z53),"0")+IFERROR(IF(Z54="",0,Z54),"0")+IFERROR(IF(Z55="",0,Z55),"0")+IFERROR(IF(Z56="",0,Z56),"0")</f>
        <v>1.2673200000000002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655</v>
      </c>
      <c r="Y58" s="547">
        <f>IFERROR(SUM(Y51:Y56),"0")</f>
        <v>664.2</v>
      </c>
      <c r="Z58" s="37"/>
      <c r="AA58" s="548"/>
      <c r="AB58" s="548"/>
      <c r="AC58" s="548"/>
    </row>
    <row r="59" spans="1:68" ht="14.25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200</v>
      </c>
      <c r="Y60" s="546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207.59259259259258</v>
      </c>
      <c r="BN60" s="64">
        <f>IFERROR(Y60*I60/H60,"0")</f>
        <v>212.99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225</v>
      </c>
      <c r="Y62" s="546">
        <f>IFERROR(IF(X62="",0,CEILING((X62/$H62),1)*$H62),"")</f>
        <v>226.8</v>
      </c>
      <c r="Z62" s="36">
        <f>IFERROR(IF(Y62=0,"",ROUNDUP(Y62/H62,0)*0.00651),"")</f>
        <v>0.54683999999999999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239.99999999999997</v>
      </c>
      <c r="BN62" s="64">
        <f>IFERROR(Y62*I62/H62,"0")</f>
        <v>241.91999999999996</v>
      </c>
      <c r="BO62" s="64">
        <f>IFERROR(1/J62*(X62/H62),"0")</f>
        <v>0.45787545787545786</v>
      </c>
      <c r="BP62" s="64">
        <f>IFERROR(1/J62*(Y62/H62),"0")</f>
        <v>0.46153846153846156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101.85185185185185</v>
      </c>
      <c r="Y63" s="547">
        <f>IFERROR(Y60/H60,"0")+IFERROR(Y61/H61,"0")+IFERROR(Y62/H62,"0")</f>
        <v>103</v>
      </c>
      <c r="Z63" s="547">
        <f>IFERROR(IF(Z60="",0,Z60),"0")+IFERROR(IF(Z61="",0,Z61),"0")+IFERROR(IF(Z62="",0,Z62),"0")</f>
        <v>0.90745999999999993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425</v>
      </c>
      <c r="Y64" s="547">
        <f>IFERROR(SUM(Y60:Y62),"0")</f>
        <v>432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30</v>
      </c>
      <c r="Y78" s="546">
        <f>IFERROR(IF(X78="",0,CEILING((X78/$H78),1)*$H78),"")</f>
        <v>31.2</v>
      </c>
      <c r="Z78" s="36">
        <f>IFERROR(IF(Y78=0,"",ROUNDUP(Y78/H78,0)*0.01898),"")</f>
        <v>7.5920000000000001E-2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31.57692307692308</v>
      </c>
      <c r="BN78" s="64">
        <f>IFERROR(Y78*I78/H78,"0")</f>
        <v>32.840000000000003</v>
      </c>
      <c r="BO78" s="64">
        <f>IFERROR(1/J78*(X78/H78),"0")</f>
        <v>6.0096153846153848E-2</v>
      </c>
      <c r="BP78" s="64">
        <f>IFERROR(1/J78*(Y78/H78),"0")</f>
        <v>6.25E-2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3.8461538461538463</v>
      </c>
      <c r="Y80" s="547">
        <f>IFERROR(Y78/H78,"0")+IFERROR(Y79/H79,"0")</f>
        <v>4</v>
      </c>
      <c r="Z80" s="547">
        <f>IFERROR(IF(Z78="",0,Z78),"0")+IFERROR(IF(Z79="",0,Z79),"0")</f>
        <v>7.5920000000000001E-2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30</v>
      </c>
      <c r="Y81" s="547">
        <f>IFERROR(SUM(Y78:Y79),"0")</f>
        <v>31.2</v>
      </c>
      <c r="Z81" s="37"/>
      <c r="AA81" s="548"/>
      <c r="AB81" s="548"/>
      <c r="AC81" s="548"/>
    </row>
    <row r="82" spans="1:68" ht="16.5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100</v>
      </c>
      <c r="Y84" s="546">
        <f>IFERROR(IF(X84="",0,CEILING((X84/$H84),1)*$H84),"")</f>
        <v>108</v>
      </c>
      <c r="Z84" s="36">
        <f>IFERROR(IF(Y84=0,"",ROUNDUP(Y84/H84,0)*0.01898),"")</f>
        <v>0.1898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103.79629629629629</v>
      </c>
      <c r="BN84" s="64">
        <f>IFERROR(Y84*I84/H84,"0")</f>
        <v>112.1</v>
      </c>
      <c r="BO84" s="64">
        <f>IFERROR(1/J84*(X84/H84),"0")</f>
        <v>0.14467592592592593</v>
      </c>
      <c r="BP84" s="64">
        <f>IFERROR(1/J84*(Y84/H84),"0")</f>
        <v>0.15625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450</v>
      </c>
      <c r="Y87" s="546">
        <f>IFERROR(IF(X87="",0,CEILING((X87/$H87),1)*$H87),"")</f>
        <v>450</v>
      </c>
      <c r="Z87" s="36">
        <f>IFERROR(IF(Y87=0,"",ROUNDUP(Y87/H87,0)*0.00902),"")</f>
        <v>0.90200000000000002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469</v>
      </c>
      <c r="BN87" s="64">
        <f>IFERROR(Y87*I87/H87,"0")</f>
        <v>469</v>
      </c>
      <c r="BO87" s="64">
        <f>IFERROR(1/J87*(X87/H87),"0")</f>
        <v>0.75757575757575757</v>
      </c>
      <c r="BP87" s="64">
        <f>IFERROR(1/J87*(Y87/H87),"0")</f>
        <v>0.75757575757575757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109.25925925925927</v>
      </c>
      <c r="Y88" s="547">
        <f>IFERROR(Y84/H84,"0")+IFERROR(Y85/H85,"0")+IFERROR(Y86/H86,"0")+IFERROR(Y87/H87,"0")</f>
        <v>110</v>
      </c>
      <c r="Z88" s="547">
        <f>IFERROR(IF(Z84="",0,Z84),"0")+IFERROR(IF(Z85="",0,Z85),"0")+IFERROR(IF(Z86="",0,Z86),"0")+IFERROR(IF(Z87="",0,Z87),"0")</f>
        <v>1.0918000000000001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550</v>
      </c>
      <c r="Y89" s="547">
        <f>IFERROR(SUM(Y84:Y87),"0")</f>
        <v>558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200</v>
      </c>
      <c r="Y91" s="546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212.19753086419755</v>
      </c>
      <c r="BN91" s="64">
        <f>IFERROR(Y91*I91/H91,"0")</f>
        <v>214.85</v>
      </c>
      <c r="BO91" s="64">
        <f>IFERROR(1/J91*(X91/H91),"0")</f>
        <v>0.38580246913580246</v>
      </c>
      <c r="BP91" s="64">
        <f>IFERROR(1/J91*(Y91/H91),"0")</f>
        <v>0.390625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450</v>
      </c>
      <c r="Y93" s="546">
        <f>IFERROR(IF(X93="",0,CEILING((X93/$H93),1)*$H93),"")</f>
        <v>450.90000000000003</v>
      </c>
      <c r="Z93" s="36">
        <f>IFERROR(IF(Y93=0,"",ROUNDUP(Y93/H93,0)*0.00651),"")</f>
        <v>1.08717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492</v>
      </c>
      <c r="BN93" s="64">
        <f>IFERROR(Y93*I93/H93,"0")</f>
        <v>492.98399999999998</v>
      </c>
      <c r="BO93" s="64">
        <f>IFERROR(1/J93*(X93/H93),"0")</f>
        <v>0.91575091575091572</v>
      </c>
      <c r="BP93" s="64">
        <f>IFERROR(1/J93*(Y93/H93),"0")</f>
        <v>0.91758241758241765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191.35802469135803</v>
      </c>
      <c r="Y95" s="547">
        <f>IFERROR(Y91/H91,"0")+IFERROR(Y92/H92,"0")+IFERROR(Y93/H93,"0")+IFERROR(Y94/H94,"0")</f>
        <v>192</v>
      </c>
      <c r="Z95" s="547">
        <f>IFERROR(IF(Z91="",0,Z91),"0")+IFERROR(IF(Z92="",0,Z92),"0")+IFERROR(IF(Z93="",0,Z93),"0")+IFERROR(IF(Z94="",0,Z94),"0")</f>
        <v>1.5616699999999999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650</v>
      </c>
      <c r="Y96" s="547">
        <f>IFERROR(SUM(Y91:Y94),"0")</f>
        <v>653.40000000000009</v>
      </c>
      <c r="Z96" s="37"/>
      <c r="AA96" s="548"/>
      <c r="AB96" s="548"/>
      <c r="AC96" s="548"/>
    </row>
    <row r="97" spans="1:68" ht="16.5" customHeight="1" x14ac:dyDescent="0.25">
      <c r="A97" s="560" t="s">
        <v>189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30</v>
      </c>
      <c r="Y99" s="546">
        <f>IFERROR(IF(X99="",0,CEILING((X99/$H99),1)*$H99),"")</f>
        <v>32.400000000000006</v>
      </c>
      <c r="Z99" s="36">
        <f>IFERROR(IF(Y99=0,"",ROUNDUP(Y99/H99,0)*0.01898),"")</f>
        <v>5.6940000000000004E-2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31.138888888888889</v>
      </c>
      <c r="BN99" s="64">
        <f>IFERROR(Y99*I99/H99,"0")</f>
        <v>33.630000000000003</v>
      </c>
      <c r="BO99" s="64">
        <f>IFERROR(1/J99*(X99/H99),"0")</f>
        <v>4.3402777777777776E-2</v>
      </c>
      <c r="BP99" s="64">
        <f>IFERROR(1/J99*(Y99/H99),"0")</f>
        <v>4.6875000000000007E-2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3.3</v>
      </c>
      <c r="Y100" s="546">
        <f>IFERROR(IF(X100="",0,CEILING((X100/$H100),1)*$H100),"")</f>
        <v>3.3000000000000003</v>
      </c>
      <c r="Z100" s="36">
        <f>IFERROR(IF(Y100=0,"",ROUNDUP(Y100/H100,0)*0.00726),"")</f>
        <v>2.1780000000000001E-2</v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3.9299999999999993</v>
      </c>
      <c r="BN100" s="64">
        <f>IFERROR(Y100*I100/H100,"0")</f>
        <v>3.93</v>
      </c>
      <c r="BO100" s="64">
        <f>IFERROR(1/J100*(X100/H100),"0")</f>
        <v>1.5624999999999997E-2</v>
      </c>
      <c r="BP100" s="64">
        <f>IFERROR(1/J100*(Y100/H100),"0")</f>
        <v>1.5625E-2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225</v>
      </c>
      <c r="Y102" s="546">
        <f>IFERROR(IF(X102="",0,CEILING((X102/$H102),1)*$H102),"")</f>
        <v>225</v>
      </c>
      <c r="Z102" s="36">
        <f>IFERROR(IF(Y102=0,"",ROUNDUP(Y102/H102,0)*0.00902),"")</f>
        <v>0.45100000000000001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234.5</v>
      </c>
      <c r="BN102" s="64">
        <f>IFERROR(Y102*I102/H102,"0")</f>
        <v>234.5</v>
      </c>
      <c r="BO102" s="64">
        <f>IFERROR(1/J102*(X102/H102),"0")</f>
        <v>0.37878787878787878</v>
      </c>
      <c r="BP102" s="64">
        <f>IFERROR(1/J102*(Y102/H102),"0")</f>
        <v>0.37878787878787878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55.777777777777779</v>
      </c>
      <c r="Y104" s="547">
        <f>IFERROR(Y99/H99,"0")+IFERROR(Y100/H100,"0")+IFERROR(Y101/H101,"0")+IFERROR(Y102/H102,"0")+IFERROR(Y103/H103,"0")</f>
        <v>56</v>
      </c>
      <c r="Z104" s="547">
        <f>IFERROR(IF(Z99="",0,Z99),"0")+IFERROR(IF(Z100="",0,Z100),"0")+IFERROR(IF(Z101="",0,Z101),"0")+IFERROR(IF(Z102="",0,Z102),"0")+IFERROR(IF(Z103="",0,Z103),"0")</f>
        <v>0.52971999999999997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258.3</v>
      </c>
      <c r="Y105" s="547">
        <f>IFERROR(SUM(Y99:Y103),"0")</f>
        <v>260.7</v>
      </c>
      <c r="Z105" s="37"/>
      <c r="AA105" s="548"/>
      <c r="AB105" s="548"/>
      <c r="AC105" s="548"/>
    </row>
    <row r="106" spans="1:68" ht="14.25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3</v>
      </c>
      <c r="Y108" s="546">
        <f>IFERROR(IF(X108="",0,CEILING((X108/$H108),1)*$H108),"")</f>
        <v>3</v>
      </c>
      <c r="Z108" s="36">
        <f>IFERROR(IF(Y108=0,"",ROUNDUP(Y108/H108,0)*0.00358),"")</f>
        <v>1.074E-2</v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3.63</v>
      </c>
      <c r="BN108" s="64">
        <f>IFERROR(Y108*I108/H108,"0")</f>
        <v>3.63</v>
      </c>
      <c r="BO108" s="64">
        <f>IFERROR(1/J108*(X108/H108),"0")</f>
        <v>7.6530612244897957E-3</v>
      </c>
      <c r="BP108" s="64">
        <f>IFERROR(1/J108*(Y108/H108),"0")</f>
        <v>7.6530612244897957E-3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3</v>
      </c>
      <c r="Y111" s="547">
        <f>IFERROR(Y107/H107,"0")+IFERROR(Y108/H108,"0")+IFERROR(Y109/H109,"0")+IFERROR(Y110/H110,"0")</f>
        <v>3</v>
      </c>
      <c r="Z111" s="547">
        <f>IFERROR(IF(Z107="",0,Z107),"0")+IFERROR(IF(Z108="",0,Z108),"0")+IFERROR(IF(Z109="",0,Z109),"0")+IFERROR(IF(Z110="",0,Z110),"0")</f>
        <v>1.074E-2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3</v>
      </c>
      <c r="Y112" s="547">
        <f>IFERROR(SUM(Y107:Y110),"0")</f>
        <v>3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500</v>
      </c>
      <c r="Y114" s="546">
        <f>IFERROR(IF(X114="",0,CEILING((X114/$H114),1)*$H114),"")</f>
        <v>502.2</v>
      </c>
      <c r="Z114" s="36">
        <f>IFERROR(IF(Y114=0,"",ROUNDUP(Y114/H114,0)*0.01898),"")</f>
        <v>1.17676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530.12345679012344</v>
      </c>
      <c r="BN114" s="64">
        <f>IFERROR(Y114*I114/H114,"0")</f>
        <v>532.4559999999999</v>
      </c>
      <c r="BO114" s="64">
        <f>IFERROR(1/J114*(X114/H114),"0")</f>
        <v>0.96450617283950624</v>
      </c>
      <c r="BP114" s="64">
        <f>IFERROR(1/J114*(Y114/H114),"0")</f>
        <v>0.96875</v>
      </c>
    </row>
    <row r="115" spans="1:68" ht="27" customHeight="1" x14ac:dyDescent="0.25">
      <c r="A115" s="54" t="s">
        <v>216</v>
      </c>
      <c r="B115" s="54" t="s">
        <v>217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540</v>
      </c>
      <c r="Y116" s="546">
        <f>IFERROR(IF(X116="",0,CEILING((X116/$H116),1)*$H116),"")</f>
        <v>540</v>
      </c>
      <c r="Z116" s="36">
        <f>IFERROR(IF(Y116=0,"",ROUNDUP(Y116/H116,0)*0.00651),"")</f>
        <v>1.302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590.4</v>
      </c>
      <c r="BN116" s="64">
        <f>IFERROR(Y116*I116/H116,"0")</f>
        <v>590.4</v>
      </c>
      <c r="BO116" s="64">
        <f>IFERROR(1/J116*(X116/H116),"0")</f>
        <v>1.098901098901099</v>
      </c>
      <c r="BP116" s="64">
        <f>IFERROR(1/J116*(Y116/H116),"0")</f>
        <v>1.098901098901099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 t="s">
        <v>220</v>
      </c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30</v>
      </c>
      <c r="Y117" s="546">
        <f>IFERROR(IF(X117="",0,CEILING((X117/$H117),1)*$H117),"")</f>
        <v>30.6</v>
      </c>
      <c r="Z117" s="36">
        <f>IFERROR(IF(Y117=0,"",ROUNDUP(Y117/H117,0)*0.00651),"")</f>
        <v>0.11067</v>
      </c>
      <c r="AA117" s="56"/>
      <c r="AB117" s="57"/>
      <c r="AC117" s="165" t="s">
        <v>223</v>
      </c>
      <c r="AG117" s="64"/>
      <c r="AJ117" s="68" t="s">
        <v>106</v>
      </c>
      <c r="AK117" s="68">
        <v>25.2</v>
      </c>
      <c r="BB117" s="166" t="s">
        <v>1</v>
      </c>
      <c r="BM117" s="64">
        <f>IFERROR(X117*I117/H117,"0")</f>
        <v>33</v>
      </c>
      <c r="BN117" s="64">
        <f>IFERROR(Y117*I117/H117,"0")</f>
        <v>33.659999999999997</v>
      </c>
      <c r="BO117" s="64">
        <f>IFERROR(1/J117*(X117/H117),"0")</f>
        <v>9.1575091575091583E-2</v>
      </c>
      <c r="BP117" s="64">
        <f>IFERROR(1/J117*(Y117/H117),"0")</f>
        <v>9.3406593406593408E-2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278.39506172839509</v>
      </c>
      <c r="Y118" s="547">
        <f>IFERROR(Y114/H114,"0")+IFERROR(Y115/H115,"0")+IFERROR(Y116/H116,"0")+IFERROR(Y117/H117,"0")</f>
        <v>279</v>
      </c>
      <c r="Z118" s="547">
        <f>IFERROR(IF(Z114="",0,Z114),"0")+IFERROR(IF(Z115="",0,Z115),"0")+IFERROR(IF(Z116="",0,Z116),"0")+IFERROR(IF(Z117="",0,Z117),"0")</f>
        <v>2.5894300000000001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1070</v>
      </c>
      <c r="Y119" s="547">
        <f>IFERROR(SUM(Y114:Y117),"0")</f>
        <v>1072.8</v>
      </c>
      <c r="Z119" s="37"/>
      <c r="AA119" s="548"/>
      <c r="AB119" s="548"/>
      <c r="AC119" s="548"/>
    </row>
    <row r="120" spans="1:68" ht="14.25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 t="s">
        <v>220</v>
      </c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39.6</v>
      </c>
      <c r="Y121" s="546">
        <f>IFERROR(IF(X121="",0,CEILING((X121/$H121),1)*$H121),"")</f>
        <v>39.6</v>
      </c>
      <c r="Z121" s="36">
        <f>IFERROR(IF(Y121=0,"",ROUNDUP(Y121/H121,0)*0.00651),"")</f>
        <v>0.13020000000000001</v>
      </c>
      <c r="AA121" s="56"/>
      <c r="AB121" s="57"/>
      <c r="AC121" s="167" t="s">
        <v>226</v>
      </c>
      <c r="AG121" s="64"/>
      <c r="AJ121" s="68" t="s">
        <v>106</v>
      </c>
      <c r="AK121" s="68">
        <v>27.72</v>
      </c>
      <c r="BB121" s="168" t="s">
        <v>1</v>
      </c>
      <c r="BM121" s="64">
        <f>IFERROR(X121*I121/H121,"0")</f>
        <v>44.760000000000005</v>
      </c>
      <c r="BN121" s="64">
        <f>IFERROR(Y121*I121/H121,"0")</f>
        <v>44.760000000000005</v>
      </c>
      <c r="BO121" s="64">
        <f>IFERROR(1/J121*(X121/H121),"0")</f>
        <v>0.1098901098901099</v>
      </c>
      <c r="BP121" s="64">
        <f>IFERROR(1/J121*(Y121/H121),"0")</f>
        <v>0.1098901098901099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20</v>
      </c>
      <c r="Y122" s="547">
        <f>IFERROR(Y121/H121,"0")</f>
        <v>20</v>
      </c>
      <c r="Z122" s="547">
        <f>IFERROR(IF(Z121="",0,Z121),"0")</f>
        <v>0.13020000000000001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39.6</v>
      </c>
      <c r="Y123" s="547">
        <f>IFERROR(SUM(Y121:Y121),"0")</f>
        <v>39.6</v>
      </c>
      <c r="Z123" s="37"/>
      <c r="AA123" s="548"/>
      <c r="AB123" s="548"/>
      <c r="AC123" s="548"/>
    </row>
    <row r="124" spans="1:68" ht="16.5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220</v>
      </c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80</v>
      </c>
      <c r="Y127" s="546">
        <f>IFERROR(IF(X127="",0,CEILING((X127/$H127),1)*$H127),"")</f>
        <v>80</v>
      </c>
      <c r="Z127" s="36">
        <f>IFERROR(IF(Y127=0,"",ROUNDUP(Y127/H127,0)*0.00651),"")</f>
        <v>0.16275000000000001</v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84.499999999999986</v>
      </c>
      <c r="BN127" s="64">
        <f>IFERROR(Y127*I127/H127,"0")</f>
        <v>84.499999999999986</v>
      </c>
      <c r="BO127" s="64">
        <f>IFERROR(1/J127*(X127/H127),"0")</f>
        <v>0.13736263736263737</v>
      </c>
      <c r="BP127" s="64">
        <f>IFERROR(1/J127*(Y127/H127),"0")</f>
        <v>0.13736263736263737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25</v>
      </c>
      <c r="Y128" s="547">
        <f>IFERROR(Y126/H126,"0")+IFERROR(Y127/H127,"0")</f>
        <v>25</v>
      </c>
      <c r="Z128" s="547">
        <f>IFERROR(IF(Z126="",0,Z126),"0")+IFERROR(IF(Z127="",0,Z127),"0")</f>
        <v>0.16275000000000001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80</v>
      </c>
      <c r="Y129" s="547">
        <f>IFERROR(SUM(Y126:Y127),"0")</f>
        <v>80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220</v>
      </c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 t="s">
        <v>220</v>
      </c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49.5</v>
      </c>
      <c r="Y137" s="546">
        <f>IFERROR(IF(X137="",0,CEILING((X137/$H137),1)*$H137),"")</f>
        <v>50.160000000000004</v>
      </c>
      <c r="Z137" s="36">
        <f>IFERROR(IF(Y137=0,"",ROUNDUP(Y137/H137,0)*0.00651),"")</f>
        <v>0.12369000000000001</v>
      </c>
      <c r="AA137" s="56"/>
      <c r="AB137" s="57"/>
      <c r="AC137" s="179" t="s">
        <v>230</v>
      </c>
      <c r="AG137" s="64"/>
      <c r="AJ137" s="68" t="s">
        <v>106</v>
      </c>
      <c r="AK137" s="68">
        <v>36.96</v>
      </c>
      <c r="BB137" s="180" t="s">
        <v>1</v>
      </c>
      <c r="BM137" s="64">
        <f>IFERROR(X137*I137/H137,"0")</f>
        <v>54.524999999999999</v>
      </c>
      <c r="BN137" s="64">
        <f>IFERROR(Y137*I137/H137,"0")</f>
        <v>55.252000000000002</v>
      </c>
      <c r="BO137" s="64">
        <f>IFERROR(1/J137*(X137/H137),"0")</f>
        <v>0.10302197802197803</v>
      </c>
      <c r="BP137" s="64">
        <f>IFERROR(1/J137*(Y137/H137),"0")</f>
        <v>0.1043956043956044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18.75</v>
      </c>
      <c r="Y138" s="547">
        <f>IFERROR(Y136/H136,"0")+IFERROR(Y137/H137,"0")</f>
        <v>19</v>
      </c>
      <c r="Z138" s="547">
        <f>IFERROR(IF(Z136="",0,Z136),"0")+IFERROR(IF(Z137="",0,Z137),"0")</f>
        <v>0.12369000000000001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49.5</v>
      </c>
      <c r="Y139" s="547">
        <f>IFERROR(SUM(Y136:Y137),"0")</f>
        <v>50.160000000000004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50</v>
      </c>
      <c r="Y147" s="546">
        <f>IFERROR(IF(X147="",0,CEILING((X147/$H147),1)*$H147),"")</f>
        <v>50.400000000000006</v>
      </c>
      <c r="Z147" s="36">
        <f>IFERROR(IF(Y147=0,"",ROUNDUP(Y147/H147,0)*0.00902),"")</f>
        <v>0.10824</v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52.261904761904752</v>
      </c>
      <c r="BN147" s="64">
        <f>IFERROR(Y147*I147/H147,"0")</f>
        <v>52.68</v>
      </c>
      <c r="BO147" s="64">
        <f>IFERROR(1/J147*(X147/H147),"0")</f>
        <v>9.0187590187590191E-2</v>
      </c>
      <c r="BP147" s="64">
        <f>IFERROR(1/J147*(Y147/H147),"0")</f>
        <v>9.0909090909090912E-2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150</v>
      </c>
      <c r="Y149" s="546">
        <f>IFERROR(IF(X149="",0,CEILING((X149/$H149),1)*$H149),"")</f>
        <v>151.20000000000002</v>
      </c>
      <c r="Z149" s="36">
        <f>IFERROR(IF(Y149=0,"",ROUNDUP(Y149/H149,0)*0.00902),"")</f>
        <v>0.32472000000000001</v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156.78571428571428</v>
      </c>
      <c r="BN149" s="64">
        <f>IFERROR(Y149*I149/H149,"0")</f>
        <v>158.04</v>
      </c>
      <c r="BO149" s="64">
        <f>IFERROR(1/J149*(X149/H149),"0")</f>
        <v>0.27056277056277056</v>
      </c>
      <c r="BP149" s="64">
        <f>IFERROR(1/J149*(Y149/H149),"0")</f>
        <v>0.27272727272727271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90</v>
      </c>
      <c r="Y151" s="546">
        <f>IFERROR(IF(X151="",0,CEILING((X151/$H151),1)*$H151),"")</f>
        <v>92.4</v>
      </c>
      <c r="Z151" s="36">
        <f>IFERROR(IF(Y151=0,"",ROUNDUP(Y151/H151,0)*0.00902),"")</f>
        <v>0.19844000000000001</v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94.071428571428555</v>
      </c>
      <c r="BN151" s="64">
        <f>IFERROR(Y151*I151/H151,"0")</f>
        <v>96.579999999999984</v>
      </c>
      <c r="BO151" s="64">
        <f>IFERROR(1/J151*(X151/H151),"0")</f>
        <v>0.16233766233766234</v>
      </c>
      <c r="BP151" s="64">
        <f>IFERROR(1/J151*(Y151/H151),"0")</f>
        <v>0.16666666666666669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69.047619047619051</v>
      </c>
      <c r="Y152" s="547">
        <f>IFERROR(Y147/H147,"0")+IFERROR(Y148/H148,"0")+IFERROR(Y149/H149,"0")+IFERROR(Y150/H150,"0")+IFERROR(Y151/H151,"0")</f>
        <v>70</v>
      </c>
      <c r="Z152" s="547">
        <f>IFERROR(IF(Z147="",0,Z147),"0")+IFERROR(IF(Z148="",0,Z148),"0")+IFERROR(IF(Z149="",0,Z149),"0")+IFERROR(IF(Z150="",0,Z150),"0")+IFERROR(IF(Z151="",0,Z151),"0")</f>
        <v>0.63139999999999996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290</v>
      </c>
      <c r="Y153" s="547">
        <f>IFERROR(SUM(Y147:Y151),"0")</f>
        <v>294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263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30</v>
      </c>
      <c r="Y165" s="546">
        <f t="shared" ref="Y165:Y178" si="5">IFERROR(IF(X165="",0,CEILING((X165/$H165),1)*$H165),"")</f>
        <v>33.6</v>
      </c>
      <c r="Z165" s="36">
        <f>IFERROR(IF(Y165=0,"",ROUNDUP(Y165/H165,0)*0.00902),"")</f>
        <v>7.2160000000000002E-2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31.785714285714285</v>
      </c>
      <c r="BN165" s="64">
        <f t="shared" ref="BN165:BN178" si="7">IFERROR(Y165*I165/H165,"0")</f>
        <v>35.6</v>
      </c>
      <c r="BO165" s="64">
        <f t="shared" ref="BO165:BO178" si="8">IFERROR(1/J165*(X165/H165),"0")</f>
        <v>5.4112554112554112E-2</v>
      </c>
      <c r="BP165" s="64">
        <f t="shared" ref="BP165:BP178" si="9">IFERROR(1/J165*(Y165/H165),"0")</f>
        <v>6.0606060606060608E-2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20</v>
      </c>
      <c r="Y166" s="546">
        <f t="shared" si="5"/>
        <v>21</v>
      </c>
      <c r="Z166" s="36">
        <f>IFERROR(IF(Y166=0,"",ROUNDUP(Y166/H166,0)*0.00902),"")</f>
        <v>4.5100000000000001E-2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si="6"/>
        <v>21.19047619047619</v>
      </c>
      <c r="BN166" s="64">
        <f t="shared" si="7"/>
        <v>22.25</v>
      </c>
      <c r="BO166" s="64">
        <f t="shared" si="8"/>
        <v>3.6075036075036072E-2</v>
      </c>
      <c r="BP166" s="64">
        <f t="shared" si="9"/>
        <v>3.787878787878788E-2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70</v>
      </c>
      <c r="Y167" s="546">
        <f t="shared" si="5"/>
        <v>71.400000000000006</v>
      </c>
      <c r="Z167" s="36">
        <f>IFERROR(IF(Y167=0,"",ROUNDUP(Y167/H167,0)*0.00902),"")</f>
        <v>0.15334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73.166666666666657</v>
      </c>
      <c r="BN167" s="64">
        <f t="shared" si="7"/>
        <v>74.63000000000001</v>
      </c>
      <c r="BO167" s="64">
        <f t="shared" si="8"/>
        <v>0.12626262626262624</v>
      </c>
      <c r="BP167" s="64">
        <f t="shared" si="9"/>
        <v>0.12878787878787878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4.8</v>
      </c>
      <c r="Y168" s="546">
        <f t="shared" si="5"/>
        <v>4.8000000000000007</v>
      </c>
      <c r="Z168" s="36">
        <f>IFERROR(IF(Y168=0,"",ROUNDUP(Y168/H168,0)*0.00556),"")</f>
        <v>3.3360000000000001E-2</v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5.58</v>
      </c>
      <c r="BN168" s="64">
        <f t="shared" si="7"/>
        <v>5.580000000000001</v>
      </c>
      <c r="BO168" s="64">
        <f t="shared" si="8"/>
        <v>2.7777777777777773E-2</v>
      </c>
      <c r="BP168" s="64">
        <f t="shared" si="9"/>
        <v>2.777777777777778E-2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105</v>
      </c>
      <c r="Y169" s="546">
        <f t="shared" si="5"/>
        <v>105</v>
      </c>
      <c r="Z169" s="36">
        <f>IFERROR(IF(Y169=0,"",ROUNDUP(Y169/H169,0)*0.00502),"")</f>
        <v>0.251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111.5</v>
      </c>
      <c r="BN169" s="64">
        <f t="shared" si="7"/>
        <v>111.5</v>
      </c>
      <c r="BO169" s="64">
        <f t="shared" si="8"/>
        <v>0.21367521367521369</v>
      </c>
      <c r="BP169" s="64">
        <f t="shared" si="9"/>
        <v>0.21367521367521369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122.5</v>
      </c>
      <c r="Y171" s="546">
        <f t="shared" si="5"/>
        <v>123.9</v>
      </c>
      <c r="Z171" s="36">
        <f>IFERROR(IF(Y171=0,"",ROUNDUP(Y171/H171,0)*0.00502),"")</f>
        <v>0.29618</v>
      </c>
      <c r="AA171" s="56"/>
      <c r="AB171" s="57"/>
      <c r="AC171" s="211" t="s">
        <v>273</v>
      </c>
      <c r="AG171" s="64"/>
      <c r="AJ171" s="68" t="s">
        <v>106</v>
      </c>
      <c r="AK171" s="68">
        <v>37.799999999999997</v>
      </c>
      <c r="BB171" s="212" t="s">
        <v>1</v>
      </c>
      <c r="BM171" s="64">
        <f t="shared" si="6"/>
        <v>130.08333333333334</v>
      </c>
      <c r="BN171" s="64">
        <f t="shared" si="7"/>
        <v>131.57</v>
      </c>
      <c r="BO171" s="64">
        <f t="shared" si="8"/>
        <v>0.2492877492877493</v>
      </c>
      <c r="BP171" s="64">
        <f t="shared" si="9"/>
        <v>0.25213675213675218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3.2</v>
      </c>
      <c r="Y175" s="546">
        <f t="shared" si="5"/>
        <v>3.2</v>
      </c>
      <c r="Z175" s="36">
        <f>IFERROR(IF(Y175=0,"",ROUNDUP(Y175/H175,0)*0.00417),"")</f>
        <v>1.668E-2</v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4.04</v>
      </c>
      <c r="BN175" s="64">
        <f t="shared" si="7"/>
        <v>4.04</v>
      </c>
      <c r="BO175" s="64">
        <f t="shared" si="8"/>
        <v>1.1904761904761904E-2</v>
      </c>
      <c r="BP175" s="64">
        <f t="shared" si="9"/>
        <v>1.1904761904761904E-2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157.5</v>
      </c>
      <c r="Y176" s="546">
        <f t="shared" si="5"/>
        <v>157.5</v>
      </c>
      <c r="Z176" s="36">
        <f>IFERROR(IF(Y176=0,"",ROUNDUP(Y176/H176,0)*0.00502),"")</f>
        <v>0.3765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165</v>
      </c>
      <c r="BN176" s="64">
        <f t="shared" si="7"/>
        <v>165</v>
      </c>
      <c r="BO176" s="64">
        <f t="shared" si="8"/>
        <v>0.32051282051282054</v>
      </c>
      <c r="BP176" s="64">
        <f t="shared" si="9"/>
        <v>0.32051282051282054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221.9047619047619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224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1.2443200000000001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513</v>
      </c>
      <c r="Y180" s="547">
        <f>IFERROR(SUM(Y165:Y178),"0")</f>
        <v>520.40000000000009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3.5</v>
      </c>
      <c r="Y182" s="546">
        <f>IFERROR(IF(X182="",0,CEILING((X182/$H182),1)*$H182),"")</f>
        <v>3.7800000000000002</v>
      </c>
      <c r="Z182" s="36">
        <f>IFERROR(IF(Y182=0,"",ROUNDUP(Y182/H182,0)*0.0059),"")</f>
        <v>1.77E-2</v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4.0277777777777777</v>
      </c>
      <c r="BN182" s="64">
        <f>IFERROR(Y182*I182/H182,"0")</f>
        <v>4.3499999999999996</v>
      </c>
      <c r="BO182" s="64">
        <f>IFERROR(1/J182*(X182/H182),"0")</f>
        <v>1.2860082304526748E-2</v>
      </c>
      <c r="BP182" s="64">
        <f>IFERROR(1/J182*(Y182/H182),"0")</f>
        <v>1.3888888888888888E-2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3.5</v>
      </c>
      <c r="Y183" s="546">
        <f>IFERROR(IF(X183="",0,CEILING((X183/$H183),1)*$H183),"")</f>
        <v>3.7800000000000002</v>
      </c>
      <c r="Z183" s="36">
        <f>IFERROR(IF(Y183=0,"",ROUNDUP(Y183/H183,0)*0.0059),"")</f>
        <v>1.77E-2</v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4.0277777777777777</v>
      </c>
      <c r="BN183" s="64">
        <f>IFERROR(Y183*I183/H183,"0")</f>
        <v>4.3499999999999996</v>
      </c>
      <c r="BO183" s="64">
        <f>IFERROR(1/J183*(X183/H183),"0")</f>
        <v>1.2860082304526748E-2</v>
      </c>
      <c r="BP183" s="64">
        <f>IFERROR(1/J183*(Y183/H183),"0")</f>
        <v>1.3888888888888888E-2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5.5555555555555554</v>
      </c>
      <c r="Y185" s="547">
        <f>IFERROR(Y182/H182,"0")+IFERROR(Y183/H183,"0")+IFERROR(Y184/H184,"0")</f>
        <v>6</v>
      </c>
      <c r="Z185" s="547">
        <f>IFERROR(IF(Z182="",0,Z182),"0")+IFERROR(IF(Z183="",0,Z183),"0")+IFERROR(IF(Z184="",0,Z184),"0")</f>
        <v>3.5400000000000001E-2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7</v>
      </c>
      <c r="Y186" s="547">
        <f>IFERROR(SUM(Y182:Y184),"0")</f>
        <v>7.5600000000000005</v>
      </c>
      <c r="Z186" s="37"/>
      <c r="AA186" s="548"/>
      <c r="AB186" s="548"/>
      <c r="AC186" s="548"/>
    </row>
    <row r="187" spans="1:68" ht="14.25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70</v>
      </c>
      <c r="Y203" s="546">
        <f t="shared" ref="Y203:Y210" si="10">IFERROR(IF(X203="",0,CEILING((X203/$H203),1)*$H203),"")</f>
        <v>70.2</v>
      </c>
      <c r="Z203" s="36">
        <f>IFERROR(IF(Y203=0,"",ROUNDUP(Y203/H203,0)*0.00902),"")</f>
        <v>0.11726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72.462962962962962</v>
      </c>
      <c r="BN203" s="64">
        <f t="shared" ref="BN203:BN210" si="12">IFERROR(Y203*I203/H203,"0")</f>
        <v>72.67</v>
      </c>
      <c r="BO203" s="64">
        <f t="shared" ref="BO203:BO210" si="13">IFERROR(1/J203*(X203/H203),"0")</f>
        <v>9.8204264870931535E-2</v>
      </c>
      <c r="BP203" s="64">
        <f t="shared" ref="BP203:BP210" si="14">IFERROR(1/J203*(Y203/H203),"0")</f>
        <v>9.8484848484848481E-2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40</v>
      </c>
      <c r="Y204" s="546">
        <f t="shared" si="10"/>
        <v>43.2</v>
      </c>
      <c r="Z204" s="36">
        <f>IFERROR(IF(Y204=0,"",ROUNDUP(Y204/H204,0)*0.00902),"")</f>
        <v>7.2160000000000002E-2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41.407407407407405</v>
      </c>
      <c r="BN204" s="64">
        <f t="shared" si="12"/>
        <v>44.72</v>
      </c>
      <c r="BO204" s="64">
        <f t="shared" si="13"/>
        <v>5.6116722783389444E-2</v>
      </c>
      <c r="BP204" s="64">
        <f t="shared" si="14"/>
        <v>6.0606060606060608E-2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350</v>
      </c>
      <c r="Y205" s="546">
        <f t="shared" si="10"/>
        <v>351</v>
      </c>
      <c r="Z205" s="36">
        <f>IFERROR(IF(Y205=0,"",ROUNDUP(Y205/H205,0)*0.00902),"")</f>
        <v>0.58630000000000004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362.31481481481478</v>
      </c>
      <c r="BN205" s="64">
        <f t="shared" si="12"/>
        <v>363.34999999999997</v>
      </c>
      <c r="BO205" s="64">
        <f t="shared" si="13"/>
        <v>0.49102132435465767</v>
      </c>
      <c r="BP205" s="64">
        <f t="shared" si="14"/>
        <v>0.49242424242424243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50</v>
      </c>
      <c r="Y206" s="546">
        <f t="shared" si="10"/>
        <v>54</v>
      </c>
      <c r="Z206" s="36">
        <f>IFERROR(IF(Y206=0,"",ROUNDUP(Y206/H206,0)*0.00902),"")</f>
        <v>9.0200000000000002E-2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51.759259259259252</v>
      </c>
      <c r="BN206" s="64">
        <f t="shared" si="12"/>
        <v>55.9</v>
      </c>
      <c r="BO206" s="64">
        <f t="shared" si="13"/>
        <v>7.0145903479236812E-2</v>
      </c>
      <c r="BP206" s="64">
        <f t="shared" si="14"/>
        <v>7.575757575757576E-2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66</v>
      </c>
      <c r="Y207" s="546">
        <f t="shared" si="10"/>
        <v>66.600000000000009</v>
      </c>
      <c r="Z207" s="36">
        <f>IFERROR(IF(Y207=0,"",ROUNDUP(Y207/H207,0)*0.00502),"")</f>
        <v>0.18574000000000002</v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70.766666666666666</v>
      </c>
      <c r="BN207" s="64">
        <f t="shared" si="12"/>
        <v>71.410000000000011</v>
      </c>
      <c r="BO207" s="64">
        <f t="shared" si="13"/>
        <v>0.15669515669515671</v>
      </c>
      <c r="BP207" s="64">
        <f t="shared" si="14"/>
        <v>0.15811965811965817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45</v>
      </c>
      <c r="Y208" s="546">
        <f t="shared" si="10"/>
        <v>45</v>
      </c>
      <c r="Z208" s="36">
        <f>IFERROR(IF(Y208=0,"",ROUNDUP(Y208/H208,0)*0.00502),"")</f>
        <v>0.1255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47.5</v>
      </c>
      <c r="BN208" s="64">
        <f t="shared" si="12"/>
        <v>47.5</v>
      </c>
      <c r="BO208" s="64">
        <f t="shared" si="13"/>
        <v>0.10683760683760685</v>
      </c>
      <c r="BP208" s="64">
        <f t="shared" si="14"/>
        <v>0.10683760683760685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 t="s">
        <v>282</v>
      </c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99</v>
      </c>
      <c r="Y209" s="546">
        <f t="shared" si="10"/>
        <v>99</v>
      </c>
      <c r="Z209" s="36">
        <f>IFERROR(IF(Y209=0,"",ROUNDUP(Y209/H209,0)*0.00502),"")</f>
        <v>0.27610000000000001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1"/>
        <v>104.5</v>
      </c>
      <c r="BN209" s="64">
        <f t="shared" si="12"/>
        <v>104.5</v>
      </c>
      <c r="BO209" s="64">
        <f t="shared" si="13"/>
        <v>0.23504273504273507</v>
      </c>
      <c r="BP209" s="64">
        <f t="shared" si="14"/>
        <v>0.23504273504273507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45</v>
      </c>
      <c r="Y210" s="546">
        <f t="shared" si="10"/>
        <v>45</v>
      </c>
      <c r="Z210" s="36">
        <f>IFERROR(IF(Y210=0,"",ROUNDUP(Y210/H210,0)*0.00502),"")</f>
        <v>0.1255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47.5</v>
      </c>
      <c r="BN210" s="64">
        <f t="shared" si="12"/>
        <v>47.5</v>
      </c>
      <c r="BO210" s="64">
        <f t="shared" si="13"/>
        <v>0.10683760683760685</v>
      </c>
      <c r="BP210" s="64">
        <f t="shared" si="14"/>
        <v>0.10683760683760685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236.11111111111109</v>
      </c>
      <c r="Y211" s="547">
        <f>IFERROR(Y203/H203,"0")+IFERROR(Y204/H204,"0")+IFERROR(Y205/H205,"0")+IFERROR(Y206/H206,"0")+IFERROR(Y207/H207,"0")+IFERROR(Y208/H208,"0")+IFERROR(Y209/H209,"0")+IFERROR(Y210/H210,"0")</f>
        <v>238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1.5787599999999999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765</v>
      </c>
      <c r="Y212" s="547">
        <f>IFERROR(SUM(Y203:Y210),"0")</f>
        <v>774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300</v>
      </c>
      <c r="Y216" s="546">
        <f t="shared" si="15"/>
        <v>304.5</v>
      </c>
      <c r="Z216" s="36">
        <f>IFERROR(IF(Y216=0,"",ROUNDUP(Y216/H216,0)*0.01898),"")</f>
        <v>0.6643</v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317.03448275862075</v>
      </c>
      <c r="BN216" s="64">
        <f t="shared" si="17"/>
        <v>321.79000000000008</v>
      </c>
      <c r="BO216" s="64">
        <f t="shared" si="18"/>
        <v>0.53879310344827591</v>
      </c>
      <c r="BP216" s="64">
        <f t="shared" si="19"/>
        <v>0.546875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220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260</v>
      </c>
      <c r="Y217" s="546">
        <f t="shared" si="15"/>
        <v>261.59999999999997</v>
      </c>
      <c r="Z217" s="36">
        <f t="shared" ref="Z217:Z222" si="20">IFERROR(IF(Y217=0,"",ROUNDUP(Y217/H217,0)*0.00651),"")</f>
        <v>0.70959000000000005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289.25</v>
      </c>
      <c r="BN217" s="64">
        <f t="shared" si="17"/>
        <v>291.02999999999997</v>
      </c>
      <c r="BO217" s="64">
        <f t="shared" si="18"/>
        <v>0.59523809523809534</v>
      </c>
      <c r="BP217" s="64">
        <f t="shared" si="19"/>
        <v>0.59890109890109888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220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280</v>
      </c>
      <c r="Y219" s="546">
        <f t="shared" si="15"/>
        <v>280.8</v>
      </c>
      <c r="Z219" s="36">
        <f t="shared" si="20"/>
        <v>0.76167000000000007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309.40000000000003</v>
      </c>
      <c r="BN219" s="64">
        <f t="shared" si="17"/>
        <v>310.28400000000005</v>
      </c>
      <c r="BO219" s="64">
        <f t="shared" si="18"/>
        <v>0.64102564102564108</v>
      </c>
      <c r="BP219" s="64">
        <f t="shared" si="19"/>
        <v>0.64285714285714302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/>
      <c r="AK220" s="68">
        <v>0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220</v>
      </c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100</v>
      </c>
      <c r="Y221" s="546">
        <f t="shared" si="15"/>
        <v>100.8</v>
      </c>
      <c r="Z221" s="36">
        <f t="shared" si="20"/>
        <v>0.27342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110.5</v>
      </c>
      <c r="BN221" s="64">
        <f t="shared" si="17"/>
        <v>111.384</v>
      </c>
      <c r="BO221" s="64">
        <f t="shared" si="18"/>
        <v>0.22893772893772898</v>
      </c>
      <c r="BP221" s="64">
        <f t="shared" si="19"/>
        <v>0.23076923076923078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220</v>
      </c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200</v>
      </c>
      <c r="Y222" s="546">
        <f t="shared" si="15"/>
        <v>201.6</v>
      </c>
      <c r="Z222" s="36">
        <f t="shared" si="20"/>
        <v>0.54683999999999999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221.50000000000003</v>
      </c>
      <c r="BN222" s="64">
        <f t="shared" si="17"/>
        <v>223.27200000000002</v>
      </c>
      <c r="BO222" s="64">
        <f t="shared" si="18"/>
        <v>0.45787545787545797</v>
      </c>
      <c r="BP222" s="64">
        <f t="shared" si="19"/>
        <v>0.46153846153846156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384.48275862068965</v>
      </c>
      <c r="Y223" s="547">
        <f>IFERROR(Y214/H214,"0")+IFERROR(Y215/H215,"0")+IFERROR(Y216/H216,"0")+IFERROR(Y217/H217,"0")+IFERROR(Y218/H218,"0")+IFERROR(Y219/H219,"0")+IFERROR(Y220/H220,"0")+IFERROR(Y221/H221,"0")+IFERROR(Y222/H222,"0")</f>
        <v>387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2.9558199999999997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1140</v>
      </c>
      <c r="Y224" s="547">
        <f>IFERROR(SUM(Y214:Y222),"0")</f>
        <v>1149.2999999999997</v>
      </c>
      <c r="Z224" s="37"/>
      <c r="AA224" s="548"/>
      <c r="AB224" s="548"/>
      <c r="AC224" s="548"/>
    </row>
    <row r="225" spans="1:68" ht="14.25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 t="s">
        <v>220</v>
      </c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20</v>
      </c>
      <c r="Y226" s="546">
        <f>IFERROR(IF(X226="",0,CEILING((X226/$H226),1)*$H226),"")</f>
        <v>21.599999999999998</v>
      </c>
      <c r="Z226" s="36">
        <f>IFERROR(IF(Y226=0,"",ROUNDUP(Y226/H226,0)*0.00651),"")</f>
        <v>5.8590000000000003E-2</v>
      </c>
      <c r="AA226" s="56"/>
      <c r="AB226" s="57"/>
      <c r="AC226" s="277" t="s">
        <v>375</v>
      </c>
      <c r="AG226" s="64"/>
      <c r="AJ226" s="68" t="s">
        <v>106</v>
      </c>
      <c r="AK226" s="68">
        <v>33.6</v>
      </c>
      <c r="BB226" s="278" t="s">
        <v>1</v>
      </c>
      <c r="BM226" s="64">
        <f>IFERROR(X226*I226/H226,"0")</f>
        <v>22.100000000000005</v>
      </c>
      <c r="BN226" s="64">
        <f>IFERROR(Y226*I226/H226,"0")</f>
        <v>23.868000000000002</v>
      </c>
      <c r="BO226" s="64">
        <f>IFERROR(1/J226*(X226/H226),"0")</f>
        <v>4.5787545787545791E-2</v>
      </c>
      <c r="BP226" s="64">
        <f>IFERROR(1/J226*(Y226/H226),"0")</f>
        <v>4.9450549450549455E-2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220</v>
      </c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40</v>
      </c>
      <c r="Y227" s="546">
        <f>IFERROR(IF(X227="",0,CEILING((X227/$H227),1)*$H227),"")</f>
        <v>40.799999999999997</v>
      </c>
      <c r="Z227" s="36">
        <f>IFERROR(IF(Y227=0,"",ROUNDUP(Y227/H227,0)*0.00651),"")</f>
        <v>0.11067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44.20000000000001</v>
      </c>
      <c r="BN227" s="64">
        <f>IFERROR(Y227*I227/H227,"0")</f>
        <v>45.084000000000003</v>
      </c>
      <c r="BO227" s="64">
        <f>IFERROR(1/J227*(X227/H227),"0")</f>
        <v>9.1575091575091583E-2</v>
      </c>
      <c r="BP227" s="64">
        <f>IFERROR(1/J227*(Y227/H227),"0")</f>
        <v>9.3406593406593408E-2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25</v>
      </c>
      <c r="Y228" s="547">
        <f>IFERROR(Y226/H226,"0")+IFERROR(Y227/H227,"0")</f>
        <v>26</v>
      </c>
      <c r="Z228" s="547">
        <f>IFERROR(IF(Z226="",0,Z226),"0")+IFERROR(IF(Z227="",0,Z227),"0")</f>
        <v>0.16926000000000002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60</v>
      </c>
      <c r="Y229" s="547">
        <f>IFERROR(SUM(Y226:Y227),"0")</f>
        <v>62.399999999999991</v>
      </c>
      <c r="Z229" s="37"/>
      <c r="AA229" s="548"/>
      <c r="AB229" s="548"/>
      <c r="AC229" s="548"/>
    </row>
    <row r="230" spans="1:68" ht="16.5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30</v>
      </c>
      <c r="Y232" s="546">
        <f t="shared" ref="Y232:Y240" si="21">IFERROR(IF(X232="",0,CEILING((X232/$H232),1)*$H232),"")</f>
        <v>34.799999999999997</v>
      </c>
      <c r="Z232" s="36">
        <f>IFERROR(IF(Y232=0,"",ROUNDUP(Y232/H232,0)*0.01898),"")</f>
        <v>5.6940000000000004E-2</v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31.06034482758621</v>
      </c>
      <c r="BN232" s="64">
        <f t="shared" ref="BN232:BN240" si="23">IFERROR(Y232*I232/H232,"0")</f>
        <v>36.03</v>
      </c>
      <c r="BO232" s="64">
        <f t="shared" ref="BO232:BO240" si="24">IFERROR(1/J232*(X232/H232),"0")</f>
        <v>4.0409482758620691E-2</v>
      </c>
      <c r="BP232" s="64">
        <f t="shared" ref="BP232:BP240" si="25">IFERROR(1/J232*(Y232/H232),"0")</f>
        <v>4.6875E-2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 t="s">
        <v>103</v>
      </c>
      <c r="M234" s="33" t="s">
        <v>104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30</v>
      </c>
      <c r="Y234" s="546">
        <f t="shared" si="21"/>
        <v>34.799999999999997</v>
      </c>
      <c r="Z234" s="36">
        <f>IFERROR(IF(Y234=0,"",ROUNDUP(Y234/H234,0)*0.01898),"")</f>
        <v>5.6940000000000004E-2</v>
      </c>
      <c r="AA234" s="56"/>
      <c r="AB234" s="57"/>
      <c r="AC234" s="285" t="s">
        <v>388</v>
      </c>
      <c r="AG234" s="64"/>
      <c r="AJ234" s="68" t="s">
        <v>106</v>
      </c>
      <c r="AK234" s="68">
        <v>92.8</v>
      </c>
      <c r="BB234" s="286" t="s">
        <v>1</v>
      </c>
      <c r="BM234" s="64">
        <f t="shared" si="22"/>
        <v>31.06034482758621</v>
      </c>
      <c r="BN234" s="64">
        <f t="shared" si="23"/>
        <v>36.03</v>
      </c>
      <c r="BO234" s="64">
        <f t="shared" si="24"/>
        <v>4.0409482758620691E-2</v>
      </c>
      <c r="BP234" s="64">
        <f t="shared" si="25"/>
        <v>4.6875E-2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 t="s">
        <v>110</v>
      </c>
      <c r="M235" s="33" t="s">
        <v>104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16</v>
      </c>
      <c r="Y235" s="546">
        <f t="shared" si="21"/>
        <v>16</v>
      </c>
      <c r="Z235" s="36">
        <f>IFERROR(IF(Y235=0,"",ROUNDUP(Y235/H235,0)*0.00902),"")</f>
        <v>3.6080000000000001E-2</v>
      </c>
      <c r="AA235" s="56"/>
      <c r="AB235" s="57"/>
      <c r="AC235" s="287" t="s">
        <v>382</v>
      </c>
      <c r="AG235" s="64"/>
      <c r="AJ235" s="68" t="s">
        <v>106</v>
      </c>
      <c r="AK235" s="68">
        <v>48</v>
      </c>
      <c r="BB235" s="288" t="s">
        <v>1</v>
      </c>
      <c r="BM235" s="64">
        <f t="shared" si="22"/>
        <v>16.760000000000002</v>
      </c>
      <c r="BN235" s="64">
        <f t="shared" si="23"/>
        <v>16.760000000000002</v>
      </c>
      <c r="BO235" s="64">
        <f t="shared" si="24"/>
        <v>3.0303030303030304E-2</v>
      </c>
      <c r="BP235" s="64">
        <f t="shared" si="25"/>
        <v>3.0303030303030304E-2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 t="s">
        <v>110</v>
      </c>
      <c r="M239" s="33" t="s">
        <v>104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32</v>
      </c>
      <c r="Y239" s="546">
        <f t="shared" si="21"/>
        <v>32</v>
      </c>
      <c r="Z239" s="36">
        <f>IFERROR(IF(Y239=0,"",ROUNDUP(Y239/H239,0)*0.00902),"")</f>
        <v>7.2160000000000002E-2</v>
      </c>
      <c r="AA239" s="56"/>
      <c r="AB239" s="57"/>
      <c r="AC239" s="295" t="s">
        <v>388</v>
      </c>
      <c r="AG239" s="64"/>
      <c r="AJ239" s="68" t="s">
        <v>106</v>
      </c>
      <c r="AK239" s="68">
        <v>48</v>
      </c>
      <c r="BB239" s="296" t="s">
        <v>1</v>
      </c>
      <c r="BM239" s="64">
        <f t="shared" si="22"/>
        <v>33.520000000000003</v>
      </c>
      <c r="BN239" s="64">
        <f t="shared" si="23"/>
        <v>33.520000000000003</v>
      </c>
      <c r="BO239" s="64">
        <f t="shared" si="24"/>
        <v>6.0606060606060608E-2</v>
      </c>
      <c r="BP239" s="64">
        <f t="shared" si="25"/>
        <v>6.0606060606060608E-2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17.172413793103448</v>
      </c>
      <c r="Y241" s="547">
        <f>IFERROR(Y232/H232,"0")+IFERROR(Y233/H233,"0")+IFERROR(Y234/H234,"0")+IFERROR(Y235/H235,"0")+IFERROR(Y236/H236,"0")+IFERROR(Y237/H237,"0")+IFERROR(Y238/H238,"0")+IFERROR(Y239/H239,"0")+IFERROR(Y240/H240,"0")</f>
        <v>18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0.22212000000000001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108</v>
      </c>
      <c r="Y242" s="547">
        <f>IFERROR(SUM(Y232:Y240),"0")</f>
        <v>117.6</v>
      </c>
      <c r="Z242" s="37"/>
      <c r="AA242" s="548"/>
      <c r="AB242" s="548"/>
      <c r="AC242" s="548"/>
    </row>
    <row r="243" spans="1:68" ht="14.25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6</v>
      </c>
      <c r="Y248" s="546">
        <f>IFERROR(IF(X248="",0,CEILING((X248/$H248),1)*$H248),"")</f>
        <v>7.2</v>
      </c>
      <c r="Z248" s="36">
        <f>IFERROR(IF(Y248=0,"",ROUNDUP(Y248/H248,0)*0.0059),"")</f>
        <v>2.3599999999999999E-2</v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6.5833333333333339</v>
      </c>
      <c r="BN248" s="64">
        <f>IFERROR(Y248*I248/H248,"0")</f>
        <v>7.9</v>
      </c>
      <c r="BO248" s="64">
        <f>IFERROR(1/J248*(X248/H248),"0")</f>
        <v>1.5432098765432096E-2</v>
      </c>
      <c r="BP248" s="64">
        <f>IFERROR(1/J248*(Y248/H248),"0")</f>
        <v>1.8518518518518517E-2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3.333333333333333</v>
      </c>
      <c r="Y249" s="547">
        <f>IFERROR(Y248/H248,"0")</f>
        <v>4</v>
      </c>
      <c r="Z249" s="547">
        <f>IFERROR(IF(Z248="",0,Z248),"0")</f>
        <v>2.3599999999999999E-2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6</v>
      </c>
      <c r="Y250" s="547">
        <f>IFERROR(SUM(Y248:Y248),"0")</f>
        <v>7.2</v>
      </c>
      <c r="Z250" s="37"/>
      <c r="AA250" s="548"/>
      <c r="AB250" s="548"/>
      <c r="AC250" s="548"/>
    </row>
    <row r="251" spans="1:68" ht="14.25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6</v>
      </c>
      <c r="Y253" s="546">
        <f>IFERROR(IF(X253="",0,CEILING((X253/$H253),1)*$H253),"")</f>
        <v>7.2</v>
      </c>
      <c r="Z253" s="36">
        <f>IFERROR(IF(Y253=0,"",ROUNDUP(Y253/H253,0)*0.0059),"")</f>
        <v>2.3599999999999999E-2</v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6.5833333333333339</v>
      </c>
      <c r="BN253" s="64">
        <f>IFERROR(Y253*I253/H253,"0")</f>
        <v>7.9</v>
      </c>
      <c r="BO253" s="64">
        <f>IFERROR(1/J253*(X253/H253),"0")</f>
        <v>1.5432098765432096E-2</v>
      </c>
      <c r="BP253" s="64">
        <f>IFERROR(1/J253*(Y253/H253),"0")</f>
        <v>1.8518518518518517E-2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2.5</v>
      </c>
      <c r="Y254" s="546">
        <f>IFERROR(IF(X254="",0,CEILING((X254/$H254),1)*$H254),"")</f>
        <v>2.7</v>
      </c>
      <c r="Z254" s="36">
        <f>IFERROR(IF(Y254=0,"",ROUNDUP(Y254/H254,0)*0.0059),"")</f>
        <v>1.77E-2</v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3.0277777777777777</v>
      </c>
      <c r="BN254" s="64">
        <f>IFERROR(Y254*I254/H254,"0")</f>
        <v>3.2700000000000005</v>
      </c>
      <c r="BO254" s="64">
        <f>IFERROR(1/J254*(X254/H254),"0")</f>
        <v>1.2860082304526748E-2</v>
      </c>
      <c r="BP254" s="64">
        <f>IFERROR(1/J254*(Y254/H254),"0")</f>
        <v>1.3888888888888888E-2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6.1111111111111107</v>
      </c>
      <c r="Y257" s="547">
        <f>IFERROR(Y252/H252,"0")+IFERROR(Y253/H253,"0")+IFERROR(Y254/H254,"0")+IFERROR(Y255/H255,"0")+IFERROR(Y256/H256,"0")</f>
        <v>7</v>
      </c>
      <c r="Z257" s="547">
        <f>IFERROR(IF(Z252="",0,Z252),"0")+IFERROR(IF(Z253="",0,Z253),"0")+IFERROR(IF(Z254="",0,Z254),"0")+IFERROR(IF(Z255="",0,Z255),"0")+IFERROR(IF(Z256="",0,Z256),"0")</f>
        <v>4.1300000000000003E-2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8.5</v>
      </c>
      <c r="Y258" s="547">
        <f>IFERROR(SUM(Y252:Y256),"0")</f>
        <v>9.9</v>
      </c>
      <c r="Z258" s="37"/>
      <c r="AA258" s="548"/>
      <c r="AB258" s="548"/>
      <c r="AC258" s="548"/>
    </row>
    <row r="259" spans="1:68" ht="16.5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220</v>
      </c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60</v>
      </c>
      <c r="Y279" s="546">
        <f>IFERROR(IF(X279="",0,CEILING((X279/$H279),1)*$H279),"")</f>
        <v>60</v>
      </c>
      <c r="Z279" s="36">
        <f>IFERROR(IF(Y279=0,"",ROUNDUP(Y279/H279,0)*0.00651),"")</f>
        <v>0.16275000000000001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66.300000000000011</v>
      </c>
      <c r="BN279" s="64">
        <f>IFERROR(Y279*I279/H279,"0")</f>
        <v>66.300000000000011</v>
      </c>
      <c r="BO279" s="64">
        <f>IFERROR(1/J279*(X279/H279),"0")</f>
        <v>0.13736263736263737</v>
      </c>
      <c r="BP279" s="64">
        <f>IFERROR(1/J279*(Y279/H279),"0")</f>
        <v>0.13736263736263737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200</v>
      </c>
      <c r="Y280" s="546">
        <f>IFERROR(IF(X280="",0,CEILING((X280/$H280),1)*$H280),"")</f>
        <v>201.6</v>
      </c>
      <c r="Z280" s="36">
        <f>IFERROR(IF(Y280=0,"",ROUNDUP(Y280/H280,0)*0.00651),"")</f>
        <v>0.54683999999999999</v>
      </c>
      <c r="AA280" s="56"/>
      <c r="AB280" s="57"/>
      <c r="AC280" s="335" t="s">
        <v>450</v>
      </c>
      <c r="AG280" s="64"/>
      <c r="AJ280" s="68"/>
      <c r="AK280" s="68">
        <v>0</v>
      </c>
      <c r="BB280" s="336" t="s">
        <v>1</v>
      </c>
      <c r="BM280" s="64">
        <f>IFERROR(X280*I280/H280,"0")</f>
        <v>215</v>
      </c>
      <c r="BN280" s="64">
        <f>IFERROR(Y280*I280/H280,"0")</f>
        <v>216.72000000000003</v>
      </c>
      <c r="BO280" s="64">
        <f>IFERROR(1/J280*(X280/H280),"0")</f>
        <v>0.45787545787545797</v>
      </c>
      <c r="BP280" s="64">
        <f>IFERROR(1/J280*(Y280/H280),"0")</f>
        <v>0.46153846153846156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108.33333333333334</v>
      </c>
      <c r="Y281" s="547">
        <f>IFERROR(Y278/H278,"0")+IFERROR(Y279/H279,"0")+IFERROR(Y280/H280,"0")</f>
        <v>109</v>
      </c>
      <c r="Z281" s="547">
        <f>IFERROR(IF(Z278="",0,Z278),"0")+IFERROR(IF(Z279="",0,Z279),"0")+IFERROR(IF(Z280="",0,Z280),"0")</f>
        <v>0.70958999999999994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260</v>
      </c>
      <c r="Y282" s="547">
        <f>IFERROR(SUM(Y278:Y280),"0")</f>
        <v>261.60000000000002</v>
      </c>
      <c r="Z282" s="37"/>
      <c r="AA282" s="548"/>
      <c r="AB282" s="548"/>
      <c r="AC282" s="548"/>
    </row>
    <row r="283" spans="1:68" ht="16.5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 t="s">
        <v>282</v>
      </c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 t="s">
        <v>106</v>
      </c>
      <c r="AK307" s="68">
        <v>37.799999999999997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140</v>
      </c>
      <c r="Y308" s="546">
        <f t="shared" si="26"/>
        <v>140.70000000000002</v>
      </c>
      <c r="Z308" s="36">
        <f>IFERROR(IF(Y308=0,"",ROUNDUP(Y308/H308,0)*0.00502),"")</f>
        <v>0.33634000000000003</v>
      </c>
      <c r="AA308" s="56"/>
      <c r="AB308" s="57"/>
      <c r="AC308" s="363" t="s">
        <v>497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27"/>
        <v>146.66666666666666</v>
      </c>
      <c r="BN308" s="64">
        <f t="shared" si="28"/>
        <v>147.40000000000003</v>
      </c>
      <c r="BO308" s="64">
        <f t="shared" si="29"/>
        <v>0.28490028490028491</v>
      </c>
      <c r="BP308" s="64">
        <f t="shared" si="30"/>
        <v>0.28632478632478636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 t="s">
        <v>220</v>
      </c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36</v>
      </c>
      <c r="Y309" s="546">
        <f t="shared" si="26"/>
        <v>36</v>
      </c>
      <c r="Z309" s="36">
        <f>IFERROR(IF(Y309=0,"",ROUNDUP(Y309/H309,0)*0.00651),"")</f>
        <v>0.13020000000000001</v>
      </c>
      <c r="AA309" s="56"/>
      <c r="AB309" s="57"/>
      <c r="AC309" s="365" t="s">
        <v>500</v>
      </c>
      <c r="AG309" s="64"/>
      <c r="AJ309" s="68" t="s">
        <v>106</v>
      </c>
      <c r="AK309" s="68">
        <v>25.2</v>
      </c>
      <c r="BB309" s="366" t="s">
        <v>1</v>
      </c>
      <c r="BM309" s="64">
        <f t="shared" si="27"/>
        <v>40.559999999999995</v>
      </c>
      <c r="BN309" s="64">
        <f t="shared" si="28"/>
        <v>40.559999999999995</v>
      </c>
      <c r="BO309" s="64">
        <f t="shared" si="29"/>
        <v>0.1098901098901099</v>
      </c>
      <c r="BP309" s="64">
        <f t="shared" si="30"/>
        <v>0.1098901098901099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86.666666666666657</v>
      </c>
      <c r="Y310" s="547">
        <f>IFERROR(Y304/H304,"0")+IFERROR(Y305/H305,"0")+IFERROR(Y306/H306,"0")+IFERROR(Y307/H307,"0")+IFERROR(Y308/H308,"0")+IFERROR(Y309/H309,"0")</f>
        <v>87</v>
      </c>
      <c r="Z310" s="547">
        <f>IFERROR(IF(Z304="",0,Z304),"0")+IFERROR(IF(Z305="",0,Z305),"0")+IFERROR(IF(Z306="",0,Z306),"0")+IFERROR(IF(Z307="",0,Z307),"0")+IFERROR(IF(Z308="",0,Z308),"0")+IFERROR(IF(Z309="",0,Z309),"0")</f>
        <v>0.46654000000000007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176</v>
      </c>
      <c r="Y311" s="547">
        <f>IFERROR(SUM(Y304:Y309),"0")</f>
        <v>176.70000000000002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500</v>
      </c>
      <c r="Y321" s="546">
        <f>IFERROR(IF(X321="",0,CEILING((X321/$H321),1)*$H321),"")</f>
        <v>507</v>
      </c>
      <c r="Z321" s="36">
        <f>IFERROR(IF(Y321=0,"",ROUNDUP(Y321/H321,0)*0.01898),"")</f>
        <v>1.2337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531.66666666666663</v>
      </c>
      <c r="BN321" s="64">
        <f>IFERROR(Y321*I321/H321,"0")</f>
        <v>539.11</v>
      </c>
      <c r="BO321" s="64">
        <f>IFERROR(1/J321*(X321/H321),"0")</f>
        <v>1.0016025641025641</v>
      </c>
      <c r="BP321" s="64">
        <f>IFERROR(1/J321*(Y321/H321),"0")</f>
        <v>1.015625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200</v>
      </c>
      <c r="Y322" s="546">
        <f>IFERROR(IF(X322="",0,CEILING((X322/$H322),1)*$H322),"")</f>
        <v>201.60000000000002</v>
      </c>
      <c r="Z322" s="36">
        <f>IFERROR(IF(Y322=0,"",ROUNDUP(Y322/H322,0)*0.01898),"")</f>
        <v>0.45552000000000004</v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211.76190476190476</v>
      </c>
      <c r="BN322" s="64">
        <f>IFERROR(Y322*I322/H322,"0")</f>
        <v>213.45600000000002</v>
      </c>
      <c r="BO322" s="64">
        <f>IFERROR(1/J322*(X322/H322),"0")</f>
        <v>0.37202380952380953</v>
      </c>
      <c r="BP322" s="64">
        <f>IFERROR(1/J322*(Y322/H322),"0")</f>
        <v>0.375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87.912087912087912</v>
      </c>
      <c r="Y323" s="547">
        <f>IFERROR(Y320/H320,"0")+IFERROR(Y321/H321,"0")+IFERROR(Y322/H322,"0")</f>
        <v>89</v>
      </c>
      <c r="Z323" s="547">
        <f>IFERROR(IF(Z320="",0,Z320),"0")+IFERROR(IF(Z321="",0,Z321),"0")+IFERROR(IF(Z322="",0,Z322),"0")</f>
        <v>1.6892200000000002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700</v>
      </c>
      <c r="Y324" s="547">
        <f>IFERROR(SUM(Y320:Y322),"0")</f>
        <v>708.6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220</v>
      </c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220</v>
      </c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220</v>
      </c>
      <c r="M333" s="33" t="s">
        <v>534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 t="s">
        <v>106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 t="s">
        <v>220</v>
      </c>
      <c r="M335" s="33" t="s">
        <v>534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220</v>
      </c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770</v>
      </c>
      <c r="Y341" s="546">
        <f>IFERROR(IF(X341="",0,CEILING((X341/$H341),1)*$H341),"")</f>
        <v>770.7</v>
      </c>
      <c r="Z341" s="36">
        <f>IFERROR(IF(Y341=0,"",ROUNDUP(Y341/H341,0)*0.00651),"")</f>
        <v>2.38917</v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862.4</v>
      </c>
      <c r="BN341" s="64">
        <f>IFERROR(Y341*I341/H341,"0")</f>
        <v>863.18399999999997</v>
      </c>
      <c r="BO341" s="64">
        <f>IFERROR(1/J341*(X341/H341),"0")</f>
        <v>2.0146520146520146</v>
      </c>
      <c r="BP341" s="64">
        <f>IFERROR(1/J341*(Y341/H341),"0")</f>
        <v>2.0164835164835164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220</v>
      </c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385</v>
      </c>
      <c r="Y342" s="546">
        <f>IFERROR(IF(X342="",0,CEILING((X342/$H342),1)*$H342),"")</f>
        <v>386.40000000000003</v>
      </c>
      <c r="Z342" s="36">
        <f>IFERROR(IF(Y342=0,"",ROUNDUP(Y342/H342,0)*0.00651),"")</f>
        <v>1.19784</v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428.99999999999994</v>
      </c>
      <c r="BN342" s="64">
        <f>IFERROR(Y342*I342/H342,"0")</f>
        <v>430.56</v>
      </c>
      <c r="BO342" s="64">
        <f>IFERROR(1/J342*(X342/H342),"0")</f>
        <v>1.0073260073260073</v>
      </c>
      <c r="BP342" s="64">
        <f>IFERROR(1/J342*(Y342/H342),"0")</f>
        <v>1.0109890109890112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550</v>
      </c>
      <c r="Y343" s="547">
        <f>IFERROR(Y340/H340,"0")+IFERROR(Y341/H341,"0")+IFERROR(Y342/H342,"0")</f>
        <v>551</v>
      </c>
      <c r="Z343" s="547">
        <f>IFERROR(IF(Z340="",0,Z340),"0")+IFERROR(IF(Z341="",0,Z341),"0")+IFERROR(IF(Z342="",0,Z342),"0")</f>
        <v>3.5870100000000003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1155</v>
      </c>
      <c r="Y344" s="547">
        <f>IFERROR(SUM(Y340:Y342),"0")</f>
        <v>1157.1000000000001</v>
      </c>
      <c r="Z344" s="37"/>
      <c r="AA344" s="548"/>
      <c r="AB344" s="548"/>
      <c r="AC344" s="548"/>
    </row>
    <row r="345" spans="1:68" ht="27.75" customHeight="1" x14ac:dyDescent="0.2">
      <c r="A345" s="639" t="s">
        <v>550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/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1200</v>
      </c>
      <c r="Y348" s="546">
        <f t="shared" ref="Y348:Y354" si="31">IFERROR(IF(X348="",0,CEILING((X348/$H348),1)*$H348),"")</f>
        <v>1200</v>
      </c>
      <c r="Z348" s="36">
        <f>IFERROR(IF(Y348=0,"",ROUNDUP(Y348/H348,0)*0.02175),"")</f>
        <v>1.7399999999999998</v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ref="BM348:BM354" si="32">IFERROR(X348*I348/H348,"0")</f>
        <v>1237.5999999999999</v>
      </c>
      <c r="BN348" s="64">
        <f t="shared" ref="BN348:BN354" si="33">IFERROR(Y348*I348/H348,"0")</f>
        <v>1237.5999999999999</v>
      </c>
      <c r="BO348" s="64">
        <f t="shared" ref="BO348:BO354" si="34">IFERROR(1/J348*(X348/H348),"0")</f>
        <v>1.6666666666666665</v>
      </c>
      <c r="BP348" s="64">
        <f t="shared" ref="BP348:BP354" si="35">IFERROR(1/J348*(Y348/H348),"0")</f>
        <v>1.6666666666666665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800</v>
      </c>
      <c r="Y349" s="546">
        <f t="shared" si="31"/>
        <v>810</v>
      </c>
      <c r="Z349" s="36">
        <f>IFERROR(IF(Y349=0,"",ROUNDUP(Y349/H349,0)*0.02175),"")</f>
        <v>1.1744999999999999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si="32"/>
        <v>825.06666666666672</v>
      </c>
      <c r="BN349" s="64">
        <f t="shared" si="33"/>
        <v>835.38</v>
      </c>
      <c r="BO349" s="64">
        <f t="shared" si="34"/>
        <v>1.1111111111111112</v>
      </c>
      <c r="BP349" s="64">
        <f t="shared" si="35"/>
        <v>1.125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/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1700</v>
      </c>
      <c r="Y350" s="546">
        <f t="shared" si="31"/>
        <v>1710</v>
      </c>
      <c r="Z350" s="36">
        <f>IFERROR(IF(Y350=0,"",ROUNDUP(Y350/H350,0)*0.02175),"")</f>
        <v>2.4794999999999998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2"/>
        <v>1753.2666666666667</v>
      </c>
      <c r="BN350" s="64">
        <f t="shared" si="33"/>
        <v>1763.5800000000002</v>
      </c>
      <c r="BO350" s="64">
        <f t="shared" si="34"/>
        <v>2.3611111111111107</v>
      </c>
      <c r="BP350" s="64">
        <f t="shared" si="35"/>
        <v>2.375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500</v>
      </c>
      <c r="Y351" s="546">
        <f t="shared" si="31"/>
        <v>510</v>
      </c>
      <c r="Z351" s="36">
        <f>IFERROR(IF(Y351=0,"",ROUNDUP(Y351/H351,0)*0.02175),"")</f>
        <v>0.73949999999999994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515.66666666666663</v>
      </c>
      <c r="BN351" s="64">
        <f t="shared" si="33"/>
        <v>525.98</v>
      </c>
      <c r="BO351" s="64">
        <f t="shared" si="34"/>
        <v>0.69444444444444442</v>
      </c>
      <c r="BP351" s="64">
        <f t="shared" si="35"/>
        <v>0.70833333333333326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50</v>
      </c>
      <c r="Y354" s="546">
        <f t="shared" si="31"/>
        <v>50</v>
      </c>
      <c r="Z354" s="36">
        <f>IFERROR(IF(Y354=0,"",ROUNDUP(Y354/H354,0)*0.00902),"")</f>
        <v>9.0200000000000002E-2</v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51.9</v>
      </c>
      <c r="BN354" s="64">
        <f t="shared" si="33"/>
        <v>51.9</v>
      </c>
      <c r="BO354" s="64">
        <f t="shared" si="34"/>
        <v>7.575757575757576E-2</v>
      </c>
      <c r="BP354" s="64">
        <f t="shared" si="35"/>
        <v>7.575757575757576E-2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290</v>
      </c>
      <c r="Y355" s="547">
        <f>IFERROR(Y348/H348,"0")+IFERROR(Y349/H349,"0")+IFERROR(Y350/H350,"0")+IFERROR(Y351/H351,"0")+IFERROR(Y352/H352,"0")+IFERROR(Y353/H353,"0")+IFERROR(Y354/H354,"0")</f>
        <v>292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6.2236999999999991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4250</v>
      </c>
      <c r="Y356" s="547">
        <f>IFERROR(SUM(Y348:Y354),"0")</f>
        <v>4280</v>
      </c>
      <c r="Z356" s="37"/>
      <c r="AA356" s="548"/>
      <c r="AB356" s="548"/>
      <c r="AC356" s="548"/>
    </row>
    <row r="357" spans="1:68" ht="14.25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/>
      <c r="M358" s="33" t="s">
        <v>104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1400</v>
      </c>
      <c r="Y358" s="546">
        <f>IFERROR(IF(X358="",0,CEILING((X358/$H358),1)*$H358),"")</f>
        <v>1410</v>
      </c>
      <c r="Z358" s="36">
        <f>IFERROR(IF(Y358=0,"",ROUNDUP(Y358/H358,0)*0.02175),"")</f>
        <v>2.0444999999999998</v>
      </c>
      <c r="AA358" s="56"/>
      <c r="AB358" s="57"/>
      <c r="AC358" s="415" t="s">
        <v>573</v>
      </c>
      <c r="AG358" s="64"/>
      <c r="AJ358" s="68"/>
      <c r="AK358" s="68">
        <v>0</v>
      </c>
      <c r="BB358" s="416" t="s">
        <v>1</v>
      </c>
      <c r="BM358" s="64">
        <f>IFERROR(X358*I358/H358,"0")</f>
        <v>1443.8666666666666</v>
      </c>
      <c r="BN358" s="64">
        <f>IFERROR(Y358*I358/H358,"0")</f>
        <v>1454.18</v>
      </c>
      <c r="BO358" s="64">
        <f>IFERROR(1/J358*(X358/H358),"0")</f>
        <v>1.9444444444444442</v>
      </c>
      <c r="BP358" s="64">
        <f>IFERROR(1/J358*(Y358/H358),"0")</f>
        <v>1.9583333333333333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93.333333333333329</v>
      </c>
      <c r="Y360" s="547">
        <f>IFERROR(Y358/H358,"0")+IFERROR(Y359/H359,"0")</f>
        <v>94</v>
      </c>
      <c r="Z360" s="547">
        <f>IFERROR(IF(Z358="",0,Z358),"0")+IFERROR(IF(Z359="",0,Z359),"0")</f>
        <v>2.0444999999999998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1400</v>
      </c>
      <c r="Y361" s="547">
        <f>IFERROR(SUM(Y358:Y359),"0")</f>
        <v>1410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 t="s">
        <v>103</v>
      </c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20</v>
      </c>
      <c r="Y364" s="546">
        <f>IFERROR(IF(X364="",0,CEILING((X364/$H364),1)*$H364),"")</f>
        <v>27</v>
      </c>
      <c r="Z364" s="36">
        <f>IFERROR(IF(Y364=0,"",ROUNDUP(Y364/H364,0)*0.01898),"")</f>
        <v>5.6940000000000004E-2</v>
      </c>
      <c r="AA364" s="56"/>
      <c r="AB364" s="57"/>
      <c r="AC364" s="421" t="s">
        <v>582</v>
      </c>
      <c r="AG364" s="64"/>
      <c r="AJ364" s="68" t="s">
        <v>106</v>
      </c>
      <c r="AK364" s="68">
        <v>72</v>
      </c>
      <c r="BB364" s="422" t="s">
        <v>1</v>
      </c>
      <c r="BM364" s="64">
        <f>IFERROR(X364*I364/H364,"0")</f>
        <v>21.097777777777779</v>
      </c>
      <c r="BN364" s="64">
        <f>IFERROR(Y364*I364/H364,"0")</f>
        <v>28.481999999999996</v>
      </c>
      <c r="BO364" s="64">
        <f>IFERROR(1/J364*(X364/H364),"0")</f>
        <v>3.4722222222222224E-2</v>
      </c>
      <c r="BP364" s="64">
        <f>IFERROR(1/J364*(Y364/H364),"0")</f>
        <v>4.6875E-2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2.2222222222222223</v>
      </c>
      <c r="Y365" s="547">
        <f>IFERROR(Y363/H363,"0")+IFERROR(Y364/H364,"0")</f>
        <v>3</v>
      </c>
      <c r="Z365" s="547">
        <f>IFERROR(IF(Z363="",0,Z363),"0")+IFERROR(IF(Z364="",0,Z364),"0")</f>
        <v>5.6940000000000004E-2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20</v>
      </c>
      <c r="Y366" s="547">
        <f>IFERROR(SUM(Y363:Y364),"0")</f>
        <v>27</v>
      </c>
      <c r="Z366" s="37"/>
      <c r="AA366" s="548"/>
      <c r="AB366" s="548"/>
      <c r="AC366" s="548"/>
    </row>
    <row r="367" spans="1:68" ht="14.25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40</v>
      </c>
      <c r="Y368" s="546">
        <f>IFERROR(IF(X368="",0,CEILING((X368/$H368),1)*$H368),"")</f>
        <v>45</v>
      </c>
      <c r="Z368" s="36">
        <f>IFERROR(IF(Y368=0,"",ROUNDUP(Y368/H368,0)*0.01898),"")</f>
        <v>9.4899999999999998E-2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42.195555555555558</v>
      </c>
      <c r="BN368" s="64">
        <f>IFERROR(Y368*I368/H368,"0")</f>
        <v>47.47</v>
      </c>
      <c r="BO368" s="64">
        <f>IFERROR(1/J368*(X368/H368),"0")</f>
        <v>6.9444444444444448E-2</v>
      </c>
      <c r="BP368" s="64">
        <f>IFERROR(1/J368*(Y368/H368),"0")</f>
        <v>7.8125E-2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4.4444444444444446</v>
      </c>
      <c r="Y369" s="547">
        <f>IFERROR(Y368/H368,"0")</f>
        <v>5</v>
      </c>
      <c r="Z369" s="547">
        <f>IFERROR(IF(Z368="",0,Z368),"0")</f>
        <v>9.4899999999999998E-2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40</v>
      </c>
      <c r="Y370" s="547">
        <f>IFERROR(SUM(Y368:Y368),"0")</f>
        <v>45</v>
      </c>
      <c r="Z370" s="37"/>
      <c r="AA370" s="548"/>
      <c r="AB370" s="548"/>
      <c r="AC370" s="548"/>
    </row>
    <row r="371" spans="1:68" ht="16.5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20</v>
      </c>
      <c r="Y373" s="546">
        <f>IFERROR(IF(X373="",0,CEILING((X373/$H373),1)*$H373),"")</f>
        <v>24</v>
      </c>
      <c r="Z373" s="36">
        <f>IFERROR(IF(Y373=0,"",ROUNDUP(Y373/H373,0)*0.01898),"")</f>
        <v>3.7960000000000001E-2</v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20.683333333333334</v>
      </c>
      <c r="BN373" s="64">
        <f>IFERROR(Y373*I373/H373,"0")</f>
        <v>24.820000000000004</v>
      </c>
      <c r="BO373" s="64">
        <f>IFERROR(1/J373*(X373/H373),"0")</f>
        <v>2.6041666666666668E-2</v>
      </c>
      <c r="BP373" s="64">
        <f>IFERROR(1/J373*(Y373/H373),"0")</f>
        <v>3.125E-2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1.6666666666666667</v>
      </c>
      <c r="Y375" s="547">
        <f>IFERROR(Y373/H373,"0")+IFERROR(Y374/H374,"0")</f>
        <v>2</v>
      </c>
      <c r="Z375" s="547">
        <f>IFERROR(IF(Z373="",0,Z373),"0")+IFERROR(IF(Z374="",0,Z374),"0")</f>
        <v>3.7960000000000001E-2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20</v>
      </c>
      <c r="Y376" s="547">
        <f>IFERROR(SUM(Y373:Y374),"0")</f>
        <v>24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7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20</v>
      </c>
      <c r="Y383" s="546">
        <f>IFERROR(IF(X383="",0,CEILING((X383/$H383),1)*$H383),"")</f>
        <v>27</v>
      </c>
      <c r="Z383" s="36">
        <f>IFERROR(IF(Y383=0,"",ROUNDUP(Y383/H383,0)*0.01898),"")</f>
        <v>5.6940000000000004E-2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21.097777777777779</v>
      </c>
      <c r="BN383" s="64">
        <f>IFERROR(Y383*I383/H383,"0")</f>
        <v>28.481999999999996</v>
      </c>
      <c r="BO383" s="64">
        <f>IFERROR(1/J383*(X383/H383),"0")</f>
        <v>3.4722222222222224E-2</v>
      </c>
      <c r="BP383" s="64">
        <f>IFERROR(1/J383*(Y383/H383),"0")</f>
        <v>4.6875E-2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2.2222222222222223</v>
      </c>
      <c r="Y386" s="547">
        <f>IFERROR(Y383/H383,"0")+IFERROR(Y384/H384,"0")+IFERROR(Y385/H385,"0")</f>
        <v>3</v>
      </c>
      <c r="Z386" s="547">
        <f>IFERROR(IF(Z383="",0,Z383),"0")+IFERROR(IF(Z384="",0,Z384),"0")+IFERROR(IF(Z385="",0,Z385),"0")</f>
        <v>5.6940000000000004E-2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20</v>
      </c>
      <c r="Y387" s="547">
        <f>IFERROR(SUM(Y383:Y385),"0")</f>
        <v>27</v>
      </c>
      <c r="Z387" s="37"/>
      <c r="AA387" s="548"/>
      <c r="AB387" s="548"/>
      <c r="AC387" s="548"/>
    </row>
    <row r="388" spans="1:68" ht="27.75" customHeight="1" x14ac:dyDescent="0.2">
      <c r="A388" s="639" t="s">
        <v>604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 t="s">
        <v>282</v>
      </c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10.5</v>
      </c>
      <c r="Y395" s="546">
        <f t="shared" si="36"/>
        <v>10.5</v>
      </c>
      <c r="Z395" s="36">
        <f t="shared" si="41"/>
        <v>2.5100000000000001E-2</v>
      </c>
      <c r="AA395" s="56"/>
      <c r="AB395" s="57"/>
      <c r="AC395" s="447" t="s">
        <v>608</v>
      </c>
      <c r="AG395" s="64"/>
      <c r="AJ395" s="68" t="s">
        <v>106</v>
      </c>
      <c r="AK395" s="68">
        <v>37.799999999999997</v>
      </c>
      <c r="BB395" s="448" t="s">
        <v>1</v>
      </c>
      <c r="BM395" s="64">
        <f t="shared" si="37"/>
        <v>11.149999999999999</v>
      </c>
      <c r="BN395" s="64">
        <f t="shared" si="38"/>
        <v>11.149999999999999</v>
      </c>
      <c r="BO395" s="64">
        <f t="shared" si="39"/>
        <v>2.1367521367521368E-2</v>
      </c>
      <c r="BP395" s="64">
        <f t="shared" si="40"/>
        <v>2.1367521367521368E-2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282</v>
      </c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42</v>
      </c>
      <c r="Y396" s="546">
        <f t="shared" si="36"/>
        <v>42</v>
      </c>
      <c r="Z396" s="36">
        <f t="shared" si="41"/>
        <v>0.1004</v>
      </c>
      <c r="AA396" s="56"/>
      <c r="AB396" s="57"/>
      <c r="AC396" s="449" t="s">
        <v>621</v>
      </c>
      <c r="AG396" s="64"/>
      <c r="AJ396" s="68" t="s">
        <v>106</v>
      </c>
      <c r="AK396" s="68">
        <v>37.799999999999997</v>
      </c>
      <c r="BB396" s="450" t="s">
        <v>1</v>
      </c>
      <c r="BM396" s="64">
        <f t="shared" si="37"/>
        <v>44.599999999999994</v>
      </c>
      <c r="BN396" s="64">
        <f t="shared" si="38"/>
        <v>44.599999999999994</v>
      </c>
      <c r="BO396" s="64">
        <f t="shared" si="39"/>
        <v>8.5470085470085472E-2</v>
      </c>
      <c r="BP396" s="64">
        <f t="shared" si="40"/>
        <v>8.5470085470085472E-2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 t="s">
        <v>282</v>
      </c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24.5</v>
      </c>
      <c r="Y398" s="546">
        <f t="shared" si="36"/>
        <v>25.200000000000003</v>
      </c>
      <c r="Z398" s="36">
        <f t="shared" si="41"/>
        <v>6.0240000000000002E-2</v>
      </c>
      <c r="AA398" s="56"/>
      <c r="AB398" s="57"/>
      <c r="AC398" s="453" t="s">
        <v>627</v>
      </c>
      <c r="AG398" s="64"/>
      <c r="AJ398" s="68" t="s">
        <v>106</v>
      </c>
      <c r="AK398" s="68">
        <v>37.799999999999997</v>
      </c>
      <c r="BB398" s="454" t="s">
        <v>1</v>
      </c>
      <c r="BM398" s="64">
        <f t="shared" si="37"/>
        <v>26.016666666666666</v>
      </c>
      <c r="BN398" s="64">
        <f t="shared" si="38"/>
        <v>26.76</v>
      </c>
      <c r="BO398" s="64">
        <f t="shared" si="39"/>
        <v>4.9857549857549859E-2</v>
      </c>
      <c r="BP398" s="64">
        <f t="shared" si="40"/>
        <v>5.1282051282051287E-2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36.666666666666664</v>
      </c>
      <c r="Y400" s="547">
        <f>IFERROR(Y391/H391,"0")+IFERROR(Y392/H392,"0")+IFERROR(Y393/H393,"0")+IFERROR(Y394/H394,"0")+IFERROR(Y395/H395,"0")+IFERROR(Y396/H396,"0")+IFERROR(Y397/H397,"0")+IFERROR(Y398/H398,"0")+IFERROR(Y399/H399,"0")</f>
        <v>37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0.18574000000000002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77</v>
      </c>
      <c r="Y401" s="547">
        <f>IFERROR(SUM(Y391:Y399),"0")</f>
        <v>77.7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 t="s">
        <v>220</v>
      </c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20</v>
      </c>
      <c r="Y421" s="546">
        <f>IFERROR(IF(X421="",0,CEILING((X421/$H421),1)*$H421),"")</f>
        <v>20.399999999999999</v>
      </c>
      <c r="Z421" s="36">
        <f>IFERROR(IF(Y421=0,"",ROUNDUP(Y421/H421,0)*0.00651),"")</f>
        <v>0.11067</v>
      </c>
      <c r="AA421" s="56"/>
      <c r="AB421" s="57"/>
      <c r="AC421" s="471" t="s">
        <v>654</v>
      </c>
      <c r="AG421" s="64"/>
      <c r="AJ421" s="68" t="s">
        <v>106</v>
      </c>
      <c r="AK421" s="68">
        <v>16.8</v>
      </c>
      <c r="BB421" s="472" t="s">
        <v>1</v>
      </c>
      <c r="BM421" s="64">
        <f>IFERROR(X421*I421/H421,"0")</f>
        <v>35</v>
      </c>
      <c r="BN421" s="64">
        <f>IFERROR(Y421*I421/H421,"0")</f>
        <v>35.699999999999996</v>
      </c>
      <c r="BO421" s="64">
        <f>IFERROR(1/J421*(X421/H421),"0")</f>
        <v>9.1575091575091583E-2</v>
      </c>
      <c r="BP421" s="64">
        <f>IFERROR(1/J421*(Y421/H421),"0")</f>
        <v>9.3406593406593408E-2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16.666666666666668</v>
      </c>
      <c r="Y422" s="547">
        <f>IFERROR(Y421/H421,"0")</f>
        <v>17</v>
      </c>
      <c r="Z422" s="547">
        <f>IFERROR(IF(Z421="",0,Z421),"0")</f>
        <v>0.11067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20</v>
      </c>
      <c r="Y423" s="547">
        <f>IFERROR(SUM(Y421:Y421),"0")</f>
        <v>20.399999999999999</v>
      </c>
      <c r="Z423" s="37"/>
      <c r="AA423" s="548"/>
      <c r="AB423" s="548"/>
      <c r="AC423" s="548"/>
    </row>
    <row r="424" spans="1:68" ht="27.75" customHeight="1" x14ac:dyDescent="0.2">
      <c r="A424" s="639" t="s">
        <v>655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70</v>
      </c>
      <c r="Y427" s="546">
        <f t="shared" ref="Y427:Y438" si="42">IFERROR(IF(X427="",0,CEILING((X427/$H427),1)*$H427),"")</f>
        <v>73.92</v>
      </c>
      <c r="Z427" s="36">
        <f t="shared" ref="Z427:Z433" si="43">IFERROR(IF(Y427=0,"",ROUNDUP(Y427/H427,0)*0.01196),"")</f>
        <v>0.16744000000000001</v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74.640151515151501</v>
      </c>
      <c r="BN427" s="64">
        <f t="shared" ref="BN427:BN438" si="45">IFERROR(Y427*I427/H427,"0")</f>
        <v>78.819999999999993</v>
      </c>
      <c r="BO427" s="64">
        <f t="shared" ref="BO427:BO438" si="46">IFERROR(1/J427*(X427/H427),"0")</f>
        <v>0.12747668997668998</v>
      </c>
      <c r="BP427" s="64">
        <f t="shared" ref="BP427:BP438" si="47">IFERROR(1/J427*(Y427/H427),"0")</f>
        <v>0.13461538461538464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50</v>
      </c>
      <c r="Y431" s="546">
        <f t="shared" si="42"/>
        <v>52.800000000000004</v>
      </c>
      <c r="Z431" s="36">
        <f t="shared" si="43"/>
        <v>0.1196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53.314393939393938</v>
      </c>
      <c r="BN431" s="64">
        <f t="shared" si="45"/>
        <v>56.3</v>
      </c>
      <c r="BO431" s="64">
        <f t="shared" si="46"/>
        <v>9.1054778554778545E-2</v>
      </c>
      <c r="BP431" s="64">
        <f t="shared" si="47"/>
        <v>9.6153846153846159E-2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100</v>
      </c>
      <c r="Y433" s="546">
        <f t="shared" si="42"/>
        <v>100.32000000000001</v>
      </c>
      <c r="Z433" s="36">
        <f t="shared" si="43"/>
        <v>0.22724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106.62878787878788</v>
      </c>
      <c r="BN433" s="64">
        <f t="shared" si="45"/>
        <v>106.97</v>
      </c>
      <c r="BO433" s="64">
        <f t="shared" si="46"/>
        <v>0.18210955710955709</v>
      </c>
      <c r="BP433" s="64">
        <f t="shared" si="47"/>
        <v>0.18269230769230771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150</v>
      </c>
      <c r="Y435" s="546">
        <f t="shared" si="42"/>
        <v>153.6</v>
      </c>
      <c r="Z435" s="36">
        <f>IFERROR(IF(Y435=0,"",ROUNDUP(Y435/H435,0)*0.00902),"")</f>
        <v>0.28864000000000001</v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215.9375</v>
      </c>
      <c r="BN435" s="64">
        <f t="shared" si="45"/>
        <v>221.12</v>
      </c>
      <c r="BO435" s="64">
        <f t="shared" si="46"/>
        <v>0.23674242424242425</v>
      </c>
      <c r="BP435" s="64">
        <f t="shared" si="47"/>
        <v>0.24242424242424243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180</v>
      </c>
      <c r="Y438" s="546">
        <f t="shared" si="42"/>
        <v>182.4</v>
      </c>
      <c r="Z438" s="36">
        <f>IFERROR(IF(Y438=0,"",ROUNDUP(Y438/H438,0)*0.00902),"")</f>
        <v>0.34276000000000001</v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259.125</v>
      </c>
      <c r="BN438" s="64">
        <f t="shared" si="45"/>
        <v>262.58000000000004</v>
      </c>
      <c r="BO438" s="64">
        <f t="shared" si="46"/>
        <v>0.28409090909090912</v>
      </c>
      <c r="BP438" s="64">
        <f t="shared" si="47"/>
        <v>0.2878787878787879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110.41666666666666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113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1.14568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550</v>
      </c>
      <c r="Y440" s="547">
        <f>IFERROR(SUM(Y427:Y438),"0")</f>
        <v>563.04</v>
      </c>
      <c r="Z440" s="37"/>
      <c r="AA440" s="548"/>
      <c r="AB440" s="548"/>
      <c r="AC440" s="548"/>
    </row>
    <row r="441" spans="1:68" ht="14.25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150</v>
      </c>
      <c r="Y442" s="546">
        <f>IFERROR(IF(X442="",0,CEILING((X442/$H442),1)*$H442),"")</f>
        <v>153.12</v>
      </c>
      <c r="Z442" s="36">
        <f>IFERROR(IF(Y442=0,"",ROUNDUP(Y442/H442,0)*0.01196),"")</f>
        <v>0.34683999999999998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159.94318181818181</v>
      </c>
      <c r="BN442" s="64">
        <f>IFERROR(Y442*I442/H442,"0")</f>
        <v>163.26999999999998</v>
      </c>
      <c r="BO442" s="64">
        <f>IFERROR(1/J442*(X442/H442),"0")</f>
        <v>0.27316433566433568</v>
      </c>
      <c r="BP442" s="64">
        <f>IFERROR(1/J442*(Y442/H442),"0")</f>
        <v>0.27884615384615385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28.409090909090907</v>
      </c>
      <c r="Y445" s="547">
        <f>IFERROR(Y442/H442,"0")+IFERROR(Y443/H443,"0")+IFERROR(Y444/H444,"0")</f>
        <v>29</v>
      </c>
      <c r="Z445" s="547">
        <f>IFERROR(IF(Z442="",0,Z442),"0")+IFERROR(IF(Z443="",0,Z443),"0")+IFERROR(IF(Z444="",0,Z444),"0")</f>
        <v>0.34683999999999998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150</v>
      </c>
      <c r="Y446" s="547">
        <f>IFERROR(SUM(Y442:Y444),"0")</f>
        <v>153.12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70</v>
      </c>
      <c r="Y449" s="546">
        <f t="shared" si="48"/>
        <v>73.92</v>
      </c>
      <c r="Z449" s="36">
        <f>IFERROR(IF(Y449=0,"",ROUNDUP(Y449/H449,0)*0.01196),"")</f>
        <v>0.16744000000000001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74.640151515151501</v>
      </c>
      <c r="BN449" s="64">
        <f t="shared" si="50"/>
        <v>78.819999999999993</v>
      </c>
      <c r="BO449" s="64">
        <f t="shared" si="51"/>
        <v>0.12747668997668998</v>
      </c>
      <c r="BP449" s="64">
        <f t="shared" si="52"/>
        <v>0.13461538461538464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100</v>
      </c>
      <c r="Y450" s="546">
        <f t="shared" si="48"/>
        <v>100.32000000000001</v>
      </c>
      <c r="Z450" s="36">
        <f>IFERROR(IF(Y450=0,"",ROUNDUP(Y450/H450,0)*0.01196),"")</f>
        <v>0.22724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106.62878787878788</v>
      </c>
      <c r="BN450" s="64">
        <f t="shared" si="50"/>
        <v>106.97</v>
      </c>
      <c r="BO450" s="64">
        <f t="shared" si="51"/>
        <v>0.18210955710955709</v>
      </c>
      <c r="BP450" s="64">
        <f t="shared" si="52"/>
        <v>0.18269230769230771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 t="s">
        <v>110</v>
      </c>
      <c r="M451" s="33" t="s">
        <v>104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90</v>
      </c>
      <c r="Y451" s="546">
        <f t="shared" si="48"/>
        <v>91.2</v>
      </c>
      <c r="Z451" s="36">
        <f>IFERROR(IF(Y451=0,"",ROUNDUP(Y451/H451,0)*0.00902),"")</f>
        <v>0.17138</v>
      </c>
      <c r="AA451" s="56"/>
      <c r="AB451" s="57"/>
      <c r="AC451" s="509" t="s">
        <v>694</v>
      </c>
      <c r="AG451" s="64"/>
      <c r="AJ451" s="68" t="s">
        <v>106</v>
      </c>
      <c r="AK451" s="68">
        <v>57.6</v>
      </c>
      <c r="BB451" s="510" t="s">
        <v>1</v>
      </c>
      <c r="BM451" s="64">
        <f t="shared" si="49"/>
        <v>129.5625</v>
      </c>
      <c r="BN451" s="64">
        <f t="shared" si="50"/>
        <v>131.29000000000002</v>
      </c>
      <c r="BO451" s="64">
        <f t="shared" si="51"/>
        <v>0.14204545454545456</v>
      </c>
      <c r="BP451" s="64">
        <f t="shared" si="52"/>
        <v>0.14393939393939395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 t="s">
        <v>110</v>
      </c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18</v>
      </c>
      <c r="Y452" s="546">
        <f t="shared" si="48"/>
        <v>19.2</v>
      </c>
      <c r="Z452" s="36">
        <f>IFERROR(IF(Y452=0,"",ROUNDUP(Y452/H452,0)*0.00902),"")</f>
        <v>3.6080000000000001E-2</v>
      </c>
      <c r="AA452" s="56"/>
      <c r="AB452" s="57"/>
      <c r="AC452" s="511" t="s">
        <v>697</v>
      </c>
      <c r="AG452" s="64"/>
      <c r="AJ452" s="68" t="s">
        <v>106</v>
      </c>
      <c r="AK452" s="68">
        <v>57.6</v>
      </c>
      <c r="BB452" s="512" t="s">
        <v>1</v>
      </c>
      <c r="BM452" s="64">
        <f t="shared" si="49"/>
        <v>25.012500000000003</v>
      </c>
      <c r="BN452" s="64">
        <f t="shared" si="50"/>
        <v>26.68</v>
      </c>
      <c r="BO452" s="64">
        <f t="shared" si="51"/>
        <v>2.8409090909090912E-2</v>
      </c>
      <c r="BP452" s="64">
        <f t="shared" si="52"/>
        <v>3.0303030303030304E-2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 t="s">
        <v>110</v>
      </c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48</v>
      </c>
      <c r="Y453" s="546">
        <f t="shared" si="48"/>
        <v>48</v>
      </c>
      <c r="Z453" s="36">
        <f>IFERROR(IF(Y453=0,"",ROUNDUP(Y453/H453,0)*0.00902),"")</f>
        <v>9.0200000000000002E-2</v>
      </c>
      <c r="AA453" s="56"/>
      <c r="AB453" s="57"/>
      <c r="AC453" s="513" t="s">
        <v>700</v>
      </c>
      <c r="AG453" s="64"/>
      <c r="AJ453" s="68" t="s">
        <v>106</v>
      </c>
      <c r="AK453" s="68">
        <v>57.6</v>
      </c>
      <c r="BB453" s="514" t="s">
        <v>1</v>
      </c>
      <c r="BM453" s="64">
        <f t="shared" si="49"/>
        <v>66.7</v>
      </c>
      <c r="BN453" s="64">
        <f t="shared" si="50"/>
        <v>66.7</v>
      </c>
      <c r="BO453" s="64">
        <f t="shared" si="51"/>
        <v>7.575757575757576E-2</v>
      </c>
      <c r="BP453" s="64">
        <f t="shared" si="52"/>
        <v>7.575757575757576E-2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64.696969696969688</v>
      </c>
      <c r="Y454" s="547">
        <f>IFERROR(Y448/H448,"0")+IFERROR(Y449/H449,"0")+IFERROR(Y450/H450,"0")+IFERROR(Y451/H451,"0")+IFERROR(Y452/H452,"0")+IFERROR(Y453/H453,"0")</f>
        <v>66</v>
      </c>
      <c r="Z454" s="547">
        <f>IFERROR(IF(Z448="",0,Z448),"0")+IFERROR(IF(Z449="",0,Z449),"0")+IFERROR(IF(Z450="",0,Z450),"0")+IFERROR(IF(Z451="",0,Z451),"0")+IFERROR(IF(Z452="",0,Z452),"0")+IFERROR(IF(Z453="",0,Z453),"0")</f>
        <v>0.69233999999999996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326</v>
      </c>
      <c r="Y455" s="547">
        <f>IFERROR(SUM(Y448:Y453),"0")</f>
        <v>332.64</v>
      </c>
      <c r="Z455" s="37"/>
      <c r="AA455" s="548"/>
      <c r="AB455" s="548"/>
      <c r="AC455" s="548"/>
    </row>
    <row r="456" spans="1:68" ht="27.75" customHeight="1" x14ac:dyDescent="0.2">
      <c r="A456" s="639" t="s">
        <v>707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50</v>
      </c>
      <c r="Y461" s="546">
        <f>IFERROR(IF(X461="",0,CEILING((X461/$H461),1)*$H461),"")</f>
        <v>60</v>
      </c>
      <c r="Z461" s="36">
        <f>IFERROR(IF(Y461=0,"",ROUNDUP(Y461/H461,0)*0.01898),"")</f>
        <v>9.4899999999999998E-2</v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51.708333333333336</v>
      </c>
      <c r="BN461" s="64">
        <f>IFERROR(Y461*I461/H461,"0")</f>
        <v>62.050000000000004</v>
      </c>
      <c r="BO461" s="64">
        <f>IFERROR(1/J461*(X461/H461),"0")</f>
        <v>6.5104166666666671E-2</v>
      </c>
      <c r="BP461" s="64">
        <f>IFERROR(1/J461*(Y461/H461),"0")</f>
        <v>7.8125E-2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4.166666666666667</v>
      </c>
      <c r="Y463" s="547">
        <f>IFERROR(Y459/H459,"0")+IFERROR(Y460/H460,"0")+IFERROR(Y461/H461,"0")+IFERROR(Y462/H462,"0")</f>
        <v>5</v>
      </c>
      <c r="Z463" s="547">
        <f>IFERROR(IF(Z459="",0,Z459),"0")+IFERROR(IF(Z460="",0,Z460),"0")+IFERROR(IF(Z461="",0,Z461),"0")+IFERROR(IF(Z462="",0,Z462),"0")</f>
        <v>9.4899999999999998E-2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50</v>
      </c>
      <c r="Y464" s="547">
        <f>IFERROR(SUM(Y459:Y462),"0")</f>
        <v>60</v>
      </c>
      <c r="Z464" s="37"/>
      <c r="AA464" s="548"/>
      <c r="AB464" s="548"/>
      <c r="AC464" s="548"/>
    </row>
    <row r="465" spans="1:68" ht="14.25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1200</v>
      </c>
      <c r="Y475" s="546">
        <f>IFERROR(IF(X475="",0,CEILING((X475/$H475),1)*$H475),"")</f>
        <v>1206</v>
      </c>
      <c r="Z475" s="36">
        <f>IFERROR(IF(Y475=0,"",ROUNDUP(Y475/H475,0)*0.01898),"")</f>
        <v>2.54332</v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1265.8666666666666</v>
      </c>
      <c r="BN475" s="64">
        <f>IFERROR(Y475*I475/H475,"0")</f>
        <v>1272.1959999999999</v>
      </c>
      <c r="BO475" s="64">
        <f>IFERROR(1/J475*(X475/H475),"0")</f>
        <v>2.0833333333333335</v>
      </c>
      <c r="BP475" s="64">
        <f>IFERROR(1/J475*(Y475/H475),"0")</f>
        <v>2.09375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133.33333333333334</v>
      </c>
      <c r="Y476" s="547">
        <f>IFERROR(Y475/H475,"0")</f>
        <v>134</v>
      </c>
      <c r="Z476" s="547">
        <f>IFERROR(IF(Z475="",0,Z475),"0")</f>
        <v>2.54332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1200</v>
      </c>
      <c r="Y477" s="547">
        <f>IFERROR(SUM(Y475:Y475),"0")</f>
        <v>1206</v>
      </c>
      <c r="Z477" s="37"/>
      <c r="AA477" s="548"/>
      <c r="AB477" s="548"/>
      <c r="AC477" s="548"/>
    </row>
    <row r="478" spans="1:68" ht="14.25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741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17551.900000000001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17748.520000000004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742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18733.838365732816</v>
      </c>
      <c r="Y489" s="547">
        <f>IFERROR(SUM(BN22:BN485),"0")</f>
        <v>18943.764000000003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743</v>
      </c>
      <c r="Q490" s="647"/>
      <c r="R490" s="647"/>
      <c r="S490" s="647"/>
      <c r="T490" s="647"/>
      <c r="U490" s="647"/>
      <c r="V490" s="648"/>
      <c r="W490" s="37" t="s">
        <v>744</v>
      </c>
      <c r="X490" s="38">
        <f>ROUNDUP(SUM(BO22:BO485),0)</f>
        <v>32</v>
      </c>
      <c r="Y490" s="38">
        <f>ROUNDUP(SUM(BP22:BP485),0)</f>
        <v>32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745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19533.838365732816</v>
      </c>
      <c r="Y491" s="547">
        <f>GrossWeightTotalR+PalletQtyTotalR*25</f>
        <v>19743.764000000003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746</v>
      </c>
      <c r="Q492" s="647"/>
      <c r="R492" s="647"/>
      <c r="S492" s="647"/>
      <c r="T492" s="647"/>
      <c r="U492" s="647"/>
      <c r="V492" s="64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3594.1508680761544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3625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747</v>
      </c>
      <c r="Q493" s="647"/>
      <c r="R493" s="647"/>
      <c r="S493" s="647"/>
      <c r="T493" s="647"/>
      <c r="U493" s="647"/>
      <c r="V493" s="64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36.336590000000001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263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550</v>
      </c>
      <c r="T495" s="606"/>
      <c r="U495" s="583" t="s">
        <v>604</v>
      </c>
      <c r="V495" s="605"/>
      <c r="W495" s="606"/>
      <c r="X495" s="542" t="s">
        <v>655</v>
      </c>
      <c r="Y495" s="583" t="s">
        <v>707</v>
      </c>
      <c r="Z495" s="606"/>
      <c r="AB495" s="52"/>
      <c r="AC495" s="52"/>
      <c r="AF495" s="543"/>
    </row>
    <row r="496" spans="1:68" ht="14.25" customHeight="1" thickTop="1" x14ac:dyDescent="0.2">
      <c r="A496" s="611" t="s">
        <v>750</v>
      </c>
      <c r="B496" s="583" t="s">
        <v>63</v>
      </c>
      <c r="C496" s="583" t="s">
        <v>98</v>
      </c>
      <c r="D496" s="583" t="s">
        <v>116</v>
      </c>
      <c r="E496" s="583" t="s">
        <v>167</v>
      </c>
      <c r="F496" s="583" t="s">
        <v>189</v>
      </c>
      <c r="G496" s="583" t="s">
        <v>227</v>
      </c>
      <c r="H496" s="583" t="s">
        <v>97</v>
      </c>
      <c r="I496" s="583" t="s">
        <v>264</v>
      </c>
      <c r="J496" s="583" t="s">
        <v>319</v>
      </c>
      <c r="K496" s="583" t="s">
        <v>379</v>
      </c>
      <c r="L496" s="583" t="s">
        <v>420</v>
      </c>
      <c r="M496" s="583" t="s">
        <v>436</v>
      </c>
      <c r="N496" s="543"/>
      <c r="O496" s="583" t="s">
        <v>447</v>
      </c>
      <c r="P496" s="583" t="s">
        <v>456</v>
      </c>
      <c r="Q496" s="583" t="s">
        <v>469</v>
      </c>
      <c r="R496" s="583" t="s">
        <v>540</v>
      </c>
      <c r="S496" s="583" t="s">
        <v>551</v>
      </c>
      <c r="T496" s="583" t="s">
        <v>586</v>
      </c>
      <c r="U496" s="583" t="s">
        <v>605</v>
      </c>
      <c r="V496" s="583" t="s">
        <v>636</v>
      </c>
      <c r="W496" s="583" t="s">
        <v>651</v>
      </c>
      <c r="X496" s="583" t="s">
        <v>655</v>
      </c>
      <c r="Y496" s="583" t="s">
        <v>707</v>
      </c>
      <c r="Z496" s="583" t="s">
        <v>737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431.20000000000005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1127.4000000000001</v>
      </c>
      <c r="E498" s="46">
        <f>IFERROR(Y84*1,"0")+IFERROR(Y85*1,"0")+IFERROR(Y86*1,"0")+IFERROR(Y87*1,"0")+IFERROR(Y91*1,"0")+IFERROR(Y92*1,"0")+IFERROR(Y93*1,"0")+IFERROR(Y94*1,"0")</f>
        <v>1211.4000000000001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1376.1</v>
      </c>
      <c r="G498" s="46">
        <f>IFERROR(Y126*1,"0")+IFERROR(Y127*1,"0")+IFERROR(Y131*1,"0")+IFERROR(Y132*1,"0")+IFERROR(Y136*1,"0")+IFERROR(Y137*1,"0")</f>
        <v>130.16</v>
      </c>
      <c r="H498" s="46">
        <f>IFERROR(Y142*1,"0")+IFERROR(Y143*1,"0")+IFERROR(Y147*1,"0")+IFERROR(Y148*1,"0")+IFERROR(Y149*1,"0")+IFERROR(Y150*1,"0")+IFERROR(Y151*1,"0")+IFERROR(Y155*1,"0")</f>
        <v>294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527.96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1985.6999999999996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134.69999999999999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261.60000000000002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885.30000000000007</v>
      </c>
      <c r="R498" s="46">
        <f>IFERROR(Y340*1,"0")+IFERROR(Y341*1,"0")+IFERROR(Y342*1,"0")</f>
        <v>1157.1000000000001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5762</v>
      </c>
      <c r="T498" s="46">
        <f>IFERROR(Y373*1,"0")+IFERROR(Y374*1,"0")+IFERROR(Y378*1,"0")+IFERROR(Y379*1,"0")+IFERROR(Y383*1,"0")+IFERROR(Y384*1,"0")+IFERROR(Y385*1,"0")</f>
        <v>51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77.7</v>
      </c>
      <c r="V498" s="46">
        <f>IFERROR(Y409*1,"0")+IFERROR(Y413*1,"0")+IFERROR(Y414*1,"0")+IFERROR(Y415*1,"0")+IFERROR(Y416*1,"0")</f>
        <v>0</v>
      </c>
      <c r="W498" s="46">
        <f>IFERROR(Y421*1,"0")</f>
        <v>20.399999999999999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1048.8000000000002</v>
      </c>
      <c r="Y498" s="46">
        <f>IFERROR(Y459*1,"0")+IFERROR(Y460*1,"0")+IFERROR(Y461*1,"0")+IFERROR(Y462*1,"0")+IFERROR(Y466*1,"0")+IFERROR(Y467*1,"0")+IFERROR(Y471*1,"0")+IFERROR(Y475*1,"0")+IFERROR(Y479*1,"0")+IFERROR(Y480*1,"0")</f>
        <v>1266</v>
      </c>
      <c r="Z498" s="46">
        <f>IFERROR(Y485*1,"0")</f>
        <v>0</v>
      </c>
      <c r="AB498" s="52"/>
      <c r="AC498" s="52"/>
      <c r="AF498" s="543"/>
    </row>
  </sheetData>
  <sheetProtection algorithmName="SHA-512" hashValue="n9N6r4Lc0RAz94GviOfo5MzAmgDtOYZtc8v07MnizkElJq/v3r6KQi0zUZ3/S6HxhVmOkpMXf7pSorANe8CjAQ==" saltValue="C3eOmH3VZaTjM7qMMCZPh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8 X84 X91 X99 X102 X107 X114 X116:X117 X121 X127 X131 X137 X165:X167 X169 X171 X176 X203:X210 X216:X217 X219 X221:X222 X226:X227 X232 X234:X235 X239 X279 X307:X309 X320:X322 X328:X329 X333 X335 X341:X342 X364 X373 X383 X395:X396 X398 X421 X427 X431 X433 X442 X448:X453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0aZSfaOEA6RK2CWYuiBWyyoHCsS8+3LlxZdCMjQ5LKOkY0NGWWCLBFj5COrNHwY974ilkAJLafeOy+8R77C3Zg==" saltValue="gv1fKt/SzzPqzLvUVk9ib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2026-01-28T09:33:37Z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