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F3206FFB-2759-4D38-B992-CE0F12A3C6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Y201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H9" i="1" s="1"/>
  <c r="D7" i="1"/>
  <c r="Q6" i="1"/>
  <c r="P2" i="1"/>
  <c r="A10" i="1" l="1"/>
  <c r="F9" i="1"/>
  <c r="J9" i="1"/>
  <c r="F10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Y24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54" i="1" l="1"/>
  <c r="Z417" i="1"/>
  <c r="Z274" i="1"/>
  <c r="Z257" i="1"/>
  <c r="Z211" i="1"/>
  <c r="Z317" i="1"/>
  <c r="Z152" i="1"/>
  <c r="Z43" i="1"/>
  <c r="Y488" i="1"/>
  <c r="Y490" i="1"/>
  <c r="Z336" i="1"/>
  <c r="Z266" i="1"/>
  <c r="Z241" i="1"/>
  <c r="Y492" i="1"/>
  <c r="Z179" i="1"/>
  <c r="Z95" i="1"/>
  <c r="Z88" i="1"/>
  <c r="Z75" i="1"/>
  <c r="Z493" i="1" s="1"/>
  <c r="Y489" i="1"/>
  <c r="Y491" i="1" s="1"/>
</calcChain>
</file>

<file path=xl/sharedStrings.xml><?xml version="1.0" encoding="utf-8"?>
<sst xmlns="http://schemas.openxmlformats.org/spreadsheetml/2006/main" count="2153" uniqueCount="766">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</sst>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46052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Пятница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0.375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4301011565</v>
      </c>
      <c r="D41" s="552">
        <v>4680115882539</v>
      </c>
      <c r="E41" s="553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107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107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60</v>
      </c>
      <c r="Y43" s="547">
        <f>IFERROR(Y40/H40,"0")+IFERROR(Y41/H41,"0")+IFERROR(Y42/H42,"0")</f>
        <v>60</v>
      </c>
      <c r="Z43" s="547">
        <f>IFERROR(IF(Z40="",0,Z40),"0")+IFERROR(IF(Z41="",0,Z41),"0")+IFERROR(IF(Z42="",0,Z42),"0")</f>
        <v>0.54120000000000001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240</v>
      </c>
      <c r="Y44" s="547">
        <f>IFERROR(SUM(Y40:Y42),"0")</f>
        <v>240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110</v>
      </c>
      <c r="B46" s="54" t="s">
        <v>111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113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114</v>
      </c>
      <c r="B51" s="54" t="s">
        <v>115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117</v>
      </c>
      <c r="B52" s="54" t="s">
        <v>118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123</v>
      </c>
      <c r="B54" s="54" t="s">
        <v>124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126</v>
      </c>
      <c r="B55" s="54" t="s">
        <v>127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129</v>
      </c>
      <c r="B56" s="54" t="s">
        <v>130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423</v>
      </c>
      <c r="Y56" s="546">
        <f t="shared" si="0"/>
        <v>423</v>
      </c>
      <c r="Z56" s="36">
        <f>IFERROR(IF(Y56=0,"",ROUNDUP(Y56/H56,0)*0.00902),"")</f>
        <v>0.84787999999999997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440.86</v>
      </c>
      <c r="BN56" s="64">
        <f t="shared" si="2"/>
        <v>440.86</v>
      </c>
      <c r="BO56" s="64">
        <f t="shared" si="3"/>
        <v>0.71212121212121215</v>
      </c>
      <c r="BP56" s="64">
        <f t="shared" si="4"/>
        <v>0.71212121212121215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94</v>
      </c>
      <c r="Y57" s="547">
        <f>IFERROR(Y51/H51,"0")+IFERROR(Y52/H52,"0")+IFERROR(Y53/H53,"0")+IFERROR(Y54/H54,"0")+IFERROR(Y55/H55,"0")+IFERROR(Y56/H56,"0")</f>
        <v>94</v>
      </c>
      <c r="Z57" s="547">
        <f>IFERROR(IF(Z51="",0,Z51),"0")+IFERROR(IF(Z52="",0,Z52),"0")+IFERROR(IF(Z53="",0,Z53),"0")+IFERROR(IF(Z54="",0,Z54),"0")+IFERROR(IF(Z55="",0,Z55),"0")+IFERROR(IF(Z56="",0,Z56),"0")</f>
        <v>0.84787999999999997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423</v>
      </c>
      <c r="Y58" s="547">
        <f>IFERROR(SUM(Y51:Y56),"0")</f>
        <v>423</v>
      </c>
      <c r="Z58" s="37"/>
      <c r="AA58" s="548"/>
      <c r="AB58" s="548"/>
      <c r="AC58" s="548"/>
    </row>
    <row r="59" spans="1:68" ht="14.25" customHeight="1" x14ac:dyDescent="0.25">
      <c r="A59" s="558" t="s">
        <v>132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133</v>
      </c>
      <c r="B60" s="54" t="s">
        <v>134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136</v>
      </c>
      <c r="B61" s="54" t="s">
        <v>137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138</v>
      </c>
      <c r="B62" s="54" t="s">
        <v>139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103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140</v>
      </c>
      <c r="B66" s="54" t="s">
        <v>141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143</v>
      </c>
      <c r="B67" s="54" t="s">
        <v>144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146</v>
      </c>
      <c r="B71" s="54" t="s">
        <v>147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148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149</v>
      </c>
      <c r="B72" s="54" t="s">
        <v>150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152</v>
      </c>
      <c r="B73" s="54" t="s">
        <v>153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148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157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158</v>
      </c>
      <c r="B78" s="54" t="s">
        <v>159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160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161</v>
      </c>
      <c r="B79" s="54" t="s">
        <v>162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107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164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165</v>
      </c>
      <c r="B84" s="54" t="s">
        <v>166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/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167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168</v>
      </c>
      <c r="B85" s="54" t="s">
        <v>169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170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107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107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540</v>
      </c>
      <c r="Y87" s="546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167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120</v>
      </c>
      <c r="Y88" s="547">
        <f>IFERROR(Y84/H84,"0")+IFERROR(Y85/H85,"0")+IFERROR(Y86/H86,"0")+IFERROR(Y87/H87,"0")</f>
        <v>120</v>
      </c>
      <c r="Z88" s="547">
        <f>IFERROR(IF(Z84="",0,Z84),"0")+IFERROR(IF(Z85="",0,Z85),"0")+IFERROR(IF(Z86="",0,Z86),"0")+IFERROR(IF(Z87="",0,Z87),"0")</f>
        <v>1.0824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540</v>
      </c>
      <c r="Y89" s="547">
        <f>IFERROR(SUM(Y84:Y87),"0")</f>
        <v>540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176</v>
      </c>
      <c r="B91" s="54" t="s">
        <v>177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/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179</v>
      </c>
      <c r="B92" s="54" t="s">
        <v>180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270</v>
      </c>
      <c r="Y93" s="546">
        <f>IFERROR(IF(X93="",0,CEILING((X93/$H93),1)*$H93),"")</f>
        <v>270</v>
      </c>
      <c r="Z93" s="36">
        <f>IFERROR(IF(Y93=0,"",ROUNDUP(Y93/H93,0)*0.00651),"")</f>
        <v>0.65100000000000002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295.2</v>
      </c>
      <c r="BN93" s="64">
        <f>IFERROR(Y93*I93/H93,"0")</f>
        <v>295.2</v>
      </c>
      <c r="BO93" s="64">
        <f>IFERROR(1/J93*(X93/H93),"0")</f>
        <v>0.5494505494505495</v>
      </c>
      <c r="BP93" s="64">
        <f>IFERROR(1/J93*(Y93/H93),"0")</f>
        <v>0.5494505494505495</v>
      </c>
    </row>
    <row r="94" spans="1:68" ht="16.5" customHeight="1" x14ac:dyDescent="0.25">
      <c r="A94" s="54" t="s">
        <v>183</v>
      </c>
      <c r="B94" s="54" t="s">
        <v>184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100</v>
      </c>
      <c r="Y95" s="547">
        <f>IFERROR(Y91/H91,"0")+IFERROR(Y92/H92,"0")+IFERROR(Y93/H93,"0")+IFERROR(Y94/H94,"0")</f>
        <v>100</v>
      </c>
      <c r="Z95" s="547">
        <f>IFERROR(IF(Z91="",0,Z91),"0")+IFERROR(IF(Z92="",0,Z92),"0")+IFERROR(IF(Z93="",0,Z93),"0")+IFERROR(IF(Z94="",0,Z94),"0")</f>
        <v>0.65100000000000002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270</v>
      </c>
      <c r="Y96" s="547">
        <f>IFERROR(SUM(Y91:Y94),"0")</f>
        <v>270</v>
      </c>
      <c r="Z96" s="37"/>
      <c r="AA96" s="548"/>
      <c r="AB96" s="548"/>
      <c r="AC96" s="548"/>
    </row>
    <row r="97" spans="1:68" ht="16.5" customHeight="1" x14ac:dyDescent="0.25">
      <c r="A97" s="560" t="s">
        <v>186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187</v>
      </c>
      <c r="B99" s="54" t="s">
        <v>188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190</v>
      </c>
      <c r="B100" s="54" t="s">
        <v>191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170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107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189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107</v>
      </c>
      <c r="L102" s="32" t="s">
        <v>197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540</v>
      </c>
      <c r="Y102" s="546">
        <f>IFERROR(IF(X102="",0,CEILING((X102/$H102),1)*$H102),"")</f>
        <v>540</v>
      </c>
      <c r="Z102" s="36">
        <f>IFERROR(IF(Y102=0,"",ROUNDUP(Y102/H102,0)*0.00902),"")</f>
        <v>1.0824</v>
      </c>
      <c r="AA102" s="56"/>
      <c r="AB102" s="57"/>
      <c r="AC102" s="147" t="s">
        <v>189</v>
      </c>
      <c r="AG102" s="64"/>
      <c r="AJ102" s="68" t="s">
        <v>198</v>
      </c>
      <c r="AK102" s="68">
        <v>54</v>
      </c>
      <c r="BB102" s="148" t="s">
        <v>1</v>
      </c>
      <c r="BM102" s="64">
        <f>IFERROR(X102*I102/H102,"0")</f>
        <v>562.80000000000007</v>
      </c>
      <c r="BN102" s="64">
        <f>IFERROR(Y102*I102/H102,"0")</f>
        <v>562.80000000000007</v>
      </c>
      <c r="BO102" s="64">
        <f>IFERROR(1/J102*(X102/H102),"0")</f>
        <v>0.90909090909090917</v>
      </c>
      <c r="BP102" s="64">
        <f>IFERROR(1/J102*(Y102/H102),"0")</f>
        <v>0.90909090909090917</v>
      </c>
    </row>
    <row r="103" spans="1:68" ht="37.5" customHeight="1" x14ac:dyDescent="0.25">
      <c r="A103" s="54" t="s">
        <v>199</v>
      </c>
      <c r="B103" s="54" t="s">
        <v>200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107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189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120</v>
      </c>
      <c r="Y104" s="547">
        <f>IFERROR(Y99/H99,"0")+IFERROR(Y100/H100,"0")+IFERROR(Y101/H101,"0")+IFERROR(Y102/H102,"0")+IFERROR(Y103/H103,"0")</f>
        <v>120</v>
      </c>
      <c r="Z104" s="547">
        <f>IFERROR(IF(Z99="",0,Z99),"0")+IFERROR(IF(Z100="",0,Z100),"0")+IFERROR(IF(Z101="",0,Z101),"0")+IFERROR(IF(Z102="",0,Z102),"0")+IFERROR(IF(Z103="",0,Z103),"0")</f>
        <v>1.0824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540</v>
      </c>
      <c r="Y105" s="547">
        <f>IFERROR(SUM(Y99:Y103),"0")</f>
        <v>540</v>
      </c>
      <c r="Z105" s="37"/>
      <c r="AA105" s="548"/>
      <c r="AB105" s="548"/>
      <c r="AC105" s="548"/>
    </row>
    <row r="106" spans="1:68" ht="14.25" customHeight="1" x14ac:dyDescent="0.25">
      <c r="A106" s="558" t="s">
        <v>132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201</v>
      </c>
      <c r="B107" s="54" t="s">
        <v>202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204</v>
      </c>
      <c r="B108" s="54" t="s">
        <v>205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206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103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103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203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212</v>
      </c>
      <c r="B114" s="54" t="s">
        <v>213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/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214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214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219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214</v>
      </c>
      <c r="AG116" s="64"/>
      <c r="AJ116" s="68" t="s">
        <v>198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220</v>
      </c>
      <c r="B117" s="54" t="s">
        <v>221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222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200</v>
      </c>
      <c r="Y118" s="547">
        <f>IFERROR(Y114/H114,"0")+IFERROR(Y115/H115,"0")+IFERROR(Y116/H116,"0")+IFERROR(Y117/H117,"0")</f>
        <v>200</v>
      </c>
      <c r="Z118" s="547">
        <f>IFERROR(IF(Z114="",0,Z114),"0")+IFERROR(IF(Z115="",0,Z115),"0")+IFERROR(IF(Z116="",0,Z116),"0")+IFERROR(IF(Z117="",0,Z117),"0")</f>
        <v>1.302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540</v>
      </c>
      <c r="Y119" s="547">
        <f>IFERROR(SUM(Y114:Y117),"0")</f>
        <v>540</v>
      </c>
      <c r="Z119" s="37"/>
      <c r="AA119" s="548"/>
      <c r="AB119" s="548"/>
      <c r="AC119" s="548"/>
    </row>
    <row r="120" spans="1:68" ht="14.25" customHeight="1" x14ac:dyDescent="0.25">
      <c r="A120" s="558" t="s">
        <v>157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223</v>
      </c>
      <c r="B121" s="54" t="s">
        <v>224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225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226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227</v>
      </c>
      <c r="B126" s="54" t="s">
        <v>228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229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227</v>
      </c>
      <c r="B127" s="54" t="s">
        <v>230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229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231</v>
      </c>
      <c r="B131" s="54" t="s">
        <v>232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233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231</v>
      </c>
      <c r="B132" s="54" t="s">
        <v>234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233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235</v>
      </c>
      <c r="B136" s="54" t="s">
        <v>236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229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235</v>
      </c>
      <c r="B137" s="54" t="s">
        <v>237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229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238</v>
      </c>
      <c r="B142" s="54" t="s">
        <v>239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103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241</v>
      </c>
      <c r="B143" s="54" t="s">
        <v>242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107</v>
      </c>
      <c r="L143" s="32"/>
      <c r="M143" s="33" t="s">
        <v>103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244</v>
      </c>
      <c r="B147" s="54" t="s">
        <v>245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107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253</v>
      </c>
      <c r="B150" s="54" t="s">
        <v>254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107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259</v>
      </c>
      <c r="B155" s="54" t="s">
        <v>260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261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263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132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264</v>
      </c>
      <c r="B161" s="54" t="s">
        <v>265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266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267</v>
      </c>
      <c r="B165" s="54" t="s">
        <v>268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270</v>
      </c>
      <c r="B166" s="54" t="s">
        <v>271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107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107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284</v>
      </c>
      <c r="B171" s="54" t="s">
        <v>285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286</v>
      </c>
      <c r="B172" s="54" t="s">
        <v>287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288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289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288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289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170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298</v>
      </c>
      <c r="B176" s="54" t="s">
        <v>299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275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304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305</v>
      </c>
      <c r="B182" s="54" t="s">
        <v>306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307</v>
      </c>
      <c r="L182" s="32"/>
      <c r="M182" s="33" t="s">
        <v>288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308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307</v>
      </c>
      <c r="L183" s="32"/>
      <c r="M183" s="33" t="s">
        <v>288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311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307</v>
      </c>
      <c r="L184" s="32"/>
      <c r="M184" s="33" t="s">
        <v>288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311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314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315</v>
      </c>
      <c r="B188" s="54" t="s">
        <v>316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307</v>
      </c>
      <c r="L188" s="32"/>
      <c r="M188" s="33" t="s">
        <v>288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311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317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318</v>
      </c>
      <c r="B193" s="54" t="s">
        <v>319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103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320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321</v>
      </c>
      <c r="B194" s="54" t="s">
        <v>322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103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320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132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323</v>
      </c>
      <c r="B198" s="54" t="s">
        <v>324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103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325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326</v>
      </c>
      <c r="B199" s="54" t="s">
        <v>327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103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325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328</v>
      </c>
      <c r="B203" s="54" t="s">
        <v>329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107</v>
      </c>
      <c r="L203" s="32"/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330</v>
      </c>
      <c r="AG203" s="64"/>
      <c r="AJ203" s="68"/>
      <c r="AK203" s="68">
        <v>0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331</v>
      </c>
      <c r="B204" s="54" t="s">
        <v>332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107</v>
      </c>
      <c r="L204" s="32"/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333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334</v>
      </c>
      <c r="B205" s="54" t="s">
        <v>335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107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336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337</v>
      </c>
      <c r="B206" s="54" t="s">
        <v>338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107</v>
      </c>
      <c r="L206" s="32"/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339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342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90</v>
      </c>
      <c r="Y207" s="546">
        <f t="shared" si="10"/>
        <v>90</v>
      </c>
      <c r="Z207" s="36">
        <f>IFERROR(IF(Y207=0,"",ROUNDUP(Y207/H207,0)*0.00502),"")</f>
        <v>0.251</v>
      </c>
      <c r="AA207" s="56"/>
      <c r="AB207" s="57"/>
      <c r="AC207" s="251" t="s">
        <v>330</v>
      </c>
      <c r="AG207" s="64"/>
      <c r="AJ207" s="68" t="s">
        <v>198</v>
      </c>
      <c r="AK207" s="68">
        <v>32.4</v>
      </c>
      <c r="BB207" s="252" t="s">
        <v>1</v>
      </c>
      <c r="BM207" s="64">
        <f t="shared" si="11"/>
        <v>96.499999999999986</v>
      </c>
      <c r="BN207" s="64">
        <f t="shared" si="12"/>
        <v>96.499999999999986</v>
      </c>
      <c r="BO207" s="64">
        <f t="shared" si="13"/>
        <v>0.21367521367521369</v>
      </c>
      <c r="BP207" s="64">
        <f t="shared" si="14"/>
        <v>0.21367521367521369</v>
      </c>
    </row>
    <row r="208" spans="1:68" ht="27" customHeight="1" x14ac:dyDescent="0.25">
      <c r="A208" s="54" t="s">
        <v>343</v>
      </c>
      <c r="B208" s="54" t="s">
        <v>344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333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345</v>
      </c>
      <c r="B209" s="54" t="s">
        <v>346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90</v>
      </c>
      <c r="Y209" s="546">
        <f t="shared" si="10"/>
        <v>90</v>
      </c>
      <c r="Z209" s="36">
        <f>IFERROR(IF(Y209=0,"",ROUNDUP(Y209/H209,0)*0.00502),"")</f>
        <v>0.251</v>
      </c>
      <c r="AA209" s="56"/>
      <c r="AB209" s="57"/>
      <c r="AC209" s="255" t="s">
        <v>336</v>
      </c>
      <c r="AG209" s="64"/>
      <c r="AJ209" s="68"/>
      <c r="AK209" s="68">
        <v>0</v>
      </c>
      <c r="BB209" s="256" t="s">
        <v>1</v>
      </c>
      <c r="BM209" s="64">
        <f t="shared" si="11"/>
        <v>95</v>
      </c>
      <c r="BN209" s="64">
        <f t="shared" si="12"/>
        <v>95</v>
      </c>
      <c r="BO209" s="64">
        <f t="shared" si="13"/>
        <v>0.21367521367521369</v>
      </c>
      <c r="BP209" s="64">
        <f t="shared" si="14"/>
        <v>0.21367521367521369</v>
      </c>
    </row>
    <row r="210" spans="1:68" ht="27" customHeight="1" x14ac:dyDescent="0.25">
      <c r="A210" s="54" t="s">
        <v>347</v>
      </c>
      <c r="B210" s="54" t="s">
        <v>348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339</v>
      </c>
      <c r="AG210" s="64"/>
      <c r="AJ210" s="68"/>
      <c r="AK210" s="68">
        <v>0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100</v>
      </c>
      <c r="Y211" s="547">
        <f>IFERROR(Y203/H203,"0")+IFERROR(Y204/H204,"0")+IFERROR(Y205/H205,"0")+IFERROR(Y206/H206,"0")+IFERROR(Y207/H207,"0")+IFERROR(Y208/H208,"0")+IFERROR(Y209/H209,"0")+IFERROR(Y210/H210,"0")</f>
        <v>100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180</v>
      </c>
      <c r="Y212" s="547">
        <f>IFERROR(SUM(Y203:Y210),"0")</f>
        <v>180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349</v>
      </c>
      <c r="B214" s="54" t="s">
        <v>350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351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352</v>
      </c>
      <c r="B215" s="54" t="s">
        <v>353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354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357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358</v>
      </c>
      <c r="B217" s="54" t="s">
        <v>359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219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240</v>
      </c>
      <c r="Y217" s="546">
        <f t="shared" si="15"/>
        <v>240</v>
      </c>
      <c r="Z217" s="36">
        <f t="shared" ref="Z217:Z222" si="20">IFERROR(IF(Y217=0,"",ROUNDUP(Y217/H217,0)*0.00651),"")</f>
        <v>0.65100000000000002</v>
      </c>
      <c r="AA217" s="56"/>
      <c r="AB217" s="57"/>
      <c r="AC217" s="265" t="s">
        <v>360</v>
      </c>
      <c r="AG217" s="64"/>
      <c r="AJ217" s="68" t="s">
        <v>198</v>
      </c>
      <c r="AK217" s="68">
        <v>33.6</v>
      </c>
      <c r="BB217" s="266" t="s">
        <v>1</v>
      </c>
      <c r="BM217" s="64">
        <f t="shared" si="16"/>
        <v>267</v>
      </c>
      <c r="BN217" s="64">
        <f t="shared" si="17"/>
        <v>267</v>
      </c>
      <c r="BO217" s="64">
        <f t="shared" si="18"/>
        <v>0.5494505494505495</v>
      </c>
      <c r="BP217" s="64">
        <f t="shared" si="19"/>
        <v>0.5494505494505495</v>
      </c>
    </row>
    <row r="218" spans="1:68" ht="27" customHeight="1" x14ac:dyDescent="0.25">
      <c r="A218" s="54" t="s">
        <v>361</v>
      </c>
      <c r="B218" s="54" t="s">
        <v>362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357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363</v>
      </c>
      <c r="B219" s="54" t="s">
        <v>364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219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120</v>
      </c>
      <c r="Y219" s="546">
        <f t="shared" si="15"/>
        <v>120</v>
      </c>
      <c r="Z219" s="36">
        <f t="shared" si="20"/>
        <v>0.32550000000000001</v>
      </c>
      <c r="AA219" s="56"/>
      <c r="AB219" s="57"/>
      <c r="AC219" s="269" t="s">
        <v>357</v>
      </c>
      <c r="AG219" s="64"/>
      <c r="AJ219" s="68" t="s">
        <v>198</v>
      </c>
      <c r="AK219" s="68">
        <v>33.6</v>
      </c>
      <c r="BB219" s="270" t="s">
        <v>1</v>
      </c>
      <c r="BM219" s="64">
        <f t="shared" si="16"/>
        <v>132.60000000000002</v>
      </c>
      <c r="BN219" s="64">
        <f t="shared" si="17"/>
        <v>132.60000000000002</v>
      </c>
      <c r="BO219" s="64">
        <f t="shared" si="18"/>
        <v>0.27472527472527475</v>
      </c>
      <c r="BP219" s="64">
        <f t="shared" si="19"/>
        <v>0.27472527472527475</v>
      </c>
    </row>
    <row r="220" spans="1:68" ht="27" customHeight="1" x14ac:dyDescent="0.25">
      <c r="A220" s="54" t="s">
        <v>365</v>
      </c>
      <c r="B220" s="54" t="s">
        <v>366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367</v>
      </c>
      <c r="B221" s="54" t="s">
        <v>368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/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369</v>
      </c>
      <c r="AG221" s="64"/>
      <c r="AJ221" s="68"/>
      <c r="AK221" s="68">
        <v>0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370</v>
      </c>
      <c r="B222" s="54" t="s">
        <v>371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354</v>
      </c>
      <c r="AG222" s="64"/>
      <c r="AJ222" s="68"/>
      <c r="AK222" s="68">
        <v>0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150</v>
      </c>
      <c r="Y223" s="547">
        <f>IFERROR(Y214/H214,"0")+IFERROR(Y215/H215,"0")+IFERROR(Y216/H216,"0")+IFERROR(Y217/H217,"0")+IFERROR(Y218/H218,"0")+IFERROR(Y219/H219,"0")+IFERROR(Y220/H220,"0")+IFERROR(Y221/H221,"0")+IFERROR(Y222/H222,"0")</f>
        <v>150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0.97650000000000003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360</v>
      </c>
      <c r="Y224" s="547">
        <f>IFERROR(SUM(Y214:Y222),"0")</f>
        <v>360</v>
      </c>
      <c r="Z224" s="37"/>
      <c r="AA224" s="548"/>
      <c r="AB224" s="548"/>
      <c r="AC224" s="548"/>
    </row>
    <row r="225" spans="1:68" ht="14.25" customHeight="1" x14ac:dyDescent="0.25">
      <c r="A225" s="558" t="s">
        <v>157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372</v>
      </c>
      <c r="B226" s="54" t="s">
        <v>373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374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375</v>
      </c>
      <c r="B227" s="54" t="s">
        <v>376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377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378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379</v>
      </c>
      <c r="B232" s="54" t="s">
        <v>380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103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381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103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385</v>
      </c>
      <c r="B234" s="54" t="s">
        <v>386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103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388</v>
      </c>
      <c r="B235" s="54" t="s">
        <v>389</v>
      </c>
      <c r="C235" s="31">
        <v>4301012196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107</v>
      </c>
      <c r="L235" s="32"/>
      <c r="M235" s="33" t="s">
        <v>103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381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388</v>
      </c>
      <c r="B236" s="54" t="s">
        <v>390</v>
      </c>
      <c r="C236" s="31">
        <v>4301011824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107</v>
      </c>
      <c r="L236" s="32"/>
      <c r="M236" s="33" t="s">
        <v>103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391</v>
      </c>
      <c r="B237" s="54" t="s">
        <v>392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107</v>
      </c>
      <c r="L237" s="32"/>
      <c r="M237" s="33" t="s">
        <v>103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393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103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396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397</v>
      </c>
      <c r="B239" s="54" t="s">
        <v>398</v>
      </c>
      <c r="C239" s="31">
        <v>4301012195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107</v>
      </c>
      <c r="L239" s="32"/>
      <c r="M239" s="33" t="s">
        <v>103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387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397</v>
      </c>
      <c r="B240" s="54" t="s">
        <v>399</v>
      </c>
      <c r="C240" s="31">
        <v>4301011722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107</v>
      </c>
      <c r="L240" s="32"/>
      <c r="M240" s="33" t="s">
        <v>103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387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132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400</v>
      </c>
      <c r="B244" s="54" t="s">
        <v>401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29.7</v>
      </c>
      <c r="Y244" s="546">
        <f>IFERROR(IF(X244="",0,CEILING((X244/$H244),1)*$H244),"")</f>
        <v>29.7</v>
      </c>
      <c r="Z244" s="36">
        <f>IFERROR(IF(Y244=0,"",ROUNDUP(Y244/H244,0)*0.00502),"")</f>
        <v>7.5300000000000006E-2</v>
      </c>
      <c r="AA244" s="56"/>
      <c r="AB244" s="57"/>
      <c r="AC244" s="299" t="s">
        <v>402</v>
      </c>
      <c r="AG244" s="64"/>
      <c r="AJ244" s="68"/>
      <c r="AK244" s="68">
        <v>0</v>
      </c>
      <c r="BB244" s="300" t="s">
        <v>1</v>
      </c>
      <c r="BM244" s="64">
        <f>IFERROR(X244*I244/H244,"0")</f>
        <v>31.200000000000003</v>
      </c>
      <c r="BN244" s="64">
        <f>IFERROR(Y244*I244/H244,"0")</f>
        <v>31.200000000000003</v>
      </c>
      <c r="BO244" s="64">
        <f>IFERROR(1/J244*(X244/H244),"0")</f>
        <v>6.4102564102564111E-2</v>
      </c>
      <c r="BP244" s="64">
        <f>IFERROR(1/J244*(Y244/H244),"0")</f>
        <v>6.4102564102564111E-2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15</v>
      </c>
      <c r="Y245" s="547">
        <f>IFERROR(Y244/H244,"0")</f>
        <v>15</v>
      </c>
      <c r="Z245" s="547">
        <f>IFERROR(IF(Z244="",0,Z244),"0")</f>
        <v>7.5300000000000006E-2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29.7</v>
      </c>
      <c r="Y246" s="547">
        <f>IFERROR(SUM(Y244:Y244),"0")</f>
        <v>29.7</v>
      </c>
      <c r="Z246" s="37"/>
      <c r="AA246" s="548"/>
      <c r="AB246" s="548"/>
      <c r="AC246" s="548"/>
    </row>
    <row r="247" spans="1:68" ht="14.25" customHeight="1" x14ac:dyDescent="0.25">
      <c r="A247" s="558" t="s">
        <v>403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404</v>
      </c>
      <c r="B248" s="54" t="s">
        <v>405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307</v>
      </c>
      <c r="L248" s="32"/>
      <c r="M248" s="33" t="s">
        <v>288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406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407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408</v>
      </c>
      <c r="B252" s="54" t="s">
        <v>409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307</v>
      </c>
      <c r="L252" s="32"/>
      <c r="M252" s="33" t="s">
        <v>288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411</v>
      </c>
      <c r="B253" s="54" t="s">
        <v>412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307</v>
      </c>
      <c r="L253" s="32"/>
      <c r="M253" s="33" t="s">
        <v>288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413</v>
      </c>
      <c r="B254" s="54" t="s">
        <v>414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307</v>
      </c>
      <c r="L254" s="32"/>
      <c r="M254" s="33" t="s">
        <v>288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307</v>
      </c>
      <c r="L255" s="32"/>
      <c r="M255" s="33" t="s">
        <v>288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410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417</v>
      </c>
      <c r="B256" s="54" t="s">
        <v>418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307</v>
      </c>
      <c r="L256" s="32"/>
      <c r="M256" s="33" t="s">
        <v>288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419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420</v>
      </c>
      <c r="B261" s="54" t="s">
        <v>421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103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422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423</v>
      </c>
      <c r="B262" s="54" t="s">
        <v>424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103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425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426</v>
      </c>
      <c r="B263" s="54" t="s">
        <v>427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103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428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429</v>
      </c>
      <c r="B264" s="54" t="s">
        <v>430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107</v>
      </c>
      <c r="L264" s="32"/>
      <c r="M264" s="33" t="s">
        <v>103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431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432</v>
      </c>
      <c r="B265" s="54" t="s">
        <v>433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107</v>
      </c>
      <c r="L265" s="32"/>
      <c r="M265" s="33" t="s">
        <v>103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434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435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436</v>
      </c>
      <c r="B270" s="54" t="s">
        <v>437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104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438</v>
      </c>
      <c r="B271" s="54" t="s">
        <v>439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440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441</v>
      </c>
      <c r="B272" s="54" t="s">
        <v>442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443</v>
      </c>
      <c r="B273" s="54" t="s">
        <v>444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103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445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446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447</v>
      </c>
      <c r="B278" s="54" t="s">
        <v>448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450</v>
      </c>
      <c r="B279" s="54" t="s">
        <v>451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452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453</v>
      </c>
      <c r="B280" s="54" t="s">
        <v>454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449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455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456</v>
      </c>
      <c r="B285" s="54" t="s">
        <v>457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458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459</v>
      </c>
      <c r="B286" s="54" t="s">
        <v>460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461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462</v>
      </c>
      <c r="B290" s="54" t="s">
        <v>463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107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464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465</v>
      </c>
      <c r="B291" s="54" t="s">
        <v>466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107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467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468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469</v>
      </c>
      <c r="B296" s="54" t="s">
        <v>470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471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472</v>
      </c>
      <c r="B297" s="54" t="s">
        <v>473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103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474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475</v>
      </c>
      <c r="B298" s="54" t="s">
        <v>476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477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478</v>
      </c>
      <c r="B299" s="54" t="s">
        <v>479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107</v>
      </c>
      <c r="L299" s="32"/>
      <c r="M299" s="33" t="s">
        <v>103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480</v>
      </c>
      <c r="B300" s="54" t="s">
        <v>481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107</v>
      </c>
      <c r="L300" s="32"/>
      <c r="M300" s="33" t="s">
        <v>103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482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483</v>
      </c>
      <c r="B304" s="54" t="s">
        <v>484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107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485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486</v>
      </c>
      <c r="B305" s="54" t="s">
        <v>487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107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489</v>
      </c>
      <c r="B306" s="54" t="s">
        <v>490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107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491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488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494</v>
      </c>
      <c r="B308" s="54" t="s">
        <v>495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245.7</v>
      </c>
      <c r="Y308" s="546">
        <f t="shared" si="26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496</v>
      </c>
      <c r="AG308" s="64"/>
      <c r="AJ308" s="68"/>
      <c r="AK308" s="68">
        <v>0</v>
      </c>
      <c r="BB308" s="364" t="s">
        <v>1</v>
      </c>
      <c r="BM308" s="64">
        <f t="shared" si="27"/>
        <v>257.39999999999998</v>
      </c>
      <c r="BN308" s="64">
        <f t="shared" si="28"/>
        <v>257.40000000000003</v>
      </c>
      <c r="BO308" s="64">
        <f t="shared" si="29"/>
        <v>0.5</v>
      </c>
      <c r="BP308" s="64">
        <f t="shared" si="30"/>
        <v>0.5</v>
      </c>
    </row>
    <row r="309" spans="1:68" ht="27" customHeight="1" x14ac:dyDescent="0.25">
      <c r="A309" s="54" t="s">
        <v>497</v>
      </c>
      <c r="B309" s="54" t="s">
        <v>498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499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116.99999999999999</v>
      </c>
      <c r="Y310" s="547">
        <f>IFERROR(Y304/H304,"0")+IFERROR(Y305/H305,"0")+IFERROR(Y306/H306,"0")+IFERROR(Y307/H307,"0")+IFERROR(Y308/H308,"0")+IFERROR(Y309/H309,"0")</f>
        <v>117</v>
      </c>
      <c r="Z310" s="547">
        <f>IFERROR(IF(Z304="",0,Z304),"0")+IFERROR(IF(Z305="",0,Z305),"0")+IFERROR(IF(Z306="",0,Z306),"0")+IFERROR(IF(Z307="",0,Z307),"0")+IFERROR(IF(Z308="",0,Z308),"0")+IFERROR(IF(Z309="",0,Z309),"0")</f>
        <v>0.58733999999999997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245.7</v>
      </c>
      <c r="Y311" s="547">
        <f>IFERROR(SUM(Y304:Y309),"0")</f>
        <v>245.70000000000002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500</v>
      </c>
      <c r="B313" s="54" t="s">
        <v>501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502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503</v>
      </c>
      <c r="B314" s="54" t="s">
        <v>504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505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506</v>
      </c>
      <c r="B315" s="54" t="s">
        <v>507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508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509</v>
      </c>
      <c r="B316" s="54" t="s">
        <v>510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511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157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512</v>
      </c>
      <c r="B320" s="54" t="s">
        <v>513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514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515</v>
      </c>
      <c r="B321" s="54" t="s">
        <v>516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517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518</v>
      </c>
      <c r="B322" s="54" t="s">
        <v>519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520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521</v>
      </c>
      <c r="B326" s="54" t="s">
        <v>522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107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523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524</v>
      </c>
      <c r="B327" s="54" t="s">
        <v>525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107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526</v>
      </c>
      <c r="B328" s="54" t="s">
        <v>527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523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528</v>
      </c>
      <c r="B329" s="54" t="s">
        <v>529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25.5</v>
      </c>
      <c r="Y329" s="546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523</v>
      </c>
      <c r="AG329" s="64"/>
      <c r="AJ329" s="68"/>
      <c r="AK329" s="68">
        <v>0</v>
      </c>
      <c r="BB329" s="388" t="s">
        <v>1</v>
      </c>
      <c r="BM329" s="64">
        <f>IFERROR(X329*I329/H329,"0")</f>
        <v>28.8</v>
      </c>
      <c r="BN329" s="64">
        <f>IFERROR(Y329*I329/H329,"0")</f>
        <v>28.8</v>
      </c>
      <c r="BO329" s="64">
        <f>IFERROR(1/J329*(X329/H329),"0")</f>
        <v>5.4945054945054951E-2</v>
      </c>
      <c r="BP329" s="64">
        <f>IFERROR(1/J329*(Y329/H329),"0")</f>
        <v>5.4945054945054951E-2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10</v>
      </c>
      <c r="Y330" s="547">
        <f>IFERROR(Y326/H326,"0")+IFERROR(Y327/H327,"0")+IFERROR(Y328/H328,"0")+IFERROR(Y329/H329,"0")</f>
        <v>10</v>
      </c>
      <c r="Z330" s="547">
        <f>IFERROR(IF(Z326="",0,Z326),"0")+IFERROR(IF(Z327="",0,Z327),"0")+IFERROR(IF(Z328="",0,Z328),"0")+IFERROR(IF(Z329="",0,Z329),"0")</f>
        <v>6.5100000000000005E-2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25.5</v>
      </c>
      <c r="Y331" s="547">
        <f>IFERROR(SUM(Y326:Y329),"0")</f>
        <v>25.5</v>
      </c>
      <c r="Z331" s="37"/>
      <c r="AA331" s="548"/>
      <c r="AB331" s="548"/>
      <c r="AC331" s="548"/>
    </row>
    <row r="332" spans="1:68" ht="14.25" customHeight="1" x14ac:dyDescent="0.25">
      <c r="A332" s="558" t="s">
        <v>530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531</v>
      </c>
      <c r="B333" s="54" t="s">
        <v>532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533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534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535</v>
      </c>
      <c r="B334" s="54" t="s">
        <v>536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533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534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537</v>
      </c>
      <c r="B335" s="54" t="s">
        <v>538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533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539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540</v>
      </c>
      <c r="B340" s="54" t="s">
        <v>541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542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543</v>
      </c>
      <c r="B341" s="54" t="s">
        <v>544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219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327.60000000000002</v>
      </c>
      <c r="Y341" s="546">
        <f>IFERROR(IF(X341="",0,CEILING((X341/$H341),1)*$H341),"")</f>
        <v>327.60000000000002</v>
      </c>
      <c r="Z341" s="36">
        <f>IFERROR(IF(Y341=0,"",ROUNDUP(Y341/H341,0)*0.00651),"")</f>
        <v>1.01556</v>
      </c>
      <c r="AA341" s="56"/>
      <c r="AB341" s="57"/>
      <c r="AC341" s="397" t="s">
        <v>545</v>
      </c>
      <c r="AG341" s="64"/>
      <c r="AJ341" s="68" t="s">
        <v>198</v>
      </c>
      <c r="AK341" s="68">
        <v>29.4</v>
      </c>
      <c r="BB341" s="398" t="s">
        <v>1</v>
      </c>
      <c r="BM341" s="64">
        <f>IFERROR(X341*I341/H341,"0")</f>
        <v>366.91200000000003</v>
      </c>
      <c r="BN341" s="64">
        <f>IFERROR(Y341*I341/H341,"0")</f>
        <v>366.91200000000003</v>
      </c>
      <c r="BO341" s="64">
        <f>IFERROR(1/J341*(X341/H341),"0")</f>
        <v>0.85714285714285721</v>
      </c>
      <c r="BP341" s="64">
        <f>IFERROR(1/J341*(Y341/H341),"0")</f>
        <v>0.85714285714285721</v>
      </c>
    </row>
    <row r="342" spans="1:68" ht="27" customHeight="1" x14ac:dyDescent="0.25">
      <c r="A342" s="54" t="s">
        <v>546</v>
      </c>
      <c r="B342" s="54" t="s">
        <v>547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219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327.60000000000002</v>
      </c>
      <c r="Y342" s="546">
        <f>IFERROR(IF(X342="",0,CEILING((X342/$H342),1)*$H342),"")</f>
        <v>327.60000000000002</v>
      </c>
      <c r="Z342" s="36">
        <f>IFERROR(IF(Y342=0,"",ROUNDUP(Y342/H342,0)*0.00651),"")</f>
        <v>1.01556</v>
      </c>
      <c r="AA342" s="56"/>
      <c r="AB342" s="57"/>
      <c r="AC342" s="399" t="s">
        <v>548</v>
      </c>
      <c r="AG342" s="64"/>
      <c r="AJ342" s="68" t="s">
        <v>198</v>
      </c>
      <c r="AK342" s="68">
        <v>29.4</v>
      </c>
      <c r="BB342" s="400" t="s">
        <v>1</v>
      </c>
      <c r="BM342" s="64">
        <f>IFERROR(X342*I342/H342,"0")</f>
        <v>365.04</v>
      </c>
      <c r="BN342" s="64">
        <f>IFERROR(Y342*I342/H342,"0")</f>
        <v>365.04</v>
      </c>
      <c r="BO342" s="64">
        <f>IFERROR(1/J342*(X342/H342),"0")</f>
        <v>0.85714285714285721</v>
      </c>
      <c r="BP342" s="64">
        <f>IFERROR(1/J342*(Y342/H342),"0")</f>
        <v>0.85714285714285721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312</v>
      </c>
      <c r="Y343" s="547">
        <f>IFERROR(Y340/H340,"0")+IFERROR(Y341/H341,"0")+IFERROR(Y342/H342,"0")</f>
        <v>312</v>
      </c>
      <c r="Z343" s="547">
        <f>IFERROR(IF(Z340="",0,Z340),"0")+IFERROR(IF(Z341="",0,Z341),"0")+IFERROR(IF(Z342="",0,Z342),"0")</f>
        <v>2.03112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655.20000000000005</v>
      </c>
      <c r="Y344" s="547">
        <f>IFERROR(SUM(Y340:Y342),"0")</f>
        <v>655.20000000000005</v>
      </c>
      <c r="Z344" s="37"/>
      <c r="AA344" s="548"/>
      <c r="AB344" s="548"/>
      <c r="AC344" s="548"/>
    </row>
    <row r="345" spans="1:68" ht="27.75" customHeight="1" x14ac:dyDescent="0.2">
      <c r="A345" s="639" t="s">
        <v>549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550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551</v>
      </c>
      <c r="B348" s="54" t="s">
        <v>552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45</v>
      </c>
      <c r="Y348" s="546">
        <f t="shared" ref="Y348:Y354" si="31">IFERROR(IF(X348="",0,CEILING((X348/$H348),1)*$H348),"")</f>
        <v>45</v>
      </c>
      <c r="Z348" s="36">
        <f>IFERROR(IF(Y348=0,"",ROUNDUP(Y348/H348,0)*0.02175),"")</f>
        <v>6.5250000000000002E-2</v>
      </c>
      <c r="AA348" s="56"/>
      <c r="AB348" s="57"/>
      <c r="AC348" s="401" t="s">
        <v>553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46.41</v>
      </c>
      <c r="BN348" s="64">
        <f t="shared" ref="BN348:BN354" si="33">IFERROR(Y348*I348/H348,"0")</f>
        <v>46.41</v>
      </c>
      <c r="BO348" s="64">
        <f t="shared" ref="BO348:BO354" si="34">IFERROR(1/J348*(X348/H348),"0")</f>
        <v>6.25E-2</v>
      </c>
      <c r="BP348" s="64">
        <f t="shared" ref="BP348:BP354" si="35">IFERROR(1/J348*(Y348/H348),"0")</f>
        <v>6.25E-2</v>
      </c>
    </row>
    <row r="349" spans="1:68" ht="27" customHeight="1" x14ac:dyDescent="0.25">
      <c r="A349" s="54" t="s">
        <v>554</v>
      </c>
      <c r="B349" s="54" t="s">
        <v>555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45</v>
      </c>
      <c r="Y350" s="546">
        <f t="shared" si="31"/>
        <v>45</v>
      </c>
      <c r="Z350" s="36">
        <f>IFERROR(IF(Y350=0,"",ROUNDUP(Y350/H350,0)*0.02175),"")</f>
        <v>6.5250000000000002E-2</v>
      </c>
      <c r="AA350" s="56"/>
      <c r="AB350" s="57"/>
      <c r="AC350" s="405" t="s">
        <v>559</v>
      </c>
      <c r="AG350" s="64"/>
      <c r="AJ350" s="68"/>
      <c r="AK350" s="68">
        <v>0</v>
      </c>
      <c r="BB350" s="406" t="s">
        <v>1</v>
      </c>
      <c r="BM350" s="64">
        <f t="shared" si="32"/>
        <v>46.41</v>
      </c>
      <c r="BN350" s="64">
        <f t="shared" si="33"/>
        <v>46.41</v>
      </c>
      <c r="BO350" s="64">
        <f t="shared" si="34"/>
        <v>6.25E-2</v>
      </c>
      <c r="BP350" s="64">
        <f t="shared" si="35"/>
        <v>6.25E-2</v>
      </c>
    </row>
    <row r="351" spans="1:68" ht="27" customHeight="1" x14ac:dyDescent="0.25">
      <c r="A351" s="54" t="s">
        <v>560</v>
      </c>
      <c r="B351" s="54" t="s">
        <v>561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562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563</v>
      </c>
      <c r="B352" s="54" t="s">
        <v>564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107</v>
      </c>
      <c r="L352" s="32"/>
      <c r="M352" s="33" t="s">
        <v>103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565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566</v>
      </c>
      <c r="B353" s="54" t="s">
        <v>567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107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556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568</v>
      </c>
      <c r="B354" s="54" t="s">
        <v>569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107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559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</v>
      </c>
      <c r="Y355" s="547">
        <f>IFERROR(Y348/H348,"0")+IFERROR(Y349/H349,"0")+IFERROR(Y350/H350,"0")+IFERROR(Y351/H351,"0")+IFERROR(Y352/H352,"0")+IFERROR(Y353/H353,"0")+IFERROR(Y354/H354,"0")</f>
        <v>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0.1305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90</v>
      </c>
      <c r="Y356" s="547">
        <f>IFERROR(SUM(Y348:Y354),"0")</f>
        <v>90</v>
      </c>
      <c r="Z356" s="37"/>
      <c r="AA356" s="548"/>
      <c r="AB356" s="548"/>
      <c r="AC356" s="548"/>
    </row>
    <row r="357" spans="1:68" ht="14.25" customHeight="1" x14ac:dyDescent="0.25">
      <c r="A357" s="558" t="s">
        <v>132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570</v>
      </c>
      <c r="B358" s="54" t="s">
        <v>571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103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572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573</v>
      </c>
      <c r="B359" s="54" t="s">
        <v>574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107</v>
      </c>
      <c r="L359" s="32"/>
      <c r="M359" s="33" t="s">
        <v>103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575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576</v>
      </c>
      <c r="B363" s="54" t="s">
        <v>577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578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579</v>
      </c>
      <c r="B364" s="54" t="s">
        <v>580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581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157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582</v>
      </c>
      <c r="B368" s="54" t="s">
        <v>583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584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585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586</v>
      </c>
      <c r="B373" s="54" t="s">
        <v>587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588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589</v>
      </c>
      <c r="B374" s="54" t="s">
        <v>590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588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591</v>
      </c>
      <c r="B378" s="54" t="s">
        <v>592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107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593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591</v>
      </c>
      <c r="B379" s="54" t="s">
        <v>594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107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595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596</v>
      </c>
      <c r="B383" s="54" t="s">
        <v>597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/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598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599</v>
      </c>
      <c r="B384" s="54" t="s">
        <v>600</v>
      </c>
      <c r="C384" s="31">
        <v>4301052069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599</v>
      </c>
      <c r="B385" s="54" t="s">
        <v>602</v>
      </c>
      <c r="C385" s="31">
        <v>4301051660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598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603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604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605</v>
      </c>
      <c r="B391" s="54" t="s">
        <v>606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107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608</v>
      </c>
      <c r="B392" s="54" t="s">
        <v>609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107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610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611</v>
      </c>
      <c r="B393" s="54" t="s">
        <v>612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107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614</v>
      </c>
      <c r="B394" s="54" t="s">
        <v>615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607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616</v>
      </c>
      <c r="B395" s="54" t="s">
        <v>617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607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618</v>
      </c>
      <c r="B396" s="54" t="s">
        <v>619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620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621</v>
      </c>
      <c r="B397" s="54" t="s">
        <v>622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623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624</v>
      </c>
      <c r="B398" s="54" t="s">
        <v>625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626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627</v>
      </c>
      <c r="B399" s="54" t="s">
        <v>628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623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629</v>
      </c>
      <c r="B403" s="54" t="s">
        <v>630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107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631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632</v>
      </c>
      <c r="B404" s="54" t="s">
        <v>633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634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635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132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636</v>
      </c>
      <c r="B409" s="54" t="s">
        <v>637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638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639</v>
      </c>
      <c r="B413" s="54" t="s">
        <v>640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107</v>
      </c>
      <c r="L413" s="32"/>
      <c r="M413" s="33" t="s">
        <v>103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641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642</v>
      </c>
      <c r="B414" s="54" t="s">
        <v>643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645</v>
      </c>
      <c r="B415" s="54" t="s">
        <v>646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648</v>
      </c>
      <c r="B416" s="54" t="s">
        <v>649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 t="s">
        <v>342</v>
      </c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647</v>
      </c>
      <c r="AG416" s="64"/>
      <c r="AJ416" s="68" t="s">
        <v>198</v>
      </c>
      <c r="AK416" s="68">
        <v>37.799999999999997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650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651</v>
      </c>
      <c r="B421" s="54" t="s">
        <v>652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654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654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655</v>
      </c>
      <c r="B427" s="54" t="s">
        <v>656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103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103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659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660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103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103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/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667</v>
      </c>
      <c r="B432" s="54" t="s">
        <v>668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103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669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670</v>
      </c>
      <c r="B433" s="54" t="s">
        <v>671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/>
      <c r="M433" s="33" t="s">
        <v>103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672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673</v>
      </c>
      <c r="B434" s="54" t="s">
        <v>674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104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675</v>
      </c>
      <c r="B435" s="54" t="s">
        <v>676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107</v>
      </c>
      <c r="L435" s="32"/>
      <c r="M435" s="33" t="s">
        <v>103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677</v>
      </c>
      <c r="B436" s="54" t="s">
        <v>678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107</v>
      </c>
      <c r="L436" s="32"/>
      <c r="M436" s="33" t="s">
        <v>103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663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679</v>
      </c>
      <c r="B437" s="54" t="s">
        <v>680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103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681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682</v>
      </c>
      <c r="B438" s="54" t="s">
        <v>683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107</v>
      </c>
      <c r="L438" s="32"/>
      <c r="M438" s="33" t="s">
        <v>103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customHeight="1" x14ac:dyDescent="0.25">
      <c r="A441" s="558" t="s">
        <v>132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684</v>
      </c>
      <c r="B442" s="54" t="s">
        <v>685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/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686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687</v>
      </c>
      <c r="B443" s="54" t="s">
        <v>688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686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689</v>
      </c>
      <c r="B444" s="54" t="s">
        <v>690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686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691</v>
      </c>
      <c r="B448" s="54" t="s">
        <v>692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/>
      <c r="M448" s="33" t="s">
        <v>103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693</v>
      </c>
      <c r="AG448" s="64"/>
      <c r="AJ448" s="68"/>
      <c r="AK448" s="68">
        <v>0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694</v>
      </c>
      <c r="B449" s="54" t="s">
        <v>695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/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697</v>
      </c>
      <c r="B450" s="54" t="s">
        <v>698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/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700</v>
      </c>
      <c r="B451" s="54" t="s">
        <v>701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107</v>
      </c>
      <c r="L451" s="32"/>
      <c r="M451" s="33" t="s">
        <v>103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693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702</v>
      </c>
      <c r="B452" s="54" t="s">
        <v>703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107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696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704</v>
      </c>
      <c r="B453" s="54" t="s">
        <v>705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107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699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customHeight="1" x14ac:dyDescent="0.2">
      <c r="A456" s="639" t="s">
        <v>706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706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707</v>
      </c>
      <c r="B459" s="54" t="s">
        <v>708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709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710</v>
      </c>
      <c r="B460" s="54" t="s">
        <v>711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712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713</v>
      </c>
      <c r="B461" s="54" t="s">
        <v>714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103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715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107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240</v>
      </c>
      <c r="Y462" s="546">
        <f>IFERROR(IF(X462="",0,CEILING((X462/$H462),1)*$H462),"")</f>
        <v>240</v>
      </c>
      <c r="Z462" s="36">
        <f>IFERROR(IF(Y462=0,"",ROUNDUP(Y462/H462,0)*0.00902),"")</f>
        <v>0.54120000000000001</v>
      </c>
      <c r="AA462" s="56"/>
      <c r="AB462" s="57"/>
      <c r="AC462" s="521" t="s">
        <v>709</v>
      </c>
      <c r="AG462" s="64"/>
      <c r="AJ462" s="68"/>
      <c r="AK462" s="68">
        <v>0</v>
      </c>
      <c r="BB462" s="522" t="s">
        <v>1</v>
      </c>
      <c r="BM462" s="64">
        <f>IFERROR(X462*I462/H462,"0")</f>
        <v>251.40000000000003</v>
      </c>
      <c r="BN462" s="64">
        <f>IFERROR(Y462*I462/H462,"0")</f>
        <v>251.40000000000003</v>
      </c>
      <c r="BO462" s="64">
        <f>IFERROR(1/J462*(X462/H462),"0")</f>
        <v>0.45454545454545459</v>
      </c>
      <c r="BP462" s="64">
        <f>IFERROR(1/J462*(Y462/H462),"0")</f>
        <v>0.45454545454545459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60</v>
      </c>
      <c r="Y463" s="547">
        <f>IFERROR(Y459/H459,"0")+IFERROR(Y460/H460,"0")+IFERROR(Y461/H461,"0")+IFERROR(Y462/H462,"0")</f>
        <v>60</v>
      </c>
      <c r="Z463" s="547">
        <f>IFERROR(IF(Z459="",0,Z459),"0")+IFERROR(IF(Z460="",0,Z460),"0")+IFERROR(IF(Z461="",0,Z461),"0")+IFERROR(IF(Z462="",0,Z462),"0")</f>
        <v>0.54120000000000001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240</v>
      </c>
      <c r="Y464" s="547">
        <f>IFERROR(SUM(Y459:Y462),"0")</f>
        <v>240</v>
      </c>
      <c r="Z464" s="37"/>
      <c r="AA464" s="548"/>
      <c r="AB464" s="548"/>
      <c r="AC464" s="548"/>
    </row>
    <row r="465" spans="1:68" ht="14.25" customHeight="1" x14ac:dyDescent="0.25">
      <c r="A465" s="558" t="s">
        <v>132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718</v>
      </c>
      <c r="B466" s="54" t="s">
        <v>719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720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721</v>
      </c>
      <c r="B467" s="54" t="s">
        <v>722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103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723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724</v>
      </c>
      <c r="B471" s="54" t="s">
        <v>725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726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727</v>
      </c>
      <c r="B475" s="54" t="s">
        <v>728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729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157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730</v>
      </c>
      <c r="B479" s="54" t="s">
        <v>731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732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733</v>
      </c>
      <c r="B480" s="54" t="s">
        <v>734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735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736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132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737</v>
      </c>
      <c r="B485" s="54" t="s">
        <v>738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739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740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4379.0999999999995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4379.0999999999995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741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4688.1319999999996</v>
      </c>
      <c r="Y489" s="547">
        <f>IFERROR(SUM(BN22:BN485),"0")</f>
        <v>4688.1319999999996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742</v>
      </c>
      <c r="Q490" s="647"/>
      <c r="R490" s="647"/>
      <c r="S490" s="647"/>
      <c r="T490" s="647"/>
      <c r="U490" s="647"/>
      <c r="V490" s="648"/>
      <c r="W490" s="37" t="s">
        <v>743</v>
      </c>
      <c r="X490" s="38">
        <f>ROUNDUP(SUM(BO22:BO485),0)</f>
        <v>9</v>
      </c>
      <c r="Y490" s="38">
        <f>ROUNDUP(SUM(BP22:BP485),0)</f>
        <v>9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744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4913.1319999999996</v>
      </c>
      <c r="Y491" s="547">
        <f>GrossWeightTotalR+PalletQtyTotalR*25</f>
        <v>4913.1319999999996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745</v>
      </c>
      <c r="Q492" s="647"/>
      <c r="R492" s="647"/>
      <c r="S492" s="647"/>
      <c r="T492" s="647"/>
      <c r="U492" s="647"/>
      <c r="V492" s="648"/>
      <c r="W492" s="37" t="s">
        <v>743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1464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1464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746</v>
      </c>
      <c r="Q493" s="647"/>
      <c r="R493" s="647"/>
      <c r="S493" s="647"/>
      <c r="T493" s="647"/>
      <c r="U493" s="647"/>
      <c r="V493" s="648"/>
      <c r="W493" s="39" t="s">
        <v>747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10.415939999999999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748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262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549</v>
      </c>
      <c r="T495" s="606"/>
      <c r="U495" s="583" t="s">
        <v>603</v>
      </c>
      <c r="V495" s="605"/>
      <c r="W495" s="606"/>
      <c r="X495" s="542" t="s">
        <v>654</v>
      </c>
      <c r="Y495" s="583" t="s">
        <v>706</v>
      </c>
      <c r="Z495" s="606"/>
      <c r="AB495" s="52"/>
      <c r="AC495" s="52"/>
      <c r="AF495" s="543"/>
    </row>
    <row r="496" spans="1:68" ht="14.25" customHeight="1" thickTop="1" x14ac:dyDescent="0.2">
      <c r="A496" s="611" t="s">
        <v>749</v>
      </c>
      <c r="B496" s="583" t="s">
        <v>63</v>
      </c>
      <c r="C496" s="583" t="s">
        <v>98</v>
      </c>
      <c r="D496" s="583" t="s">
        <v>113</v>
      </c>
      <c r="E496" s="583" t="s">
        <v>164</v>
      </c>
      <c r="F496" s="583" t="s">
        <v>186</v>
      </c>
      <c r="G496" s="583" t="s">
        <v>226</v>
      </c>
      <c r="H496" s="583" t="s">
        <v>97</v>
      </c>
      <c r="I496" s="583" t="s">
        <v>263</v>
      </c>
      <c r="J496" s="583" t="s">
        <v>317</v>
      </c>
      <c r="K496" s="583" t="s">
        <v>378</v>
      </c>
      <c r="L496" s="583" t="s">
        <v>419</v>
      </c>
      <c r="M496" s="583" t="s">
        <v>435</v>
      </c>
      <c r="N496" s="543"/>
      <c r="O496" s="583" t="s">
        <v>446</v>
      </c>
      <c r="P496" s="583" t="s">
        <v>455</v>
      </c>
      <c r="Q496" s="583" t="s">
        <v>468</v>
      </c>
      <c r="R496" s="583" t="s">
        <v>539</v>
      </c>
      <c r="S496" s="583" t="s">
        <v>550</v>
      </c>
      <c r="T496" s="583" t="s">
        <v>585</v>
      </c>
      <c r="U496" s="583" t="s">
        <v>604</v>
      </c>
      <c r="V496" s="583" t="s">
        <v>635</v>
      </c>
      <c r="W496" s="583" t="s">
        <v>650</v>
      </c>
      <c r="X496" s="583" t="s">
        <v>654</v>
      </c>
      <c r="Y496" s="583" t="s">
        <v>706</v>
      </c>
      <c r="Z496" s="583" t="s">
        <v>736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750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423</v>
      </c>
      <c r="E498" s="46">
        <f>IFERROR(Y84*1,"0")+IFERROR(Y85*1,"0")+IFERROR(Y86*1,"0")+IFERROR(Y87*1,"0")+IFERROR(Y91*1,"0")+IFERROR(Y92*1,"0")+IFERROR(Y93*1,"0")+IFERROR(Y94*1,"0")</f>
        <v>810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1080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540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29.7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271.20000000000005</v>
      </c>
      <c r="R498" s="46">
        <f>IFERROR(Y340*1,"0")+IFERROR(Y341*1,"0")+IFERROR(Y342*1,"0")</f>
        <v>655.20000000000005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90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46">
        <f>IFERROR(Y459*1,"0")+IFERROR(Y460*1,"0")+IFERROR(Y461*1,"0")+IFERROR(Y462*1,"0")+IFERROR(Y466*1,"0")+IFERROR(Y467*1,"0")+IFERROR(Y471*1,"0")+IFERROR(Y475*1,"0")+IFERROR(Y479*1,"0")+IFERROR(Y480*1,"0")</f>
        <v>240</v>
      </c>
      <c r="Z498" s="46">
        <f>IFERROR(Y485*1,"0")</f>
        <v>0</v>
      </c>
      <c r="AB498" s="52"/>
      <c r="AC498" s="52"/>
      <c r="AF498" s="543"/>
    </row>
  </sheetData>
  <sheetProtection algorithmName="SHA-512" hashValue="LEKnJr6pC7oCacYESoCgH5ZVCl7t1O8dYAu8YkY8OkJyIO2+x8rSQKZAmEHwiwqgqPrpaP7nyZvIBDOHKQeRFQ==" saltValue="q1b+lYAl+9AhGvVCIghC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116 X207 X217 X219 X341:X342 X416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l0eVVKoupwa8ZmDsgcIL+cWnxqb7MYDKJrrBLNxmAyQ32NBUwtEXxaz3nkaKwa6ljVW0UFkWYFy6mrWUArgXtA==" saltValue="sea758eRUHMEvHWtkr93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