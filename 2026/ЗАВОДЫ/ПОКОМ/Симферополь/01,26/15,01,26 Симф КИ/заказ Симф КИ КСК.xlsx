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B48A070-31BB-4C12-A221-E4EC8D97FC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28" i="1" l="1"/>
  <c r="Z43" i="1"/>
  <c r="Y25" i="1"/>
  <c r="Y31" i="1"/>
  <c r="Y43" i="1"/>
  <c r="BP54" i="1"/>
  <c r="Y495" i="1" s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Z302" i="1"/>
  <c r="BP298" i="1"/>
  <c r="BN298" i="1"/>
  <c r="Z298" i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496" i="1" s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Z258" i="1" s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Z361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Z212" i="1" s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18" i="1" l="1"/>
  <c r="Z180" i="1"/>
  <c r="Z468" i="1"/>
  <c r="Z446" i="1"/>
  <c r="Z455" i="1"/>
  <c r="Z418" i="1"/>
  <c r="Z337" i="1"/>
  <c r="Z267" i="1"/>
  <c r="Z242" i="1"/>
  <c r="Z95" i="1"/>
  <c r="Z31" i="1"/>
  <c r="Z498" i="1" s="1"/>
  <c r="Y497" i="1"/>
  <c r="X496" i="1"/>
  <c r="Z118" i="1"/>
  <c r="Z63" i="1"/>
  <c r="Y493" i="1"/>
</calcChain>
</file>

<file path=xl/sharedStrings.xml><?xml version="1.0" encoding="utf-8"?>
<sst xmlns="http://schemas.openxmlformats.org/spreadsheetml/2006/main" count="2300" uniqueCount="773">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</sst>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46040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0.375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200</v>
      </c>
      <c r="Y41" s="55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50</v>
      </c>
      <c r="Y43" s="551">
        <f>IFERROR(Y40/H40,"0")+IFERROR(Y41/H41,"0")+IFERROR(Y42/H42,"0")</f>
        <v>50</v>
      </c>
      <c r="Z43" s="551">
        <f>IFERROR(IF(Z40="",0,Z40),"0")+IFERROR(IF(Z41="",0,Z41),"0")+IFERROR(IF(Z42="",0,Z42),"0")</f>
        <v>0.45100000000000001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200</v>
      </c>
      <c r="Y44" s="551">
        <f>IFERROR(SUM(Y40:Y42),"0")</f>
        <v>200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150</v>
      </c>
      <c r="Y52" s="550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225</v>
      </c>
      <c r="Y56" s="550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63.888888888888886</v>
      </c>
      <c r="Y57" s="551">
        <f>IFERROR(Y51/H51,"0")+IFERROR(Y52/H52,"0")+IFERROR(Y53/H53,"0")+IFERROR(Y54/H54,"0")+IFERROR(Y55/H55,"0")+IFERROR(Y56/H56,"0")</f>
        <v>64</v>
      </c>
      <c r="Z57" s="551">
        <f>IFERROR(IF(Z51="",0,Z51),"0")+IFERROR(IF(Z52="",0,Z52),"0")+IFERROR(IF(Z53="",0,Z53),"0")+IFERROR(IF(Z54="",0,Z54),"0")+IFERROR(IF(Z55="",0,Z55),"0")+IFERROR(IF(Z56="",0,Z56),"0")</f>
        <v>0.71672000000000002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375</v>
      </c>
      <c r="Y58" s="551">
        <f>IFERROR(SUM(Y51:Y56),"0")</f>
        <v>376.20000000000005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300</v>
      </c>
      <c r="Y60" s="550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180</v>
      </c>
      <c r="Y62" s="55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94.444444444444429</v>
      </c>
      <c r="Y63" s="551">
        <f>IFERROR(Y60/H60,"0")+IFERROR(Y61/H61,"0")+IFERROR(Y62/H62,"0")</f>
        <v>95</v>
      </c>
      <c r="Z63" s="551">
        <f>IFERROR(IF(Z60="",0,Z60),"0")+IFERROR(IF(Z61="",0,Z61),"0")+IFERROR(IF(Z62="",0,Z62),"0")</f>
        <v>0.96761000000000008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480</v>
      </c>
      <c r="Y64" s="551">
        <f>IFERROR(SUM(Y60:Y62),"0")</f>
        <v>483.30000000000007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30</v>
      </c>
      <c r="Y78" s="550">
        <f>IFERROR(IF(X78="",0,CEILING((X78/$H78),1)*$H78),"")</f>
        <v>31.2</v>
      </c>
      <c r="Z78" s="36">
        <f>IFERROR(IF(Y78=0,"",ROUNDUP(Y78/H78,0)*0.01898),"")</f>
        <v>7.5920000000000001E-2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31.57692307692308</v>
      </c>
      <c r="BN78" s="64">
        <f>IFERROR(Y78*I78/H78,"0")</f>
        <v>32.840000000000003</v>
      </c>
      <c r="BO78" s="64">
        <f>IFERROR(1/J78*(X78/H78),"0")</f>
        <v>6.0096153846153848E-2</v>
      </c>
      <c r="BP78" s="64">
        <f>IFERROR(1/J78*(Y78/H78),"0")</f>
        <v>6.25E-2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3.8461538461538463</v>
      </c>
      <c r="Y80" s="551">
        <f>IFERROR(Y78/H78,"0")+IFERROR(Y79/H79,"0")</f>
        <v>4</v>
      </c>
      <c r="Z80" s="551">
        <f>IFERROR(IF(Z78="",0,Z78),"0")+IFERROR(IF(Z79="",0,Z79),"0")</f>
        <v>7.5920000000000001E-2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30</v>
      </c>
      <c r="Y81" s="551">
        <f>IFERROR(SUM(Y78:Y79),"0")</f>
        <v>31.2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100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495</v>
      </c>
      <c r="Y87" s="550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119.25925925925927</v>
      </c>
      <c r="Y88" s="551">
        <f>IFERROR(Y84/H84,"0")+IFERROR(Y85/H85,"0")+IFERROR(Y86/H86,"0")+IFERROR(Y87/H87,"0")</f>
        <v>120</v>
      </c>
      <c r="Z88" s="551">
        <f>IFERROR(IF(Z84="",0,Z84),"0")+IFERROR(IF(Z85="",0,Z85),"0")+IFERROR(IF(Z86="",0,Z86),"0")+IFERROR(IF(Z87="",0,Z87),"0")</f>
        <v>1.1819999999999999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595</v>
      </c>
      <c r="Y89" s="551">
        <f>IFERROR(SUM(Y84:Y87),"0")</f>
        <v>603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550</v>
      </c>
      <c r="Y91" s="550">
        <f>IFERROR(IF(X91="",0,CEILING((X91/$H91),1)*$H91),"")</f>
        <v>550.79999999999995</v>
      </c>
      <c r="Z91" s="36">
        <f>IFERROR(IF(Y91=0,"",ROUNDUP(Y91/H91,0)*0.01898),"")</f>
        <v>1.29064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583.54320987654319</v>
      </c>
      <c r="BN91" s="64">
        <f>IFERROR(Y91*I91/H91,"0")</f>
        <v>584.39199999999994</v>
      </c>
      <c r="BO91" s="64">
        <f>IFERROR(1/J91*(X91/H91),"0")</f>
        <v>1.0609567901234569</v>
      </c>
      <c r="BP91" s="64">
        <f>IFERROR(1/J91*(Y91/H91),"0")</f>
        <v>1.0625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405</v>
      </c>
      <c r="Y93" s="550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217.90123456790124</v>
      </c>
      <c r="Y95" s="551">
        <f>IFERROR(Y91/H91,"0")+IFERROR(Y92/H92,"0")+IFERROR(Y93/H93,"0")+IFERROR(Y94/H94,"0")</f>
        <v>218</v>
      </c>
      <c r="Z95" s="551">
        <f>IFERROR(IF(Z91="",0,Z91),"0")+IFERROR(IF(Z92="",0,Z92),"0")+IFERROR(IF(Z93="",0,Z93),"0")+IFERROR(IF(Z94="",0,Z94),"0")</f>
        <v>2.2671399999999999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955</v>
      </c>
      <c r="Y96" s="551">
        <f>IFERROR(SUM(Y91:Y94),"0")</f>
        <v>955.8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40</v>
      </c>
      <c r="Y99" s="550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2.2000000000000002</v>
      </c>
      <c r="Y100" s="550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180</v>
      </c>
      <c r="Y102" s="550">
        <f>IFERROR(IF(X102="",0,CEILING((X102/$H102),1)*$H102),"")</f>
        <v>180</v>
      </c>
      <c r="Z102" s="36">
        <f>IFERROR(IF(Y102=0,"",ROUNDUP(Y102/H102,0)*0.00902),"")</f>
        <v>0.36080000000000001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187.60000000000002</v>
      </c>
      <c r="BN102" s="64">
        <f>IFERROR(Y102*I102/H102,"0")</f>
        <v>187.60000000000002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45.703703703703702</v>
      </c>
      <c r="Y104" s="551">
        <f>IFERROR(Y99/H99,"0")+IFERROR(Y100/H100,"0")+IFERROR(Y101/H101,"0")+IFERROR(Y102/H102,"0")+IFERROR(Y103/H103,"0")</f>
        <v>46</v>
      </c>
      <c r="Z104" s="551">
        <f>IFERROR(IF(Z99="",0,Z99),"0")+IFERROR(IF(Z100="",0,Z100),"0")+IFERROR(IF(Z101="",0,Z101),"0")+IFERROR(IF(Z102="",0,Z102),"0")+IFERROR(IF(Z103="",0,Z103),"0")</f>
        <v>0.45124000000000003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222.2</v>
      </c>
      <c r="Y105" s="551">
        <f>IFERROR(SUM(Y99:Y103),"0")</f>
        <v>225.4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6</v>
      </c>
      <c r="Y108" s="550">
        <f>IFERROR(IF(X108="",0,CEILING((X108/$H108),1)*$H108),"")</f>
        <v>6</v>
      </c>
      <c r="Z108" s="36">
        <f>IFERROR(IF(Y108=0,"",ROUNDUP(Y108/H108,0)*0.00358),"")</f>
        <v>2.1479999999999999E-2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7.26</v>
      </c>
      <c r="BN108" s="64">
        <f>IFERROR(Y108*I108/H108,"0")</f>
        <v>7.26</v>
      </c>
      <c r="BO108" s="64">
        <f>IFERROR(1/J108*(X108/H108),"0")</f>
        <v>1.5306122448979591E-2</v>
      </c>
      <c r="BP108" s="64">
        <f>IFERROR(1/J108*(Y108/H108),"0")</f>
        <v>1.5306122448979591E-2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6</v>
      </c>
      <c r="Y111" s="551">
        <f>IFERROR(Y107/H107,"0")+IFERROR(Y108/H108,"0")+IFERROR(Y109/H109,"0")+IFERROR(Y110/H110,"0")</f>
        <v>6</v>
      </c>
      <c r="Z111" s="551">
        <f>IFERROR(IF(Z107="",0,Z107),"0")+IFERROR(IF(Z108="",0,Z108),"0")+IFERROR(IF(Z109="",0,Z109),"0")+IFERROR(IF(Z110="",0,Z110),"0")</f>
        <v>2.1479999999999999E-2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6</v>
      </c>
      <c r="Y112" s="551">
        <f>IFERROR(SUM(Y107:Y110),"0")</f>
        <v>6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200</v>
      </c>
      <c r="Y114" s="550">
        <f>IFERROR(IF(X114="",0,CEILING((X114/$H114),1)*$H114),"")</f>
        <v>202.5</v>
      </c>
      <c r="Z114" s="36">
        <f>IFERROR(IF(Y114=0,"",ROUNDUP(Y114/H114,0)*0.01898),"")</f>
        <v>0.47450000000000003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212.04938271604939</v>
      </c>
      <c r="BN114" s="64">
        <f>IFERROR(Y114*I114/H114,"0")</f>
        <v>214.7</v>
      </c>
      <c r="BO114" s="64">
        <f>IFERROR(1/J114*(X114/H114),"0")</f>
        <v>0.38580246913580246</v>
      </c>
      <c r="BP114" s="64">
        <f>IFERROR(1/J114*(Y114/H114),"0")</f>
        <v>0.390625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360</v>
      </c>
      <c r="Y116" s="550">
        <f>IFERROR(IF(X116="",0,CEILING((X116/$H116),1)*$H116),"")</f>
        <v>361.8</v>
      </c>
      <c r="Z116" s="36">
        <f>IFERROR(IF(Y116=0,"",ROUNDUP(Y116/H116,0)*0.00651),"")</f>
        <v>0.87234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393.59999999999997</v>
      </c>
      <c r="BN116" s="64">
        <f>IFERROR(Y116*I116/H116,"0")</f>
        <v>395.56799999999998</v>
      </c>
      <c r="BO116" s="64">
        <f>IFERROR(1/J116*(X116/H116),"0")</f>
        <v>0.73260073260073255</v>
      </c>
      <c r="BP116" s="64">
        <f>IFERROR(1/J116*(Y116/H116),"0")</f>
        <v>0.73626373626373631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30</v>
      </c>
      <c r="Y117" s="550">
        <f>IFERROR(IF(X117="",0,CEILING((X117/$H117),1)*$H117),"")</f>
        <v>30.6</v>
      </c>
      <c r="Z117" s="36">
        <f>IFERROR(IF(Y117=0,"",ROUNDUP(Y117/H117,0)*0.00651),"")</f>
        <v>0.11067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33</v>
      </c>
      <c r="BN117" s="64">
        <f>IFERROR(Y117*I117/H117,"0")</f>
        <v>33.659999999999997</v>
      </c>
      <c r="BO117" s="64">
        <f>IFERROR(1/J117*(X117/H117),"0")</f>
        <v>9.1575091575091583E-2</v>
      </c>
      <c r="BP117" s="64">
        <f>IFERROR(1/J117*(Y117/H117),"0")</f>
        <v>9.3406593406593408E-2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174.69135802469134</v>
      </c>
      <c r="Y118" s="551">
        <f>IFERROR(Y114/H114,"0")+IFERROR(Y115/H115,"0")+IFERROR(Y116/H116,"0")+IFERROR(Y117/H117,"0")</f>
        <v>176</v>
      </c>
      <c r="Z118" s="551">
        <f>IFERROR(IF(Z114="",0,Z114),"0")+IFERROR(IF(Z115="",0,Z115),"0")+IFERROR(IF(Z116="",0,Z116),"0")+IFERROR(IF(Z117="",0,Z117),"0")</f>
        <v>1.4575100000000001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590</v>
      </c>
      <c r="Y119" s="551">
        <f>IFERROR(SUM(Y114:Y117),"0")</f>
        <v>594.9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19.8</v>
      </c>
      <c r="Y121" s="550">
        <f>IFERROR(IF(X121="",0,CEILING((X121/$H121),1)*$H121),"")</f>
        <v>19.8</v>
      </c>
      <c r="Z121" s="36">
        <f>IFERROR(IF(Y121=0,"",ROUNDUP(Y121/H121,0)*0.00651),"")</f>
        <v>6.5100000000000005E-2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22.380000000000003</v>
      </c>
      <c r="BN121" s="64">
        <f>IFERROR(Y121*I121/H121,"0")</f>
        <v>22.380000000000003</v>
      </c>
      <c r="BO121" s="64">
        <f>IFERROR(1/J121*(X121/H121),"0")</f>
        <v>5.4945054945054951E-2</v>
      </c>
      <c r="BP121" s="64">
        <f>IFERROR(1/J121*(Y121/H121),"0")</f>
        <v>5.4945054945054951E-2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10</v>
      </c>
      <c r="Y122" s="551">
        <f>IFERROR(Y121/H121,"0")</f>
        <v>10</v>
      </c>
      <c r="Z122" s="551">
        <f>IFERROR(IF(Z121="",0,Z121),"0")</f>
        <v>6.5100000000000005E-2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19.8</v>
      </c>
      <c r="Y123" s="551">
        <f>IFERROR(SUM(Y121:Y121),"0")</f>
        <v>19.8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100</v>
      </c>
      <c r="Y126" s="550">
        <f>IFERROR(IF(X126="",0,CEILING((X126/$H126),1)*$H126),"")</f>
        <v>102.4</v>
      </c>
      <c r="Z126" s="36">
        <f>IFERROR(IF(Y126=0,"",ROUNDUP(Y126/H126,0)*0.00651),"")</f>
        <v>0.20832000000000001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105.625</v>
      </c>
      <c r="BN126" s="64">
        <f>IFERROR(Y126*I126/H126,"0")</f>
        <v>108.16</v>
      </c>
      <c r="BO126" s="64">
        <f>IFERROR(1/J126*(X126/H126),"0")</f>
        <v>0.1717032967032967</v>
      </c>
      <c r="BP126" s="64">
        <f>IFERROR(1/J126*(Y126/H126),"0")</f>
        <v>0.17582417582417584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31.25</v>
      </c>
      <c r="Y128" s="551">
        <f>IFERROR(Y126/H126,"0")+IFERROR(Y127/H127,"0")</f>
        <v>32</v>
      </c>
      <c r="Z128" s="551">
        <f>IFERROR(IF(Z126="",0,Z126),"0")+IFERROR(IF(Z127="",0,Z127),"0")</f>
        <v>0.20832000000000001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100</v>
      </c>
      <c r="Y129" s="551">
        <f>IFERROR(SUM(Y126:Y127),"0")</f>
        <v>102.4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70</v>
      </c>
      <c r="Y132" s="550">
        <f>IFERROR(IF(X132="",0,CEILING((X132/$H132),1)*$H132),"")</f>
        <v>70</v>
      </c>
      <c r="Z132" s="36">
        <f>IFERROR(IF(Y132=0,"",ROUNDUP(Y132/H132,0)*0.00651),"")</f>
        <v>0.16275000000000001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76.7</v>
      </c>
      <c r="BN132" s="64">
        <f>IFERROR(Y132*I132/H132,"0")</f>
        <v>76.7</v>
      </c>
      <c r="BO132" s="64">
        <f>IFERROR(1/J132*(X132/H132),"0")</f>
        <v>0.13736263736263737</v>
      </c>
      <c r="BP132" s="64">
        <f>IFERROR(1/J132*(Y132/H132),"0")</f>
        <v>0.13736263736263737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25</v>
      </c>
      <c r="Y133" s="551">
        <f>IFERROR(Y131/H131,"0")+IFERROR(Y132/H132,"0")</f>
        <v>25</v>
      </c>
      <c r="Z133" s="551">
        <f>IFERROR(IF(Z131="",0,Z131),"0")+IFERROR(IF(Z132="",0,Z132),"0")</f>
        <v>0.16275000000000001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70</v>
      </c>
      <c r="Y134" s="551">
        <f>IFERROR(SUM(Y131:Y132),"0")</f>
        <v>70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66</v>
      </c>
      <c r="Y137" s="550">
        <f>IFERROR(IF(X137="",0,CEILING((X137/$H137),1)*$H137),"")</f>
        <v>66</v>
      </c>
      <c r="Z137" s="36">
        <f>IFERROR(IF(Y137=0,"",ROUNDUP(Y137/H137,0)*0.00651),"")</f>
        <v>0.16275000000000001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72.699999999999989</v>
      </c>
      <c r="BN137" s="64">
        <f>IFERROR(Y137*I137/H137,"0")</f>
        <v>72.699999999999989</v>
      </c>
      <c r="BO137" s="64">
        <f>IFERROR(1/J137*(X137/H137),"0")</f>
        <v>0.13736263736263737</v>
      </c>
      <c r="BP137" s="64">
        <f>IFERROR(1/J137*(Y137/H137),"0")</f>
        <v>0.13736263736263737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25</v>
      </c>
      <c r="Y138" s="551">
        <f>IFERROR(Y136/H136,"0")+IFERROR(Y137/H137,"0")</f>
        <v>25</v>
      </c>
      <c r="Z138" s="551">
        <f>IFERROR(IF(Z136="",0,Z136),"0")+IFERROR(IF(Z137="",0,Z137),"0")</f>
        <v>0.16275000000000001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66</v>
      </c>
      <c r="Y139" s="551">
        <f>IFERROR(SUM(Y136:Y137),"0")</f>
        <v>66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30</v>
      </c>
      <c r="Y148" s="550">
        <f t="shared" si="5"/>
        <v>33.6</v>
      </c>
      <c r="Z148" s="36">
        <f>IFERROR(IF(Y148=0,"",ROUNDUP(Y148/H148,0)*0.00902),"")</f>
        <v>7.2160000000000002E-2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31.357142857142854</v>
      </c>
      <c r="BN148" s="64">
        <f t="shared" si="7"/>
        <v>35.119999999999997</v>
      </c>
      <c r="BO148" s="64">
        <f t="shared" si="8"/>
        <v>5.4112554112554112E-2</v>
      </c>
      <c r="BP148" s="64">
        <f t="shared" si="9"/>
        <v>6.0606060606060608E-2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60</v>
      </c>
      <c r="Y150" s="550">
        <f t="shared" si="5"/>
        <v>63</v>
      </c>
      <c r="Z150" s="36">
        <f>IFERROR(IF(Y150=0,"",ROUNDUP(Y150/H150,0)*0.00902),"")</f>
        <v>0.1353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62.714285714285708</v>
      </c>
      <c r="BN150" s="64">
        <f t="shared" si="7"/>
        <v>65.849999999999994</v>
      </c>
      <c r="BO150" s="64">
        <f t="shared" si="8"/>
        <v>0.10822510822510822</v>
      </c>
      <c r="BP150" s="64">
        <f t="shared" si="9"/>
        <v>0.11363636363636365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30</v>
      </c>
      <c r="Y152" s="550">
        <f t="shared" si="5"/>
        <v>33.6</v>
      </c>
      <c r="Z152" s="36">
        <f>IFERROR(IF(Y152=0,"",ROUNDUP(Y152/H152,0)*0.00902),"")</f>
        <v>7.2160000000000002E-2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31.357142857142854</v>
      </c>
      <c r="BN152" s="64">
        <f t="shared" si="7"/>
        <v>35.119999999999997</v>
      </c>
      <c r="BO152" s="64">
        <f t="shared" si="8"/>
        <v>5.4112554112554112E-2</v>
      </c>
      <c r="BP152" s="64">
        <f t="shared" si="9"/>
        <v>6.0606060606060608E-2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28.571428571428569</v>
      </c>
      <c r="Y153" s="551">
        <f>IFERROR(Y147/H147,"0")+IFERROR(Y148/H148,"0")+IFERROR(Y149/H149,"0")+IFERROR(Y150/H150,"0")+IFERROR(Y151/H151,"0")+IFERROR(Y152/H152,"0")</f>
        <v>31</v>
      </c>
      <c r="Z153" s="551">
        <f>IFERROR(IF(Z147="",0,Z147),"0")+IFERROR(IF(Z148="",0,Z148),"0")+IFERROR(IF(Z149="",0,Z149),"0")+IFERROR(IF(Z150="",0,Z150),"0")+IFERROR(IF(Z151="",0,Z151),"0")+IFERROR(IF(Z152="",0,Z152),"0")</f>
        <v>0.27961999999999998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120</v>
      </c>
      <c r="Y154" s="551">
        <f>IFERROR(SUM(Y147:Y152),"0")</f>
        <v>130.19999999999999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50</v>
      </c>
      <c r="Y166" s="550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30</v>
      </c>
      <c r="Y167" s="550">
        <f t="shared" si="10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31.785714285714285</v>
      </c>
      <c r="BN167" s="64">
        <f t="shared" si="12"/>
        <v>35.6</v>
      </c>
      <c r="BO167" s="64">
        <f t="shared" si="13"/>
        <v>5.4112554112554112E-2</v>
      </c>
      <c r="BP167" s="64">
        <f t="shared" si="14"/>
        <v>6.0606060606060608E-2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100</v>
      </c>
      <c r="Y168" s="550">
        <f t="shared" si="10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104.5238095238095</v>
      </c>
      <c r="BN168" s="64">
        <f t="shared" si="12"/>
        <v>105.36</v>
      </c>
      <c r="BO168" s="64">
        <f t="shared" si="13"/>
        <v>0.18037518037518038</v>
      </c>
      <c r="BP168" s="64">
        <f t="shared" si="14"/>
        <v>0.18181818181818182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4</v>
      </c>
      <c r="Y169" s="550">
        <f t="shared" si="10"/>
        <v>4</v>
      </c>
      <c r="Z169" s="36">
        <f>IFERROR(IF(Y169=0,"",ROUNDUP(Y169/H169,0)*0.00556),"")</f>
        <v>2.7799999999999998E-2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4.6500000000000004</v>
      </c>
      <c r="BN169" s="64">
        <f t="shared" si="12"/>
        <v>4.6500000000000004</v>
      </c>
      <c r="BO169" s="64">
        <f t="shared" si="13"/>
        <v>2.3148148148148147E-2</v>
      </c>
      <c r="BP169" s="64">
        <f t="shared" si="14"/>
        <v>2.3148148148148147E-2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140</v>
      </c>
      <c r="Y170" s="550">
        <f t="shared" si="10"/>
        <v>140.70000000000002</v>
      </c>
      <c r="Z170" s="36">
        <f>IFERROR(IF(Y170=0,"",ROUNDUP(Y170/H170,0)*0.00502),"")</f>
        <v>0.33634000000000003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148.66666666666666</v>
      </c>
      <c r="BN170" s="64">
        <f t="shared" si="12"/>
        <v>149.41</v>
      </c>
      <c r="BO170" s="64">
        <f t="shared" si="13"/>
        <v>0.28490028490028491</v>
      </c>
      <c r="BP170" s="64">
        <f t="shared" si="14"/>
        <v>0.28632478632478636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122.5</v>
      </c>
      <c r="Y172" s="550">
        <f t="shared" si="10"/>
        <v>123.9</v>
      </c>
      <c r="Z172" s="36">
        <f>IFERROR(IF(Y172=0,"",ROUNDUP(Y172/H172,0)*0.00502),"")</f>
        <v>0.29618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130.08333333333334</v>
      </c>
      <c r="BN172" s="64">
        <f t="shared" si="12"/>
        <v>131.57</v>
      </c>
      <c r="BO172" s="64">
        <f t="shared" si="13"/>
        <v>0.2492877492877493</v>
      </c>
      <c r="BP172" s="64">
        <f t="shared" si="14"/>
        <v>0.25213675213675218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5.6000000000000014</v>
      </c>
      <c r="Y176" s="550">
        <f t="shared" si="10"/>
        <v>5.6000000000000005</v>
      </c>
      <c r="Z176" s="36">
        <f>IFERROR(IF(Y176=0,"",ROUNDUP(Y176/H176,0)*0.00417),"")</f>
        <v>2.9190000000000001E-2</v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7.0700000000000012</v>
      </c>
      <c r="BN176" s="64">
        <f t="shared" si="12"/>
        <v>7.07</v>
      </c>
      <c r="BO176" s="64">
        <f t="shared" si="13"/>
        <v>2.0833333333333339E-2</v>
      </c>
      <c r="BP176" s="64">
        <f t="shared" si="14"/>
        <v>2.0833333333333332E-2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192.5</v>
      </c>
      <c r="Y177" s="550">
        <f t="shared" si="10"/>
        <v>193.20000000000002</v>
      </c>
      <c r="Z177" s="36">
        <f>IFERROR(IF(Y177=0,"",ROUNDUP(Y177/H177,0)*0.00502),"")</f>
        <v>0.46184000000000003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201.66666666666669</v>
      </c>
      <c r="BN177" s="64">
        <f t="shared" si="12"/>
        <v>202.40000000000003</v>
      </c>
      <c r="BO177" s="64">
        <f t="shared" si="13"/>
        <v>0.39173789173789175</v>
      </c>
      <c r="BP177" s="64">
        <f t="shared" si="14"/>
        <v>0.39316239316239321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271.52380952380952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274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1.54823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644.6</v>
      </c>
      <c r="Y181" s="551">
        <f>IFERROR(SUM(Y166:Y179),"0")</f>
        <v>652.20000000000005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10.5</v>
      </c>
      <c r="Y184" s="550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10.5</v>
      </c>
      <c r="Y185" s="550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25</v>
      </c>
      <c r="Y186" s="551">
        <f>IFERROR(Y183/H183,"0")+IFERROR(Y184/H184,"0")+IFERROR(Y185/H185,"0")</f>
        <v>27</v>
      </c>
      <c r="Z186" s="551">
        <f>IFERROR(IF(Z183="",0,Z183),"0")+IFERROR(IF(Z184="",0,Z184),"0")+IFERROR(IF(Z185="",0,Z185),"0")</f>
        <v>0.1593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31.5</v>
      </c>
      <c r="Y187" s="551">
        <f>IFERROR(SUM(Y183:Y185),"0")</f>
        <v>34.019999999999996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8.4</v>
      </c>
      <c r="Y189" s="550">
        <f>IFERROR(IF(X189="",0,CEILING((X189/$H189),1)*$H189),"")</f>
        <v>8.82</v>
      </c>
      <c r="Z189" s="36">
        <f>IFERROR(IF(Y189=0,"",ROUNDUP(Y189/H189,0)*0.0059),"")</f>
        <v>4.1299999999999996E-2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9.6666666666666661</v>
      </c>
      <c r="BN189" s="64">
        <f>IFERROR(Y189*I189/H189,"0")</f>
        <v>10.15</v>
      </c>
      <c r="BO189" s="64">
        <f>IFERROR(1/J189*(X189/H189),"0")</f>
        <v>3.0864197530864196E-2</v>
      </c>
      <c r="BP189" s="64">
        <f>IFERROR(1/J189*(Y189/H189),"0")</f>
        <v>3.2407407407407406E-2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6.666666666666667</v>
      </c>
      <c r="Y190" s="551">
        <f>IFERROR(Y189/H189,"0")</f>
        <v>7</v>
      </c>
      <c r="Z190" s="551">
        <f>IFERROR(IF(Z189="",0,Z189),"0")</f>
        <v>4.1299999999999996E-2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8.4</v>
      </c>
      <c r="Y191" s="551">
        <f>IFERROR(SUM(Y189:Y189),"0")</f>
        <v>8.82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160</v>
      </c>
      <c r="Y204" s="550">
        <f t="shared" ref="Y204:Y211" si="15">IFERROR(IF(X204="",0,CEILING((X204/$H204),1)*$H204),"")</f>
        <v>162</v>
      </c>
      <c r="Z204" s="36">
        <f>IFERROR(IF(Y204=0,"",ROUNDUP(Y204/H204,0)*0.00902),"")</f>
        <v>0.27060000000000001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165.62962962962962</v>
      </c>
      <c r="BN204" s="64">
        <f t="shared" ref="BN204:BN211" si="17">IFERROR(Y204*I204/H204,"0")</f>
        <v>167.7</v>
      </c>
      <c r="BO204" s="64">
        <f t="shared" ref="BO204:BO211" si="18">IFERROR(1/J204*(X204/H204),"0")</f>
        <v>0.22446689113355778</v>
      </c>
      <c r="BP204" s="64">
        <f t="shared" ref="BP204:BP211" si="19">IFERROR(1/J204*(Y204/H204),"0")</f>
        <v>0.22727272727272727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700</v>
      </c>
      <c r="Y206" s="550">
        <f t="shared" si="15"/>
        <v>702</v>
      </c>
      <c r="Z206" s="36">
        <f>IFERROR(IF(Y206=0,"",ROUNDUP(Y206/H206,0)*0.00902),"")</f>
        <v>1.1726000000000001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724.62962962962956</v>
      </c>
      <c r="BN206" s="64">
        <f t="shared" si="17"/>
        <v>726.69999999999993</v>
      </c>
      <c r="BO206" s="64">
        <f t="shared" si="18"/>
        <v>0.98204264870931535</v>
      </c>
      <c r="BP206" s="64">
        <f t="shared" si="19"/>
        <v>0.98484848484848486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30</v>
      </c>
      <c r="Y207" s="550">
        <f t="shared" si="15"/>
        <v>32.400000000000006</v>
      </c>
      <c r="Z207" s="36">
        <f>IFERROR(IF(Y207=0,"",ROUNDUP(Y207/H207,0)*0.00902),"")</f>
        <v>5.4120000000000001E-2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31.05555555555555</v>
      </c>
      <c r="BN207" s="64">
        <f t="shared" si="17"/>
        <v>33.54</v>
      </c>
      <c r="BO207" s="64">
        <f t="shared" si="18"/>
        <v>4.208754208754209E-2</v>
      </c>
      <c r="BP207" s="64">
        <f t="shared" si="19"/>
        <v>4.5454545454545463E-2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135</v>
      </c>
      <c r="Y208" s="550">
        <f t="shared" si="15"/>
        <v>135</v>
      </c>
      <c r="Z208" s="36">
        <f>IFERROR(IF(Y208=0,"",ROUNDUP(Y208/H208,0)*0.00502),"")</f>
        <v>0.3765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144.75</v>
      </c>
      <c r="BN208" s="64">
        <f t="shared" si="17"/>
        <v>144.75</v>
      </c>
      <c r="BO208" s="64">
        <f t="shared" si="18"/>
        <v>0.32051282051282054</v>
      </c>
      <c r="BP208" s="64">
        <f t="shared" si="19"/>
        <v>0.32051282051282054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60</v>
      </c>
      <c r="Y209" s="550">
        <f t="shared" si="15"/>
        <v>61.2</v>
      </c>
      <c r="Z209" s="36">
        <f>IFERROR(IF(Y209=0,"",ROUNDUP(Y209/H209,0)*0.00502),"")</f>
        <v>0.17068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63.333333333333329</v>
      </c>
      <c r="BN209" s="64">
        <f t="shared" si="17"/>
        <v>64.599999999999994</v>
      </c>
      <c r="BO209" s="64">
        <f t="shared" si="18"/>
        <v>0.14245014245014248</v>
      </c>
      <c r="BP209" s="64">
        <f t="shared" si="19"/>
        <v>0.14529914529914531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90</v>
      </c>
      <c r="Y210" s="550">
        <f t="shared" si="15"/>
        <v>90</v>
      </c>
      <c r="Z210" s="36">
        <f>IFERROR(IF(Y210=0,"",ROUNDUP(Y210/H210,0)*0.00502),"")</f>
        <v>0.251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95</v>
      </c>
      <c r="BN210" s="64">
        <f t="shared" si="17"/>
        <v>95</v>
      </c>
      <c r="BO210" s="64">
        <f t="shared" si="18"/>
        <v>0.21367521367521369</v>
      </c>
      <c r="BP210" s="64">
        <f t="shared" si="19"/>
        <v>0.21367521367521369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66</v>
      </c>
      <c r="Y211" s="550">
        <f t="shared" si="15"/>
        <v>66.600000000000009</v>
      </c>
      <c r="Z211" s="36">
        <f>IFERROR(IF(Y211=0,"",ROUNDUP(Y211/H211,0)*0.00502),"")</f>
        <v>0.18574000000000002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69.666666666666657</v>
      </c>
      <c r="BN211" s="64">
        <f t="shared" si="17"/>
        <v>70.3</v>
      </c>
      <c r="BO211" s="64">
        <f t="shared" si="18"/>
        <v>0.15669515669515671</v>
      </c>
      <c r="BP211" s="64">
        <f t="shared" si="19"/>
        <v>0.15811965811965817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369.07407407407408</v>
      </c>
      <c r="Y212" s="551">
        <f>IFERROR(Y204/H204,"0")+IFERROR(Y205/H205,"0")+IFERROR(Y206/H206,"0")+IFERROR(Y207/H207,"0")+IFERROR(Y208/H208,"0")+IFERROR(Y209/H209,"0")+IFERROR(Y210/H210,"0")+IFERROR(Y211/H211,"0")</f>
        <v>372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2.5714399999999999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1291</v>
      </c>
      <c r="Y213" s="551">
        <f>IFERROR(SUM(Y204:Y211),"0")</f>
        <v>1303.2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150</v>
      </c>
      <c r="Y217" s="550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280</v>
      </c>
      <c r="Y218" s="550">
        <f t="shared" si="20"/>
        <v>280.8</v>
      </c>
      <c r="Z218" s="36">
        <f t="shared" ref="Z218:Z223" si="25">IFERROR(IF(Y218=0,"",ROUNDUP(Y218/H218,0)*0.00651),"")</f>
        <v>0.76167000000000007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311.5</v>
      </c>
      <c r="BN218" s="64">
        <f t="shared" si="22"/>
        <v>312.39</v>
      </c>
      <c r="BO218" s="64">
        <f t="shared" si="23"/>
        <v>0.64102564102564108</v>
      </c>
      <c r="BP218" s="64">
        <f t="shared" si="24"/>
        <v>0.64285714285714302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360</v>
      </c>
      <c r="Y220" s="550">
        <f t="shared" si="20"/>
        <v>360</v>
      </c>
      <c r="Z220" s="36">
        <f t="shared" si="25"/>
        <v>0.97650000000000003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397.8</v>
      </c>
      <c r="BN220" s="64">
        <f t="shared" si="22"/>
        <v>397.8</v>
      </c>
      <c r="BO220" s="64">
        <f t="shared" si="23"/>
        <v>0.82417582417582425</v>
      </c>
      <c r="BP220" s="64">
        <f t="shared" si="24"/>
        <v>0.82417582417582425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140</v>
      </c>
      <c r="Y222" s="550">
        <f t="shared" si="20"/>
        <v>141.6</v>
      </c>
      <c r="Z222" s="36">
        <f t="shared" si="25"/>
        <v>0.38408999999999999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154.70000000000002</v>
      </c>
      <c r="BN222" s="64">
        <f t="shared" si="22"/>
        <v>156.46800000000002</v>
      </c>
      <c r="BO222" s="64">
        <f t="shared" si="23"/>
        <v>0.32051282051282054</v>
      </c>
      <c r="BP222" s="64">
        <f t="shared" si="24"/>
        <v>0.32417582417582419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442.24137931034483</v>
      </c>
      <c r="Y224" s="551">
        <f>IFERROR(Y215/H215,"0")+IFERROR(Y216/H216,"0")+IFERROR(Y217/H217,"0")+IFERROR(Y218/H218,"0")+IFERROR(Y219/H219,"0")+IFERROR(Y220/H220,"0")+IFERROR(Y221/H221,"0")+IFERROR(Y222/H222,"0")+IFERROR(Y223/H223,"0")</f>
        <v>444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3.1149000000000004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1170</v>
      </c>
      <c r="Y225" s="551">
        <f>IFERROR(SUM(Y215:Y223),"0")</f>
        <v>1179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56</v>
      </c>
      <c r="Y227" s="550">
        <f>IFERROR(IF(X227="",0,CEILING((X227/$H227),1)*$H227),"")</f>
        <v>57.599999999999994</v>
      </c>
      <c r="Z227" s="36">
        <f>IFERROR(IF(Y227=0,"",ROUNDUP(Y227/H227,0)*0.00651),"")</f>
        <v>0.15623999999999999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61.88</v>
      </c>
      <c r="BN227" s="64">
        <f>IFERROR(Y227*I227/H227,"0")</f>
        <v>63.648000000000003</v>
      </c>
      <c r="BO227" s="64">
        <f>IFERROR(1/J227*(X227/H227),"0")</f>
        <v>0.12820512820512822</v>
      </c>
      <c r="BP227" s="64">
        <f>IFERROR(1/J227*(Y227/H227),"0")</f>
        <v>0.13186813186813187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48</v>
      </c>
      <c r="Y228" s="550">
        <f>IFERROR(IF(X228="",0,CEILING((X228/$H228),1)*$H228),"")</f>
        <v>48</v>
      </c>
      <c r="Z228" s="36">
        <f>IFERROR(IF(Y228=0,"",ROUNDUP(Y228/H228,0)*0.00651),"")</f>
        <v>0.13020000000000001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53.040000000000006</v>
      </c>
      <c r="BN228" s="64">
        <f>IFERROR(Y228*I228/H228,"0")</f>
        <v>53.040000000000006</v>
      </c>
      <c r="BO228" s="64">
        <f>IFERROR(1/J228*(X228/H228),"0")</f>
        <v>0.1098901098901099</v>
      </c>
      <c r="BP228" s="64">
        <f>IFERROR(1/J228*(Y228/H228),"0")</f>
        <v>0.1098901098901099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43.333333333333336</v>
      </c>
      <c r="Y229" s="551">
        <f>IFERROR(Y227/H227,"0")+IFERROR(Y228/H228,"0")</f>
        <v>44</v>
      </c>
      <c r="Z229" s="551">
        <f>IFERROR(IF(Z227="",0,Z227),"0")+IFERROR(IF(Z228="",0,Z228),"0")</f>
        <v>0.28644000000000003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104</v>
      </c>
      <c r="Y230" s="551">
        <f>IFERROR(SUM(Y227:Y228),"0")</f>
        <v>105.6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20</v>
      </c>
      <c r="Y233" s="550">
        <f t="shared" ref="Y233:Y241" si="26">IFERROR(IF(X233="",0,CEILING((X233/$H233),1)*$H233),"")</f>
        <v>23.2</v>
      </c>
      <c r="Z233" s="36">
        <f>IFERROR(IF(Y233=0,"",ROUNDUP(Y233/H233,0)*0.01898),"")</f>
        <v>3.7960000000000001E-2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20.706896551724139</v>
      </c>
      <c r="BN233" s="64">
        <f t="shared" ref="BN233:BN241" si="28">IFERROR(Y233*I233/H233,"0")</f>
        <v>24.02</v>
      </c>
      <c r="BO233" s="64">
        <f t="shared" ref="BO233:BO241" si="29">IFERROR(1/J233*(X233/H233),"0")</f>
        <v>2.6939655172413795E-2</v>
      </c>
      <c r="BP233" s="64">
        <f t="shared" ref="BP233:BP241" si="30">IFERROR(1/J233*(Y233/H233),"0")</f>
        <v>3.125E-2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50</v>
      </c>
      <c r="Y235" s="550">
        <f t="shared" si="26"/>
        <v>58</v>
      </c>
      <c r="Z235" s="36">
        <f>IFERROR(IF(Y235=0,"",ROUNDUP(Y235/H235,0)*0.01898),"")</f>
        <v>9.4899999999999998E-2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51.767241379310349</v>
      </c>
      <c r="BN235" s="64">
        <f t="shared" si="28"/>
        <v>60.050000000000004</v>
      </c>
      <c r="BO235" s="64">
        <f t="shared" si="29"/>
        <v>6.7349137931034489E-2</v>
      </c>
      <c r="BP235" s="64">
        <f t="shared" si="30"/>
        <v>7.8125E-2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16</v>
      </c>
      <c r="Y236" s="550">
        <f t="shared" si="26"/>
        <v>16</v>
      </c>
      <c r="Z236" s="36">
        <f>IFERROR(IF(Y236=0,"",ROUNDUP(Y236/H236,0)*0.00902),"")</f>
        <v>3.6080000000000001E-2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16.760000000000002</v>
      </c>
      <c r="BN236" s="64">
        <f t="shared" si="28"/>
        <v>16.760000000000002</v>
      </c>
      <c r="BO236" s="64">
        <f t="shared" si="29"/>
        <v>3.0303030303030304E-2</v>
      </c>
      <c r="BP236" s="64">
        <f t="shared" si="30"/>
        <v>3.0303030303030304E-2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72</v>
      </c>
      <c r="Y240" s="550">
        <f t="shared" si="26"/>
        <v>72</v>
      </c>
      <c r="Z240" s="36">
        <f>IFERROR(IF(Y240=0,"",ROUNDUP(Y240/H240,0)*0.00902),"")</f>
        <v>0.16236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75.42</v>
      </c>
      <c r="BN240" s="64">
        <f t="shared" si="28"/>
        <v>75.42</v>
      </c>
      <c r="BO240" s="64">
        <f t="shared" si="29"/>
        <v>0.13636363636363635</v>
      </c>
      <c r="BP240" s="64">
        <f t="shared" si="30"/>
        <v>0.13636363636363635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28.03448275862069</v>
      </c>
      <c r="Y242" s="551">
        <f>IFERROR(Y233/H233,"0")+IFERROR(Y234/H234,"0")+IFERROR(Y235/H235,"0")+IFERROR(Y236/H236,"0")+IFERROR(Y237/H237,"0")+IFERROR(Y238/H238,"0")+IFERROR(Y239/H239,"0")+IFERROR(Y240/H240,"0")+IFERROR(Y241/H241,"0")</f>
        <v>29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0.33130000000000004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158</v>
      </c>
      <c r="Y243" s="551">
        <f>IFERROR(SUM(Y233:Y241),"0")</f>
        <v>169.2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24</v>
      </c>
      <c r="Y249" s="550">
        <f>IFERROR(IF(X249="",0,CEILING((X249/$H249),1)*$H249),"")</f>
        <v>25.2</v>
      </c>
      <c r="Z249" s="36">
        <f>IFERROR(IF(Y249=0,"",ROUNDUP(Y249/H249,0)*0.0059),"")</f>
        <v>8.2599999999999993E-2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26.333333333333336</v>
      </c>
      <c r="BN249" s="64">
        <f>IFERROR(Y249*I249/H249,"0")</f>
        <v>27.650000000000002</v>
      </c>
      <c r="BO249" s="64">
        <f>IFERROR(1/J249*(X249/H249),"0")</f>
        <v>6.1728395061728385E-2</v>
      </c>
      <c r="BP249" s="64">
        <f>IFERROR(1/J249*(Y249/H249),"0")</f>
        <v>6.4814814814814811E-2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13.333333333333332</v>
      </c>
      <c r="Y250" s="551">
        <f>IFERROR(Y249/H249,"0")</f>
        <v>14</v>
      </c>
      <c r="Z250" s="551">
        <f>IFERROR(IF(Z249="",0,Z249),"0")</f>
        <v>8.2599999999999993E-2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24</v>
      </c>
      <c r="Y251" s="551">
        <f>IFERROR(SUM(Y249:Y249),"0")</f>
        <v>25.2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18</v>
      </c>
      <c r="Y254" s="550">
        <f>IFERROR(IF(X254="",0,CEILING((X254/$H254),1)*$H254),"")</f>
        <v>18</v>
      </c>
      <c r="Z254" s="36">
        <f>IFERROR(IF(Y254=0,"",ROUNDUP(Y254/H254,0)*0.0059),"")</f>
        <v>5.8999999999999997E-2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19.750000000000004</v>
      </c>
      <c r="BN254" s="64">
        <f>IFERROR(Y254*I254/H254,"0")</f>
        <v>19.750000000000004</v>
      </c>
      <c r="BO254" s="64">
        <f>IFERROR(1/J254*(X254/H254),"0")</f>
        <v>4.6296296296296294E-2</v>
      </c>
      <c r="BP254" s="64">
        <f>IFERROR(1/J254*(Y254/H254),"0")</f>
        <v>4.6296296296296294E-2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5</v>
      </c>
      <c r="Y255" s="550">
        <f>IFERROR(IF(X255="",0,CEILING((X255/$H255),1)*$H255),"")</f>
        <v>5.4</v>
      </c>
      <c r="Z255" s="36">
        <f>IFERROR(IF(Y255=0,"",ROUNDUP(Y255/H255,0)*0.0059),"")</f>
        <v>3.5400000000000001E-2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6.0555555555555554</v>
      </c>
      <c r="BN255" s="64">
        <f>IFERROR(Y255*I255/H255,"0")</f>
        <v>6.5400000000000009</v>
      </c>
      <c r="BO255" s="64">
        <f>IFERROR(1/J255*(X255/H255),"0")</f>
        <v>2.5720164609053495E-2</v>
      </c>
      <c r="BP255" s="64">
        <f>IFERROR(1/J255*(Y255/H255),"0")</f>
        <v>2.7777777777777776E-2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15.555555555555555</v>
      </c>
      <c r="Y258" s="551">
        <f>IFERROR(Y253/H253,"0")+IFERROR(Y254/H254,"0")+IFERROR(Y255/H255,"0")+IFERROR(Y256/H256,"0")+IFERROR(Y257/H257,"0")</f>
        <v>16</v>
      </c>
      <c r="Z258" s="551">
        <f>IFERROR(IF(Z253="",0,Z253),"0")+IFERROR(IF(Z254="",0,Z254),"0")+IFERROR(IF(Z255="",0,Z255),"0")+IFERROR(IF(Z256="",0,Z256),"0")+IFERROR(IF(Z257="",0,Z257),"0")</f>
        <v>9.4399999999999998E-2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23</v>
      </c>
      <c r="Y259" s="551">
        <f>IFERROR(SUM(Y253:Y257),"0")</f>
        <v>23.4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88</v>
      </c>
      <c r="Y280" s="550">
        <f>IFERROR(IF(X280="",0,CEILING((X280/$H280),1)*$H280),"")</f>
        <v>88.8</v>
      </c>
      <c r="Z280" s="36">
        <f>IFERROR(IF(Y280=0,"",ROUNDUP(Y280/H280,0)*0.00651),"")</f>
        <v>0.24087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97.240000000000009</v>
      </c>
      <c r="BN280" s="64">
        <f>IFERROR(Y280*I280/H280,"0")</f>
        <v>98.124000000000009</v>
      </c>
      <c r="BO280" s="64">
        <f>IFERROR(1/J280*(X280/H280),"0")</f>
        <v>0.2014652014652015</v>
      </c>
      <c r="BP280" s="64">
        <f>IFERROR(1/J280*(Y280/H280),"0")</f>
        <v>0.20329670329670332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140</v>
      </c>
      <c r="Y281" s="550">
        <f>IFERROR(IF(X281="",0,CEILING((X281/$H281),1)*$H281),"")</f>
        <v>141.6</v>
      </c>
      <c r="Z281" s="36">
        <f>IFERROR(IF(Y281=0,"",ROUNDUP(Y281/H281,0)*0.00651),"")</f>
        <v>0.38408999999999999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150.5</v>
      </c>
      <c r="BN281" s="64">
        <f>IFERROR(Y281*I281/H281,"0")</f>
        <v>152.22</v>
      </c>
      <c r="BO281" s="64">
        <f>IFERROR(1/J281*(X281/H281),"0")</f>
        <v>0.32051282051282054</v>
      </c>
      <c r="BP281" s="64">
        <f>IFERROR(1/J281*(Y281/H281),"0")</f>
        <v>0.32417582417582419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95</v>
      </c>
      <c r="Y282" s="551">
        <f>IFERROR(Y279/H279,"0")+IFERROR(Y280/H280,"0")+IFERROR(Y281/H281,"0")</f>
        <v>96</v>
      </c>
      <c r="Z282" s="551">
        <f>IFERROR(IF(Z279="",0,Z279),"0")+IFERROR(IF(Z280="",0,Z280),"0")+IFERROR(IF(Z281="",0,Z281),"0")</f>
        <v>0.62495999999999996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228</v>
      </c>
      <c r="Y283" s="551">
        <f>IFERROR(SUM(Y279:Y281),"0")</f>
        <v>230.39999999999998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140</v>
      </c>
      <c r="Y309" s="550">
        <f t="shared" si="31"/>
        <v>140.70000000000002</v>
      </c>
      <c r="Z309" s="36">
        <f>IFERROR(IF(Y309=0,"",ROUNDUP(Y309/H309,0)*0.00502),"")</f>
        <v>0.33634000000000003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146.66666666666666</v>
      </c>
      <c r="BN309" s="64">
        <f t="shared" si="33"/>
        <v>147.40000000000003</v>
      </c>
      <c r="BO309" s="64">
        <f t="shared" si="34"/>
        <v>0.28490028490028491</v>
      </c>
      <c r="BP309" s="64">
        <f t="shared" si="35"/>
        <v>0.28632478632478636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30</v>
      </c>
      <c r="Y310" s="550">
        <f t="shared" si="31"/>
        <v>30.6</v>
      </c>
      <c r="Z310" s="36">
        <f>IFERROR(IF(Y310=0,"",ROUNDUP(Y310/H310,0)*0.00651),"")</f>
        <v>0.11067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33.800000000000004</v>
      </c>
      <c r="BN310" s="64">
        <f t="shared" si="33"/>
        <v>34.475999999999999</v>
      </c>
      <c r="BO310" s="64">
        <f t="shared" si="34"/>
        <v>9.1575091575091583E-2</v>
      </c>
      <c r="BP310" s="64">
        <f t="shared" si="35"/>
        <v>9.3406593406593408E-2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83.333333333333329</v>
      </c>
      <c r="Y311" s="551">
        <f>IFERROR(Y305/H305,"0")+IFERROR(Y306/H306,"0")+IFERROR(Y307/H307,"0")+IFERROR(Y308/H308,"0")+IFERROR(Y309/H309,"0")+IFERROR(Y310/H310,"0")</f>
        <v>84</v>
      </c>
      <c r="Z311" s="551">
        <f>IFERROR(IF(Z305="",0,Z305),"0")+IFERROR(IF(Z306="",0,Z306),"0")+IFERROR(IF(Z307="",0,Z307),"0")+IFERROR(IF(Z308="",0,Z308),"0")+IFERROR(IF(Z309="",0,Z309),"0")+IFERROR(IF(Z310="",0,Z310),"0")</f>
        <v>0.44701000000000002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170</v>
      </c>
      <c r="Y312" s="551">
        <f>IFERROR(SUM(Y305:Y310),"0")</f>
        <v>171.3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350</v>
      </c>
      <c r="Y322" s="550">
        <f>IFERROR(IF(X322="",0,CEILING((X322/$H322),1)*$H322),"")</f>
        <v>351</v>
      </c>
      <c r="Z322" s="36">
        <f>IFERROR(IF(Y322=0,"",ROUNDUP(Y322/H322,0)*0.01898),"")</f>
        <v>0.85409999999999997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372.16666666666669</v>
      </c>
      <c r="BN322" s="64">
        <f>IFERROR(Y322*I322/H322,"0")</f>
        <v>373.23</v>
      </c>
      <c r="BO322" s="64">
        <f>IFERROR(1/J322*(X322/H322),"0")</f>
        <v>0.70112179487179493</v>
      </c>
      <c r="BP322" s="64">
        <f>IFERROR(1/J322*(Y322/H322),"0")</f>
        <v>0.703125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300</v>
      </c>
      <c r="Y323" s="550">
        <f>IFERROR(IF(X323="",0,CEILING((X323/$H323),1)*$H323),"")</f>
        <v>302.40000000000003</v>
      </c>
      <c r="Z323" s="36">
        <f>IFERROR(IF(Y323=0,"",ROUNDUP(Y323/H323,0)*0.01898),"")</f>
        <v>0.68328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317.64285714285711</v>
      </c>
      <c r="BN323" s="64">
        <f>IFERROR(Y323*I323/H323,"0")</f>
        <v>320.18400000000003</v>
      </c>
      <c r="BO323" s="64">
        <f>IFERROR(1/J323*(X323/H323),"0")</f>
        <v>0.5580357142857143</v>
      </c>
      <c r="BP323" s="64">
        <f>IFERROR(1/J323*(Y323/H323),"0")</f>
        <v>0.5625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84.157509157509168</v>
      </c>
      <c r="Y324" s="551">
        <f>IFERROR(Y321/H321,"0")+IFERROR(Y322/H322,"0")+IFERROR(Y323/H323,"0")</f>
        <v>85</v>
      </c>
      <c r="Z324" s="551">
        <f>IFERROR(IF(Z321="",0,Z321),"0")+IFERROR(IF(Z322="",0,Z322),"0")+IFERROR(IF(Z323="",0,Z323),"0")</f>
        <v>1.6133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680</v>
      </c>
      <c r="Y325" s="551">
        <f>IFERROR(SUM(Y321:Y323),"0")</f>
        <v>687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100</v>
      </c>
      <c r="Y334" s="550">
        <f>IFERROR(IF(X334="",0,CEILING((X334/$H334),1)*$H334),"")</f>
        <v>100</v>
      </c>
      <c r="Z334" s="36">
        <f>IFERROR(IF(Y334=0,"",ROUNDUP(Y334/H334,0)*0.00474),"")</f>
        <v>0.23700000000000002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112.00000000000001</v>
      </c>
      <c r="BN334" s="64">
        <f>IFERROR(Y334*I334/H334,"0")</f>
        <v>112.00000000000001</v>
      </c>
      <c r="BO334" s="64">
        <f>IFERROR(1/J334*(X334/H334),"0")</f>
        <v>0.21008403361344538</v>
      </c>
      <c r="BP334" s="64">
        <f>IFERROR(1/J334*(Y334/H334),"0")</f>
        <v>0.21008403361344538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80</v>
      </c>
      <c r="Y335" s="550">
        <f>IFERROR(IF(X335="",0,CEILING((X335/$H335),1)*$H335),"")</f>
        <v>80</v>
      </c>
      <c r="Z335" s="36">
        <f>IFERROR(IF(Y335=0,"",ROUNDUP(Y335/H335,0)*0.00474),"")</f>
        <v>0.18960000000000002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89.600000000000009</v>
      </c>
      <c r="BN335" s="64">
        <f>IFERROR(Y335*I335/H335,"0")</f>
        <v>89.600000000000009</v>
      </c>
      <c r="BO335" s="64">
        <f>IFERROR(1/J335*(X335/H335),"0")</f>
        <v>0.16806722689075629</v>
      </c>
      <c r="BP335" s="64">
        <f>IFERROR(1/J335*(Y335/H335),"0")</f>
        <v>0.16806722689075629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100</v>
      </c>
      <c r="Y336" s="550">
        <f>IFERROR(IF(X336="",0,CEILING((X336/$H336),1)*$H336),"")</f>
        <v>100</v>
      </c>
      <c r="Z336" s="36">
        <f>IFERROR(IF(Y336=0,"",ROUNDUP(Y336/H336,0)*0.00474),"")</f>
        <v>0.23700000000000002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112.00000000000001</v>
      </c>
      <c r="BN336" s="64">
        <f>IFERROR(Y336*I336/H336,"0")</f>
        <v>112.00000000000001</v>
      </c>
      <c r="BO336" s="64">
        <f>IFERROR(1/J336*(X336/H336),"0")</f>
        <v>0.21008403361344538</v>
      </c>
      <c r="BP336" s="64">
        <f>IFERROR(1/J336*(Y336/H336),"0")</f>
        <v>0.21008403361344538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140</v>
      </c>
      <c r="Y337" s="551">
        <f>IFERROR(Y334/H334,"0")+IFERROR(Y335/H335,"0")+IFERROR(Y336/H336,"0")</f>
        <v>140</v>
      </c>
      <c r="Z337" s="551">
        <f>IFERROR(IF(Z334="",0,Z334),"0")+IFERROR(IF(Z335="",0,Z335),"0")+IFERROR(IF(Z336="",0,Z336),"0")</f>
        <v>0.66360000000000008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280</v>
      </c>
      <c r="Y338" s="551">
        <f>IFERROR(SUM(Y334:Y336),"0")</f>
        <v>280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909.99999999999989</v>
      </c>
      <c r="Y342" s="550">
        <f>IFERROR(IF(X342="",0,CEILING((X342/$H342),1)*$H342),"")</f>
        <v>911.40000000000009</v>
      </c>
      <c r="Z342" s="36">
        <f>IFERROR(IF(Y342=0,"",ROUNDUP(Y342/H342,0)*0.00651),"")</f>
        <v>2.8253400000000002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1019.1999999999998</v>
      </c>
      <c r="BN342" s="64">
        <f>IFERROR(Y342*I342/H342,"0")</f>
        <v>1020.7679999999999</v>
      </c>
      <c r="BO342" s="64">
        <f>IFERROR(1/J342*(X342/H342),"0")</f>
        <v>2.3809523809523809</v>
      </c>
      <c r="BP342" s="64">
        <f>IFERROR(1/J342*(Y342/H342),"0")</f>
        <v>2.3846153846153846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595</v>
      </c>
      <c r="Y343" s="550">
        <f>IFERROR(IF(X343="",0,CEILING((X343/$H343),1)*$H343),"")</f>
        <v>596.4</v>
      </c>
      <c r="Z343" s="36">
        <f>IFERROR(IF(Y343=0,"",ROUNDUP(Y343/H343,0)*0.00651),"")</f>
        <v>1.84884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663</v>
      </c>
      <c r="BN343" s="64">
        <f>IFERROR(Y343*I343/H343,"0")</f>
        <v>664.55999999999983</v>
      </c>
      <c r="BO343" s="64">
        <f>IFERROR(1/J343*(X343/H343),"0")</f>
        <v>1.5567765567765568</v>
      </c>
      <c r="BP343" s="64">
        <f>IFERROR(1/J343*(Y343/H343),"0")</f>
        <v>1.5604395604395607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716.66666666666652</v>
      </c>
      <c r="Y344" s="551">
        <f>IFERROR(Y341/H341,"0")+IFERROR(Y342/H342,"0")+IFERROR(Y343/H343,"0")</f>
        <v>718</v>
      </c>
      <c r="Z344" s="551">
        <f>IFERROR(IF(Z341="",0,Z341),"0")+IFERROR(IF(Z342="",0,Z342),"0")+IFERROR(IF(Z343="",0,Z343),"0")</f>
        <v>4.6741799999999998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1505</v>
      </c>
      <c r="Y345" s="551">
        <f>IFERROR(SUM(Y341:Y343),"0")</f>
        <v>1507.8000000000002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1400</v>
      </c>
      <c r="Y349" s="550">
        <f t="shared" ref="Y349:Y355" si="36">IFERROR(IF(X349="",0,CEILING((X349/$H349),1)*$H349),"")</f>
        <v>1410</v>
      </c>
      <c r="Z349" s="36">
        <f>IFERROR(IF(Y349=0,"",ROUNDUP(Y349/H349,0)*0.02175),"")</f>
        <v>2.0444999999999998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1443.8666666666666</v>
      </c>
      <c r="BN349" s="64">
        <f t="shared" ref="BN349:BN355" si="38">IFERROR(Y349*I349/H349,"0")</f>
        <v>1454.18</v>
      </c>
      <c r="BO349" s="64">
        <f t="shared" ref="BO349:BO355" si="39">IFERROR(1/J349*(X349/H349),"0")</f>
        <v>1.9444444444444442</v>
      </c>
      <c r="BP349" s="64">
        <f t="shared" ref="BP349:BP355" si="40">IFERROR(1/J349*(Y349/H349),"0")</f>
        <v>1.9583333333333333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300</v>
      </c>
      <c r="Y350" s="550">
        <f t="shared" si="36"/>
        <v>300</v>
      </c>
      <c r="Z350" s="36">
        <f>IFERROR(IF(Y350=0,"",ROUNDUP(Y350/H350,0)*0.02175),"")</f>
        <v>0.43499999999999994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309.39999999999998</v>
      </c>
      <c r="BN350" s="64">
        <f t="shared" si="38"/>
        <v>309.39999999999998</v>
      </c>
      <c r="BO350" s="64">
        <f t="shared" si="39"/>
        <v>0.41666666666666663</v>
      </c>
      <c r="BP350" s="64">
        <f t="shared" si="40"/>
        <v>0.41666666666666663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500</v>
      </c>
      <c r="Y351" s="550">
        <f t="shared" si="36"/>
        <v>510</v>
      </c>
      <c r="Z351" s="36">
        <f>IFERROR(IF(Y351=0,"",ROUNDUP(Y351/H351,0)*0.02175),"")</f>
        <v>0.73949999999999994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515.66666666666663</v>
      </c>
      <c r="BN351" s="64">
        <f t="shared" si="38"/>
        <v>525.98</v>
      </c>
      <c r="BO351" s="64">
        <f t="shared" si="39"/>
        <v>0.69444444444444442</v>
      </c>
      <c r="BP351" s="64">
        <f t="shared" si="40"/>
        <v>0.70833333333333326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200</v>
      </c>
      <c r="Y352" s="550">
        <f t="shared" si="36"/>
        <v>210</v>
      </c>
      <c r="Z352" s="36">
        <f>IFERROR(IF(Y352=0,"",ROUNDUP(Y352/H352,0)*0.02175),"")</f>
        <v>0.30449999999999999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206.26666666666668</v>
      </c>
      <c r="BN352" s="64">
        <f t="shared" si="38"/>
        <v>216.58</v>
      </c>
      <c r="BO352" s="64">
        <f t="shared" si="39"/>
        <v>0.27777777777777779</v>
      </c>
      <c r="BP352" s="64">
        <f t="shared" si="40"/>
        <v>0.29166666666666663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15</v>
      </c>
      <c r="Y355" s="550">
        <f t="shared" si="36"/>
        <v>15</v>
      </c>
      <c r="Z355" s="36">
        <f>IFERROR(IF(Y355=0,"",ROUNDUP(Y355/H355,0)*0.00902),"")</f>
        <v>2.7060000000000001E-2</v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15.570000000000002</v>
      </c>
      <c r="BN355" s="64">
        <f t="shared" si="38"/>
        <v>15.570000000000002</v>
      </c>
      <c r="BO355" s="64">
        <f t="shared" si="39"/>
        <v>2.2727272727272728E-2</v>
      </c>
      <c r="BP355" s="64">
        <f t="shared" si="40"/>
        <v>2.2727272727272728E-2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163</v>
      </c>
      <c r="Y356" s="551">
        <f>IFERROR(Y349/H349,"0")+IFERROR(Y350/H350,"0")+IFERROR(Y351/H351,"0")+IFERROR(Y352/H352,"0")+IFERROR(Y353/H353,"0")+IFERROR(Y354/H354,"0")+IFERROR(Y355/H355,"0")</f>
        <v>165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3.5505599999999999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2415</v>
      </c>
      <c r="Y357" s="551">
        <f>IFERROR(SUM(Y349:Y355),"0")</f>
        <v>2445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500</v>
      </c>
      <c r="Y359" s="550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20</v>
      </c>
      <c r="Y360" s="550">
        <f>IFERROR(IF(X360="",0,CEILING((X360/$H360),1)*$H360),"")</f>
        <v>20</v>
      </c>
      <c r="Z360" s="36">
        <f>IFERROR(IF(Y360=0,"",ROUNDUP(Y360/H360,0)*0.00902),"")</f>
        <v>4.5100000000000001E-2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20.950000000000003</v>
      </c>
      <c r="BN360" s="64">
        <f>IFERROR(Y360*I360/H360,"0")</f>
        <v>20.950000000000003</v>
      </c>
      <c r="BO360" s="64">
        <f>IFERROR(1/J360*(X360/H360),"0")</f>
        <v>3.787878787878788E-2</v>
      </c>
      <c r="BP360" s="64">
        <f>IFERROR(1/J360*(Y360/H360),"0")</f>
        <v>3.787878787878788E-2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38.333333333333336</v>
      </c>
      <c r="Y361" s="551">
        <f>IFERROR(Y359/H359,"0")+IFERROR(Y360/H360,"0")</f>
        <v>39</v>
      </c>
      <c r="Z361" s="551">
        <f>IFERROR(IF(Z359="",0,Z359),"0")+IFERROR(IF(Z360="",0,Z360),"0")</f>
        <v>0.78459999999999996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520</v>
      </c>
      <c r="Y362" s="551">
        <f>IFERROR(SUM(Y359:Y360),"0")</f>
        <v>530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60</v>
      </c>
      <c r="Y365" s="550">
        <f>IFERROR(IF(X365="",0,CEILING((X365/$H365),1)*$H365),"")</f>
        <v>63</v>
      </c>
      <c r="Z365" s="36">
        <f>IFERROR(IF(Y365=0,"",ROUNDUP(Y365/H365,0)*0.01898),"")</f>
        <v>0.13286000000000001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63.293333333333329</v>
      </c>
      <c r="BN365" s="64">
        <f>IFERROR(Y365*I365/H365,"0")</f>
        <v>66.457999999999998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6.666666666666667</v>
      </c>
      <c r="Y366" s="551">
        <f>IFERROR(Y364/H364,"0")+IFERROR(Y365/H365,"0")</f>
        <v>7</v>
      </c>
      <c r="Z366" s="551">
        <f>IFERROR(IF(Z364="",0,Z364),"0")+IFERROR(IF(Z365="",0,Z365),"0")</f>
        <v>0.13286000000000001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60</v>
      </c>
      <c r="Y367" s="551">
        <f>IFERROR(SUM(Y364:Y365),"0")</f>
        <v>63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60</v>
      </c>
      <c r="Y369" s="550">
        <f>IFERROR(IF(X369="",0,CEILING((X369/$H369),1)*$H369),"")</f>
        <v>63</v>
      </c>
      <c r="Z369" s="36">
        <f>IFERROR(IF(Y369=0,"",ROUNDUP(Y369/H369,0)*0.01898),"")</f>
        <v>0.13286000000000001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63.293333333333329</v>
      </c>
      <c r="BN369" s="64">
        <f>IFERROR(Y369*I369/H369,"0")</f>
        <v>66.457999999999998</v>
      </c>
      <c r="BO369" s="64">
        <f>IFERROR(1/J369*(X369/H369),"0")</f>
        <v>0.10416666666666667</v>
      </c>
      <c r="BP369" s="64">
        <f>IFERROR(1/J369*(Y369/H369),"0")</f>
        <v>0.109375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6.666666666666667</v>
      </c>
      <c r="Y370" s="551">
        <f>IFERROR(Y369/H369,"0")</f>
        <v>7</v>
      </c>
      <c r="Z370" s="551">
        <f>IFERROR(IF(Z369="",0,Z369),"0")</f>
        <v>0.13286000000000001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60</v>
      </c>
      <c r="Y371" s="551">
        <f>IFERROR(SUM(Y369:Y369),"0")</f>
        <v>63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50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4.166666666666667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50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30</v>
      </c>
      <c r="Y384" s="550">
        <f>IFERROR(IF(X384="",0,CEILING((X384/$H384),1)*$H384),"")</f>
        <v>36</v>
      </c>
      <c r="Z384" s="36">
        <f>IFERROR(IF(Y384=0,"",ROUNDUP(Y384/H384,0)*0.01898),"")</f>
        <v>7.5920000000000001E-2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31.646666666666665</v>
      </c>
      <c r="BN384" s="64">
        <f>IFERROR(Y384*I384/H384,"0")</f>
        <v>37.975999999999999</v>
      </c>
      <c r="BO384" s="64">
        <f>IFERROR(1/J384*(X384/H384),"0")</f>
        <v>5.2083333333333336E-2</v>
      </c>
      <c r="BP384" s="64">
        <f>IFERROR(1/J384*(Y384/H384),"0")</f>
        <v>6.25E-2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3.3333333333333335</v>
      </c>
      <c r="Y387" s="551">
        <f>IFERROR(Y384/H384,"0")+IFERROR(Y385/H385,"0")+IFERROR(Y386/H386,"0")</f>
        <v>4</v>
      </c>
      <c r="Z387" s="551">
        <f>IFERROR(IF(Z384="",0,Z384),"0")+IFERROR(IF(Z385="",0,Z385),"0")+IFERROR(IF(Z386="",0,Z386),"0")</f>
        <v>7.5920000000000001E-2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30</v>
      </c>
      <c r="Y388" s="551">
        <f>IFERROR(SUM(Y384:Y386),"0")</f>
        <v>36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3.333333333333333</v>
      </c>
      <c r="Y401" s="551">
        <f>IFERROR(Y392/H392,"0")+IFERROR(Y393/H393,"0")+IFERROR(Y394/H394,"0")+IFERROR(Y395/H395,"0")+IFERROR(Y396/H396,"0")+IFERROR(Y397/H397,"0")+IFERROR(Y398/H398,"0")+IFERROR(Y399/H399,"0")+IFERROR(Y400/H400,"0")</f>
        <v>4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2.0080000000000001E-2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7</v>
      </c>
      <c r="Y402" s="551">
        <f>IFERROR(SUM(Y392:Y400),"0")</f>
        <v>8.4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20</v>
      </c>
      <c r="Y422" s="550">
        <f>IFERROR(IF(X422="",0,CEILING((X422/$H422),1)*$H422),"")</f>
        <v>20.399999999999999</v>
      </c>
      <c r="Z422" s="36">
        <f>IFERROR(IF(Y422=0,"",ROUNDUP(Y422/H422,0)*0.00651),"")</f>
        <v>0.11067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35</v>
      </c>
      <c r="BN422" s="64">
        <f>IFERROR(Y422*I422/H422,"0")</f>
        <v>35.699999999999996</v>
      </c>
      <c r="BO422" s="64">
        <f>IFERROR(1/J422*(X422/H422),"0")</f>
        <v>9.1575091575091583E-2</v>
      </c>
      <c r="BP422" s="64">
        <f>IFERROR(1/J422*(Y422/H422),"0")</f>
        <v>9.3406593406593408E-2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16.666666666666668</v>
      </c>
      <c r="Y423" s="551">
        <f>IFERROR(Y422/H422,"0")</f>
        <v>17</v>
      </c>
      <c r="Z423" s="551">
        <f>IFERROR(IF(Z422="",0,Z422),"0")</f>
        <v>0.11067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20</v>
      </c>
      <c r="Y424" s="551">
        <f>IFERROR(SUM(Y422:Y422),"0")</f>
        <v>20.399999999999999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50</v>
      </c>
      <c r="Y432" s="550">
        <f t="shared" si="47"/>
        <v>52.800000000000004</v>
      </c>
      <c r="Z432" s="36">
        <f t="shared" si="48"/>
        <v>0.1196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150</v>
      </c>
      <c r="Y434" s="550">
        <f t="shared" si="47"/>
        <v>153.12</v>
      </c>
      <c r="Z434" s="36">
        <f t="shared" si="48"/>
        <v>0.34683999999999998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159.94318181818181</v>
      </c>
      <c r="BN434" s="64">
        <f t="shared" si="50"/>
        <v>163.26999999999998</v>
      </c>
      <c r="BO434" s="64">
        <f t="shared" si="51"/>
        <v>0.27316433566433568</v>
      </c>
      <c r="BP434" s="64">
        <f t="shared" si="52"/>
        <v>0.27884615384615385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66</v>
      </c>
      <c r="Y436" s="550">
        <f t="shared" si="47"/>
        <v>67.2</v>
      </c>
      <c r="Z436" s="36">
        <f>IFERROR(IF(Y436=0,"",ROUNDUP(Y436/H436,0)*0.00902),"")</f>
        <v>0.12628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95.012500000000003</v>
      </c>
      <c r="BN436" s="64">
        <f t="shared" si="50"/>
        <v>96.740000000000009</v>
      </c>
      <c r="BO436" s="64">
        <f t="shared" si="51"/>
        <v>0.10416666666666667</v>
      </c>
      <c r="BP436" s="64">
        <f t="shared" si="52"/>
        <v>0.10606060606060608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108</v>
      </c>
      <c r="Y439" s="550">
        <f t="shared" si="47"/>
        <v>110.39999999999999</v>
      </c>
      <c r="Z439" s="36">
        <f>IFERROR(IF(Y439=0,"",ROUNDUP(Y439/H439,0)*0.00902),"")</f>
        <v>0.20746000000000001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155.47499999999999</v>
      </c>
      <c r="BN439" s="64">
        <f t="shared" si="50"/>
        <v>158.92999999999998</v>
      </c>
      <c r="BO439" s="64">
        <f t="shared" si="51"/>
        <v>0.17045454545454547</v>
      </c>
      <c r="BP439" s="64">
        <f t="shared" si="52"/>
        <v>0.17424242424242425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74.128787878787875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76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0.80017999999999989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374</v>
      </c>
      <c r="Y441" s="551">
        <f>IFERROR(SUM(Y428:Y439),"0")</f>
        <v>383.52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100</v>
      </c>
      <c r="Y443" s="550">
        <f>IFERROR(IF(X443="",0,CEILING((X443/$H443),1)*$H443),"")</f>
        <v>100.32000000000001</v>
      </c>
      <c r="Z443" s="36">
        <f>IFERROR(IF(Y443=0,"",ROUNDUP(Y443/H443,0)*0.01196),"")</f>
        <v>0.22724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106.62878787878788</v>
      </c>
      <c r="BN443" s="64">
        <f>IFERROR(Y443*I443/H443,"0")</f>
        <v>106.97</v>
      </c>
      <c r="BO443" s="64">
        <f>IFERROR(1/J443*(X443/H443),"0")</f>
        <v>0.18210955710955709</v>
      </c>
      <c r="BP443" s="64">
        <f>IFERROR(1/J443*(Y443/H443),"0")</f>
        <v>0.18269230769230771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18.939393939393938</v>
      </c>
      <c r="Y446" s="551">
        <f>IFERROR(Y443/H443,"0")+IFERROR(Y444/H444,"0")+IFERROR(Y445/H445,"0")</f>
        <v>19</v>
      </c>
      <c r="Z446" s="551">
        <f>IFERROR(IF(Z443="",0,Z443),"0")+IFERROR(IF(Z444="",0,Z444),"0")+IFERROR(IF(Z445="",0,Z445),"0")</f>
        <v>0.22724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100</v>
      </c>
      <c r="Y447" s="551">
        <f>IFERROR(SUM(Y443:Y445),"0")</f>
        <v>100.32000000000001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100</v>
      </c>
      <c r="Y450" s="550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106.62878787878788</v>
      </c>
      <c r="BN450" s="64">
        <f t="shared" si="55"/>
        <v>106.97</v>
      </c>
      <c r="BO450" s="64">
        <f t="shared" si="56"/>
        <v>0.18210955710955709</v>
      </c>
      <c r="BP450" s="64">
        <f t="shared" si="57"/>
        <v>0.18269230769230771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160</v>
      </c>
      <c r="Y451" s="550">
        <f t="shared" si="53"/>
        <v>163.68</v>
      </c>
      <c r="Z451" s="36">
        <f>IFERROR(IF(Y451=0,"",ROUNDUP(Y451/H451,0)*0.01196),"")</f>
        <v>0.37075999999999998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170.60606060606059</v>
      </c>
      <c r="BN451" s="64">
        <f t="shared" si="55"/>
        <v>174.53</v>
      </c>
      <c r="BO451" s="64">
        <f t="shared" si="56"/>
        <v>0.29137529137529139</v>
      </c>
      <c r="BP451" s="64">
        <f t="shared" si="57"/>
        <v>0.29807692307692307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12</v>
      </c>
      <c r="Y452" s="550">
        <f t="shared" si="53"/>
        <v>14.399999999999999</v>
      </c>
      <c r="Z452" s="36">
        <f>IFERROR(IF(Y452=0,"",ROUNDUP(Y452/H452,0)*0.00902),"")</f>
        <v>2.7060000000000001E-2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17.275000000000002</v>
      </c>
      <c r="BN452" s="64">
        <f t="shared" si="55"/>
        <v>20.73</v>
      </c>
      <c r="BO452" s="64">
        <f t="shared" si="56"/>
        <v>1.893939393939394E-2</v>
      </c>
      <c r="BP452" s="64">
        <f t="shared" si="57"/>
        <v>2.2727272727272728E-2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24</v>
      </c>
      <c r="Y453" s="550">
        <f t="shared" si="53"/>
        <v>24</v>
      </c>
      <c r="Z453" s="36">
        <f>IFERROR(IF(Y453=0,"",ROUNDUP(Y453/H453,0)*0.00902),"")</f>
        <v>4.5100000000000001E-2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33.35</v>
      </c>
      <c r="BN453" s="64">
        <f t="shared" si="55"/>
        <v>33.35</v>
      </c>
      <c r="BO453" s="64">
        <f t="shared" si="56"/>
        <v>3.787878787878788E-2</v>
      </c>
      <c r="BP453" s="64">
        <f t="shared" si="57"/>
        <v>3.787878787878788E-2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84</v>
      </c>
      <c r="Y454" s="550">
        <f t="shared" si="53"/>
        <v>86.399999999999991</v>
      </c>
      <c r="Z454" s="36">
        <f>IFERROR(IF(Y454=0,"",ROUNDUP(Y454/H454,0)*0.00902),"")</f>
        <v>0.16236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116.72499999999999</v>
      </c>
      <c r="BN454" s="64">
        <f t="shared" si="55"/>
        <v>120.05999999999999</v>
      </c>
      <c r="BO454" s="64">
        <f t="shared" si="56"/>
        <v>0.13257575757575757</v>
      </c>
      <c r="BP454" s="64">
        <f t="shared" si="57"/>
        <v>0.13636363636363635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79.924242424242422</v>
      </c>
      <c r="Y455" s="551">
        <f>IFERROR(Y449/H449,"0")+IFERROR(Y450/H450,"0")+IFERROR(Y451/H451,"0")+IFERROR(Y452/H452,"0")+IFERROR(Y453/H453,"0")+IFERROR(Y454/H454,"0")</f>
        <v>82</v>
      </c>
      <c r="Z455" s="551">
        <f>IFERROR(IF(Z449="",0,Z449),"0")+IFERROR(IF(Z450="",0,Z450),"0")+IFERROR(IF(Z451="",0,Z451),"0")+IFERROR(IF(Z452="",0,Z452),"0")+IFERROR(IF(Z453="",0,Z453),"0")+IFERROR(IF(Z454="",0,Z454),"0")</f>
        <v>0.90427999999999997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410</v>
      </c>
      <c r="Y456" s="551">
        <f>IFERROR(SUM(Y449:Y454),"0")</f>
        <v>420.47999999999996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800</v>
      </c>
      <c r="Y480" s="550">
        <f>IFERROR(IF(X480="",0,CEILING((X480/$H480),1)*$H480),"")</f>
        <v>801</v>
      </c>
      <c r="Z480" s="36">
        <f>IFERROR(IF(Y480=0,"",ROUNDUP(Y480/H480,0)*0.01898),"")</f>
        <v>1.6892199999999999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843.91111111111104</v>
      </c>
      <c r="BN480" s="64">
        <f>IFERROR(Y480*I480/H480,"0")</f>
        <v>844.96599999999989</v>
      </c>
      <c r="BO480" s="64">
        <f>IFERROR(1/J480*(X480/H480),"0")</f>
        <v>1.3888888888888888</v>
      </c>
      <c r="BP480" s="64">
        <f>IFERROR(1/J480*(Y480/H480),"0")</f>
        <v>1.390625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88.888888888888886</v>
      </c>
      <c r="Y481" s="551">
        <f>IFERROR(Y480/H480,"0")</f>
        <v>89</v>
      </c>
      <c r="Z481" s="551">
        <f>IFERROR(IF(Z480="",0,Z480),"0")</f>
        <v>1.6892199999999999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800</v>
      </c>
      <c r="Y482" s="551">
        <f>IFERROR(SUM(Y480:Y480),"0")</f>
        <v>801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14999.5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15180.859999999999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16078.008560925024</v>
      </c>
      <c r="Y494" s="551">
        <f>IFERROR(SUM(BN22:BN490),"0")</f>
        <v>16272.023999999998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29</v>
      </c>
      <c r="Y495" s="38">
        <f>ROUNDUP(SUM(BP22:BP490),0)</f>
        <v>29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16803.008560925024</v>
      </c>
      <c r="Y496" s="551">
        <f>GrossWeightTotalR+PalletQtyTotalR*25</f>
        <v>16997.023999999998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3736.857928151032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3770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33.265569999999997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200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890.70000000000016</v>
      </c>
      <c r="E503" s="46">
        <f>IFERROR(Y84*1,"0")+IFERROR(Y85*1,"0")+IFERROR(Y86*1,"0")+IFERROR(Y87*1,"0")+IFERROR(Y91*1,"0")+IFERROR(Y92*1,"0")+IFERROR(Y93*1,"0")+IFERROR(Y94*1,"0")</f>
        <v>1558.8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846.1</v>
      </c>
      <c r="G503" s="46">
        <f>IFERROR(Y126*1,"0")+IFERROR(Y127*1,"0")+IFERROR(Y131*1,"0")+IFERROR(Y132*1,"0")+IFERROR(Y136*1,"0")+IFERROR(Y137*1,"0")</f>
        <v>238.4</v>
      </c>
      <c r="H503" s="46">
        <f>IFERROR(Y142*1,"0")+IFERROR(Y143*1,"0")+IFERROR(Y147*1,"0")+IFERROR(Y148*1,"0")+IFERROR(Y149*1,"0")+IFERROR(Y150*1,"0")+IFERROR(Y151*1,"0")+IFERROR(Y152*1,"0")+IFERROR(Y156*1,"0")</f>
        <v>130.19999999999999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695.04000000000019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2587.7999999999997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217.79999999999998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230.39999999999998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1138.3</v>
      </c>
      <c r="R503" s="46">
        <f>IFERROR(Y341*1,"0")+IFERROR(Y342*1,"0")+IFERROR(Y343*1,"0")</f>
        <v>1507.8000000000002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3101</v>
      </c>
      <c r="T503" s="46">
        <f>IFERROR(Y374*1,"0")+IFERROR(Y375*1,"0")+IFERROR(Y379*1,"0")+IFERROR(Y380*1,"0")+IFERROR(Y384*1,"0")+IFERROR(Y385*1,"0")+IFERROR(Y386*1,"0")</f>
        <v>96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8.4</v>
      </c>
      <c r="V503" s="46">
        <f>IFERROR(Y410*1,"0")+IFERROR(Y414*1,"0")+IFERROR(Y415*1,"0")+IFERROR(Y416*1,"0")+IFERROR(Y417*1,"0")</f>
        <v>8.4</v>
      </c>
      <c r="W503" s="46">
        <f>IFERROR(Y422*1,"0")</f>
        <v>20.399999999999999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904.31999999999994</v>
      </c>
      <c r="Y503" s="46">
        <f>IFERROR(Y464*1,"0")+IFERROR(Y465*1,"0")+IFERROR(Y466*1,"0")+IFERROR(Y467*1,"0")+IFERROR(Y471*1,"0")+IFERROR(Y472*1,"0")+IFERROR(Y476*1,"0")+IFERROR(Y480*1,"0")+IFERROR(Y484*1,"0")+IFERROR(Y485*1,"0")</f>
        <v>801</v>
      </c>
      <c r="Z503" s="46">
        <f>IFERROR(Y490*1,"0")</f>
        <v>0</v>
      </c>
      <c r="AB503" s="52"/>
      <c r="AC503" s="52"/>
      <c r="AF503" s="547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2026-01-15T10:23:03Z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