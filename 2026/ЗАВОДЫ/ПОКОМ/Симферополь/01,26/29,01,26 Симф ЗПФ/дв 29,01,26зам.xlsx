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Симф ЗПФ\"/>
    </mc:Choice>
  </mc:AlternateContent>
  <xr:revisionPtr revIDLastSave="0" documentId="13_ncr:1_{92F669B8-65F2-467A-AC34-D9B9166EED1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6" i="1" l="1"/>
  <c r="AC11" i="1" l="1"/>
  <c r="AE11" i="1" s="1"/>
  <c r="AC15" i="1"/>
  <c r="AE15" i="1" s="1"/>
  <c r="AC23" i="1"/>
  <c r="AE23" i="1" s="1"/>
  <c r="AC27" i="1"/>
  <c r="AE27" i="1" s="1"/>
  <c r="AC31" i="1"/>
  <c r="AE31" i="1" s="1"/>
  <c r="AC35" i="1"/>
  <c r="AE35" i="1" s="1"/>
  <c r="AC39" i="1"/>
  <c r="AE39" i="1" s="1"/>
  <c r="AC43" i="1"/>
  <c r="AC47" i="1"/>
  <c r="AE47" i="1" s="1"/>
  <c r="AC55" i="1"/>
  <c r="AE55" i="1" s="1"/>
  <c r="AC59" i="1"/>
  <c r="AE59" i="1" s="1"/>
  <c r="AC7" i="1"/>
  <c r="AE7" i="1" s="1"/>
  <c r="AC19" i="1"/>
  <c r="AE19" i="1" s="1"/>
  <c r="AC51" i="1"/>
  <c r="AE51" i="1" s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7" i="1"/>
  <c r="AC8" i="1"/>
  <c r="AE8" i="1" s="1"/>
  <c r="AB8" i="1" s="1"/>
  <c r="AC9" i="1"/>
  <c r="AE9" i="1" s="1"/>
  <c r="AC10" i="1"/>
  <c r="AE10" i="1" s="1"/>
  <c r="AB10" i="1" s="1"/>
  <c r="AC12" i="1"/>
  <c r="AE12" i="1" s="1"/>
  <c r="AC13" i="1"/>
  <c r="AE13" i="1" s="1"/>
  <c r="AC14" i="1"/>
  <c r="AE14" i="1" s="1"/>
  <c r="AC16" i="1"/>
  <c r="AE16" i="1" s="1"/>
  <c r="AB16" i="1" s="1"/>
  <c r="AC17" i="1"/>
  <c r="AE17" i="1" s="1"/>
  <c r="AC18" i="1"/>
  <c r="AE18" i="1" s="1"/>
  <c r="AB18" i="1" s="1"/>
  <c r="AC20" i="1"/>
  <c r="AE20" i="1" s="1"/>
  <c r="AC21" i="1"/>
  <c r="AE21" i="1" s="1"/>
  <c r="AC22" i="1"/>
  <c r="AE22" i="1" s="1"/>
  <c r="AC24" i="1"/>
  <c r="AE24" i="1" s="1"/>
  <c r="AB24" i="1" s="1"/>
  <c r="AC25" i="1"/>
  <c r="AE25" i="1" s="1"/>
  <c r="AC26" i="1"/>
  <c r="AE26" i="1" s="1"/>
  <c r="AB26" i="1" s="1"/>
  <c r="AC28" i="1"/>
  <c r="AE28" i="1" s="1"/>
  <c r="AC29" i="1"/>
  <c r="AE29" i="1" s="1"/>
  <c r="AC30" i="1"/>
  <c r="AE30" i="1" s="1"/>
  <c r="AC32" i="1"/>
  <c r="AE32" i="1" s="1"/>
  <c r="AB32" i="1" s="1"/>
  <c r="AC33" i="1"/>
  <c r="AE33" i="1" s="1"/>
  <c r="AC34" i="1"/>
  <c r="AE34" i="1" s="1"/>
  <c r="AB34" i="1" s="1"/>
  <c r="AC36" i="1"/>
  <c r="AE36" i="1" s="1"/>
  <c r="AC37" i="1"/>
  <c r="AE37" i="1" s="1"/>
  <c r="AC38" i="1"/>
  <c r="AE38" i="1" s="1"/>
  <c r="AC40" i="1"/>
  <c r="AE40" i="1" s="1"/>
  <c r="AB40" i="1" s="1"/>
  <c r="AC41" i="1"/>
  <c r="AE41" i="1" s="1"/>
  <c r="AC42" i="1"/>
  <c r="AE42" i="1" s="1"/>
  <c r="AB42" i="1" s="1"/>
  <c r="AC44" i="1"/>
  <c r="AE44" i="1" s="1"/>
  <c r="AC45" i="1"/>
  <c r="AE45" i="1" s="1"/>
  <c r="AC46" i="1"/>
  <c r="AE46" i="1" s="1"/>
  <c r="AC48" i="1"/>
  <c r="AE48" i="1" s="1"/>
  <c r="AB48" i="1" s="1"/>
  <c r="AC49" i="1"/>
  <c r="AE49" i="1" s="1"/>
  <c r="AC50" i="1"/>
  <c r="AE50" i="1" s="1"/>
  <c r="AB50" i="1" s="1"/>
  <c r="AC52" i="1"/>
  <c r="AE52" i="1" s="1"/>
  <c r="AC53" i="1"/>
  <c r="AE53" i="1" s="1"/>
  <c r="AC54" i="1"/>
  <c r="AE54" i="1" s="1"/>
  <c r="AC56" i="1"/>
  <c r="AE56" i="1" s="1"/>
  <c r="AB56" i="1" s="1"/>
  <c r="AC57" i="1"/>
  <c r="AE57" i="1" s="1"/>
  <c r="AC58" i="1"/>
  <c r="AE58" i="1" s="1"/>
  <c r="AB58" i="1" s="1"/>
  <c r="AC60" i="1"/>
  <c r="AE60" i="1" s="1"/>
  <c r="AC61" i="1"/>
  <c r="AE61" i="1" s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AB43" i="1" s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7" i="1"/>
  <c r="K8" i="1"/>
  <c r="K9" i="1"/>
  <c r="K10" i="1"/>
  <c r="Q10" i="1" s="1"/>
  <c r="K11" i="1"/>
  <c r="K12" i="1"/>
  <c r="K13" i="1"/>
  <c r="K14" i="1"/>
  <c r="K15" i="1"/>
  <c r="K16" i="1"/>
  <c r="K17" i="1"/>
  <c r="K18" i="1"/>
  <c r="K19" i="1"/>
  <c r="K20" i="1"/>
  <c r="K21" i="1"/>
  <c r="K22" i="1"/>
  <c r="Q22" i="1" s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7" i="1"/>
  <c r="O11" i="1"/>
  <c r="R11" i="1" s="1"/>
  <c r="O15" i="1"/>
  <c r="R15" i="1" s="1"/>
  <c r="O19" i="1"/>
  <c r="R19" i="1" s="1"/>
  <c r="O23" i="1"/>
  <c r="R23" i="1" s="1"/>
  <c r="O25" i="1"/>
  <c r="Q25" i="1" s="1"/>
  <c r="O27" i="1"/>
  <c r="R27" i="1" s="1"/>
  <c r="O29" i="1"/>
  <c r="Q29" i="1" s="1"/>
  <c r="O31" i="1"/>
  <c r="R31" i="1" s="1"/>
  <c r="O33" i="1"/>
  <c r="R33" i="1" s="1"/>
  <c r="O35" i="1"/>
  <c r="R35" i="1" s="1"/>
  <c r="O37" i="1"/>
  <c r="Q37" i="1" s="1"/>
  <c r="O39" i="1"/>
  <c r="R39" i="1" s="1"/>
  <c r="O41" i="1"/>
  <c r="Q41" i="1" s="1"/>
  <c r="O43" i="1"/>
  <c r="R43" i="1" s="1"/>
  <c r="O45" i="1"/>
  <c r="Q45" i="1" s="1"/>
  <c r="O47" i="1"/>
  <c r="R47" i="1" s="1"/>
  <c r="O49" i="1"/>
  <c r="R49" i="1" s="1"/>
  <c r="O51" i="1"/>
  <c r="R51" i="1" s="1"/>
  <c r="O53" i="1"/>
  <c r="Q53" i="1" s="1"/>
  <c r="O55" i="1"/>
  <c r="R55" i="1" s="1"/>
  <c r="O57" i="1"/>
  <c r="R57" i="1" s="1"/>
  <c r="O59" i="1"/>
  <c r="R59" i="1" s="1"/>
  <c r="O61" i="1"/>
  <c r="R61" i="1" s="1"/>
  <c r="X8" i="1"/>
  <c r="O8" i="1" s="1"/>
  <c r="R8" i="1" s="1"/>
  <c r="X9" i="1"/>
  <c r="O9" i="1" s="1"/>
  <c r="X10" i="1"/>
  <c r="O10" i="1" s="1"/>
  <c r="R10" i="1" s="1"/>
  <c r="X11" i="1"/>
  <c r="X12" i="1"/>
  <c r="O12" i="1" s="1"/>
  <c r="R12" i="1" s="1"/>
  <c r="X13" i="1"/>
  <c r="O13" i="1" s="1"/>
  <c r="X14" i="1"/>
  <c r="O14" i="1" s="1"/>
  <c r="R14" i="1" s="1"/>
  <c r="X15" i="1"/>
  <c r="X16" i="1"/>
  <c r="O16" i="1" s="1"/>
  <c r="R16" i="1" s="1"/>
  <c r="X17" i="1"/>
  <c r="O17" i="1" s="1"/>
  <c r="X18" i="1"/>
  <c r="O18" i="1" s="1"/>
  <c r="R18" i="1" s="1"/>
  <c r="X19" i="1"/>
  <c r="X20" i="1"/>
  <c r="O20" i="1" s="1"/>
  <c r="R20" i="1" s="1"/>
  <c r="X21" i="1"/>
  <c r="O21" i="1" s="1"/>
  <c r="X22" i="1"/>
  <c r="O22" i="1" s="1"/>
  <c r="R22" i="1" s="1"/>
  <c r="X23" i="1"/>
  <c r="X24" i="1"/>
  <c r="O24" i="1" s="1"/>
  <c r="R24" i="1" s="1"/>
  <c r="X25" i="1"/>
  <c r="X26" i="1"/>
  <c r="O26" i="1" s="1"/>
  <c r="X27" i="1"/>
  <c r="X28" i="1"/>
  <c r="O28" i="1" s="1"/>
  <c r="R28" i="1" s="1"/>
  <c r="X29" i="1"/>
  <c r="X30" i="1"/>
  <c r="O30" i="1" s="1"/>
  <c r="R30" i="1" s="1"/>
  <c r="X31" i="1"/>
  <c r="X32" i="1"/>
  <c r="O32" i="1" s="1"/>
  <c r="R32" i="1" s="1"/>
  <c r="X33" i="1"/>
  <c r="X34" i="1"/>
  <c r="O34" i="1" s="1"/>
  <c r="R34" i="1" s="1"/>
  <c r="X35" i="1"/>
  <c r="X36" i="1"/>
  <c r="O36" i="1" s="1"/>
  <c r="R36" i="1" s="1"/>
  <c r="X37" i="1"/>
  <c r="X38" i="1"/>
  <c r="O38" i="1" s="1"/>
  <c r="X39" i="1"/>
  <c r="X40" i="1"/>
  <c r="O40" i="1" s="1"/>
  <c r="R40" i="1" s="1"/>
  <c r="X41" i="1"/>
  <c r="X42" i="1"/>
  <c r="O42" i="1" s="1"/>
  <c r="R42" i="1" s="1"/>
  <c r="X43" i="1"/>
  <c r="X44" i="1"/>
  <c r="O44" i="1" s="1"/>
  <c r="R44" i="1" s="1"/>
  <c r="X45" i="1"/>
  <c r="X46" i="1"/>
  <c r="O46" i="1" s="1"/>
  <c r="X47" i="1"/>
  <c r="X48" i="1"/>
  <c r="O48" i="1" s="1"/>
  <c r="R48" i="1" s="1"/>
  <c r="X49" i="1"/>
  <c r="X50" i="1"/>
  <c r="O50" i="1" s="1"/>
  <c r="R50" i="1" s="1"/>
  <c r="X51" i="1"/>
  <c r="X52" i="1"/>
  <c r="O52" i="1" s="1"/>
  <c r="X53" i="1"/>
  <c r="X54" i="1"/>
  <c r="O54" i="1" s="1"/>
  <c r="R54" i="1" s="1"/>
  <c r="X55" i="1"/>
  <c r="X56" i="1"/>
  <c r="O56" i="1" s="1"/>
  <c r="R56" i="1" s="1"/>
  <c r="X57" i="1"/>
  <c r="X58" i="1"/>
  <c r="O58" i="1" s="1"/>
  <c r="R58" i="1" s="1"/>
  <c r="X59" i="1"/>
  <c r="X60" i="1"/>
  <c r="O60" i="1" s="1"/>
  <c r="R60" i="1" s="1"/>
  <c r="X61" i="1"/>
  <c r="X7" i="1"/>
  <c r="O7" i="1" s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7" i="1"/>
  <c r="J9" i="1"/>
  <c r="J11" i="1"/>
  <c r="J13" i="1"/>
  <c r="J15" i="1"/>
  <c r="J17" i="1"/>
  <c r="I8" i="1"/>
  <c r="J8" i="1" s="1"/>
  <c r="I9" i="1"/>
  <c r="I10" i="1"/>
  <c r="J10" i="1" s="1"/>
  <c r="I11" i="1"/>
  <c r="I12" i="1"/>
  <c r="J12" i="1" s="1"/>
  <c r="I13" i="1"/>
  <c r="I14" i="1"/>
  <c r="J14" i="1" s="1"/>
  <c r="I15" i="1"/>
  <c r="I16" i="1"/>
  <c r="J16" i="1" s="1"/>
  <c r="I17" i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7" i="1"/>
  <c r="J7" i="1" s="1"/>
  <c r="L6" i="1"/>
  <c r="M6" i="1"/>
  <c r="N6" i="1"/>
  <c r="E6" i="1"/>
  <c r="F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7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Q21" i="1" l="1"/>
  <c r="R21" i="1"/>
  <c r="R17" i="1"/>
  <c r="Q17" i="1"/>
  <c r="Q13" i="1"/>
  <c r="R13" i="1"/>
  <c r="Q9" i="1"/>
  <c r="R9" i="1"/>
  <c r="R7" i="1"/>
  <c r="O6" i="1"/>
  <c r="R52" i="1"/>
  <c r="Q52" i="1"/>
  <c r="R46" i="1"/>
  <c r="Q46" i="1"/>
  <c r="R38" i="1"/>
  <c r="Q38" i="1"/>
  <c r="R26" i="1"/>
  <c r="Q26" i="1"/>
  <c r="Q54" i="1"/>
  <c r="Q42" i="1"/>
  <c r="Q36" i="1"/>
  <c r="Q30" i="1"/>
  <c r="T6" i="1"/>
  <c r="Q61" i="1"/>
  <c r="Q33" i="1"/>
  <c r="Q20" i="1"/>
  <c r="Q14" i="1"/>
  <c r="Q60" i="1"/>
  <c r="Q58" i="1"/>
  <c r="Q56" i="1"/>
  <c r="Q50" i="1"/>
  <c r="Q48" i="1"/>
  <c r="Q44" i="1"/>
  <c r="Q40" i="1"/>
  <c r="Q34" i="1"/>
  <c r="Q32" i="1"/>
  <c r="Q28" i="1"/>
  <c r="Q24" i="1"/>
  <c r="Q18" i="1"/>
  <c r="Q16" i="1"/>
  <c r="Q12" i="1"/>
  <c r="Q8" i="1"/>
  <c r="Q49" i="1"/>
  <c r="Q57" i="1"/>
  <c r="R53" i="1"/>
  <c r="R45" i="1"/>
  <c r="R41" i="1"/>
  <c r="R37" i="1"/>
  <c r="R29" i="1"/>
  <c r="R25" i="1"/>
  <c r="AB61" i="1"/>
  <c r="AG61" i="1" s="1"/>
  <c r="AG58" i="1"/>
  <c r="AG56" i="1"/>
  <c r="AB53" i="1"/>
  <c r="AG53" i="1" s="1"/>
  <c r="AG50" i="1"/>
  <c r="AG48" i="1"/>
  <c r="AB45" i="1"/>
  <c r="AG45" i="1" s="1"/>
  <c r="AG42" i="1"/>
  <c r="AG40" i="1"/>
  <c r="AB37" i="1"/>
  <c r="AG37" i="1" s="1"/>
  <c r="AG34" i="1"/>
  <c r="AG32" i="1"/>
  <c r="AB29" i="1"/>
  <c r="AG29" i="1" s="1"/>
  <c r="AG26" i="1"/>
  <c r="AG24" i="1"/>
  <c r="AB21" i="1"/>
  <c r="AG21" i="1" s="1"/>
  <c r="AG18" i="1"/>
  <c r="AG16" i="1"/>
  <c r="AB13" i="1"/>
  <c r="AG13" i="1" s="1"/>
  <c r="AG10" i="1"/>
  <c r="AG8" i="1"/>
  <c r="AB19" i="1"/>
  <c r="AG19" i="1" s="1"/>
  <c r="AB59" i="1"/>
  <c r="AG59" i="1" s="1"/>
  <c r="AB47" i="1"/>
  <c r="AG47" i="1" s="1"/>
  <c r="AB39" i="1"/>
  <c r="AG39" i="1" s="1"/>
  <c r="AB31" i="1"/>
  <c r="AG31" i="1" s="1"/>
  <c r="AB23" i="1"/>
  <c r="AG23" i="1" s="1"/>
  <c r="AB11" i="1"/>
  <c r="AG11" i="1" s="1"/>
  <c r="K6" i="1"/>
  <c r="AB60" i="1"/>
  <c r="AG60" i="1" s="1"/>
  <c r="AB57" i="1"/>
  <c r="AG57" i="1" s="1"/>
  <c r="AB54" i="1"/>
  <c r="AG54" i="1" s="1"/>
  <c r="AB52" i="1"/>
  <c r="AG52" i="1" s="1"/>
  <c r="AB49" i="1"/>
  <c r="AG49" i="1" s="1"/>
  <c r="AB46" i="1"/>
  <c r="AG46" i="1" s="1"/>
  <c r="AB44" i="1"/>
  <c r="AG44" i="1" s="1"/>
  <c r="AB41" i="1"/>
  <c r="AG41" i="1" s="1"/>
  <c r="AB38" i="1"/>
  <c r="AG38" i="1" s="1"/>
  <c r="AB36" i="1"/>
  <c r="AG36" i="1" s="1"/>
  <c r="AB33" i="1"/>
  <c r="AG33" i="1" s="1"/>
  <c r="AB30" i="1"/>
  <c r="AG30" i="1" s="1"/>
  <c r="AB28" i="1"/>
  <c r="AG28" i="1" s="1"/>
  <c r="AB25" i="1"/>
  <c r="AG25" i="1" s="1"/>
  <c r="AB22" i="1"/>
  <c r="AG22" i="1" s="1"/>
  <c r="AB20" i="1"/>
  <c r="AG20" i="1" s="1"/>
  <c r="AB17" i="1"/>
  <c r="AG17" i="1" s="1"/>
  <c r="AB14" i="1"/>
  <c r="AG14" i="1" s="1"/>
  <c r="AB12" i="1"/>
  <c r="AG12" i="1" s="1"/>
  <c r="AB9" i="1"/>
  <c r="AG9" i="1" s="1"/>
  <c r="AB51" i="1"/>
  <c r="AG51" i="1" s="1"/>
  <c r="AB7" i="1"/>
  <c r="AG7" i="1" s="1"/>
  <c r="AB55" i="1"/>
  <c r="AG55" i="1" s="1"/>
  <c r="AB35" i="1"/>
  <c r="AG35" i="1" s="1"/>
  <c r="AB27" i="1"/>
  <c r="AG27" i="1" s="1"/>
  <c r="AB15" i="1"/>
  <c r="AG15" i="1" s="1"/>
  <c r="Q59" i="1"/>
  <c r="Q55" i="1"/>
  <c r="Q51" i="1"/>
  <c r="Q47" i="1"/>
  <c r="Q43" i="1"/>
  <c r="Q39" i="1"/>
  <c r="Q35" i="1"/>
  <c r="Q31" i="1"/>
  <c r="Q27" i="1"/>
  <c r="Q23" i="1"/>
  <c r="Q19" i="1"/>
  <c r="Q15" i="1"/>
  <c r="P6" i="1"/>
  <c r="Q7" i="1"/>
  <c r="AG6" i="1"/>
  <c r="AC6" i="1"/>
  <c r="Q11" i="1"/>
  <c r="X6" i="1"/>
  <c r="W6" i="1"/>
  <c r="V6" i="1"/>
  <c r="U6" i="1"/>
  <c r="S6" i="1"/>
  <c r="J6" i="1"/>
  <c r="I6" i="1"/>
</calcChain>
</file>

<file path=xl/sharedStrings.xml><?xml version="1.0" encoding="utf-8"?>
<sst xmlns="http://schemas.openxmlformats.org/spreadsheetml/2006/main" count="152" uniqueCount="92">
  <si>
    <t>Период: 22.01.2026 - 29.01.2026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</si>
  <si>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</si>
  <si>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</si>
  <si>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</si>
  <si>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</si>
  <si>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</si>
  <si>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</si>
  <si>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</si>
  <si>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</si>
  <si>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</si>
  <si>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</si>
  <si>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</si>
  <si>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</si>
  <si>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</si>
  <si>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</si>
  <si>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ЖАР-ладушки с мясом 0,2кг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</si>
  <si>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</si>
  <si>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</si>
  <si>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</si>
  <si>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</si>
  <si>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</si>
  <si>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</si>
  <si>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</si>
  <si>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</si>
  <si>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</si>
  <si>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</si>
  <si>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</si>
  <si>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0,7кг ТМ Горячая штучка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</si>
  <si>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</si>
  <si>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</si>
  <si>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</si>
  <si>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</si>
  <si>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</si>
  <si>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</si>
  <si>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Наваристые 5кг Горячая штучка ВЕС  ПОКОМ</t>
  </si>
  <si>
    <t>Пельмени Бульмени с говядиной и свининой СЕВЕРНАЯ КОЛЛЕКЦИЯ 0,7кг ТМ Горячая штучка сфера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</si>
  <si>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</si>
  <si>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</si>
  <si>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</si>
  <si>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</si>
  <si>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</si>
  <si>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Добросельские со свининой и говядиной ТМ Стародворье флоу-пак клас. форма 0,65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</si>
  <si>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</si>
  <si>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</si>
  <si>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</si>
  <si>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</si>
  <si>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сфера 0,8 кг ТМ Стародворье  ПОКОМ</t>
  </si>
  <si>
    <t>Пирожки с мясом 3,7кг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</si>
  <si>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</si>
  <si>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</si>
  <si>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</si>
  <si>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</si>
  <si>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</si>
  <si>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</si>
  <si>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</si>
  <si>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</si>
  <si>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Маргарита 0,2кг ТМ Горячая штучка ТС Foodgital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</si>
  <si>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</si>
  <si>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</si>
  <si>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Чебуреки сочные ВЕС ТМ Зареченские  ПОКОМ</t>
  </si>
  <si>
    <t>Жареные вареники с картофелем и беконом ТМ Стародворье 0,2 кг  ПОКОМ</t>
  </si>
  <si>
    <t>Мини-пицца с ветчиной и сыром ТМ Зареченские ВЕС,  ПОКОМ</t>
  </si>
  <si>
    <t>Мини-чебуречки с мясом ВЕС 5,5кг ТМ Зареченские  ПОКОМ</t>
  </si>
  <si>
    <t>Наггетсы Сливушки в темпуре ТМ Вязанка флоу-пак 0,23 кг  ПОКОМ</t>
  </si>
  <si>
    <t>Пельмени Бульмени мини с мясом и cыром ТМ Горячая штучка ТС Бульмени ГШ флоу-пак сфера 0,4 кг  ПОКОМ</t>
  </si>
  <si>
    <t>метка</t>
  </si>
  <si>
    <t>сроки</t>
  </si>
  <si>
    <t>заяв</t>
  </si>
  <si>
    <t>разн</t>
  </si>
  <si>
    <t>заказ</t>
  </si>
  <si>
    <t>пуд зак</t>
  </si>
  <si>
    <t>ср</t>
  </si>
  <si>
    <t>кон ост</t>
  </si>
  <si>
    <t>факт</t>
  </si>
  <si>
    <t>пр</t>
  </si>
  <si>
    <t>пуд пр</t>
  </si>
  <si>
    <t>палет</t>
  </si>
  <si>
    <t>слой</t>
  </si>
  <si>
    <t>шт/кр</t>
  </si>
  <si>
    <t>ЗС</t>
  </si>
  <si>
    <t>сум зак</t>
  </si>
  <si>
    <t>коментарии</t>
  </si>
  <si>
    <t>короб</t>
  </si>
  <si>
    <t>кр</t>
  </si>
  <si>
    <t>вес</t>
  </si>
  <si>
    <t>02,02,</t>
  </si>
  <si>
    <t>04,02,</t>
  </si>
  <si>
    <t>26,12,</t>
  </si>
  <si>
    <t>09,01,</t>
  </si>
  <si>
    <t>16,01,</t>
  </si>
  <si>
    <t>23,01,</t>
  </si>
  <si>
    <t>29,01,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</si>
</sst>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8"/>
      <name val="Arial"/>
      <family val="2"/>
      <charset val="204"/>
    </font>
    <font>
      <sz val="8"/>
      <color rgb="FFFF0000"/>
      <name val="Arial"/>
      <family val="2"/>
    </font>
    <font>
      <sz val="8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0" fontId="3" fillId="0" borderId="0" xfId="0" applyFont="1" applyAlignment="1"/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6" borderId="0" xfId="0" applyNumberFormat="1" applyFill="1" applyAlignment="1">
      <alignment horizontal="left"/>
    </xf>
    <xf numFmtId="164" fontId="0" fillId="7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  <xf numFmtId="164" fontId="0" fillId="4" borderId="0" xfId="0" applyNumberFormat="1" applyFill="1" applyAlignment="1">
      <alignment horizontal="left"/>
    </xf>
    <xf numFmtId="0" fontId="5" fillId="4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28,01,26&#1079;&#1072;&#108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23-29,01,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29,01,26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21.01.2026 - 28.01.2026</v>
          </cell>
        </row>
        <row r="4">
          <cell r="C4" t="str">
            <v>Количество</v>
          </cell>
          <cell r="G4" t="str">
            <v>метка</v>
          </cell>
          <cell r="H4" t="str">
            <v>сроки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пуд зак</v>
          </cell>
          <cell r="O4" t="str">
            <v>ср</v>
          </cell>
          <cell r="P4" t="str">
            <v>заказ</v>
          </cell>
          <cell r="Q4" t="str">
            <v>кон ост</v>
          </cell>
          <cell r="R4" t="str">
            <v>факт</v>
          </cell>
          <cell r="S4" t="str">
            <v>ср</v>
          </cell>
          <cell r="T4" t="str">
            <v>ср</v>
          </cell>
          <cell r="U4" t="str">
            <v>ср</v>
          </cell>
          <cell r="V4" t="str">
            <v>ср</v>
          </cell>
          <cell r="W4" t="str">
            <v>пр</v>
          </cell>
          <cell r="X4" t="str">
            <v>пуд пр</v>
          </cell>
          <cell r="Y4" t="str">
            <v>палет</v>
          </cell>
          <cell r="Z4" t="str">
            <v>слой</v>
          </cell>
          <cell r="AA4" t="str">
            <v>шт/кр</v>
          </cell>
          <cell r="AB4" t="str">
            <v>ЗС</v>
          </cell>
          <cell r="AC4" t="str">
            <v>сум зак</v>
          </cell>
          <cell r="AD4" t="str">
            <v>коментарии</v>
          </cell>
          <cell r="AE4" t="str">
            <v>короб</v>
          </cell>
          <cell r="AF4" t="str">
            <v>кр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28,01,</v>
          </cell>
          <cell r="N5" t="str">
            <v>02,02,</v>
          </cell>
          <cell r="P5" t="str">
            <v>02,02,</v>
          </cell>
          <cell r="S5" t="str">
            <v>26,12,</v>
          </cell>
          <cell r="T5" t="str">
            <v>09,01,</v>
          </cell>
          <cell r="U5" t="str">
            <v>16,01,</v>
          </cell>
          <cell r="V5" t="str">
            <v>23,01,</v>
          </cell>
          <cell r="W5" t="str">
            <v>28,01,</v>
          </cell>
        </row>
        <row r="6">
          <cell r="E6">
            <v>74120.38</v>
          </cell>
          <cell r="F6">
            <v>34231.271999999997</v>
          </cell>
          <cell r="I6">
            <v>75531.05</v>
          </cell>
          <cell r="J6">
            <v>-1410.67</v>
          </cell>
          <cell r="K6">
            <v>26270</v>
          </cell>
          <cell r="L6">
            <v>0</v>
          </cell>
          <cell r="M6">
            <v>0</v>
          </cell>
          <cell r="N6">
            <v>8720</v>
          </cell>
          <cell r="O6">
            <v>9719.275999999998</v>
          </cell>
          <cell r="P6">
            <v>19020</v>
          </cell>
          <cell r="S6">
            <v>10552.485200000001</v>
          </cell>
          <cell r="T6">
            <v>9440.86</v>
          </cell>
          <cell r="U6">
            <v>9676.2743999999984</v>
          </cell>
          <cell r="V6">
            <v>9783.7402000000038</v>
          </cell>
          <cell r="W6">
            <v>11475.6</v>
          </cell>
          <cell r="X6">
            <v>25524</v>
          </cell>
          <cell r="AC6">
            <v>27740</v>
          </cell>
        </row>
        <row r="7">
          <cell r="A7" t="str">
            <v>Готовые бельмеши сочные с мясом ТМ Горячая штучка 0,3кг зам  ПОКОМ</v>
          </cell>
          <cell r="B7" t="str">
            <v>шт</v>
          </cell>
          <cell r="C7">
            <v>238</v>
          </cell>
          <cell r="D7">
            <v>356</v>
          </cell>
          <cell r="E7">
            <v>372</v>
          </cell>
          <cell r="F7">
            <v>218</v>
          </cell>
          <cell r="G7">
            <v>0</v>
          </cell>
          <cell r="H7" t="e">
            <v>#N/A</v>
          </cell>
          <cell r="I7">
            <v>371</v>
          </cell>
          <cell r="J7">
            <v>1</v>
          </cell>
          <cell r="K7">
            <v>320</v>
          </cell>
          <cell r="O7">
            <v>74.400000000000006</v>
          </cell>
          <cell r="P7">
            <v>120</v>
          </cell>
          <cell r="Q7">
            <v>8.844086021505376</v>
          </cell>
          <cell r="R7">
            <v>2.93010752688172</v>
          </cell>
          <cell r="S7">
            <v>55.4</v>
          </cell>
          <cell r="T7">
            <v>76.25</v>
          </cell>
          <cell r="U7">
            <v>63.4</v>
          </cell>
          <cell r="V7">
            <v>68.8</v>
          </cell>
          <cell r="W7">
            <v>84</v>
          </cell>
          <cell r="X7">
            <v>0</v>
          </cell>
          <cell r="Y7">
            <v>70</v>
          </cell>
          <cell r="Z7">
            <v>14</v>
          </cell>
          <cell r="AA7">
            <v>12</v>
          </cell>
          <cell r="AB7">
            <v>14</v>
          </cell>
          <cell r="AC7">
            <v>120</v>
          </cell>
          <cell r="AD7">
            <v>0</v>
          </cell>
          <cell r="AE7">
            <v>10</v>
          </cell>
          <cell r="AF7">
            <v>0.3</v>
          </cell>
        </row>
        <row r="8">
          <cell r="A8" t="str">
            <v>Готовые чебупели острые с мясом 0,24кг ТМ Горячая штучка  ПОКОМ</v>
          </cell>
          <cell r="B8" t="str">
            <v>шт</v>
          </cell>
          <cell r="C8">
            <v>424</v>
          </cell>
          <cell r="D8">
            <v>379</v>
          </cell>
          <cell r="E8">
            <v>563</v>
          </cell>
          <cell r="F8">
            <v>216</v>
          </cell>
          <cell r="G8">
            <v>0.24</v>
          </cell>
          <cell r="H8" t="e">
            <v>#N/A</v>
          </cell>
          <cell r="I8">
            <v>607</v>
          </cell>
          <cell r="J8">
            <v>-44</v>
          </cell>
          <cell r="K8">
            <v>500</v>
          </cell>
          <cell r="O8">
            <v>112.6</v>
          </cell>
          <cell r="P8">
            <v>180</v>
          </cell>
          <cell r="Q8">
            <v>7.9573712255772646</v>
          </cell>
          <cell r="R8">
            <v>1.9182948490230907</v>
          </cell>
          <cell r="S8">
            <v>107.2</v>
          </cell>
          <cell r="T8">
            <v>120.25</v>
          </cell>
          <cell r="U8">
            <v>88.4</v>
          </cell>
          <cell r="V8">
            <v>107.6</v>
          </cell>
          <cell r="W8">
            <v>141</v>
          </cell>
          <cell r="X8">
            <v>0</v>
          </cell>
          <cell r="Y8">
            <v>70</v>
          </cell>
          <cell r="Z8">
            <v>14</v>
          </cell>
          <cell r="AA8">
            <v>12</v>
          </cell>
          <cell r="AB8">
            <v>14</v>
          </cell>
          <cell r="AC8">
            <v>180</v>
          </cell>
          <cell r="AD8" t="e">
            <v>#N/A</v>
          </cell>
          <cell r="AE8">
            <v>15</v>
          </cell>
          <cell r="AF8">
            <v>0.24</v>
          </cell>
        </row>
        <row r="9">
          <cell r="A9" t="str">
            <v>Готовые чебупели с ветчиной и сыром ТМ Горячая штучка флоу-пак 0,24 кг.  ПОКОМ</v>
          </cell>
          <cell r="B9" t="str">
            <v>шт</v>
          </cell>
          <cell r="C9">
            <v>575</v>
          </cell>
          <cell r="D9">
            <v>4286</v>
          </cell>
          <cell r="E9">
            <v>3849</v>
          </cell>
          <cell r="F9">
            <v>993</v>
          </cell>
          <cell r="G9">
            <v>0.24</v>
          </cell>
          <cell r="H9" t="e">
            <v>#N/A</v>
          </cell>
          <cell r="I9">
            <v>3797</v>
          </cell>
          <cell r="J9">
            <v>52</v>
          </cell>
          <cell r="K9">
            <v>1100</v>
          </cell>
          <cell r="N9">
            <v>600</v>
          </cell>
          <cell r="O9">
            <v>400.2</v>
          </cell>
          <cell r="P9">
            <v>900</v>
          </cell>
          <cell r="Q9">
            <v>7.4787606196901555</v>
          </cell>
          <cell r="R9">
            <v>2.4812593703148424</v>
          </cell>
          <cell r="S9">
            <v>420.8</v>
          </cell>
          <cell r="T9">
            <v>358.25</v>
          </cell>
          <cell r="U9">
            <v>337.2</v>
          </cell>
          <cell r="V9">
            <v>392.8</v>
          </cell>
          <cell r="W9">
            <v>445</v>
          </cell>
          <cell r="X9">
            <v>1848</v>
          </cell>
          <cell r="Y9">
            <v>70</v>
          </cell>
          <cell r="Z9">
            <v>14</v>
          </cell>
          <cell r="AA9">
            <v>12</v>
          </cell>
          <cell r="AB9">
            <v>126</v>
          </cell>
          <cell r="AC9">
            <v>1500</v>
          </cell>
          <cell r="AD9" t="e">
            <v>#N/A</v>
          </cell>
          <cell r="AE9">
            <v>125</v>
          </cell>
          <cell r="AF9">
            <v>0.24</v>
          </cell>
        </row>
        <row r="10">
          <cell r="A10" t="str">
            <v>Готовые чебупели сочные с мясом ТМ Горячая штучка флоу-пак 0,24 кг  ПОКОМ</v>
          </cell>
          <cell r="B10" t="str">
            <v>шт</v>
          </cell>
          <cell r="C10">
            <v>916</v>
          </cell>
          <cell r="D10">
            <v>3976</v>
          </cell>
          <cell r="E10">
            <v>3892</v>
          </cell>
          <cell r="F10">
            <v>975</v>
          </cell>
          <cell r="G10">
            <v>0</v>
          </cell>
          <cell r="H10" t="e">
            <v>#N/A</v>
          </cell>
          <cell r="I10">
            <v>3959</v>
          </cell>
          <cell r="J10">
            <v>-67</v>
          </cell>
          <cell r="K10">
            <v>660</v>
          </cell>
          <cell r="N10">
            <v>480</v>
          </cell>
          <cell r="O10">
            <v>308</v>
          </cell>
          <cell r="P10">
            <v>720</v>
          </cell>
          <cell r="Q10">
            <v>7.6461038961038961</v>
          </cell>
          <cell r="R10">
            <v>3.1655844155844157</v>
          </cell>
          <cell r="S10">
            <v>369</v>
          </cell>
          <cell r="T10">
            <v>371.5</v>
          </cell>
          <cell r="U10">
            <v>341</v>
          </cell>
          <cell r="V10">
            <v>293.2</v>
          </cell>
          <cell r="W10">
            <v>336</v>
          </cell>
          <cell r="X10">
            <v>2352</v>
          </cell>
          <cell r="Y10">
            <v>70</v>
          </cell>
          <cell r="Z10">
            <v>14</v>
          </cell>
          <cell r="AA10">
            <v>12</v>
          </cell>
          <cell r="AB10">
            <v>98</v>
          </cell>
          <cell r="AC10">
            <v>1200</v>
          </cell>
          <cell r="AD10" t="e">
            <v>#N/A</v>
          </cell>
          <cell r="AE10">
            <v>100</v>
          </cell>
          <cell r="AF10">
            <v>0.24</v>
          </cell>
        </row>
        <row r="11">
          <cell r="A11" t="str">
            <v>Готовые чебуреки с мясом ТМ Горячая штучка 0,09 кг флоу-пак ПОКОМ</v>
          </cell>
          <cell r="B11" t="str">
            <v>шт</v>
          </cell>
          <cell r="C11">
            <v>259</v>
          </cell>
          <cell r="D11">
            <v>754</v>
          </cell>
          <cell r="E11">
            <v>481</v>
          </cell>
          <cell r="F11">
            <v>502</v>
          </cell>
          <cell r="G11">
            <v>1</v>
          </cell>
          <cell r="H11">
            <v>180</v>
          </cell>
          <cell r="I11">
            <v>580</v>
          </cell>
          <cell r="J11">
            <v>-99</v>
          </cell>
          <cell r="K11">
            <v>350</v>
          </cell>
          <cell r="O11">
            <v>96.2</v>
          </cell>
          <cell r="Q11">
            <v>8.8565488565488568</v>
          </cell>
          <cell r="R11">
            <v>5.2182952182952178</v>
          </cell>
          <cell r="S11">
            <v>87</v>
          </cell>
          <cell r="T11">
            <v>85</v>
          </cell>
          <cell r="U11">
            <v>69.599999999999994</v>
          </cell>
          <cell r="V11">
            <v>110.2</v>
          </cell>
          <cell r="W11">
            <v>110</v>
          </cell>
          <cell r="X11">
            <v>0</v>
          </cell>
          <cell r="Y11">
            <v>126</v>
          </cell>
          <cell r="Z11">
            <v>14</v>
          </cell>
          <cell r="AA11">
            <v>24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0.09</v>
          </cell>
        </row>
        <row r="12">
          <cell r="A12" t="str">
            <v>ЖАР-ладушки с мясом 0,2кг ТМ Стародворье  ПОКОМ</v>
          </cell>
          <cell r="B12" t="str">
            <v>шт</v>
          </cell>
          <cell r="C12">
            <v>260</v>
          </cell>
          <cell r="D12">
            <v>351</v>
          </cell>
          <cell r="E12">
            <v>263</v>
          </cell>
          <cell r="F12">
            <v>345</v>
          </cell>
          <cell r="G12">
            <v>0</v>
          </cell>
          <cell r="H12" t="e">
            <v>#N/A</v>
          </cell>
          <cell r="I12">
            <v>264</v>
          </cell>
          <cell r="J12">
            <v>-1</v>
          </cell>
          <cell r="K12">
            <v>0</v>
          </cell>
          <cell r="O12">
            <v>52.6</v>
          </cell>
          <cell r="P12">
            <v>150</v>
          </cell>
          <cell r="Q12">
            <v>9.4106463878326991</v>
          </cell>
          <cell r="R12">
            <v>6.5589353612167303</v>
          </cell>
          <cell r="S12">
            <v>51.2</v>
          </cell>
          <cell r="T12">
            <v>66</v>
          </cell>
          <cell r="U12">
            <v>72.400000000000006</v>
          </cell>
          <cell r="V12">
            <v>54.8</v>
          </cell>
          <cell r="W12">
            <v>85</v>
          </cell>
          <cell r="X12">
            <v>0</v>
          </cell>
          <cell r="Y12">
            <v>70</v>
          </cell>
          <cell r="Z12">
            <v>14</v>
          </cell>
          <cell r="AA12">
            <v>12</v>
          </cell>
          <cell r="AB12">
            <v>14</v>
          </cell>
          <cell r="AC12">
            <v>150</v>
          </cell>
          <cell r="AD12" t="str">
            <v>яблоко</v>
          </cell>
          <cell r="AE12">
            <v>12.5</v>
          </cell>
          <cell r="AF12">
            <v>0.2</v>
          </cell>
        </row>
        <row r="13">
          <cell r="A13" t="str">
            <v>Жареные вареники с картофелем и беконом ТМ Стародворье 0,2 кг  ПОКОМ</v>
          </cell>
          <cell r="B13" t="str">
            <v>шт</v>
          </cell>
          <cell r="C13">
            <v>136</v>
          </cell>
          <cell r="D13">
            <v>181</v>
          </cell>
          <cell r="E13">
            <v>163</v>
          </cell>
          <cell r="F13">
            <v>147</v>
          </cell>
          <cell r="G13" t="str">
            <v>рот</v>
          </cell>
          <cell r="H13" t="e">
            <v>#N/A</v>
          </cell>
          <cell r="I13">
            <v>164</v>
          </cell>
          <cell r="J13">
            <v>-1</v>
          </cell>
          <cell r="K13">
            <v>0</v>
          </cell>
          <cell r="O13">
            <v>32.6</v>
          </cell>
          <cell r="P13">
            <v>150</v>
          </cell>
          <cell r="Q13">
            <v>9.110429447852761</v>
          </cell>
          <cell r="R13">
            <v>4.5092024539877302</v>
          </cell>
          <cell r="S13">
            <v>24.6</v>
          </cell>
          <cell r="T13">
            <v>31.75</v>
          </cell>
          <cell r="U13">
            <v>28.8</v>
          </cell>
          <cell r="V13">
            <v>28.6</v>
          </cell>
          <cell r="W13">
            <v>47</v>
          </cell>
          <cell r="X13">
            <v>0</v>
          </cell>
          <cell r="Y13">
            <v>70</v>
          </cell>
          <cell r="Z13">
            <v>14</v>
          </cell>
          <cell r="AA13">
            <v>12</v>
          </cell>
          <cell r="AB13">
            <v>14</v>
          </cell>
          <cell r="AC13">
            <v>150</v>
          </cell>
          <cell r="AD13">
            <v>0</v>
          </cell>
          <cell r="AE13">
            <v>12.5</v>
          </cell>
          <cell r="AF13">
            <v>0.2</v>
          </cell>
        </row>
        <row r="14">
          <cell r="A14" t="str">
            <v>Круггетсы с сырным соусом ТМ Горячая штучка ТС Круггетсы флоу-пак 0,2 кг  ПОКОМ</v>
          </cell>
          <cell r="B14" t="str">
            <v>шт</v>
          </cell>
          <cell r="C14">
            <v>436</v>
          </cell>
          <cell r="D14">
            <v>876</v>
          </cell>
          <cell r="E14">
            <v>725</v>
          </cell>
          <cell r="F14">
            <v>578</v>
          </cell>
          <cell r="G14" t="str">
            <v>рот</v>
          </cell>
          <cell r="H14" t="e">
            <v>#N/A</v>
          </cell>
          <cell r="I14">
            <v>712</v>
          </cell>
          <cell r="J14">
            <v>13</v>
          </cell>
          <cell r="K14">
            <v>320</v>
          </cell>
          <cell r="O14">
            <v>145</v>
          </cell>
          <cell r="P14">
            <v>300</v>
          </cell>
          <cell r="Q14">
            <v>8.2620689655172406</v>
          </cell>
          <cell r="R14">
            <v>3.9862068965517241</v>
          </cell>
          <cell r="S14">
            <v>156.4</v>
          </cell>
          <cell r="T14">
            <v>166.25</v>
          </cell>
          <cell r="U14">
            <v>158.6</v>
          </cell>
          <cell r="V14">
            <v>141.6</v>
          </cell>
          <cell r="W14">
            <v>147</v>
          </cell>
          <cell r="X14">
            <v>0</v>
          </cell>
          <cell r="Y14">
            <v>70</v>
          </cell>
          <cell r="Z14">
            <v>14</v>
          </cell>
          <cell r="AA14">
            <v>12</v>
          </cell>
          <cell r="AB14">
            <v>28</v>
          </cell>
          <cell r="AC14">
            <v>300</v>
          </cell>
          <cell r="AD14" t="e">
            <v>#N/A</v>
          </cell>
          <cell r="AE14">
            <v>25</v>
          </cell>
          <cell r="AF14">
            <v>0.2</v>
          </cell>
        </row>
        <row r="15">
          <cell r="A15" t="str">
            <v>Круггетсы сочные ТМ Горячая штучка ТС Круггетсы флоу-пак 0,2 кг.  ПОКОМ</v>
          </cell>
          <cell r="B15" t="str">
            <v>шт</v>
          </cell>
          <cell r="C15">
            <v>634</v>
          </cell>
          <cell r="D15">
            <v>2766</v>
          </cell>
          <cell r="E15">
            <v>2696</v>
          </cell>
          <cell r="F15">
            <v>693</v>
          </cell>
          <cell r="G15">
            <v>0.2</v>
          </cell>
          <cell r="H15" t="e">
            <v>#N/A</v>
          </cell>
          <cell r="I15">
            <v>2648</v>
          </cell>
          <cell r="J15">
            <v>48</v>
          </cell>
          <cell r="K15">
            <v>480</v>
          </cell>
          <cell r="N15">
            <v>600</v>
          </cell>
          <cell r="O15">
            <v>169.6</v>
          </cell>
          <cell r="P15">
            <v>220</v>
          </cell>
          <cell r="Q15">
            <v>8.2134433962264151</v>
          </cell>
          <cell r="R15">
            <v>4.0860849056603774</v>
          </cell>
          <cell r="S15">
            <v>188.4</v>
          </cell>
          <cell r="T15">
            <v>208.5</v>
          </cell>
          <cell r="U15">
            <v>177.4</v>
          </cell>
          <cell r="V15">
            <v>175.4</v>
          </cell>
          <cell r="W15">
            <v>186</v>
          </cell>
          <cell r="X15">
            <v>1848</v>
          </cell>
          <cell r="Y15">
            <v>70</v>
          </cell>
          <cell r="Z15">
            <v>14</v>
          </cell>
          <cell r="AA15">
            <v>12</v>
          </cell>
          <cell r="AB15">
            <v>70</v>
          </cell>
          <cell r="AC15">
            <v>820</v>
          </cell>
          <cell r="AD15" t="e">
            <v>#N/A</v>
          </cell>
          <cell r="AE15">
            <v>68.333333333333329</v>
          </cell>
          <cell r="AF15">
            <v>0.2</v>
          </cell>
        </row>
        <row r="16">
          <cell r="A16" t="str">
            <v>Мини-пицца с ветчиной и сыром ТМ Зареченские ВЕС,  ПОКОМ</v>
          </cell>
          <cell r="B16" t="str">
            <v>кг</v>
          </cell>
          <cell r="C16">
            <v>104</v>
          </cell>
          <cell r="D16">
            <v>12</v>
          </cell>
          <cell r="E16">
            <v>30</v>
          </cell>
          <cell r="F16">
            <v>80</v>
          </cell>
          <cell r="G16" t="str">
            <v>пхн</v>
          </cell>
          <cell r="H16" t="e">
            <v>#N/A</v>
          </cell>
          <cell r="I16">
            <v>35</v>
          </cell>
          <cell r="J16">
            <v>-5</v>
          </cell>
          <cell r="K16">
            <v>0</v>
          </cell>
          <cell r="O16">
            <v>6</v>
          </cell>
          <cell r="Q16">
            <v>13.333333333333334</v>
          </cell>
          <cell r="R16">
            <v>13.333333333333334</v>
          </cell>
          <cell r="S16">
            <v>4.4000000000000004</v>
          </cell>
          <cell r="T16">
            <v>7.75</v>
          </cell>
          <cell r="U16">
            <v>4.8</v>
          </cell>
          <cell r="V16">
            <v>5.4</v>
          </cell>
          <cell r="W16">
            <v>3</v>
          </cell>
          <cell r="X16">
            <v>0</v>
          </cell>
          <cell r="Y16">
            <v>126</v>
          </cell>
          <cell r="Z16">
            <v>14</v>
          </cell>
          <cell r="AA16">
            <v>3</v>
          </cell>
          <cell r="AB16">
            <v>0</v>
          </cell>
          <cell r="AC16">
            <v>0</v>
          </cell>
          <cell r="AD16" t="str">
            <v>увел</v>
          </cell>
          <cell r="AE16">
            <v>0</v>
          </cell>
          <cell r="AF16">
            <v>1</v>
          </cell>
        </row>
        <row r="17">
          <cell r="A17" t="str">
            <v>Мини-сосиски в тесте 3,7кг ВЕС заморож. ТМ Зареченские  ПОКОМ</v>
          </cell>
          <cell r="B17" t="str">
            <v>кг</v>
          </cell>
          <cell r="C17">
            <v>372.56</v>
          </cell>
          <cell r="D17">
            <v>18.100000000000001</v>
          </cell>
          <cell r="E17">
            <v>190.8</v>
          </cell>
          <cell r="F17">
            <v>191.86</v>
          </cell>
          <cell r="G17" t="str">
            <v>рот2</v>
          </cell>
          <cell r="H17" t="e">
            <v>#N/A</v>
          </cell>
          <cell r="I17">
            <v>198.8</v>
          </cell>
          <cell r="J17">
            <v>-8</v>
          </cell>
          <cell r="K17">
            <v>100</v>
          </cell>
          <cell r="O17">
            <v>38.160000000000004</v>
          </cell>
          <cell r="P17">
            <v>50</v>
          </cell>
          <cell r="Q17">
            <v>8.9585953878406706</v>
          </cell>
          <cell r="R17">
            <v>5.0277777777777777</v>
          </cell>
          <cell r="S17">
            <v>101.34020000000001</v>
          </cell>
          <cell r="T17">
            <v>43.475000000000001</v>
          </cell>
          <cell r="U17">
            <v>26.648000000000003</v>
          </cell>
          <cell r="V17">
            <v>43.22</v>
          </cell>
          <cell r="W17">
            <v>29.9</v>
          </cell>
          <cell r="X17">
            <v>0</v>
          </cell>
          <cell r="Y17">
            <v>126</v>
          </cell>
          <cell r="Z17">
            <v>14</v>
          </cell>
          <cell r="AA17">
            <v>3.7</v>
          </cell>
          <cell r="AB17">
            <v>14</v>
          </cell>
          <cell r="AC17">
            <v>50</v>
          </cell>
          <cell r="AD17" t="str">
            <v>п200</v>
          </cell>
          <cell r="AE17">
            <v>13.513513513513512</v>
          </cell>
          <cell r="AF17">
            <v>1</v>
          </cell>
        </row>
        <row r="18">
          <cell r="A18" t="str">
            <v>Мини-чебуречки с мясом ВЕС 5,5кг ТМ Зареченские  ПОКОМ</v>
          </cell>
          <cell r="B18" t="str">
            <v>кг</v>
          </cell>
          <cell r="C18">
            <v>99</v>
          </cell>
          <cell r="D18">
            <v>77</v>
          </cell>
          <cell r="E18">
            <v>60.5</v>
          </cell>
          <cell r="F18">
            <v>104.5</v>
          </cell>
          <cell r="G18" t="str">
            <v>рот1</v>
          </cell>
          <cell r="H18" t="e">
            <v>#N/A</v>
          </cell>
          <cell r="I18">
            <v>56</v>
          </cell>
          <cell r="J18">
            <v>4.5</v>
          </cell>
          <cell r="K18">
            <v>0</v>
          </cell>
          <cell r="O18">
            <v>12.1</v>
          </cell>
          <cell r="Q18">
            <v>8.6363636363636367</v>
          </cell>
          <cell r="R18">
            <v>8.6363636363636367</v>
          </cell>
          <cell r="S18">
            <v>8.8000000000000007</v>
          </cell>
          <cell r="T18">
            <v>15.125</v>
          </cell>
          <cell r="U18">
            <v>15.4</v>
          </cell>
          <cell r="V18">
            <v>14.3</v>
          </cell>
          <cell r="W18">
            <v>11</v>
          </cell>
          <cell r="X18">
            <v>0</v>
          </cell>
          <cell r="Y18">
            <v>84</v>
          </cell>
          <cell r="Z18">
            <v>12</v>
          </cell>
          <cell r="AA18">
            <v>5.5</v>
          </cell>
          <cell r="AB18">
            <v>0</v>
          </cell>
          <cell r="AC18">
            <v>0</v>
          </cell>
          <cell r="AD18" t="str">
            <v>увел</v>
          </cell>
          <cell r="AE18">
            <v>0</v>
          </cell>
          <cell r="AF18">
            <v>1</v>
          </cell>
        </row>
        <row r="19">
          <cell r="A19" t="str">
            <v>Мини-шарики с курочкой и сыром ТМ Зареченские ВЕС  ПОКОМ</v>
          </cell>
          <cell r="B19" t="str">
            <v>кг</v>
          </cell>
          <cell r="C19">
            <v>483</v>
          </cell>
          <cell r="D19">
            <v>237</v>
          </cell>
          <cell r="E19">
            <v>363</v>
          </cell>
          <cell r="F19">
            <v>345</v>
          </cell>
          <cell r="G19">
            <v>0</v>
          </cell>
          <cell r="H19" t="e">
            <v>#N/A</v>
          </cell>
          <cell r="I19">
            <v>367</v>
          </cell>
          <cell r="J19">
            <v>-4</v>
          </cell>
          <cell r="K19">
            <v>170</v>
          </cell>
          <cell r="O19">
            <v>72.599999999999994</v>
          </cell>
          <cell r="P19">
            <v>500</v>
          </cell>
          <cell r="Q19">
            <v>13.980716253443527</v>
          </cell>
          <cell r="R19">
            <v>4.7520661157024797</v>
          </cell>
          <cell r="S19">
            <v>123</v>
          </cell>
          <cell r="T19">
            <v>75</v>
          </cell>
          <cell r="U19">
            <v>77.400000000000006</v>
          </cell>
          <cell r="V19">
            <v>77.400000000000006</v>
          </cell>
          <cell r="W19">
            <v>72</v>
          </cell>
          <cell r="X19">
            <v>0</v>
          </cell>
          <cell r="Y19">
            <v>126</v>
          </cell>
          <cell r="Z19">
            <v>14</v>
          </cell>
          <cell r="AA19">
            <v>3</v>
          </cell>
          <cell r="AB19">
            <v>168</v>
          </cell>
          <cell r="AC19">
            <v>500</v>
          </cell>
          <cell r="AD19" t="str">
            <v>жк-февр</v>
          </cell>
          <cell r="AE19">
            <v>166.66666666666666</v>
          </cell>
          <cell r="AF19">
            <v>1</v>
          </cell>
        </row>
        <row r="20">
          <cell r="A20" t="str">
            <v>Наггетсы из печи 0,25кг ТМ Вязанка ТС Няняггетсы Сливушки замор.  ПОКОМ</v>
          </cell>
          <cell r="B20" t="str">
            <v>шт</v>
          </cell>
          <cell r="C20">
            <v>691</v>
          </cell>
          <cell r="D20">
            <v>5110</v>
          </cell>
          <cell r="E20">
            <v>4119</v>
          </cell>
          <cell r="F20">
            <v>1663</v>
          </cell>
          <cell r="G20" t="str">
            <v>пуд</v>
          </cell>
          <cell r="H20">
            <v>180</v>
          </cell>
          <cell r="I20">
            <v>4155</v>
          </cell>
          <cell r="J20">
            <v>-36</v>
          </cell>
          <cell r="K20">
            <v>1000</v>
          </cell>
          <cell r="N20">
            <v>1200</v>
          </cell>
          <cell r="O20">
            <v>459</v>
          </cell>
          <cell r="P20">
            <v>800</v>
          </cell>
          <cell r="Q20">
            <v>7.5446623093681922</v>
          </cell>
          <cell r="R20">
            <v>3.6230936819172115</v>
          </cell>
          <cell r="S20">
            <v>434.6</v>
          </cell>
          <cell r="T20">
            <v>423.75</v>
          </cell>
          <cell r="U20">
            <v>485.8</v>
          </cell>
          <cell r="V20">
            <v>482</v>
          </cell>
          <cell r="W20">
            <v>559</v>
          </cell>
          <cell r="X20">
            <v>1824</v>
          </cell>
          <cell r="Y20">
            <v>70</v>
          </cell>
          <cell r="Z20">
            <v>14</v>
          </cell>
          <cell r="AA20">
            <v>12</v>
          </cell>
          <cell r="AB20">
            <v>168</v>
          </cell>
          <cell r="AC20">
            <v>2000</v>
          </cell>
          <cell r="AD20" t="str">
            <v>ябмай</v>
          </cell>
          <cell r="AE20">
            <v>166.66666666666666</v>
          </cell>
          <cell r="AF20">
            <v>0.25</v>
          </cell>
        </row>
        <row r="21">
          <cell r="A21" t="str">
            <v>Наггетсы Нагетосы Сочная курочка ТМ Горячая штучка 0,25 кг зам  ПОКОМ</v>
          </cell>
          <cell r="B21" t="str">
            <v>шт</v>
          </cell>
          <cell r="C21">
            <v>577</v>
          </cell>
          <cell r="D21">
            <v>3106</v>
          </cell>
          <cell r="E21">
            <v>2536</v>
          </cell>
          <cell r="F21">
            <v>1127</v>
          </cell>
          <cell r="G21" t="str">
            <v>яб</v>
          </cell>
          <cell r="H21">
            <v>180</v>
          </cell>
          <cell r="I21">
            <v>2590</v>
          </cell>
          <cell r="J21">
            <v>-54</v>
          </cell>
          <cell r="K21">
            <v>720</v>
          </cell>
          <cell r="O21">
            <v>272</v>
          </cell>
          <cell r="P21">
            <v>240</v>
          </cell>
          <cell r="Q21">
            <v>7.6727941176470589</v>
          </cell>
          <cell r="R21">
            <v>4.1433823529411766</v>
          </cell>
          <cell r="S21">
            <v>339.8</v>
          </cell>
          <cell r="T21">
            <v>324.5</v>
          </cell>
          <cell r="U21">
            <v>314</v>
          </cell>
          <cell r="V21">
            <v>299.39999999999998</v>
          </cell>
          <cell r="W21">
            <v>313</v>
          </cell>
          <cell r="X21">
            <v>1176</v>
          </cell>
          <cell r="Y21">
            <v>126</v>
          </cell>
          <cell r="Z21">
            <v>14</v>
          </cell>
          <cell r="AA21">
            <v>6</v>
          </cell>
          <cell r="AB21">
            <v>42</v>
          </cell>
          <cell r="AC21">
            <v>240</v>
          </cell>
          <cell r="AD21" t="str">
            <v>ябмай</v>
          </cell>
          <cell r="AE21">
            <v>40</v>
          </cell>
          <cell r="AF21">
            <v>0.25</v>
          </cell>
        </row>
        <row r="22">
          <cell r="A22" t="str">
            <v>Наггетсы с индейкой 0,25кг ТМ Вязанка ТС Няняггетсы Сливушки НД2 замор.  ПОКОМ</v>
          </cell>
          <cell r="B22" t="str">
            <v>шт</v>
          </cell>
          <cell r="C22">
            <v>690</v>
          </cell>
          <cell r="D22">
            <v>4771</v>
          </cell>
          <cell r="E22">
            <v>4248</v>
          </cell>
          <cell r="F22">
            <v>1188</v>
          </cell>
          <cell r="G22">
            <v>1</v>
          </cell>
          <cell r="H22">
            <v>180</v>
          </cell>
          <cell r="I22">
            <v>4269</v>
          </cell>
          <cell r="J22">
            <v>-21</v>
          </cell>
          <cell r="K22">
            <v>980</v>
          </cell>
          <cell r="N22">
            <v>480</v>
          </cell>
          <cell r="O22">
            <v>379.2</v>
          </cell>
          <cell r="P22">
            <v>720</v>
          </cell>
          <cell r="Q22">
            <v>7.6160337552742616</v>
          </cell>
          <cell r="R22">
            <v>3.1329113924050636</v>
          </cell>
          <cell r="S22">
            <v>427.2</v>
          </cell>
          <cell r="T22">
            <v>352</v>
          </cell>
          <cell r="U22">
            <v>382</v>
          </cell>
          <cell r="V22">
            <v>398.2</v>
          </cell>
          <cell r="W22">
            <v>346</v>
          </cell>
          <cell r="X22">
            <v>2352</v>
          </cell>
          <cell r="Y22">
            <v>70</v>
          </cell>
          <cell r="Z22">
            <v>14</v>
          </cell>
          <cell r="AA22">
            <v>12</v>
          </cell>
          <cell r="AB22">
            <v>98</v>
          </cell>
          <cell r="AC22">
            <v>1200</v>
          </cell>
          <cell r="AD22" t="str">
            <v>ябмай</v>
          </cell>
          <cell r="AE22">
            <v>100</v>
          </cell>
          <cell r="AF22">
            <v>0.25</v>
          </cell>
        </row>
        <row r="23">
          <cell r="A23" t="str">
            <v>Наггетсы с куриным филе и сыром ТМ Вязанка 0,25 кг ПОКОМ</v>
          </cell>
          <cell r="B23" t="str">
            <v>шт</v>
          </cell>
          <cell r="C23">
            <v>600</v>
          </cell>
          <cell r="D23">
            <v>4249</v>
          </cell>
          <cell r="E23">
            <v>3835</v>
          </cell>
          <cell r="F23">
            <v>996</v>
          </cell>
          <cell r="G23">
            <v>1</v>
          </cell>
          <cell r="H23" t="e">
            <v>#N/A</v>
          </cell>
          <cell r="I23">
            <v>3909</v>
          </cell>
          <cell r="J23">
            <v>-74</v>
          </cell>
          <cell r="K23">
            <v>1300</v>
          </cell>
          <cell r="N23">
            <v>1200</v>
          </cell>
          <cell r="O23">
            <v>397.4</v>
          </cell>
          <cell r="P23">
            <v>720</v>
          </cell>
          <cell r="Q23">
            <v>7.5893306492199297</v>
          </cell>
          <cell r="R23">
            <v>2.5062908907901362</v>
          </cell>
          <cell r="S23">
            <v>396.4</v>
          </cell>
          <cell r="T23">
            <v>313.75</v>
          </cell>
          <cell r="U23">
            <v>357.8</v>
          </cell>
          <cell r="V23">
            <v>405.8</v>
          </cell>
          <cell r="W23">
            <v>516</v>
          </cell>
          <cell r="X23">
            <v>1848</v>
          </cell>
          <cell r="Y23">
            <v>70</v>
          </cell>
          <cell r="Z23">
            <v>14</v>
          </cell>
          <cell r="AA23">
            <v>12</v>
          </cell>
          <cell r="AB23">
            <v>154</v>
          </cell>
          <cell r="AC23">
            <v>1920</v>
          </cell>
          <cell r="AD23" t="str">
            <v>ябмай</v>
          </cell>
          <cell r="AE23">
            <v>160</v>
          </cell>
          <cell r="AF23">
            <v>0.25</v>
          </cell>
        </row>
        <row r="24">
          <cell r="A24" t="str">
            <v>Наггетсы Сливушки в темпуре ТМ Вязанка флоу-пак 0,23 кг  ПОКОМ</v>
          </cell>
          <cell r="B24" t="str">
            <v>шт</v>
          </cell>
          <cell r="D24">
            <v>337</v>
          </cell>
          <cell r="E24">
            <v>246</v>
          </cell>
          <cell r="F24">
            <v>89</v>
          </cell>
          <cell r="G24" t="str">
            <v>нв21,01,</v>
          </cell>
          <cell r="H24" t="e">
            <v>#N/A</v>
          </cell>
          <cell r="I24">
            <v>242</v>
          </cell>
          <cell r="J24">
            <v>4</v>
          </cell>
          <cell r="K24">
            <v>0</v>
          </cell>
          <cell r="O24">
            <v>49.2</v>
          </cell>
          <cell r="P24">
            <v>300</v>
          </cell>
          <cell r="Q24">
            <v>7.9065040650406502</v>
          </cell>
          <cell r="R24">
            <v>1.8089430894308942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99</v>
          </cell>
          <cell r="X24">
            <v>0</v>
          </cell>
          <cell r="Y24">
            <v>70</v>
          </cell>
          <cell r="Z24">
            <v>14</v>
          </cell>
          <cell r="AA24">
            <v>12</v>
          </cell>
          <cell r="AB24">
            <v>28</v>
          </cell>
          <cell r="AC24">
            <v>300</v>
          </cell>
          <cell r="AD24" t="str">
            <v>нв21,01,</v>
          </cell>
          <cell r="AE24">
            <v>25</v>
          </cell>
          <cell r="AF24">
            <v>0.23</v>
          </cell>
        </row>
        <row r="25">
          <cell r="A25" t="str">
            <v>Наггетсы Хрустящие ТМ Зареченские. ВЕС ПОКОМ</v>
          </cell>
          <cell r="B25" t="str">
            <v>кг</v>
          </cell>
          <cell r="C25">
            <v>448</v>
          </cell>
          <cell r="D25">
            <v>2160</v>
          </cell>
          <cell r="E25">
            <v>1806</v>
          </cell>
          <cell r="F25">
            <v>766</v>
          </cell>
          <cell r="G25">
            <v>1</v>
          </cell>
          <cell r="H25" t="e">
            <v>#N/A</v>
          </cell>
          <cell r="I25">
            <v>1845</v>
          </cell>
          <cell r="J25">
            <v>-39</v>
          </cell>
          <cell r="K25">
            <v>1200</v>
          </cell>
          <cell r="O25">
            <v>361.2</v>
          </cell>
          <cell r="P25">
            <v>800</v>
          </cell>
          <cell r="Q25">
            <v>7.6578073089701002</v>
          </cell>
          <cell r="R25">
            <v>2.1207087486157254</v>
          </cell>
          <cell r="S25">
            <v>306</v>
          </cell>
          <cell r="T25">
            <v>240</v>
          </cell>
          <cell r="U25">
            <v>309.2</v>
          </cell>
          <cell r="V25">
            <v>336.8</v>
          </cell>
          <cell r="W25">
            <v>342</v>
          </cell>
          <cell r="X25">
            <v>0</v>
          </cell>
          <cell r="Y25">
            <v>84</v>
          </cell>
          <cell r="Z25">
            <v>12</v>
          </cell>
          <cell r="AA25">
            <v>6</v>
          </cell>
          <cell r="AB25">
            <v>132</v>
          </cell>
          <cell r="AC25">
            <v>800</v>
          </cell>
          <cell r="AD25" t="str">
            <v>жц</v>
          </cell>
          <cell r="AE25">
            <v>133.33333333333334</v>
          </cell>
          <cell r="AF25">
            <v>1</v>
          </cell>
        </row>
        <row r="26">
          <cell r="A26" t="str">
            <v>Наггетсы Хрустящие ТМ Стародворье с сочной курочкой 0,23 кг  ПОКОМ</v>
          </cell>
          <cell r="B26" t="str">
            <v>шт</v>
          </cell>
          <cell r="C26">
            <v>25</v>
          </cell>
          <cell r="D26">
            <v>864</v>
          </cell>
          <cell r="E26">
            <v>484</v>
          </cell>
          <cell r="F26">
            <v>395</v>
          </cell>
          <cell r="G26" t="str">
            <v>нов</v>
          </cell>
          <cell r="H26" t="e">
            <v>#N/A</v>
          </cell>
          <cell r="I26">
            <v>570</v>
          </cell>
          <cell r="J26">
            <v>-86</v>
          </cell>
          <cell r="K26">
            <v>160</v>
          </cell>
          <cell r="O26">
            <v>96.8</v>
          </cell>
          <cell r="P26">
            <v>340</v>
          </cell>
          <cell r="Q26">
            <v>9.2458677685950423</v>
          </cell>
          <cell r="R26">
            <v>4.080578512396694</v>
          </cell>
          <cell r="S26">
            <v>71.400000000000006</v>
          </cell>
          <cell r="T26">
            <v>89.25</v>
          </cell>
          <cell r="U26">
            <v>86.8</v>
          </cell>
          <cell r="V26">
            <v>94.6</v>
          </cell>
          <cell r="W26">
            <v>96</v>
          </cell>
          <cell r="X26">
            <v>0</v>
          </cell>
          <cell r="Y26">
            <v>70</v>
          </cell>
          <cell r="Z26">
            <v>14</v>
          </cell>
          <cell r="AA26">
            <v>12</v>
          </cell>
          <cell r="AB26">
            <v>28</v>
          </cell>
          <cell r="AC26">
            <v>340</v>
          </cell>
          <cell r="AD26" t="e">
            <v>#N/A</v>
          </cell>
          <cell r="AE26">
            <v>28.333333333333332</v>
          </cell>
          <cell r="AF26">
            <v>0.23</v>
          </cell>
        </row>
        <row r="27">
          <cell r="A27" t="str">
            <v>Пекерсы с индейкой в сливочном соусе ТМ Горячая штучка 0,25 кг зам  ПОКОМ</v>
          </cell>
          <cell r="B27" t="str">
            <v>шт</v>
          </cell>
          <cell r="C27">
            <v>238</v>
          </cell>
          <cell r="D27">
            <v>527</v>
          </cell>
          <cell r="E27">
            <v>333</v>
          </cell>
          <cell r="F27">
            <v>426</v>
          </cell>
          <cell r="G27" t="str">
            <v>нов</v>
          </cell>
          <cell r="H27" t="e">
            <v>#N/A</v>
          </cell>
          <cell r="I27">
            <v>340</v>
          </cell>
          <cell r="J27">
            <v>-7</v>
          </cell>
          <cell r="K27">
            <v>160</v>
          </cell>
          <cell r="O27">
            <v>66.599999999999994</v>
          </cell>
          <cell r="Q27">
            <v>8.7987987987987992</v>
          </cell>
          <cell r="R27">
            <v>6.3963963963963968</v>
          </cell>
          <cell r="S27">
            <v>78.8</v>
          </cell>
          <cell r="T27">
            <v>76.25</v>
          </cell>
          <cell r="U27">
            <v>88.8</v>
          </cell>
          <cell r="V27">
            <v>75.599999999999994</v>
          </cell>
          <cell r="W27">
            <v>59</v>
          </cell>
          <cell r="X27">
            <v>0</v>
          </cell>
          <cell r="Y27">
            <v>70</v>
          </cell>
          <cell r="Z27">
            <v>14</v>
          </cell>
          <cell r="AA27">
            <v>12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0.25</v>
          </cell>
        </row>
        <row r="28">
          <cell r="A28" t="str">
            <v>Пельмени Grandmeni с говядиной и свининой 0,7кг ТМ Горячая штучка  ПОКОМ</v>
          </cell>
          <cell r="B28" t="str">
            <v>шт</v>
          </cell>
          <cell r="C28">
            <v>168</v>
          </cell>
          <cell r="D28">
            <v>99</v>
          </cell>
          <cell r="E28">
            <v>231</v>
          </cell>
          <cell r="F28">
            <v>32</v>
          </cell>
          <cell r="G28" t="str">
            <v>рот0502</v>
          </cell>
          <cell r="H28" t="e">
            <v>#N/A</v>
          </cell>
          <cell r="I28">
            <v>235</v>
          </cell>
          <cell r="J28">
            <v>-4</v>
          </cell>
          <cell r="K28">
            <v>190</v>
          </cell>
          <cell r="O28">
            <v>46.2</v>
          </cell>
          <cell r="P28">
            <v>180</v>
          </cell>
          <cell r="Q28">
            <v>8.7012987012987004</v>
          </cell>
          <cell r="R28">
            <v>0.69264069264069261</v>
          </cell>
          <cell r="S28">
            <v>57.6</v>
          </cell>
          <cell r="T28">
            <v>43</v>
          </cell>
          <cell r="U28">
            <v>38.200000000000003</v>
          </cell>
          <cell r="V28">
            <v>41</v>
          </cell>
          <cell r="W28">
            <v>56</v>
          </cell>
          <cell r="X28">
            <v>0</v>
          </cell>
          <cell r="Y28">
            <v>84</v>
          </cell>
          <cell r="Z28">
            <v>12</v>
          </cell>
          <cell r="AA28">
            <v>8</v>
          </cell>
          <cell r="AB28">
            <v>24</v>
          </cell>
          <cell r="AC28">
            <v>180</v>
          </cell>
          <cell r="AD28" t="str">
            <v>ябмай</v>
          </cell>
          <cell r="AE28">
            <v>22.5</v>
          </cell>
          <cell r="AF28">
            <v>0.7</v>
          </cell>
        </row>
        <row r="29">
          <cell r="A29" t="str">
            <v>Пельмени Бигбули #МЕГАВКУСИЩЕ с сочной грудинкой ТМ Горячая штучка 0,7 кг. ПОКОМ</v>
          </cell>
          <cell r="B29" t="str">
            <v>шт</v>
          </cell>
          <cell r="C29">
            <v>363</v>
          </cell>
          <cell r="D29">
            <v>968</v>
          </cell>
          <cell r="E29">
            <v>868</v>
          </cell>
          <cell r="F29">
            <v>462</v>
          </cell>
          <cell r="G29" t="str">
            <v>4рот</v>
          </cell>
          <cell r="H29" t="e">
            <v>#N/A</v>
          </cell>
          <cell r="I29">
            <v>845</v>
          </cell>
          <cell r="J29">
            <v>23</v>
          </cell>
          <cell r="K29">
            <v>360</v>
          </cell>
          <cell r="O29">
            <v>173.6</v>
          </cell>
          <cell r="P29">
            <v>600</v>
          </cell>
          <cell r="Q29">
            <v>8.1912442396313363</v>
          </cell>
          <cell r="R29">
            <v>2.6612903225806455</v>
          </cell>
          <cell r="S29">
            <v>185.2</v>
          </cell>
          <cell r="T29">
            <v>159</v>
          </cell>
          <cell r="U29">
            <v>182.2</v>
          </cell>
          <cell r="V29">
            <v>155.6</v>
          </cell>
          <cell r="W29">
            <v>191</v>
          </cell>
          <cell r="X29">
            <v>0</v>
          </cell>
          <cell r="Y29">
            <v>84</v>
          </cell>
          <cell r="Z29">
            <v>12</v>
          </cell>
          <cell r="AA29">
            <v>10</v>
          </cell>
          <cell r="AB29">
            <v>60</v>
          </cell>
          <cell r="AC29">
            <v>600</v>
          </cell>
          <cell r="AD29" t="str">
            <v>ябмай</v>
          </cell>
          <cell r="AE29">
            <v>60</v>
          </cell>
          <cell r="AF29">
            <v>0.7</v>
          </cell>
        </row>
        <row r="30">
          <cell r="A30" t="str">
            <v>Пельмени Бигбули с мясом ТМ Горячая штучка. флоу-пак сфера 0,4 кг. ПОКОМ</v>
          </cell>
          <cell r="B30" t="str">
            <v>шт</v>
          </cell>
          <cell r="C30">
            <v>214</v>
          </cell>
          <cell r="D30">
            <v>200</v>
          </cell>
          <cell r="E30">
            <v>141</v>
          </cell>
          <cell r="F30">
            <v>271</v>
          </cell>
          <cell r="G30" t="str">
            <v>4рот</v>
          </cell>
          <cell r="H30" t="e">
            <v>#N/A</v>
          </cell>
          <cell r="I30">
            <v>133</v>
          </cell>
          <cell r="J30">
            <v>8</v>
          </cell>
          <cell r="K30">
            <v>0</v>
          </cell>
          <cell r="O30">
            <v>28.2</v>
          </cell>
          <cell r="Q30">
            <v>9.6099290780141846</v>
          </cell>
          <cell r="R30">
            <v>9.6099290780141846</v>
          </cell>
          <cell r="S30">
            <v>39</v>
          </cell>
          <cell r="T30">
            <v>32</v>
          </cell>
          <cell r="U30">
            <v>43</v>
          </cell>
          <cell r="V30">
            <v>33.200000000000003</v>
          </cell>
          <cell r="W30">
            <v>28</v>
          </cell>
          <cell r="X30">
            <v>0</v>
          </cell>
          <cell r="Y30">
            <v>84</v>
          </cell>
          <cell r="Z30">
            <v>12</v>
          </cell>
          <cell r="AA30">
            <v>16</v>
          </cell>
          <cell r="AB30">
            <v>0</v>
          </cell>
          <cell r="AC30">
            <v>0</v>
          </cell>
          <cell r="AD30" t="str">
            <v>увел</v>
          </cell>
          <cell r="AE30">
            <v>0</v>
          </cell>
          <cell r="AF30">
            <v>0.4</v>
          </cell>
        </row>
        <row r="31">
          <cell r="A31" t="str">
            <v>Пельмени Бигбули с мясом ТМ Горячая штучка. флоу-пак сфера 0,7 кг ПОКОМ</v>
          </cell>
          <cell r="B31" t="str">
            <v>шт</v>
          </cell>
          <cell r="C31">
            <v>364</v>
          </cell>
          <cell r="D31">
            <v>3132</v>
          </cell>
          <cell r="E31">
            <v>2628</v>
          </cell>
          <cell r="F31">
            <v>837</v>
          </cell>
          <cell r="G31" t="str">
            <v>4рот</v>
          </cell>
          <cell r="H31" t="e">
            <v>#N/A</v>
          </cell>
          <cell r="I31">
            <v>2733</v>
          </cell>
          <cell r="J31">
            <v>-105</v>
          </cell>
          <cell r="K31">
            <v>360</v>
          </cell>
          <cell r="N31">
            <v>400</v>
          </cell>
          <cell r="O31">
            <v>165.6</v>
          </cell>
          <cell r="P31">
            <v>180</v>
          </cell>
          <cell r="Q31">
            <v>8.3152173913043477</v>
          </cell>
          <cell r="R31">
            <v>5.054347826086957</v>
          </cell>
          <cell r="S31">
            <v>253.2</v>
          </cell>
          <cell r="T31">
            <v>188.5</v>
          </cell>
          <cell r="U31">
            <v>182.2</v>
          </cell>
          <cell r="V31">
            <v>185.8</v>
          </cell>
          <cell r="W31">
            <v>227</v>
          </cell>
          <cell r="X31">
            <v>1800</v>
          </cell>
          <cell r="Y31">
            <v>84</v>
          </cell>
          <cell r="Z31">
            <v>12</v>
          </cell>
          <cell r="AA31">
            <v>10</v>
          </cell>
          <cell r="AB31">
            <v>60</v>
          </cell>
          <cell r="AC31">
            <v>580</v>
          </cell>
          <cell r="AD31" t="str">
            <v>оконч</v>
          </cell>
          <cell r="AE31">
            <v>58</v>
          </cell>
          <cell r="AF31">
            <v>0.7</v>
          </cell>
        </row>
        <row r="32">
          <cell r="A32" t="str">
            <v>Пельмени Бигбули со сливочным маслом ТМ Горячая штучка, флоу-пак сфера 0,7. ПОКОМ</v>
          </cell>
          <cell r="B32" t="str">
            <v>шт</v>
          </cell>
          <cell r="C32">
            <v>367</v>
          </cell>
          <cell r="D32">
            <v>2212</v>
          </cell>
          <cell r="E32">
            <v>1228</v>
          </cell>
          <cell r="F32">
            <v>1309</v>
          </cell>
          <cell r="G32" t="str">
            <v>4рот</v>
          </cell>
          <cell r="H32" t="e">
            <v>#N/A</v>
          </cell>
          <cell r="I32">
            <v>1252</v>
          </cell>
          <cell r="J32">
            <v>-24</v>
          </cell>
          <cell r="K32">
            <v>480</v>
          </cell>
          <cell r="O32">
            <v>245.6</v>
          </cell>
          <cell r="P32">
            <v>240</v>
          </cell>
          <cell r="Q32">
            <v>8.2614006514657987</v>
          </cell>
          <cell r="R32">
            <v>5.3298045602605866</v>
          </cell>
          <cell r="S32">
            <v>349.8</v>
          </cell>
          <cell r="T32">
            <v>246.75</v>
          </cell>
          <cell r="U32">
            <v>283</v>
          </cell>
          <cell r="V32">
            <v>306.39999999999998</v>
          </cell>
          <cell r="W32">
            <v>324</v>
          </cell>
          <cell r="X32">
            <v>0</v>
          </cell>
          <cell r="Y32">
            <v>84</v>
          </cell>
          <cell r="Z32">
            <v>12</v>
          </cell>
          <cell r="AA32">
            <v>10</v>
          </cell>
          <cell r="AB32">
            <v>24</v>
          </cell>
          <cell r="AC32">
            <v>240</v>
          </cell>
          <cell r="AD32" t="str">
            <v>оконч жц</v>
          </cell>
          <cell r="AE32">
            <v>24</v>
          </cell>
          <cell r="AF32">
            <v>0.7</v>
          </cell>
        </row>
        <row r="33">
          <cell r="A33" t="str">
            <v>Пельмени Бульмени мини с мясом и cыром ТМ Горячая штучка ТС Бульмени ГШ флоу-пак сфера 0,4 кг  ПОКОМ</v>
          </cell>
          <cell r="B33" t="str">
            <v>шт</v>
          </cell>
          <cell r="C33">
            <v>235</v>
          </cell>
          <cell r="D33">
            <v>10</v>
          </cell>
          <cell r="E33">
            <v>202</v>
          </cell>
          <cell r="F33">
            <v>40</v>
          </cell>
          <cell r="G33" t="str">
            <v>нв11,12,</v>
          </cell>
          <cell r="H33" t="e">
            <v>#N/A</v>
          </cell>
          <cell r="I33">
            <v>210</v>
          </cell>
          <cell r="J33">
            <v>-8</v>
          </cell>
          <cell r="K33">
            <v>180</v>
          </cell>
          <cell r="O33">
            <v>40.4</v>
          </cell>
          <cell r="P33">
            <v>200</v>
          </cell>
          <cell r="Q33">
            <v>10.396039603960396</v>
          </cell>
          <cell r="R33">
            <v>0.99009900990099009</v>
          </cell>
          <cell r="S33">
            <v>29.2</v>
          </cell>
          <cell r="T33">
            <v>30</v>
          </cell>
          <cell r="U33">
            <v>32.4</v>
          </cell>
          <cell r="V33">
            <v>32.4</v>
          </cell>
          <cell r="W33">
            <v>38</v>
          </cell>
          <cell r="X33">
            <v>0</v>
          </cell>
          <cell r="Y33">
            <v>84</v>
          </cell>
          <cell r="Z33">
            <v>12</v>
          </cell>
          <cell r="AA33">
            <v>16</v>
          </cell>
          <cell r="AB33">
            <v>12</v>
          </cell>
          <cell r="AC33">
            <v>200</v>
          </cell>
          <cell r="AD33" t="str">
            <v>увел</v>
          </cell>
          <cell r="AE33">
            <v>12.5</v>
          </cell>
          <cell r="AF33">
            <v>0.4</v>
          </cell>
        </row>
        <row r="34">
          <cell r="A34" t="str">
            <v>Пельмени Бульмени мини с мясом и оливковым маслом 0,7 кг ТМ Горячая штучка  ПОКОМ</v>
          </cell>
          <cell r="B34" t="str">
            <v>шт</v>
          </cell>
          <cell r="C34">
            <v>711</v>
          </cell>
          <cell r="D34">
            <v>768</v>
          </cell>
          <cell r="E34">
            <v>968</v>
          </cell>
          <cell r="F34">
            <v>500</v>
          </cell>
          <cell r="G34">
            <v>0</v>
          </cell>
          <cell r="H34" t="e">
            <v>#N/A</v>
          </cell>
          <cell r="I34">
            <v>971</v>
          </cell>
          <cell r="J34">
            <v>-3</v>
          </cell>
          <cell r="K34">
            <v>480</v>
          </cell>
          <cell r="O34">
            <v>193.6</v>
          </cell>
          <cell r="P34">
            <v>1000</v>
          </cell>
          <cell r="Q34">
            <v>10.227272727272728</v>
          </cell>
          <cell r="R34">
            <v>2.5826446280991737</v>
          </cell>
          <cell r="S34">
            <v>285.8</v>
          </cell>
          <cell r="T34">
            <v>248.25</v>
          </cell>
          <cell r="U34">
            <v>200.4</v>
          </cell>
          <cell r="V34">
            <v>177.8</v>
          </cell>
          <cell r="W34">
            <v>207</v>
          </cell>
          <cell r="X34">
            <v>0</v>
          </cell>
          <cell r="Y34">
            <v>84</v>
          </cell>
          <cell r="Z34">
            <v>12</v>
          </cell>
          <cell r="AA34">
            <v>10</v>
          </cell>
          <cell r="AB34">
            <v>96</v>
          </cell>
          <cell r="AC34">
            <v>1000</v>
          </cell>
          <cell r="AD34" t="str">
            <v>жк-февр</v>
          </cell>
          <cell r="AE34">
            <v>100</v>
          </cell>
          <cell r="AF34">
            <v>0.7</v>
          </cell>
        </row>
        <row r="35">
          <cell r="A35" t="str">
            <v>Пельмени Бульмени Нейробуст с мясом ТМ Горячая штучка ТС Бульмени ГШ сфера флоу-пак 0,6 кг.  ПОКОМ</v>
          </cell>
          <cell r="B35" t="str">
            <v>шт</v>
          </cell>
          <cell r="C35">
            <v>109</v>
          </cell>
          <cell r="D35">
            <v>132</v>
          </cell>
          <cell r="E35">
            <v>104</v>
          </cell>
          <cell r="F35">
            <v>133</v>
          </cell>
          <cell r="G35">
            <v>0</v>
          </cell>
          <cell r="H35" t="e">
            <v>#N/A</v>
          </cell>
          <cell r="I35">
            <v>107</v>
          </cell>
          <cell r="J35">
            <v>-3</v>
          </cell>
          <cell r="K35">
            <v>0</v>
          </cell>
          <cell r="O35">
            <v>20.8</v>
          </cell>
          <cell r="P35">
            <v>120</v>
          </cell>
          <cell r="Q35">
            <v>12.163461538461538</v>
          </cell>
          <cell r="R35">
            <v>6.3942307692307692</v>
          </cell>
          <cell r="S35">
            <v>21</v>
          </cell>
          <cell r="T35">
            <v>15.75</v>
          </cell>
          <cell r="U35">
            <v>21</v>
          </cell>
          <cell r="V35">
            <v>17.8</v>
          </cell>
          <cell r="W35">
            <v>20</v>
          </cell>
          <cell r="X35">
            <v>0</v>
          </cell>
          <cell r="Y35">
            <v>84</v>
          </cell>
          <cell r="Z35">
            <v>12</v>
          </cell>
          <cell r="AA35">
            <v>10</v>
          </cell>
          <cell r="AB35">
            <v>12</v>
          </cell>
          <cell r="AC35">
            <v>120</v>
          </cell>
          <cell r="AD35" t="e">
            <v>#N/A</v>
          </cell>
          <cell r="AE35">
            <v>12</v>
          </cell>
          <cell r="AF35">
            <v>0.6</v>
          </cell>
        </row>
        <row r="36">
          <cell r="A36" t="str">
            <v>Пельмени Бульмени с говядиной и свининой Наваристые 5кг Горячая штучка ВЕС  ПОКОМ</v>
          </cell>
          <cell r="B36" t="str">
            <v>кг</v>
          </cell>
          <cell r="C36">
            <v>590</v>
          </cell>
          <cell r="D36">
            <v>2495</v>
          </cell>
          <cell r="E36">
            <v>2060</v>
          </cell>
          <cell r="F36">
            <v>970</v>
          </cell>
          <cell r="G36">
            <v>0</v>
          </cell>
          <cell r="H36" t="e">
            <v>#N/A</v>
          </cell>
          <cell r="I36">
            <v>2125</v>
          </cell>
          <cell r="J36">
            <v>-65</v>
          </cell>
          <cell r="K36">
            <v>1400</v>
          </cell>
          <cell r="O36">
            <v>412</v>
          </cell>
          <cell r="P36">
            <v>700</v>
          </cell>
          <cell r="Q36">
            <v>7.4514563106796112</v>
          </cell>
          <cell r="R36">
            <v>2.354368932038835</v>
          </cell>
          <cell r="S36">
            <v>378</v>
          </cell>
          <cell r="T36">
            <v>358.75</v>
          </cell>
          <cell r="U36">
            <v>394</v>
          </cell>
          <cell r="V36">
            <v>403</v>
          </cell>
          <cell r="W36">
            <v>445</v>
          </cell>
          <cell r="X36">
            <v>0</v>
          </cell>
          <cell r="Y36">
            <v>144</v>
          </cell>
          <cell r="Z36">
            <v>12</v>
          </cell>
          <cell r="AA36">
            <v>5</v>
          </cell>
          <cell r="AB36">
            <v>144</v>
          </cell>
          <cell r="AC36">
            <v>700</v>
          </cell>
          <cell r="AD36" t="str">
            <v>жк</v>
          </cell>
          <cell r="AE36">
            <v>140</v>
          </cell>
          <cell r="AF36">
            <v>1</v>
          </cell>
        </row>
        <row r="37">
          <cell r="A37" t="str">
            <v>Пельмени Бульмени с говядиной и свининой СЕВЕРНАЯ КОЛЛЕКЦИЯ 0,7кг ТМ Горячая штучка сфера  ПОКОМ</v>
          </cell>
          <cell r="B37" t="str">
            <v>шт</v>
          </cell>
          <cell r="C37">
            <v>96</v>
          </cell>
          <cell r="D37">
            <v>2577</v>
          </cell>
          <cell r="E37">
            <v>1218</v>
          </cell>
          <cell r="F37">
            <v>1437</v>
          </cell>
          <cell r="G37">
            <v>0</v>
          </cell>
          <cell r="H37" t="e">
            <v>#N/A</v>
          </cell>
          <cell r="I37">
            <v>1214</v>
          </cell>
          <cell r="J37">
            <v>4</v>
          </cell>
          <cell r="K37">
            <v>0</v>
          </cell>
          <cell r="O37">
            <v>243.6</v>
          </cell>
          <cell r="P37">
            <v>800</v>
          </cell>
          <cell r="Q37">
            <v>9.1830870279146151</v>
          </cell>
          <cell r="R37">
            <v>5.8990147783251237</v>
          </cell>
          <cell r="S37">
            <v>194</v>
          </cell>
          <cell r="T37">
            <v>135</v>
          </cell>
          <cell r="U37">
            <v>150.19999999999999</v>
          </cell>
          <cell r="V37">
            <v>166.2</v>
          </cell>
          <cell r="W37">
            <v>786</v>
          </cell>
          <cell r="X37">
            <v>0</v>
          </cell>
          <cell r="Y37">
            <v>84</v>
          </cell>
          <cell r="Z37">
            <v>12</v>
          </cell>
          <cell r="AA37">
            <v>10</v>
          </cell>
          <cell r="AB37">
            <v>84</v>
          </cell>
          <cell r="AC37">
            <v>800</v>
          </cell>
          <cell r="AD37" t="str">
            <v>Ларин, яб, борд</v>
          </cell>
          <cell r="AE37">
            <v>80</v>
          </cell>
          <cell r="AF37">
            <v>0.7</v>
          </cell>
        </row>
        <row r="38">
          <cell r="A38" t="str">
            <v>Пельмени Бульмени с говядиной и свининой ТМ Горячая штучка. флоу-пак сфера 0,4 кг ПОКОМ</v>
          </cell>
          <cell r="B38" t="str">
            <v>шт</v>
          </cell>
          <cell r="C38">
            <v>540</v>
          </cell>
          <cell r="D38">
            <v>1199</v>
          </cell>
          <cell r="E38">
            <v>1102</v>
          </cell>
          <cell r="F38">
            <v>626</v>
          </cell>
          <cell r="G38">
            <v>0</v>
          </cell>
          <cell r="H38" t="e">
            <v>#N/A</v>
          </cell>
          <cell r="I38">
            <v>1076</v>
          </cell>
          <cell r="J38">
            <v>26</v>
          </cell>
          <cell r="K38">
            <v>800</v>
          </cell>
          <cell r="O38">
            <v>220.4</v>
          </cell>
          <cell r="P38">
            <v>360</v>
          </cell>
          <cell r="Q38">
            <v>8.1034482758620694</v>
          </cell>
          <cell r="R38">
            <v>2.8402903811252269</v>
          </cell>
          <cell r="S38">
            <v>224</v>
          </cell>
          <cell r="T38">
            <v>215.25</v>
          </cell>
          <cell r="U38">
            <v>217.8</v>
          </cell>
          <cell r="V38">
            <v>220.4</v>
          </cell>
          <cell r="W38">
            <v>266</v>
          </cell>
          <cell r="X38">
            <v>0</v>
          </cell>
          <cell r="Y38">
            <v>84</v>
          </cell>
          <cell r="Z38">
            <v>12</v>
          </cell>
          <cell r="AA38">
            <v>16</v>
          </cell>
          <cell r="AB38">
            <v>24</v>
          </cell>
          <cell r="AC38">
            <v>360</v>
          </cell>
          <cell r="AD38" t="e">
            <v>#N/A</v>
          </cell>
          <cell r="AE38">
            <v>22.5</v>
          </cell>
          <cell r="AF38">
            <v>0.4</v>
          </cell>
        </row>
        <row r="39">
          <cell r="A39" t="str">
            <v>Пельмени Бульмени с говядиной и свининой ТМ Горячая штучка. флоу-пак сфера 0,7 кг ПОКОМ</v>
          </cell>
          <cell r="B39" t="str">
            <v>шт</v>
          </cell>
          <cell r="C39">
            <v>556</v>
          </cell>
          <cell r="D39">
            <v>5632</v>
          </cell>
          <cell r="E39">
            <v>4428</v>
          </cell>
          <cell r="F39">
            <v>1709</v>
          </cell>
          <cell r="G39">
            <v>0</v>
          </cell>
          <cell r="H39" t="e">
            <v>#N/A</v>
          </cell>
          <cell r="I39">
            <v>4409</v>
          </cell>
          <cell r="J39">
            <v>19</v>
          </cell>
          <cell r="K39">
            <v>1200</v>
          </cell>
          <cell r="N39">
            <v>600</v>
          </cell>
          <cell r="O39">
            <v>477.6</v>
          </cell>
          <cell r="P39">
            <v>700</v>
          </cell>
          <cell r="Q39">
            <v>7.5565326633165828</v>
          </cell>
          <cell r="R39">
            <v>3.5783082077051924</v>
          </cell>
          <cell r="S39">
            <v>587.4</v>
          </cell>
          <cell r="T39">
            <v>459.75</v>
          </cell>
          <cell r="U39">
            <v>472.6</v>
          </cell>
          <cell r="V39">
            <v>501</v>
          </cell>
          <cell r="W39">
            <v>573</v>
          </cell>
          <cell r="X39">
            <v>2040</v>
          </cell>
          <cell r="Y39">
            <v>84</v>
          </cell>
          <cell r="Z39">
            <v>12</v>
          </cell>
          <cell r="AA39">
            <v>10</v>
          </cell>
          <cell r="AB39">
            <v>132</v>
          </cell>
          <cell r="AC39">
            <v>1300</v>
          </cell>
          <cell r="AD39">
            <v>0</v>
          </cell>
          <cell r="AE39">
            <v>130</v>
          </cell>
          <cell r="AF39">
            <v>0.7</v>
          </cell>
        </row>
        <row r="40">
          <cell r="A40" t="str">
            <v>Пельмени Бульмени со сливочным маслом ТМ Горячая штучка. флоу-пак сфера 0,4 кг. ПОКОМ</v>
          </cell>
          <cell r="B40" t="str">
            <v>шт</v>
          </cell>
          <cell r="C40">
            <v>682</v>
          </cell>
          <cell r="D40">
            <v>1434</v>
          </cell>
          <cell r="E40">
            <v>1155</v>
          </cell>
          <cell r="F40">
            <v>909</v>
          </cell>
          <cell r="G40">
            <v>0</v>
          </cell>
          <cell r="H40" t="e">
            <v>#N/A</v>
          </cell>
          <cell r="I40">
            <v>1296</v>
          </cell>
          <cell r="J40">
            <v>-141</v>
          </cell>
          <cell r="K40">
            <v>960</v>
          </cell>
          <cell r="O40">
            <v>231</v>
          </cell>
          <cell r="P40">
            <v>200</v>
          </cell>
          <cell r="Q40">
            <v>8.9567099567099575</v>
          </cell>
          <cell r="R40">
            <v>3.9350649350649349</v>
          </cell>
          <cell r="S40">
            <v>296.60000000000002</v>
          </cell>
          <cell r="T40">
            <v>249.75</v>
          </cell>
          <cell r="U40">
            <v>250.4</v>
          </cell>
          <cell r="V40">
            <v>265.60000000000002</v>
          </cell>
          <cell r="W40">
            <v>301</v>
          </cell>
          <cell r="X40">
            <v>0</v>
          </cell>
          <cell r="Y40">
            <v>84</v>
          </cell>
          <cell r="Z40">
            <v>12</v>
          </cell>
          <cell r="AA40">
            <v>16</v>
          </cell>
          <cell r="AB40">
            <v>12</v>
          </cell>
          <cell r="AC40">
            <v>200</v>
          </cell>
          <cell r="AD40" t="e">
            <v>#N/A</v>
          </cell>
          <cell r="AE40">
            <v>12.5</v>
          </cell>
          <cell r="AF40">
            <v>0.4</v>
          </cell>
        </row>
        <row r="41">
          <cell r="A41" t="str">
            <v>Пельмени Бульмени со сливочным маслом ТМ Горячая штучка.флоу-пак сфера 0,7 кг. ПОКОМ</v>
          </cell>
          <cell r="B41" t="str">
            <v>шт</v>
          </cell>
          <cell r="C41">
            <v>710</v>
          </cell>
          <cell r="D41">
            <v>5998</v>
          </cell>
          <cell r="E41">
            <v>4799</v>
          </cell>
          <cell r="F41">
            <v>1828</v>
          </cell>
          <cell r="G41">
            <v>0</v>
          </cell>
          <cell r="H41" t="e">
            <v>#N/A</v>
          </cell>
          <cell r="I41">
            <v>4887</v>
          </cell>
          <cell r="J41">
            <v>-88</v>
          </cell>
          <cell r="K41">
            <v>1600</v>
          </cell>
          <cell r="N41">
            <v>1000</v>
          </cell>
          <cell r="O41">
            <v>527.79999999999995</v>
          </cell>
          <cell r="P41">
            <v>600</v>
          </cell>
          <cell r="Q41">
            <v>7.6316786661614255</v>
          </cell>
          <cell r="R41">
            <v>3.4634331186055327</v>
          </cell>
          <cell r="S41">
            <v>699</v>
          </cell>
          <cell r="T41">
            <v>477.25</v>
          </cell>
          <cell r="U41">
            <v>531.79999999999995</v>
          </cell>
          <cell r="V41">
            <v>578.6</v>
          </cell>
          <cell r="W41">
            <v>555</v>
          </cell>
          <cell r="X41">
            <v>2160</v>
          </cell>
          <cell r="Y41">
            <v>84</v>
          </cell>
          <cell r="Z41">
            <v>12</v>
          </cell>
          <cell r="AA41">
            <v>10</v>
          </cell>
          <cell r="AB41">
            <v>156</v>
          </cell>
          <cell r="AC41">
            <v>1600</v>
          </cell>
          <cell r="AD41">
            <v>0</v>
          </cell>
          <cell r="AE41">
            <v>160</v>
          </cell>
          <cell r="AF41">
            <v>0.7</v>
          </cell>
        </row>
        <row r="42">
          <cell r="A42" t="str">
            <v>Пельмени Бульмени хрустящие с мясом 0,22 кг ТМ Горячая штучка  ПОКОМ</v>
          </cell>
          <cell r="B42" t="str">
            <v>шт</v>
          </cell>
          <cell r="C42">
            <v>233</v>
          </cell>
          <cell r="D42">
            <v>10</v>
          </cell>
          <cell r="E42">
            <v>216</v>
          </cell>
          <cell r="F42">
            <v>21</v>
          </cell>
          <cell r="G42">
            <v>0</v>
          </cell>
          <cell r="H42" t="e">
            <v>#N/A</v>
          </cell>
          <cell r="I42">
            <v>223</v>
          </cell>
          <cell r="J42">
            <v>-7</v>
          </cell>
          <cell r="K42">
            <v>160</v>
          </cell>
          <cell r="O42">
            <v>43.2</v>
          </cell>
          <cell r="P42">
            <v>170</v>
          </cell>
          <cell r="Q42">
            <v>8.125</v>
          </cell>
          <cell r="R42">
            <v>0.4861111111111111</v>
          </cell>
          <cell r="S42">
            <v>30.6</v>
          </cell>
          <cell r="T42">
            <v>37</v>
          </cell>
          <cell r="U42">
            <v>34.200000000000003</v>
          </cell>
          <cell r="V42">
            <v>33.6</v>
          </cell>
          <cell r="W42">
            <v>55</v>
          </cell>
          <cell r="X42">
            <v>0</v>
          </cell>
          <cell r="Y42">
            <v>70</v>
          </cell>
          <cell r="Z42">
            <v>14</v>
          </cell>
          <cell r="AA42">
            <v>12</v>
          </cell>
          <cell r="AB42">
            <v>14</v>
          </cell>
          <cell r="AC42">
            <v>170</v>
          </cell>
          <cell r="AD42" t="e">
            <v>#N/A</v>
          </cell>
          <cell r="AE42">
            <v>14.166666666666666</v>
          </cell>
          <cell r="AF42">
            <v>0.22</v>
          </cell>
        </row>
        <row r="43">
          <cell r="A43" t="str">
            <v>Пельмени Добросельские со свининой и говядиной ТМ Стародворье флоу-пак клас. форма 0,65 кг.  ПОКОМ</v>
          </cell>
          <cell r="B43" t="str">
            <v>шт</v>
          </cell>
          <cell r="C43">
            <v>-4</v>
          </cell>
          <cell r="D43">
            <v>14</v>
          </cell>
          <cell r="E43">
            <v>6</v>
          </cell>
          <cell r="G43" t="str">
            <v>вв1401</v>
          </cell>
          <cell r="H43" t="e">
            <v>#N/A</v>
          </cell>
          <cell r="I43">
            <v>10</v>
          </cell>
          <cell r="J43">
            <v>-4</v>
          </cell>
          <cell r="K43">
            <v>0</v>
          </cell>
          <cell r="O43">
            <v>1.2</v>
          </cell>
          <cell r="Q43">
            <v>0</v>
          </cell>
          <cell r="R43">
            <v>0</v>
          </cell>
          <cell r="S43">
            <v>13</v>
          </cell>
          <cell r="T43">
            <v>8.25</v>
          </cell>
          <cell r="U43">
            <v>13.6</v>
          </cell>
          <cell r="V43">
            <v>4.2</v>
          </cell>
          <cell r="W43">
            <v>0</v>
          </cell>
          <cell r="X43">
            <v>0</v>
          </cell>
          <cell r="Y43">
            <v>84</v>
          </cell>
          <cell r="Z43">
            <v>12</v>
          </cell>
          <cell r="AA43">
            <v>8</v>
          </cell>
          <cell r="AB43">
            <v>0</v>
          </cell>
          <cell r="AC43">
            <v>0</v>
          </cell>
          <cell r="AD43" t="str">
            <v>увел</v>
          </cell>
          <cell r="AE43">
            <v>0</v>
          </cell>
          <cell r="AF43">
            <v>0</v>
          </cell>
        </row>
        <row r="44">
          <cell r="A44" t="str">
            <v>Пельмени Мясные с говядиной ТМ Стародворье сфера флоу-пак 1 кг  ПОКОМ</v>
          </cell>
          <cell r="B44" t="str">
            <v>шт</v>
          </cell>
          <cell r="C44">
            <v>354</v>
          </cell>
          <cell r="D44">
            <v>453</v>
          </cell>
          <cell r="E44">
            <v>488</v>
          </cell>
          <cell r="F44">
            <v>302</v>
          </cell>
          <cell r="G44">
            <v>0</v>
          </cell>
          <cell r="H44" t="e">
            <v>#N/A</v>
          </cell>
          <cell r="I44">
            <v>510</v>
          </cell>
          <cell r="J44">
            <v>-22</v>
          </cell>
          <cell r="K44">
            <v>300</v>
          </cell>
          <cell r="O44">
            <v>97.6</v>
          </cell>
          <cell r="P44">
            <v>180</v>
          </cell>
          <cell r="Q44">
            <v>8.0122950819672134</v>
          </cell>
          <cell r="R44">
            <v>3.0942622950819674</v>
          </cell>
          <cell r="S44">
            <v>95.4</v>
          </cell>
          <cell r="T44">
            <v>104.5</v>
          </cell>
          <cell r="U44">
            <v>111.2</v>
          </cell>
          <cell r="V44">
            <v>97.8</v>
          </cell>
          <cell r="W44">
            <v>118</v>
          </cell>
          <cell r="X44">
            <v>0</v>
          </cell>
          <cell r="Y44">
            <v>84</v>
          </cell>
          <cell r="Z44">
            <v>12</v>
          </cell>
          <cell r="AA44">
            <v>5</v>
          </cell>
          <cell r="AB44">
            <v>36</v>
          </cell>
          <cell r="AC44">
            <v>180</v>
          </cell>
          <cell r="AD44">
            <v>0</v>
          </cell>
          <cell r="AE44">
            <v>36</v>
          </cell>
          <cell r="AF44">
            <v>1</v>
          </cell>
        </row>
        <row r="45">
          <cell r="A45" t="str">
            <v>Пельмени Отборные из свинины и говядины 0,9 кг ТМ Стародворье ТС Медвежье ушко  ПОКОМ</v>
          </cell>
          <cell r="B45" t="str">
            <v>шт</v>
          </cell>
          <cell r="C45">
            <v>228</v>
          </cell>
          <cell r="D45">
            <v>1123</v>
          </cell>
          <cell r="E45">
            <v>756</v>
          </cell>
          <cell r="F45">
            <v>568</v>
          </cell>
          <cell r="G45" t="str">
            <v>ак</v>
          </cell>
          <cell r="H45">
            <v>180</v>
          </cell>
          <cell r="I45">
            <v>775</v>
          </cell>
          <cell r="J45">
            <v>-19</v>
          </cell>
          <cell r="K45">
            <v>400</v>
          </cell>
          <cell r="O45">
            <v>151.19999999999999</v>
          </cell>
          <cell r="P45">
            <v>280</v>
          </cell>
          <cell r="Q45">
            <v>8.2539682539682548</v>
          </cell>
          <cell r="R45">
            <v>3.7566137566137567</v>
          </cell>
          <cell r="S45">
            <v>130.4</v>
          </cell>
          <cell r="T45">
            <v>135.5</v>
          </cell>
          <cell r="U45">
            <v>153.4</v>
          </cell>
          <cell r="V45">
            <v>163.6</v>
          </cell>
          <cell r="W45">
            <v>218</v>
          </cell>
          <cell r="X45">
            <v>0</v>
          </cell>
          <cell r="Y45">
            <v>84</v>
          </cell>
          <cell r="Z45">
            <v>12</v>
          </cell>
          <cell r="AA45">
            <v>8</v>
          </cell>
          <cell r="AB45">
            <v>36</v>
          </cell>
          <cell r="AC45">
            <v>280</v>
          </cell>
          <cell r="AD45" t="str">
            <v>жц, 800</v>
          </cell>
          <cell r="AE45">
            <v>35</v>
          </cell>
          <cell r="AF45">
            <v>0.9</v>
          </cell>
        </row>
        <row r="46">
          <cell r="A46" t="str">
            <v>Пельмени С говядиной и свининой, ВЕС, сфера пуговки Мясная Галерея  ПОКОМ</v>
          </cell>
          <cell r="B46" t="str">
            <v>кг</v>
          </cell>
          <cell r="C46">
            <v>275</v>
          </cell>
          <cell r="D46">
            <v>520</v>
          </cell>
          <cell r="E46">
            <v>545</v>
          </cell>
          <cell r="F46">
            <v>220</v>
          </cell>
          <cell r="G46">
            <v>1</v>
          </cell>
          <cell r="H46">
            <v>90</v>
          </cell>
          <cell r="I46">
            <v>575</v>
          </cell>
          <cell r="J46">
            <v>-30</v>
          </cell>
          <cell r="K46">
            <v>420</v>
          </cell>
          <cell r="O46">
            <v>109</v>
          </cell>
          <cell r="P46">
            <v>240</v>
          </cell>
          <cell r="Q46">
            <v>8.0733944954128436</v>
          </cell>
          <cell r="R46">
            <v>2.0183486238532109</v>
          </cell>
          <cell r="S46">
            <v>116</v>
          </cell>
          <cell r="T46">
            <v>96.25</v>
          </cell>
          <cell r="U46">
            <v>85</v>
          </cell>
          <cell r="V46">
            <v>110</v>
          </cell>
          <cell r="W46">
            <v>120</v>
          </cell>
          <cell r="X46">
            <v>0</v>
          </cell>
          <cell r="Y46">
            <v>144</v>
          </cell>
          <cell r="Z46">
            <v>12</v>
          </cell>
          <cell r="AA46">
            <v>5</v>
          </cell>
          <cell r="AB46">
            <v>48</v>
          </cell>
          <cell r="AC46">
            <v>240</v>
          </cell>
          <cell r="AD46">
            <v>0</v>
          </cell>
          <cell r="AE46">
            <v>48</v>
          </cell>
          <cell r="AF46">
            <v>1</v>
          </cell>
        </row>
        <row r="47">
          <cell r="A47" t="str">
            <v>Пельмени Со свининой и говядиной ТМ Особый рецепт Любимая ложка 1,0 кг  ПОКОМ</v>
          </cell>
          <cell r="B47" t="str">
            <v>шт</v>
          </cell>
          <cell r="C47">
            <v>350</v>
          </cell>
          <cell r="D47">
            <v>869</v>
          </cell>
          <cell r="E47">
            <v>652</v>
          </cell>
          <cell r="F47">
            <v>543</v>
          </cell>
          <cell r="G47">
            <v>1</v>
          </cell>
          <cell r="H47">
            <v>120</v>
          </cell>
          <cell r="I47">
            <v>671</v>
          </cell>
          <cell r="J47">
            <v>-19</v>
          </cell>
          <cell r="K47">
            <v>300</v>
          </cell>
          <cell r="O47">
            <v>130.4</v>
          </cell>
          <cell r="P47">
            <v>180</v>
          </cell>
          <cell r="Q47">
            <v>7.845092024539877</v>
          </cell>
          <cell r="R47">
            <v>4.1641104294478524</v>
          </cell>
          <cell r="S47">
            <v>177.2</v>
          </cell>
          <cell r="T47">
            <v>128.5</v>
          </cell>
          <cell r="U47">
            <v>160.19999999999999</v>
          </cell>
          <cell r="V47">
            <v>138.19999999999999</v>
          </cell>
          <cell r="W47">
            <v>134</v>
          </cell>
          <cell r="X47">
            <v>0</v>
          </cell>
          <cell r="Y47">
            <v>84</v>
          </cell>
          <cell r="Z47">
            <v>12</v>
          </cell>
          <cell r="AA47">
            <v>5</v>
          </cell>
          <cell r="AB47">
            <v>36</v>
          </cell>
          <cell r="AC47">
            <v>180</v>
          </cell>
          <cell r="AD47" t="str">
            <v>оконч</v>
          </cell>
          <cell r="AE47">
            <v>36</v>
          </cell>
          <cell r="AF47">
            <v>1</v>
          </cell>
        </row>
        <row r="48">
          <cell r="A48" t="str">
            <v>Пельмени Сочные сфера 0,8 кг ТМ Стародворье  ПОКОМ</v>
          </cell>
          <cell r="B48" t="str">
            <v>шт</v>
          </cell>
          <cell r="C48">
            <v>134</v>
          </cell>
          <cell r="D48">
            <v>308</v>
          </cell>
          <cell r="E48">
            <v>236</v>
          </cell>
          <cell r="F48">
            <v>192</v>
          </cell>
          <cell r="G48">
            <v>1</v>
          </cell>
          <cell r="H48" t="e">
            <v>#N/A</v>
          </cell>
          <cell r="I48">
            <v>254</v>
          </cell>
          <cell r="J48">
            <v>-18</v>
          </cell>
          <cell r="K48">
            <v>120</v>
          </cell>
          <cell r="O48">
            <v>47.2</v>
          </cell>
          <cell r="P48">
            <v>80</v>
          </cell>
          <cell r="Q48">
            <v>8.3050847457627111</v>
          </cell>
          <cell r="R48">
            <v>4.0677966101694913</v>
          </cell>
          <cell r="S48">
            <v>5.8</v>
          </cell>
          <cell r="T48">
            <v>16.5</v>
          </cell>
          <cell r="U48">
            <v>38.200000000000003</v>
          </cell>
          <cell r="V48">
            <v>32.6</v>
          </cell>
          <cell r="W48">
            <v>47</v>
          </cell>
          <cell r="X48">
            <v>0</v>
          </cell>
          <cell r="Y48">
            <v>84</v>
          </cell>
          <cell r="Z48">
            <v>12</v>
          </cell>
          <cell r="AA48">
            <v>8</v>
          </cell>
          <cell r="AB48">
            <v>12</v>
          </cell>
          <cell r="AC48">
            <v>80</v>
          </cell>
          <cell r="AD48" t="str">
            <v>увел</v>
          </cell>
          <cell r="AE48">
            <v>10</v>
          </cell>
          <cell r="AF48">
            <v>0.8</v>
          </cell>
        </row>
        <row r="49">
          <cell r="A49" t="str">
            <v>Пирожки с мясом 3,7кг ВЕС ТМ Зареченские  ПОКОМ</v>
          </cell>
          <cell r="B49" t="str">
            <v>кг</v>
          </cell>
          <cell r="C49">
            <v>-10.816000000000001</v>
          </cell>
          <cell r="D49">
            <v>262.7</v>
          </cell>
          <cell r="E49">
            <v>88.8</v>
          </cell>
          <cell r="F49">
            <v>163.084</v>
          </cell>
          <cell r="G49">
            <v>0</v>
          </cell>
          <cell r="H49" t="e">
            <v>#N/A</v>
          </cell>
          <cell r="I49">
            <v>88.8</v>
          </cell>
          <cell r="J49">
            <v>0</v>
          </cell>
          <cell r="K49">
            <v>40</v>
          </cell>
          <cell r="O49">
            <v>17.759999999999998</v>
          </cell>
          <cell r="Q49">
            <v>11.434909909909912</v>
          </cell>
          <cell r="R49">
            <v>9.1826576576576588</v>
          </cell>
          <cell r="S49">
            <v>23.681000000000001</v>
          </cell>
          <cell r="T49">
            <v>12.95</v>
          </cell>
          <cell r="U49">
            <v>24.36</v>
          </cell>
          <cell r="V49">
            <v>24.420200000000001</v>
          </cell>
          <cell r="W49">
            <v>18.5</v>
          </cell>
          <cell r="X49">
            <v>0</v>
          </cell>
          <cell r="Y49">
            <v>126</v>
          </cell>
          <cell r="Z49">
            <v>14</v>
          </cell>
          <cell r="AA49">
            <v>3.7</v>
          </cell>
          <cell r="AB49">
            <v>0</v>
          </cell>
          <cell r="AC49">
            <v>0</v>
          </cell>
          <cell r="AD49" t="str">
            <v>увел</v>
          </cell>
          <cell r="AE49">
            <v>0</v>
          </cell>
          <cell r="AF49">
            <v>1</v>
          </cell>
        </row>
        <row r="50">
          <cell r="A50" t="str">
            <v>Сочный мегачебурек ТМ Зареченские ВЕС ПОКОМ</v>
          </cell>
          <cell r="B50" t="str">
            <v>кг</v>
          </cell>
          <cell r="C50">
            <v>105.38800000000001</v>
          </cell>
          <cell r="D50">
            <v>64.959999999999994</v>
          </cell>
          <cell r="E50">
            <v>105.28</v>
          </cell>
          <cell r="F50">
            <v>62.828000000000003</v>
          </cell>
          <cell r="G50">
            <v>0</v>
          </cell>
          <cell r="H50" t="e">
            <v>#N/A</v>
          </cell>
          <cell r="I50">
            <v>108.45</v>
          </cell>
          <cell r="J50">
            <v>-3.1700000000000017</v>
          </cell>
          <cell r="K50">
            <v>90</v>
          </cell>
          <cell r="O50">
            <v>21.056000000000001</v>
          </cell>
          <cell r="P50">
            <v>30</v>
          </cell>
          <cell r="Q50">
            <v>8.682940729483283</v>
          </cell>
          <cell r="R50">
            <v>2.9838525835866263</v>
          </cell>
          <cell r="S50">
            <v>26.463999999999999</v>
          </cell>
          <cell r="T50">
            <v>28.56</v>
          </cell>
          <cell r="U50">
            <v>25.066399999999998</v>
          </cell>
          <cell r="V50">
            <v>22.4</v>
          </cell>
          <cell r="W50">
            <v>11.2</v>
          </cell>
          <cell r="X50">
            <v>0</v>
          </cell>
          <cell r="Y50">
            <v>126</v>
          </cell>
          <cell r="Z50">
            <v>14</v>
          </cell>
          <cell r="AA50">
            <v>2.2400000000000002</v>
          </cell>
          <cell r="AB50">
            <v>14</v>
          </cell>
          <cell r="AC50">
            <v>30</v>
          </cell>
          <cell r="AD50" t="e">
            <v>#N/A</v>
          </cell>
          <cell r="AE50">
            <v>13.392857142857142</v>
          </cell>
          <cell r="AF50">
            <v>1</v>
          </cell>
        </row>
        <row r="51">
          <cell r="A51" t="str">
            <v>Хот-догстер ТМ Горячая штучка ТС Хот-Догстер флоу-пак 0,09 кг. ПОКОМ</v>
          </cell>
          <cell r="B51" t="str">
            <v>шт</v>
          </cell>
          <cell r="C51">
            <v>210</v>
          </cell>
          <cell r="D51">
            <v>426</v>
          </cell>
          <cell r="E51">
            <v>299</v>
          </cell>
          <cell r="F51">
            <v>337</v>
          </cell>
          <cell r="G51">
            <v>0</v>
          </cell>
          <cell r="H51" t="e">
            <v>#N/A</v>
          </cell>
          <cell r="I51">
            <v>284</v>
          </cell>
          <cell r="J51">
            <v>15</v>
          </cell>
          <cell r="K51">
            <v>300</v>
          </cell>
          <cell r="O51">
            <v>59.8</v>
          </cell>
          <cell r="Q51">
            <v>10.652173913043478</v>
          </cell>
          <cell r="R51">
            <v>5.6354515050167224</v>
          </cell>
          <cell r="S51">
            <v>62.2</v>
          </cell>
          <cell r="T51">
            <v>72.75</v>
          </cell>
          <cell r="U51">
            <v>56.4</v>
          </cell>
          <cell r="V51">
            <v>68.599999999999994</v>
          </cell>
          <cell r="W51">
            <v>41</v>
          </cell>
          <cell r="X51">
            <v>0</v>
          </cell>
          <cell r="Y51">
            <v>126</v>
          </cell>
          <cell r="Z51">
            <v>14</v>
          </cell>
          <cell r="AA51">
            <v>30</v>
          </cell>
          <cell r="AB51">
            <v>0</v>
          </cell>
          <cell r="AC51">
            <v>0</v>
          </cell>
          <cell r="AD51" t="str">
            <v>яблоко</v>
          </cell>
          <cell r="AE51">
            <v>0</v>
          </cell>
          <cell r="AF51">
            <v>0.09</v>
          </cell>
        </row>
        <row r="52">
          <cell r="A52" t="str">
            <v>Хотстеры с сыром 0,25кг ТМ Горячая штучка  ПОКОМ</v>
          </cell>
          <cell r="B52" t="str">
            <v>шт</v>
          </cell>
          <cell r="C52">
            <v>367</v>
          </cell>
          <cell r="D52">
            <v>703</v>
          </cell>
          <cell r="E52">
            <v>584</v>
          </cell>
          <cell r="F52">
            <v>471</v>
          </cell>
          <cell r="G52">
            <v>0</v>
          </cell>
          <cell r="H52" t="e">
            <v>#N/A</v>
          </cell>
          <cell r="I52">
            <v>613</v>
          </cell>
          <cell r="J52">
            <v>-29</v>
          </cell>
          <cell r="K52">
            <v>320</v>
          </cell>
          <cell r="O52">
            <v>116.8</v>
          </cell>
          <cell r="P52">
            <v>150</v>
          </cell>
          <cell r="Q52">
            <v>8.0565068493150687</v>
          </cell>
          <cell r="R52">
            <v>4.0325342465753424</v>
          </cell>
          <cell r="S52">
            <v>131.6</v>
          </cell>
          <cell r="T52">
            <v>143.25</v>
          </cell>
          <cell r="U52">
            <v>132</v>
          </cell>
          <cell r="V52">
            <v>118.2</v>
          </cell>
          <cell r="W52">
            <v>115</v>
          </cell>
          <cell r="X52">
            <v>0</v>
          </cell>
          <cell r="Y52">
            <v>70</v>
          </cell>
          <cell r="Z52">
            <v>14</v>
          </cell>
          <cell r="AA52">
            <v>12</v>
          </cell>
          <cell r="AB52">
            <v>14</v>
          </cell>
          <cell r="AC52">
            <v>150</v>
          </cell>
          <cell r="AD52" t="e">
            <v>#N/A</v>
          </cell>
          <cell r="AE52">
            <v>12.5</v>
          </cell>
          <cell r="AF52">
            <v>0.25</v>
          </cell>
        </row>
        <row r="53">
          <cell r="A53" t="str">
            <v>Хотстеры ТМ Горячая штучка ТС Хотстеры 0,25 кг зам  ПОКОМ</v>
          </cell>
          <cell r="B53" t="str">
            <v>шт</v>
          </cell>
          <cell r="C53">
            <v>978</v>
          </cell>
          <cell r="D53">
            <v>3949</v>
          </cell>
          <cell r="E53">
            <v>3809</v>
          </cell>
          <cell r="F53">
            <v>1064</v>
          </cell>
          <cell r="G53" t="str">
            <v>пуд,яб</v>
          </cell>
          <cell r="H53">
            <v>180</v>
          </cell>
          <cell r="I53">
            <v>3781</v>
          </cell>
          <cell r="J53">
            <v>28</v>
          </cell>
          <cell r="K53">
            <v>1200</v>
          </cell>
          <cell r="O53">
            <v>392.2</v>
          </cell>
          <cell r="P53">
            <v>720</v>
          </cell>
          <cell r="Q53">
            <v>7.6083630800611939</v>
          </cell>
          <cell r="R53">
            <v>2.712901580826109</v>
          </cell>
          <cell r="S53">
            <v>385</v>
          </cell>
          <cell r="T53">
            <v>426.5</v>
          </cell>
          <cell r="U53">
            <v>410.2</v>
          </cell>
          <cell r="V53">
            <v>410.4</v>
          </cell>
          <cell r="W53">
            <v>431</v>
          </cell>
          <cell r="X53">
            <v>1848</v>
          </cell>
          <cell r="Y53">
            <v>70</v>
          </cell>
          <cell r="Z53">
            <v>14</v>
          </cell>
          <cell r="AA53">
            <v>12</v>
          </cell>
          <cell r="AB53">
            <v>56</v>
          </cell>
          <cell r="AC53">
            <v>720</v>
          </cell>
          <cell r="AD53">
            <v>0</v>
          </cell>
          <cell r="AE53">
            <v>60</v>
          </cell>
          <cell r="AF53">
            <v>0.25</v>
          </cell>
        </row>
        <row r="54">
          <cell r="A54" t="str">
            <v>Хрустящие крылышки острые к пиву ТМ Горячая штучка 0,3кг зам  ПОКОМ</v>
          </cell>
          <cell r="B54" t="str">
            <v>шт</v>
          </cell>
          <cell r="C54">
            <v>294</v>
          </cell>
          <cell r="D54">
            <v>861</v>
          </cell>
          <cell r="E54">
            <v>615</v>
          </cell>
          <cell r="F54">
            <v>532</v>
          </cell>
          <cell r="G54">
            <v>1</v>
          </cell>
          <cell r="H54">
            <v>180</v>
          </cell>
          <cell r="I54">
            <v>654</v>
          </cell>
          <cell r="J54">
            <v>-39</v>
          </cell>
          <cell r="K54">
            <v>700</v>
          </cell>
          <cell r="O54">
            <v>123</v>
          </cell>
          <cell r="Q54">
            <v>10.016260162601625</v>
          </cell>
          <cell r="R54">
            <v>4.3252032520325203</v>
          </cell>
          <cell r="S54">
            <v>133.6</v>
          </cell>
          <cell r="T54">
            <v>151</v>
          </cell>
          <cell r="U54">
            <v>125</v>
          </cell>
          <cell r="V54">
            <v>158.6</v>
          </cell>
          <cell r="W54">
            <v>122</v>
          </cell>
          <cell r="X54">
            <v>0</v>
          </cell>
          <cell r="Y54">
            <v>70</v>
          </cell>
          <cell r="Z54">
            <v>14</v>
          </cell>
          <cell r="AA54">
            <v>12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0.3</v>
          </cell>
        </row>
        <row r="55">
          <cell r="A55" t="str">
            <v>Хрустящие крылышки ТМ Горячая штучка 0,3 кг зам  ПОКОМ</v>
          </cell>
          <cell r="B55" t="str">
            <v>шт</v>
          </cell>
          <cell r="C55">
            <v>316</v>
          </cell>
          <cell r="D55">
            <v>871</v>
          </cell>
          <cell r="E55">
            <v>660</v>
          </cell>
          <cell r="F55">
            <v>516</v>
          </cell>
          <cell r="G55">
            <v>1</v>
          </cell>
          <cell r="H55">
            <v>180</v>
          </cell>
          <cell r="I55">
            <v>654</v>
          </cell>
          <cell r="J55">
            <v>6</v>
          </cell>
          <cell r="K55">
            <v>460</v>
          </cell>
          <cell r="O55">
            <v>132</v>
          </cell>
          <cell r="P55">
            <v>150</v>
          </cell>
          <cell r="Q55">
            <v>8.5303030303030312</v>
          </cell>
          <cell r="R55">
            <v>3.9090909090909092</v>
          </cell>
          <cell r="S55">
            <v>139.80000000000001</v>
          </cell>
          <cell r="T55">
            <v>146.75</v>
          </cell>
          <cell r="U55">
            <v>137.4</v>
          </cell>
          <cell r="V55">
            <v>143.80000000000001</v>
          </cell>
          <cell r="W55">
            <v>165</v>
          </cell>
          <cell r="X55">
            <v>0</v>
          </cell>
          <cell r="Y55">
            <v>70</v>
          </cell>
          <cell r="Z55">
            <v>14</v>
          </cell>
          <cell r="AA55">
            <v>12</v>
          </cell>
          <cell r="AB55">
            <v>14</v>
          </cell>
          <cell r="AC55">
            <v>150</v>
          </cell>
          <cell r="AD55">
            <v>0</v>
          </cell>
          <cell r="AE55">
            <v>12.5</v>
          </cell>
          <cell r="AF55">
            <v>0.3</v>
          </cell>
        </row>
        <row r="56">
          <cell r="A56" t="str">
            <v>Чебупели Курочка гриль ТМ Горячая штучка, 0,3 кг зам  ПОКОМ</v>
          </cell>
          <cell r="B56" t="str">
            <v>шт</v>
          </cell>
          <cell r="C56">
            <v>2443</v>
          </cell>
          <cell r="D56">
            <v>13</v>
          </cell>
          <cell r="E56">
            <v>310</v>
          </cell>
          <cell r="F56">
            <v>2146</v>
          </cell>
          <cell r="G56">
            <v>1</v>
          </cell>
          <cell r="H56">
            <v>180</v>
          </cell>
          <cell r="I56">
            <v>309</v>
          </cell>
          <cell r="J56">
            <v>1</v>
          </cell>
          <cell r="K56">
            <v>0</v>
          </cell>
          <cell r="O56">
            <v>62</v>
          </cell>
          <cell r="Q56">
            <v>34.612903225806448</v>
          </cell>
          <cell r="R56">
            <v>34.612903225806448</v>
          </cell>
          <cell r="S56">
            <v>61.2</v>
          </cell>
          <cell r="T56">
            <v>49</v>
          </cell>
          <cell r="U56">
            <v>63.8</v>
          </cell>
          <cell r="V56">
            <v>54.2</v>
          </cell>
          <cell r="W56">
            <v>57</v>
          </cell>
          <cell r="X56">
            <v>0</v>
          </cell>
          <cell r="Y56">
            <v>70</v>
          </cell>
          <cell r="Z56">
            <v>14</v>
          </cell>
          <cell r="AA56">
            <v>14</v>
          </cell>
          <cell r="AB56">
            <v>0</v>
          </cell>
          <cell r="AC56">
            <v>0</v>
          </cell>
          <cell r="AD56" t="str">
            <v>увел</v>
          </cell>
          <cell r="AE56">
            <v>0</v>
          </cell>
          <cell r="AF56">
            <v>0.3</v>
          </cell>
        </row>
        <row r="57">
          <cell r="A57" t="str">
            <v>Чебупицца курочка по-итальянски Горячая штучка 0,25 кг зам  ПОКОМ</v>
          </cell>
          <cell r="B57" t="str">
            <v>шт</v>
          </cell>
          <cell r="C57">
            <v>1104</v>
          </cell>
          <cell r="D57">
            <v>4636</v>
          </cell>
          <cell r="E57">
            <v>4187</v>
          </cell>
          <cell r="F57">
            <v>1090</v>
          </cell>
          <cell r="G57">
            <v>1</v>
          </cell>
          <cell r="H57">
            <v>180</v>
          </cell>
          <cell r="I57">
            <v>4540</v>
          </cell>
          <cell r="J57">
            <v>-353</v>
          </cell>
          <cell r="K57">
            <v>1100</v>
          </cell>
          <cell r="N57">
            <v>1200</v>
          </cell>
          <cell r="O57">
            <v>422.2</v>
          </cell>
          <cell r="P57">
            <v>1000</v>
          </cell>
          <cell r="Q57">
            <v>7.5556608242539083</v>
          </cell>
          <cell r="R57">
            <v>2.581714827096163</v>
          </cell>
          <cell r="S57">
            <v>467.2</v>
          </cell>
          <cell r="T57">
            <v>492.75</v>
          </cell>
          <cell r="U57">
            <v>458.8</v>
          </cell>
          <cell r="V57">
            <v>417.2</v>
          </cell>
          <cell r="W57">
            <v>470</v>
          </cell>
          <cell r="X57">
            <v>2076</v>
          </cell>
          <cell r="Y57">
            <v>70</v>
          </cell>
          <cell r="Z57">
            <v>14</v>
          </cell>
          <cell r="AA57">
            <v>12</v>
          </cell>
          <cell r="AB57">
            <v>182</v>
          </cell>
          <cell r="AC57">
            <v>2200</v>
          </cell>
          <cell r="AD57">
            <v>0</v>
          </cell>
          <cell r="AE57">
            <v>183.33333333333334</v>
          </cell>
          <cell r="AF57">
            <v>0.25</v>
          </cell>
        </row>
        <row r="58">
          <cell r="A58" t="str">
            <v>Чебупицца Маргарита 0,2кг ТМ Горячая штучка ТС Foodgital  ПОКОМ</v>
          </cell>
          <cell r="B58" t="str">
            <v>шт</v>
          </cell>
          <cell r="C58">
            <v>249</v>
          </cell>
          <cell r="D58">
            <v>284</v>
          </cell>
          <cell r="E58">
            <v>344</v>
          </cell>
          <cell r="F58">
            <v>177</v>
          </cell>
          <cell r="G58">
            <v>0</v>
          </cell>
          <cell r="H58">
            <v>0</v>
          </cell>
          <cell r="I58">
            <v>356</v>
          </cell>
          <cell r="J58">
            <v>-12</v>
          </cell>
          <cell r="K58">
            <v>240</v>
          </cell>
          <cell r="O58">
            <v>68.8</v>
          </cell>
          <cell r="P58">
            <v>150</v>
          </cell>
          <cell r="Q58">
            <v>8.2412790697674421</v>
          </cell>
          <cell r="R58">
            <v>2.5726744186046511</v>
          </cell>
          <cell r="S58">
            <v>72</v>
          </cell>
          <cell r="T58">
            <v>79.25</v>
          </cell>
          <cell r="U58">
            <v>66.2</v>
          </cell>
          <cell r="V58">
            <v>63</v>
          </cell>
          <cell r="W58">
            <v>48</v>
          </cell>
          <cell r="X58">
            <v>0</v>
          </cell>
          <cell r="Y58">
            <v>140</v>
          </cell>
          <cell r="Z58">
            <v>14</v>
          </cell>
          <cell r="AA58">
            <v>6</v>
          </cell>
          <cell r="AB58">
            <v>28</v>
          </cell>
          <cell r="AC58">
            <v>150</v>
          </cell>
          <cell r="AD58">
            <v>0</v>
          </cell>
          <cell r="AE58">
            <v>25</v>
          </cell>
          <cell r="AF58">
            <v>0.2</v>
          </cell>
        </row>
        <row r="59">
          <cell r="A59" t="str">
            <v>Чебупицца Пепперони ТМ Горячая штучка ТС Чебупицца 0.25кг зам  ПОКОМ</v>
          </cell>
          <cell r="B59" t="str">
            <v>шт</v>
          </cell>
          <cell r="C59">
            <v>1766</v>
          </cell>
          <cell r="D59">
            <v>6011</v>
          </cell>
          <cell r="E59">
            <v>6016</v>
          </cell>
          <cell r="F59">
            <v>1686</v>
          </cell>
          <cell r="G59">
            <v>1</v>
          </cell>
          <cell r="H59">
            <v>180</v>
          </cell>
          <cell r="I59">
            <v>6083</v>
          </cell>
          <cell r="J59">
            <v>-67</v>
          </cell>
          <cell r="K59">
            <v>2000</v>
          </cell>
          <cell r="N59">
            <v>960</v>
          </cell>
          <cell r="O59">
            <v>732.8</v>
          </cell>
          <cell r="P59">
            <v>1800</v>
          </cell>
          <cell r="Q59">
            <v>7.4863537117903931</v>
          </cell>
          <cell r="R59">
            <v>2.3007641921397379</v>
          </cell>
          <cell r="S59">
            <v>825.4</v>
          </cell>
          <cell r="T59">
            <v>751</v>
          </cell>
          <cell r="U59">
            <v>769.4</v>
          </cell>
          <cell r="V59">
            <v>720</v>
          </cell>
          <cell r="W59">
            <v>876</v>
          </cell>
          <cell r="X59">
            <v>2352</v>
          </cell>
          <cell r="Y59">
            <v>70</v>
          </cell>
          <cell r="Z59">
            <v>14</v>
          </cell>
          <cell r="AA59">
            <v>12</v>
          </cell>
          <cell r="AB59">
            <v>224</v>
          </cell>
          <cell r="AC59">
            <v>2760</v>
          </cell>
          <cell r="AD59">
            <v>0</v>
          </cell>
          <cell r="AE59">
            <v>230</v>
          </cell>
          <cell r="AF59">
            <v>0.25</v>
          </cell>
        </row>
        <row r="60">
          <cell r="A60" t="str">
            <v>Чебупицца со вкусом 4 сыра 0,2кг ТМ Горячая штучка ТС Foodgital  ПОКОМ</v>
          </cell>
          <cell r="B60" t="str">
            <v>шт</v>
          </cell>
          <cell r="C60">
            <v>87</v>
          </cell>
          <cell r="D60">
            <v>364</v>
          </cell>
          <cell r="E60">
            <v>301</v>
          </cell>
          <cell r="F60">
            <v>135</v>
          </cell>
          <cell r="G60">
            <v>0</v>
          </cell>
          <cell r="H60">
            <v>0</v>
          </cell>
          <cell r="I60">
            <v>316</v>
          </cell>
          <cell r="J60">
            <v>-15</v>
          </cell>
          <cell r="K60">
            <v>90</v>
          </cell>
          <cell r="O60">
            <v>60.2</v>
          </cell>
          <cell r="P60">
            <v>200</v>
          </cell>
          <cell r="Q60">
            <v>7.059800664451827</v>
          </cell>
          <cell r="R60">
            <v>2.2425249169435215</v>
          </cell>
          <cell r="S60">
            <v>51.4</v>
          </cell>
          <cell r="T60">
            <v>53.25</v>
          </cell>
          <cell r="U60">
            <v>54.2</v>
          </cell>
          <cell r="V60">
            <v>48.2</v>
          </cell>
          <cell r="W60">
            <v>60</v>
          </cell>
          <cell r="X60">
            <v>0</v>
          </cell>
          <cell r="Y60">
            <v>140</v>
          </cell>
          <cell r="Z60">
            <v>14</v>
          </cell>
          <cell r="AA60">
            <v>6</v>
          </cell>
          <cell r="AB60">
            <v>28</v>
          </cell>
          <cell r="AC60">
            <v>200</v>
          </cell>
          <cell r="AD60">
            <v>0</v>
          </cell>
          <cell r="AE60">
            <v>33.333333333333336</v>
          </cell>
          <cell r="AF60">
            <v>0.2</v>
          </cell>
        </row>
        <row r="61">
          <cell r="A61" t="str">
            <v>Чебуреки сочные ВЕС ТМ Зареченские  ПОКОМ</v>
          </cell>
          <cell r="B61" t="str">
            <v>кг</v>
          </cell>
          <cell r="C61">
            <v>239</v>
          </cell>
          <cell r="D61">
            <v>2215</v>
          </cell>
          <cell r="E61">
            <v>1515</v>
          </cell>
          <cell r="F61">
            <v>904</v>
          </cell>
          <cell r="G61">
            <v>1</v>
          </cell>
          <cell r="H61" t="e">
            <v>#N/A</v>
          </cell>
          <cell r="I61">
            <v>1554</v>
          </cell>
          <cell r="J61">
            <v>-39</v>
          </cell>
          <cell r="K61">
            <v>500</v>
          </cell>
          <cell r="O61">
            <v>303</v>
          </cell>
          <cell r="P61">
            <v>600</v>
          </cell>
          <cell r="Q61">
            <v>6.6138613861386135</v>
          </cell>
          <cell r="R61">
            <v>2.9834983498349836</v>
          </cell>
          <cell r="S61">
            <v>253</v>
          </cell>
          <cell r="T61">
            <v>203.75</v>
          </cell>
          <cell r="U61">
            <v>273</v>
          </cell>
          <cell r="V61">
            <v>264.2</v>
          </cell>
          <cell r="W61">
            <v>325</v>
          </cell>
          <cell r="X61">
            <v>0</v>
          </cell>
          <cell r="Y61">
            <v>84</v>
          </cell>
          <cell r="Z61">
            <v>12</v>
          </cell>
          <cell r="AA61">
            <v>5</v>
          </cell>
          <cell r="AB61">
            <v>120</v>
          </cell>
          <cell r="AC61">
            <v>600</v>
          </cell>
          <cell r="AD61" t="str">
            <v>оконч жц</v>
          </cell>
          <cell r="AE61">
            <v>120</v>
          </cell>
          <cell r="AF61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23.01.2026 - 29.01.2026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16.02</v>
          </cell>
          <cell r="F7">
            <v>642.43200000000002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50.579000000000001</v>
          </cell>
          <cell r="F8">
            <v>1476.0650000000001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57.71</v>
          </cell>
          <cell r="F9">
            <v>1694.9559999999999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1240</v>
          </cell>
          <cell r="F10">
            <v>4223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456</v>
          </cell>
          <cell r="F11">
            <v>4829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F12">
            <v>22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1237</v>
          </cell>
          <cell r="F13">
            <v>6157</v>
          </cell>
        </row>
        <row r="14">
          <cell r="A14" t="str">
            <v xml:space="preserve"> 043  Ветчина Нежная ТМ Особый рецепт, п/а, 0,4кг    ПОКОМ</v>
          </cell>
          <cell r="D14">
            <v>6</v>
          </cell>
          <cell r="F14">
            <v>79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14</v>
          </cell>
          <cell r="F15">
            <v>336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4</v>
          </cell>
          <cell r="F16">
            <v>395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25</v>
          </cell>
          <cell r="F17">
            <v>1200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7</v>
          </cell>
          <cell r="F18">
            <v>255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3</v>
          </cell>
          <cell r="F19">
            <v>103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D20">
            <v>4</v>
          </cell>
          <cell r="F20">
            <v>182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4</v>
          </cell>
          <cell r="F21">
            <v>499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21.898</v>
          </cell>
          <cell r="F22">
            <v>649.81200000000001</v>
          </cell>
        </row>
        <row r="23">
          <cell r="A23" t="str">
            <v xml:space="preserve"> 201  Ветчина Нежная ТМ Особый рецепт, (2,5кг), ПОКОМ</v>
          </cell>
          <cell r="D23">
            <v>286.40100000000001</v>
          </cell>
          <cell r="F23">
            <v>5995.8090000000002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4.3879999999999999</v>
          </cell>
          <cell r="F24">
            <v>346.09300000000002</v>
          </cell>
        </row>
        <row r="25">
          <cell r="A25" t="str">
            <v xml:space="preserve"> 216  Колбаса Докторская ГОСТ, фиброуз ВАКУУМ ВЕС, ТМ Стародворье ПОКОМ</v>
          </cell>
          <cell r="D25">
            <v>1</v>
          </cell>
          <cell r="F25">
            <v>1</v>
          </cell>
        </row>
        <row r="26">
          <cell r="A26" t="str">
            <v xml:space="preserve"> 219  Колбаса Докторская Особая ТМ Особый рецепт, ВЕС  ПОКОМ</v>
          </cell>
          <cell r="F26">
            <v>15</v>
          </cell>
        </row>
        <row r="27">
          <cell r="A27" t="str">
            <v xml:space="preserve"> 226  Колбаса Княжеская, с/к белков.обол в термоусад. пакете, ВЕС, ТМ Стародворье ПОКОМ</v>
          </cell>
          <cell r="F27">
            <v>0.9</v>
          </cell>
        </row>
        <row r="28">
          <cell r="A28" t="str">
            <v xml:space="preserve"> 229  Колбаса Молочная Дугушка, в/у, ВЕС, ТМ Стародворье   ПОКОМ</v>
          </cell>
          <cell r="D28">
            <v>36.738</v>
          </cell>
          <cell r="F28">
            <v>686.98500000000001</v>
          </cell>
        </row>
        <row r="29">
          <cell r="A29" t="str">
            <v xml:space="preserve"> 236  Колбаса Рубленая ЗАПЕЧ. Дугушка ТМ Стародворье, вектор, в/к    ПОКОМ</v>
          </cell>
          <cell r="D29">
            <v>3.5880000000000001</v>
          </cell>
          <cell r="F29">
            <v>199.88499999999999</v>
          </cell>
        </row>
        <row r="30">
          <cell r="A30" t="str">
            <v xml:space="preserve"> 239  Колбаса Салями запеч Дугушка, оболочка вектор, ВЕС, ТМ Стародворье  ПОКОМ</v>
          </cell>
          <cell r="D30">
            <v>4.3259999999999996</v>
          </cell>
          <cell r="F30">
            <v>334.44600000000003</v>
          </cell>
        </row>
        <row r="31">
          <cell r="A31" t="str">
            <v xml:space="preserve"> 240  Колбаса Салями охотничья, ВЕС. ПОКОМ</v>
          </cell>
          <cell r="F31">
            <v>2.65</v>
          </cell>
        </row>
        <row r="32">
          <cell r="A32" t="str">
            <v xml:space="preserve"> 242  Колбаса Сервелат ЗАПЕЧ.Дугушка ТМ Стародворье, вектор, в/к     ПОКОМ</v>
          </cell>
          <cell r="D32">
            <v>12.448</v>
          </cell>
          <cell r="F32">
            <v>393.85</v>
          </cell>
        </row>
        <row r="33">
          <cell r="A33" t="str">
            <v xml:space="preserve"> 246  Колбаса Стародворская,ТС Старый двор  ПОКОМ</v>
          </cell>
          <cell r="F33">
            <v>1.7</v>
          </cell>
        </row>
        <row r="34">
          <cell r="A34" t="str">
            <v xml:space="preserve"> 247  Сардельки Нежные, ВЕС.  ПОКОМ</v>
          </cell>
          <cell r="D34">
            <v>6.89</v>
          </cell>
          <cell r="F34">
            <v>118.971</v>
          </cell>
        </row>
        <row r="35">
          <cell r="A35" t="str">
            <v xml:space="preserve"> 248  Сардельки Сочные ТМ Особый рецепт,   ПОКОМ</v>
          </cell>
          <cell r="D35">
            <v>5.5</v>
          </cell>
          <cell r="F35">
            <v>154.91499999999999</v>
          </cell>
        </row>
        <row r="36">
          <cell r="A36" t="str">
            <v xml:space="preserve"> 250  Сардельки стародворские с говядиной в обол. NDX, ВЕС. ПОКОМ</v>
          </cell>
          <cell r="D36">
            <v>79.375</v>
          </cell>
          <cell r="F36">
            <v>1973.9780000000001</v>
          </cell>
        </row>
        <row r="37">
          <cell r="A37" t="str">
            <v xml:space="preserve"> 255  Сосиски Молочные для завтрака ТМ Особый рецепт, п/а МГС, ВЕС, ТМ Стародворье  ПОКОМ</v>
          </cell>
          <cell r="D37">
            <v>2.8</v>
          </cell>
          <cell r="F37">
            <v>109.05</v>
          </cell>
        </row>
        <row r="38">
          <cell r="A38" t="str">
            <v xml:space="preserve"> 257  Сосиски Молочные оригинальные ТМ Особый рецепт, ВЕС.   ПОКОМ</v>
          </cell>
          <cell r="D38">
            <v>1.4</v>
          </cell>
          <cell r="F38">
            <v>73.3</v>
          </cell>
        </row>
        <row r="39">
          <cell r="A39" t="str">
            <v xml:space="preserve"> 263  Шпикачки Стародворские, ВЕС.  ПОКОМ</v>
          </cell>
          <cell r="D39">
            <v>32.07</v>
          </cell>
          <cell r="F39">
            <v>997.96500000000003</v>
          </cell>
        </row>
        <row r="40">
          <cell r="A40" t="str">
            <v xml:space="preserve"> 265  Колбаса Балыкбургская, ВЕС, ТМ Баварушка  ПОКОМ</v>
          </cell>
          <cell r="F40">
            <v>0.8</v>
          </cell>
        </row>
        <row r="41">
          <cell r="A41" t="str">
            <v xml:space="preserve"> 266  Колбаса Филейбургская с сочным окороком, ВЕС, ТМ Баварушка  ПОКОМ</v>
          </cell>
          <cell r="F41">
            <v>0.9</v>
          </cell>
        </row>
        <row r="42">
          <cell r="A42" t="str">
            <v xml:space="preserve"> 272  Колбаса Сервелат Филедворский, фиброуз, в/у 0,35 кг срез,  ПОКОМ</v>
          </cell>
          <cell r="D42">
            <v>930</v>
          </cell>
          <cell r="F42">
            <v>2925</v>
          </cell>
        </row>
        <row r="43">
          <cell r="A43" t="str">
            <v xml:space="preserve"> 273  Сосиски Сочинки с сочной грудинкой, МГС 0.4кг,   ПОКОМ</v>
          </cell>
          <cell r="D43">
            <v>898</v>
          </cell>
          <cell r="F43">
            <v>3819</v>
          </cell>
        </row>
        <row r="44">
          <cell r="A44" t="str">
            <v xml:space="preserve"> 276  Колбаса Сливушка ТМ Вязанка в оболочке полиамид 0,45 кг  ПОКОМ</v>
          </cell>
          <cell r="D44">
            <v>2161</v>
          </cell>
          <cell r="F44">
            <v>4936</v>
          </cell>
        </row>
        <row r="45">
          <cell r="A45" t="str">
            <v xml:space="preserve"> 278  Сосиски Сочинки с сочным окороком, МГС 0.4кг,   ПОКОМ</v>
          </cell>
          <cell r="D45">
            <v>1</v>
          </cell>
          <cell r="F45">
            <v>2</v>
          </cell>
        </row>
        <row r="46">
          <cell r="A46" t="str">
            <v xml:space="preserve"> 281  Сосиски Молочные для завтрака ТМ Особый рецепт, 0,4кг  ПОКОМ</v>
          </cell>
          <cell r="F46">
            <v>4</v>
          </cell>
        </row>
        <row r="47">
          <cell r="A47" t="str">
            <v xml:space="preserve"> 283  Сосиски Сочинки, ВЕС, ТМ Стародворье ПОКОМ</v>
          </cell>
          <cell r="D47">
            <v>18.899999999999999</v>
          </cell>
          <cell r="F47">
            <v>532.41800000000001</v>
          </cell>
        </row>
        <row r="48">
          <cell r="A48" t="str">
            <v xml:space="preserve"> 285  Паштет печеночный со слив.маслом ТМ Стародворье ламистер 0,1 кг  ПОКОМ</v>
          </cell>
          <cell r="D48">
            <v>38</v>
          </cell>
          <cell r="F48">
            <v>961</v>
          </cell>
        </row>
        <row r="49">
          <cell r="A49" t="str">
            <v xml:space="preserve"> 291  Сосиски Молокуши миникушай ТМ Вязанка, 0.33кг, ПОКОМ</v>
          </cell>
          <cell r="F49">
            <v>17</v>
          </cell>
        </row>
        <row r="50">
          <cell r="A50" t="str">
            <v xml:space="preserve"> 296  Колбаса Мясорубская с рубленой грудинкой 0,35кг срез ТМ Стародворье  ПОКОМ</v>
          </cell>
          <cell r="D50">
            <v>20</v>
          </cell>
          <cell r="F50">
            <v>1046</v>
          </cell>
        </row>
        <row r="51">
          <cell r="A51" t="str">
            <v xml:space="preserve"> 297  Колбаса Мясорубская с рубленой грудинкой ВЕС ТМ Стародворье  ПОКОМ</v>
          </cell>
          <cell r="D51">
            <v>2.8</v>
          </cell>
          <cell r="F51">
            <v>215.15</v>
          </cell>
        </row>
        <row r="52">
          <cell r="A52" t="str">
            <v xml:space="preserve"> 298  Колбаса Сливушка ТМ Вязанка, 0,375кг,  ПОКОМ</v>
          </cell>
          <cell r="D52">
            <v>3</v>
          </cell>
          <cell r="F52">
            <v>27</v>
          </cell>
        </row>
        <row r="53">
          <cell r="A53" t="str">
            <v xml:space="preserve"> 301  Сосиски Сочинки по-баварски с сыром,  0.4кг, ТМ Стародворье  ПОКОМ</v>
          </cell>
          <cell r="D53">
            <v>13</v>
          </cell>
          <cell r="F53">
            <v>764</v>
          </cell>
        </row>
        <row r="54">
          <cell r="A54" t="str">
            <v xml:space="preserve"> 302  Сосиски Сочинки по-баварски,  0.4кг, ТМ Стародворье  ПОКОМ</v>
          </cell>
          <cell r="D54">
            <v>33</v>
          </cell>
          <cell r="F54">
            <v>1908</v>
          </cell>
        </row>
        <row r="55">
          <cell r="A55" t="str">
            <v xml:space="preserve"> 304  Колбаса Салями Мясорубская с рубленным шпиком ВЕС ТМ Стародворье  ПОКОМ</v>
          </cell>
          <cell r="D55">
            <v>2.1</v>
          </cell>
          <cell r="F55">
            <v>156.6</v>
          </cell>
        </row>
        <row r="56">
          <cell r="A56" t="str">
            <v xml:space="preserve"> 305  Колбаса Сервелат Мясорубский с мелкорубленным окороком в/у  ТМ Стародворье ВЕС   ПОКОМ</v>
          </cell>
          <cell r="D56">
            <v>20.8</v>
          </cell>
          <cell r="F56">
            <v>363.07</v>
          </cell>
        </row>
        <row r="57">
          <cell r="A57" t="str">
            <v xml:space="preserve"> 306  Колбаса Салями Мясорубская с рубленым шпиком 0,35 кг срез ТМ Стародворье   Поком</v>
          </cell>
          <cell r="D57">
            <v>36</v>
          </cell>
          <cell r="F57">
            <v>1446</v>
          </cell>
        </row>
        <row r="58">
          <cell r="A58" t="str">
            <v xml:space="preserve"> 307  Колбаса Сервелат Мясорубский с мелкорубленным окороком 0,35 кг срез ТМ Стародворье   Поком</v>
          </cell>
          <cell r="D58">
            <v>47</v>
          </cell>
          <cell r="F58">
            <v>2142</v>
          </cell>
        </row>
        <row r="59">
          <cell r="A59" t="str">
            <v xml:space="preserve"> 309  Сосиски Сочинки с сыром 0,4 кг ТМ Стародворье  ПОКОМ</v>
          </cell>
          <cell r="D59">
            <v>28</v>
          </cell>
          <cell r="F59">
            <v>1180</v>
          </cell>
        </row>
        <row r="60">
          <cell r="A60" t="str">
            <v xml:space="preserve"> 312  Ветчина Филейская ВЕС ТМ  Вязанка ТС Столичная  ПОКОМ</v>
          </cell>
          <cell r="D60">
            <v>39.555999999999997</v>
          </cell>
          <cell r="F60">
            <v>852.93799999999999</v>
          </cell>
        </row>
        <row r="61">
          <cell r="A61" t="str">
            <v xml:space="preserve"> 315  Колбаса вареная Молокуша ТМ Вязанка ВЕС, ПОКОМ</v>
          </cell>
          <cell r="D61">
            <v>16.86</v>
          </cell>
          <cell r="F61">
            <v>585.55799999999999</v>
          </cell>
        </row>
        <row r="62">
          <cell r="A62" t="str">
            <v xml:space="preserve"> 316  Колбаса Нежная ТМ Зареченские ВЕС  ПОКОМ</v>
          </cell>
          <cell r="D62">
            <v>2.6019999999999999</v>
          </cell>
          <cell r="F62">
            <v>168.50200000000001</v>
          </cell>
        </row>
        <row r="63">
          <cell r="A63" t="str">
            <v xml:space="preserve"> 317 Колбаса Сервелат Рижский ТМ Зареченские, ВЕС  ПОКОМ</v>
          </cell>
          <cell r="F63">
            <v>0.8</v>
          </cell>
        </row>
        <row r="64">
          <cell r="A64" t="str">
            <v xml:space="preserve"> 318  Сосиски Датские ТМ Зареченские, ВЕС  ПОКОМ</v>
          </cell>
          <cell r="D64">
            <v>80.7</v>
          </cell>
          <cell r="F64">
            <v>5119.9709999999995</v>
          </cell>
        </row>
        <row r="65">
          <cell r="A65" t="str">
            <v xml:space="preserve"> 319  Колбаса вареная Филейская ТМ Вязанка ТС Классическая, 0,45 кг. ПОКОМ</v>
          </cell>
          <cell r="D65">
            <v>1568</v>
          </cell>
          <cell r="F65">
            <v>5532</v>
          </cell>
        </row>
        <row r="66">
          <cell r="A66" t="str">
            <v xml:space="preserve"> 322  Колбаса вареная Молокуша 0,45кг ТМ Вязанка  ПОКОМ</v>
          </cell>
          <cell r="D66">
            <v>879</v>
          </cell>
          <cell r="F66">
            <v>5121</v>
          </cell>
        </row>
        <row r="67">
          <cell r="A67" t="str">
            <v xml:space="preserve"> 324  Ветчина Филейская ТМ Вязанка Столичная 0,45 кг ПОКОМ</v>
          </cell>
          <cell r="D67">
            <v>36</v>
          </cell>
          <cell r="F67">
            <v>1591</v>
          </cell>
        </row>
        <row r="68">
          <cell r="A68" t="str">
            <v xml:space="preserve"> 328  Сардельки Сочинки Стародворье ТМ  0,4 кг ПОКОМ</v>
          </cell>
          <cell r="D68">
            <v>11</v>
          </cell>
          <cell r="F68">
            <v>379</v>
          </cell>
        </row>
        <row r="69">
          <cell r="A69" t="str">
            <v xml:space="preserve"> 329  Сардельки Сочинки с сыром Стародворье ТМ, 0,4 кг. ПОКОМ</v>
          </cell>
          <cell r="D69">
            <v>8</v>
          </cell>
          <cell r="F69">
            <v>260</v>
          </cell>
        </row>
        <row r="70">
          <cell r="A70" t="str">
            <v xml:space="preserve"> 330  Колбаса вареная Филейская ТМ Вязанка ТС Классическая ВЕС  ПОКОМ</v>
          </cell>
          <cell r="D70">
            <v>31.3</v>
          </cell>
          <cell r="F70">
            <v>999.08600000000001</v>
          </cell>
        </row>
        <row r="71">
          <cell r="A71" t="str">
            <v xml:space="preserve"> 333  Колбаса Балыковая, Вязанка фиброуз в/у, ВЕС ПОКОМ</v>
          </cell>
          <cell r="D71">
            <v>0.8</v>
          </cell>
          <cell r="F71">
            <v>52.42</v>
          </cell>
        </row>
        <row r="72">
          <cell r="A72" t="str">
            <v xml:space="preserve"> 334  Паштет Любительский ТМ Стародворье ламистер 0,1 кг  ПОКОМ</v>
          </cell>
          <cell r="D72">
            <v>23</v>
          </cell>
          <cell r="F72">
            <v>674</v>
          </cell>
        </row>
        <row r="73">
          <cell r="A73" t="str">
            <v xml:space="preserve"> 335  Колбаса Сливушка ТМ Вязанка. ВЕС.  ПОКОМ </v>
          </cell>
          <cell r="D73">
            <v>2.71</v>
          </cell>
          <cell r="F73">
            <v>189.29300000000001</v>
          </cell>
        </row>
        <row r="74">
          <cell r="A74" t="str">
            <v xml:space="preserve"> 338  Паштет печеночный с морковью ТМ Стародворье ламистер 0,1 кг.  ПОКОМ</v>
          </cell>
          <cell r="D74">
            <v>7</v>
          </cell>
          <cell r="F74">
            <v>231</v>
          </cell>
        </row>
        <row r="75">
          <cell r="A75" t="str">
            <v xml:space="preserve"> 342 Сосиски Сочинки Молочные ТМ Стародворье 0,4 кг ПОКОМ</v>
          </cell>
          <cell r="D75">
            <v>866</v>
          </cell>
          <cell r="F75">
            <v>3999</v>
          </cell>
        </row>
        <row r="76">
          <cell r="A76" t="str">
            <v xml:space="preserve"> 343 Сосиски Сочинки Сливочные ТМ Стародворье  0,4 кг</v>
          </cell>
          <cell r="D76">
            <v>51</v>
          </cell>
          <cell r="F76">
            <v>2659</v>
          </cell>
        </row>
        <row r="77">
          <cell r="A77" t="str">
            <v xml:space="preserve"> 344  Колбаса Сочинка по-европейски с сочной грудинкой ТМ Стародворье, ВЕС ПОКОМ</v>
          </cell>
          <cell r="D77">
            <v>23.73</v>
          </cell>
          <cell r="F77">
            <v>447.58</v>
          </cell>
        </row>
        <row r="78">
          <cell r="A78" t="str">
            <v xml:space="preserve"> 345  Колбаса Сочинка по-фински с сочным окроком ТМ Стародворье ВЕС ПОКОМ</v>
          </cell>
          <cell r="D78">
            <v>10.6</v>
          </cell>
          <cell r="F78">
            <v>197.75</v>
          </cell>
        </row>
        <row r="79">
          <cell r="A79" t="str">
            <v xml:space="preserve"> 346  Колбаса Сочинка зернистая с сочной грудинкой ТМ Стародворье.ВЕС ПОКОМ</v>
          </cell>
          <cell r="D79">
            <v>58.85</v>
          </cell>
          <cell r="F79">
            <v>1829.1120000000001</v>
          </cell>
        </row>
        <row r="80">
          <cell r="A80" t="str">
            <v xml:space="preserve"> 347  Колбаса Сочинка рубленая с сочным окороком ТМ Стародворье ВЕС ПОКОМ</v>
          </cell>
          <cell r="D80">
            <v>2.7</v>
          </cell>
          <cell r="F80">
            <v>258.89999999999998</v>
          </cell>
        </row>
        <row r="81">
          <cell r="A81" t="str">
            <v xml:space="preserve"> 353  Колбаса Салями запеченная ТМ Стародворье ТС Дугушка. 0,6 кг ПОКОМ</v>
          </cell>
          <cell r="F81">
            <v>116</v>
          </cell>
        </row>
        <row r="82">
          <cell r="A82" t="str">
            <v xml:space="preserve"> 354  Колбаса Рубленая запеченная ТМ Стародворье,ТС Дугушка  0,6 кг ПОКОМ</v>
          </cell>
          <cell r="D82">
            <v>7</v>
          </cell>
          <cell r="F82">
            <v>389</v>
          </cell>
        </row>
        <row r="83">
          <cell r="A83" t="str">
            <v xml:space="preserve"> 355  Колбаса Сервелат запеченный ТМ Стародворье ТС Дугушка. 0,6 кг. ПОКОМ</v>
          </cell>
          <cell r="D83">
            <v>11</v>
          </cell>
          <cell r="F83">
            <v>487</v>
          </cell>
        </row>
        <row r="84">
          <cell r="A84" t="str">
            <v xml:space="preserve"> 364  Сардельки Филейские Вязанка ВЕС NDX ТМ Вязанка  ПОКОМ</v>
          </cell>
          <cell r="D84">
            <v>1.4</v>
          </cell>
          <cell r="F84">
            <v>181.95099999999999</v>
          </cell>
        </row>
        <row r="85">
          <cell r="A85" t="str">
            <v xml:space="preserve"> 376  Колбаса Докторская Дугушка 0,6кг ГОСТ ТМ Стародворье  ПОКОМ </v>
          </cell>
          <cell r="D85">
            <v>4</v>
          </cell>
          <cell r="F85">
            <v>907</v>
          </cell>
        </row>
        <row r="86">
          <cell r="A86" t="str">
            <v xml:space="preserve"> 377  Колбаса Молочная Дугушка 0,6кг ТМ Стародворье  ПОКОМ</v>
          </cell>
          <cell r="D86">
            <v>16</v>
          </cell>
          <cell r="F86">
            <v>1014</v>
          </cell>
        </row>
        <row r="87">
          <cell r="A87" t="str">
            <v xml:space="preserve"> 387  Колбаса вареная Мусульманская Халяль ТМ Вязанка, 0,4 кг ПОКОМ</v>
          </cell>
          <cell r="D87">
            <v>23</v>
          </cell>
          <cell r="F87">
            <v>934</v>
          </cell>
        </row>
        <row r="88">
          <cell r="A88" t="str">
            <v xml:space="preserve"> 388  Сосиски Восточные Халяль ТМ Вязанка 0,33 кг АК. ПОКОМ</v>
          </cell>
          <cell r="D88">
            <v>24</v>
          </cell>
          <cell r="F88">
            <v>871</v>
          </cell>
        </row>
        <row r="89">
          <cell r="A89" t="str">
            <v xml:space="preserve"> 394 Колбаса полукопченая Аль-Ислами халяль ТМ Вязанка оболочка фиброуз в в/у 0,35 кг  ПОКОМ</v>
          </cell>
          <cell r="D89">
            <v>30</v>
          </cell>
          <cell r="F89">
            <v>653</v>
          </cell>
        </row>
        <row r="90">
          <cell r="A90" t="str">
            <v xml:space="preserve"> 405  Сардельки Сливушки ТМ Вязанка в оболочке айпил 0,33 кг. ПОКОМ</v>
          </cell>
          <cell r="D90">
            <v>1</v>
          </cell>
          <cell r="F90">
            <v>656</v>
          </cell>
        </row>
        <row r="91">
          <cell r="A91" t="str">
            <v xml:space="preserve"> 410  Сосиски Баварские с сыром ТМ Стародворье 0,35 кг. ПОКОМ</v>
          </cell>
          <cell r="D91">
            <v>1663</v>
          </cell>
          <cell r="F91">
            <v>8701</v>
          </cell>
        </row>
        <row r="92">
          <cell r="A92" t="str">
            <v xml:space="preserve"> 412  Сосиски Баварские ТМ Стародворье 0,35 кг ПОКОМ</v>
          </cell>
          <cell r="D92">
            <v>1957</v>
          </cell>
          <cell r="F92">
            <v>10169</v>
          </cell>
        </row>
        <row r="93">
          <cell r="A93" t="str">
            <v xml:space="preserve"> 430  Колбаса Стародворская с окороком 0,4 кг. ТМ Стародворье в оболочке полиамид  ПОКОМ</v>
          </cell>
          <cell r="D93">
            <v>12</v>
          </cell>
          <cell r="F93">
            <v>420</v>
          </cell>
        </row>
        <row r="94">
          <cell r="A94" t="str">
            <v xml:space="preserve"> 431  Колбаса Стародворская с окороком в оболочке полиамид ТМ Стародворье ВЕС ПОКОМ</v>
          </cell>
          <cell r="D94">
            <v>7.25</v>
          </cell>
          <cell r="F94">
            <v>233.20099999999999</v>
          </cell>
        </row>
        <row r="95">
          <cell r="A95" t="str">
            <v xml:space="preserve"> 435  Колбаса Молочная Стародворская  с молоком в оболочке полиамид 0,4 кг.ТМ Стародворье ПОКОМ</v>
          </cell>
          <cell r="D95">
            <v>7</v>
          </cell>
          <cell r="F95">
            <v>235</v>
          </cell>
        </row>
        <row r="96">
          <cell r="A96" t="str">
            <v xml:space="preserve"> 436  Колбаса Молочная стародворская с молоком, ВЕС, ТМ Стародворье  ПОКОМ</v>
          </cell>
          <cell r="D96">
            <v>4.3499999999999996</v>
          </cell>
          <cell r="F96">
            <v>101.5</v>
          </cell>
        </row>
        <row r="97">
          <cell r="A97" t="str">
            <v xml:space="preserve"> 447  Колбаски Краковюрст ТМ Баварушка с изысканными пряностями в оболочке NDX в в.у 0,2 кг. ПОКОМ </v>
          </cell>
          <cell r="D97">
            <v>12</v>
          </cell>
          <cell r="F97">
            <v>518</v>
          </cell>
        </row>
        <row r="98">
          <cell r="A98" t="str">
            <v xml:space="preserve"> 448  Сосиски Сливушки по-венски ТМ Вязанка. 0,3 кг ПОКОМ</v>
          </cell>
          <cell r="D98">
            <v>11</v>
          </cell>
          <cell r="F98">
            <v>419</v>
          </cell>
        </row>
        <row r="99">
          <cell r="A99" t="str">
            <v xml:space="preserve"> 449  Колбаса Дугушка Стародворская ВЕС ТС Дугушка ПОКОМ</v>
          </cell>
          <cell r="D99">
            <v>21.526</v>
          </cell>
          <cell r="F99">
            <v>488.99</v>
          </cell>
        </row>
        <row r="100">
          <cell r="A100" t="str">
            <v xml:space="preserve"> 452  Колбаса Со шпиком ВЕС большой батон ТМ Особый рецепт  ПОКОМ</v>
          </cell>
          <cell r="D100">
            <v>265.00200000000001</v>
          </cell>
          <cell r="F100">
            <v>3992.7919999999999</v>
          </cell>
        </row>
        <row r="101">
          <cell r="A101" t="str">
            <v xml:space="preserve"> 456  Колбаса Филейная ТМ Особый рецепт ВЕС большой батон  ПОКОМ</v>
          </cell>
          <cell r="D101">
            <v>420.601</v>
          </cell>
          <cell r="F101">
            <v>7216.6</v>
          </cell>
        </row>
        <row r="102">
          <cell r="A102" t="str">
            <v xml:space="preserve"> 457  Колбаса Молочная ТМ Особый рецепт ВЕС большой батон  ПОКОМ</v>
          </cell>
          <cell r="D102">
            <v>210.804</v>
          </cell>
          <cell r="F102">
            <v>6769.183</v>
          </cell>
        </row>
        <row r="103">
          <cell r="A103" t="str">
            <v xml:space="preserve"> 462  Колбаса Со шпиком ТМ Особый рецепт в оболочке полиамид 0,5 кг. ПОКОМ</v>
          </cell>
          <cell r="F103">
            <v>4</v>
          </cell>
        </row>
        <row r="104">
          <cell r="A104" t="str">
            <v xml:space="preserve"> 465  Колбаса Филейная оригинальная ВЕС 0,8кг ТМ Особый рецепт в оболочке полиамид  ПОКОМ</v>
          </cell>
          <cell r="D104">
            <v>8.1999999999999993</v>
          </cell>
          <cell r="F104">
            <v>207.81</v>
          </cell>
        </row>
        <row r="105">
          <cell r="A105" t="str">
            <v xml:space="preserve"> 467  Колбаса Филейная 0,5кг ТМ Особый рецепт  ПОКОМ</v>
          </cell>
          <cell r="D105">
            <v>5</v>
          </cell>
          <cell r="F105">
            <v>247</v>
          </cell>
        </row>
        <row r="106">
          <cell r="A106" t="str">
            <v xml:space="preserve"> 474  Колбаса Молочная 0,4кг ТМ Зареченские  ПОКОМ</v>
          </cell>
          <cell r="D106">
            <v>1000</v>
          </cell>
          <cell r="F106">
            <v>1001</v>
          </cell>
        </row>
        <row r="107">
          <cell r="A107" t="str">
            <v xml:space="preserve"> 478  Сардельки Зареченские ВЕС ТМ Зареченские  ПОКОМ</v>
          </cell>
          <cell r="F107">
            <v>1.4</v>
          </cell>
        </row>
        <row r="108">
          <cell r="A108" t="str">
            <v xml:space="preserve"> 495  Колбаса Сочинка по-европейски с сочной грудинкой 0,3кг ТМ Стародворье  ПОКОМ</v>
          </cell>
          <cell r="D108">
            <v>393</v>
          </cell>
          <cell r="F108">
            <v>1625</v>
          </cell>
        </row>
        <row r="109">
          <cell r="A109" t="str">
            <v xml:space="preserve"> 496  Колбаса Сочинка по-фински с сочным окроком 0,3кг ТМ Стародворье  ПОКОМ</v>
          </cell>
          <cell r="D109">
            <v>10</v>
          </cell>
          <cell r="F109">
            <v>705</v>
          </cell>
        </row>
        <row r="110">
          <cell r="A110" t="str">
            <v xml:space="preserve"> 497  Колбаса Сочинка зернистая с сочной грудинкой 0,3кг ТМ Стародворье  ПОКОМ</v>
          </cell>
          <cell r="D110">
            <v>187</v>
          </cell>
          <cell r="F110">
            <v>1374</v>
          </cell>
        </row>
        <row r="111">
          <cell r="A111" t="str">
            <v xml:space="preserve"> 498  Колбаса Сочинка рубленая с сочным окороком 0,3кг ТМ Стародворье  ПОКОМ</v>
          </cell>
          <cell r="D111">
            <v>13</v>
          </cell>
          <cell r="F111">
            <v>855</v>
          </cell>
        </row>
        <row r="112">
          <cell r="A112" t="str">
            <v xml:space="preserve"> 505  Ветчина Стародворская ТМ Стародворье брикет 0,33 кг.  ПОКОМ</v>
          </cell>
          <cell r="D112">
            <v>84</v>
          </cell>
          <cell r="F112">
            <v>84</v>
          </cell>
        </row>
        <row r="113">
          <cell r="A113" t="str">
            <v xml:space="preserve"> 519  Грудинка 0,12 кг нарезка ТМ Стародворье  ПОКОМ</v>
          </cell>
          <cell r="D113">
            <v>11</v>
          </cell>
          <cell r="F113">
            <v>206</v>
          </cell>
        </row>
        <row r="114">
          <cell r="A114" t="str">
            <v xml:space="preserve"> 520  Колбаса Мраморная ТМ Стародворье в вакуумной упаковке 0,07 кг нарезка  ПОКОМ</v>
          </cell>
          <cell r="D114">
            <v>5</v>
          </cell>
          <cell r="F114">
            <v>238</v>
          </cell>
        </row>
        <row r="115">
          <cell r="A115" t="str">
            <v xml:space="preserve"> 521  Бекон ТМ Стародворье в вакуумной упаковке 0,12кг нарезка  ПОКОМ</v>
          </cell>
          <cell r="D115">
            <v>7</v>
          </cell>
          <cell r="F115">
            <v>432</v>
          </cell>
        </row>
        <row r="116">
          <cell r="A116" t="str">
            <v xml:space="preserve"> 523  Колбаса Сальчичон нарезка 0,07кг ТМ Стародворье  ПОКОМ </v>
          </cell>
          <cell r="D116">
            <v>17</v>
          </cell>
          <cell r="F116">
            <v>380</v>
          </cell>
        </row>
        <row r="117">
          <cell r="A117" t="str">
            <v xml:space="preserve"> 524  Колбаса Сервелат Ореховый нарезка 0,07кг ТМ Стародворье  ПОКОМ</v>
          </cell>
          <cell r="D117">
            <v>24</v>
          </cell>
          <cell r="F117">
            <v>534</v>
          </cell>
        </row>
        <row r="118">
          <cell r="A118" t="str">
            <v xml:space="preserve"> 525  Колбаса Фуэт нарезка 0,07кг ТМ Стародворье  ПОКОМ</v>
          </cell>
          <cell r="D118">
            <v>17</v>
          </cell>
          <cell r="F118">
            <v>257</v>
          </cell>
        </row>
        <row r="119">
          <cell r="A119" t="str">
            <v xml:space="preserve"> 526  Корейка вяленая выдержанная нарезка 0,05кг ТМ Стародворье  ПОКОМ</v>
          </cell>
          <cell r="D119">
            <v>5</v>
          </cell>
          <cell r="F119">
            <v>157</v>
          </cell>
        </row>
        <row r="120">
          <cell r="A120" t="str">
            <v xml:space="preserve"> 527  Окорок Прошутто выдержанный нарезка 0,055кг ТМ Стародворье  ПОКОМ</v>
          </cell>
          <cell r="F120">
            <v>11</v>
          </cell>
        </row>
        <row r="121">
          <cell r="A121" t="str">
            <v xml:space="preserve"> 546  Колбаса Чесночная 0,4 кг срез ТМ Стародворье  ПОКОМ</v>
          </cell>
          <cell r="F121">
            <v>5</v>
          </cell>
        </row>
        <row r="122">
          <cell r="A122" t="str">
            <v xml:space="preserve"> 549  Колбаса Докторская ТМ Особый рецепт в оболочке полиамид.ВЕС  ПОКОМ</v>
          </cell>
          <cell r="D122">
            <v>65.001000000000005</v>
          </cell>
          <cell r="F122">
            <v>2832.5349999999999</v>
          </cell>
        </row>
        <row r="123">
          <cell r="A123" t="str">
            <v xml:space="preserve"> 551  Колбаса Сливушка ТМ Вязанка в модифицированной газовой среде 0,11 кг нарезка  ПОКОМ</v>
          </cell>
          <cell r="D123">
            <v>1</v>
          </cell>
          <cell r="F123">
            <v>84</v>
          </cell>
        </row>
        <row r="124">
          <cell r="A124" t="str">
            <v xml:space="preserve"> 552  Ветчина Сливушка с индейкой ТМ Вязанка в модифицированной газовой среде 0,1 кг нарезка  ПОКОМ</v>
          </cell>
          <cell r="D124">
            <v>1</v>
          </cell>
          <cell r="F124">
            <v>129</v>
          </cell>
        </row>
        <row r="125">
          <cell r="A125" t="str">
            <v xml:space="preserve"> 553  Ассорти колбас Мясорубская коллекция: Сервелат Делюкс, С балыком 0,08 кг нарезка  ПОКОМ</v>
          </cell>
          <cell r="D125">
            <v>5</v>
          </cell>
          <cell r="F125">
            <v>270</v>
          </cell>
        </row>
        <row r="126">
          <cell r="A126" t="str">
            <v xml:space="preserve"> 554  Колбаса Сервелат Мясорубский ТМ Стародворье в упаковке скин 0,08 кг нарезка  ПОКОМ</v>
          </cell>
          <cell r="D126">
            <v>3</v>
          </cell>
          <cell r="F126">
            <v>236</v>
          </cell>
        </row>
        <row r="127">
          <cell r="A127" t="str">
            <v xml:space="preserve"> 556  Колбаса Сервелат Ореховый ТМ Вязанка в оболочке фиброуз в вакуумной упаковке, ВЕС  ПОКОМ</v>
          </cell>
          <cell r="D127">
            <v>5.4</v>
          </cell>
          <cell r="F127">
            <v>340.73</v>
          </cell>
        </row>
        <row r="128">
          <cell r="A128" t="str">
            <v xml:space="preserve"> 557  Колбаса Сервелат Финский ТМ Вязанка в оболочке фиброуз в вакуумной упаковке, ВЕС  ПОКОМ</v>
          </cell>
          <cell r="D128">
            <v>6.9</v>
          </cell>
          <cell r="F128">
            <v>340.88</v>
          </cell>
        </row>
        <row r="129">
          <cell r="A129" t="str">
            <v xml:space="preserve"> 558  Колбаса Балыковая НОВАЯ ВЕС Вязанка фиброуз в/у ПОКОМ</v>
          </cell>
          <cell r="D129">
            <v>5.5</v>
          </cell>
          <cell r="F129">
            <v>143.52000000000001</v>
          </cell>
        </row>
        <row r="130">
          <cell r="A130" t="str">
            <v xml:space="preserve"> 560  Сосиски Вязанка Молочные ТМ Вязанка в оболочке амицел в мод. газовой среде 0,37 кг  ПОКОМ</v>
          </cell>
          <cell r="F130">
            <v>158</v>
          </cell>
        </row>
        <row r="131">
          <cell r="A131" t="str">
            <v>0447 Сыр Голландский 45% Нарезка 125г ТМ Папа может ОСТАНКИНО</v>
          </cell>
          <cell r="D131">
            <v>2</v>
          </cell>
          <cell r="F131">
            <v>2</v>
          </cell>
        </row>
        <row r="132">
          <cell r="A132" t="str">
            <v>0454 Сыр Российский Особый 50%, Нарезка 125г тф ТМ Папа Может  ОСТАНКИНО</v>
          </cell>
          <cell r="D132">
            <v>5</v>
          </cell>
          <cell r="F132">
            <v>5</v>
          </cell>
        </row>
        <row r="133">
          <cell r="A133" t="str">
            <v>1577 Спред растительно-сливочный "Сливочный вкус" 82,5% 180гр  ОСТАНКИНО</v>
          </cell>
          <cell r="D133">
            <v>167</v>
          </cell>
          <cell r="F133">
            <v>167</v>
          </cell>
        </row>
        <row r="134">
          <cell r="A134" t="str">
            <v>1584 Спред растительно-сливочный "Сливочный вкус" 72,5% 180гр  ОСТАНКИНО</v>
          </cell>
          <cell r="D134">
            <v>158</v>
          </cell>
          <cell r="F134">
            <v>158</v>
          </cell>
        </row>
        <row r="135">
          <cell r="A135" t="str">
            <v>3215 ВЕТЧ.МЯСНАЯ Папа может п/о 0.4кг 8шт.    ОСТАНКИНО</v>
          </cell>
          <cell r="D135">
            <v>687</v>
          </cell>
          <cell r="F135">
            <v>687</v>
          </cell>
        </row>
        <row r="136">
          <cell r="A136" t="str">
            <v>3684 ПРЕСИЖН с/к в/у 1/250 8шт.   ОСТАНКИНО</v>
          </cell>
          <cell r="D136">
            <v>31</v>
          </cell>
          <cell r="F136">
            <v>31</v>
          </cell>
        </row>
        <row r="137">
          <cell r="A137" t="str">
            <v>3986 Ароматная с/к в/у 1/250 ОСТАНКИНО</v>
          </cell>
          <cell r="D137">
            <v>415</v>
          </cell>
          <cell r="F137">
            <v>416</v>
          </cell>
        </row>
        <row r="138">
          <cell r="A138" t="str">
            <v>4063 МЯСНАЯ Папа может вар п/о_Л   ОСТАНКИНО</v>
          </cell>
          <cell r="D138">
            <v>1372.3</v>
          </cell>
          <cell r="F138">
            <v>1372.3</v>
          </cell>
        </row>
        <row r="139">
          <cell r="A139" t="str">
            <v>4117 ЭКСТРА Папа может с/к в/у_Л   ОСТАНКИНО</v>
          </cell>
          <cell r="D139">
            <v>31.3</v>
          </cell>
          <cell r="F139">
            <v>31.3</v>
          </cell>
        </row>
        <row r="140">
          <cell r="A140" t="str">
            <v>4163 Сыр Боккончини копченый 40% 100 гр.  ОСТАНКИНО</v>
          </cell>
          <cell r="D140">
            <v>56</v>
          </cell>
          <cell r="F140">
            <v>56</v>
          </cell>
        </row>
        <row r="141">
          <cell r="A141" t="str">
            <v>4170 Сыр Скаморца свежий 40% 100 гр.  ОСТАНКИНО</v>
          </cell>
          <cell r="D141">
            <v>62</v>
          </cell>
          <cell r="F141">
            <v>62</v>
          </cell>
        </row>
        <row r="142">
          <cell r="A142" t="str">
            <v>4187 Сыр Чечил свежий 45% 100г/6шт ТМ Папа Может  ОСТАНКИНО</v>
          </cell>
          <cell r="D142">
            <v>205</v>
          </cell>
          <cell r="F142">
            <v>205</v>
          </cell>
        </row>
        <row r="143">
          <cell r="A143" t="str">
            <v>4194 Сыр рассольный жирный Чечил копченый 45% 100 гр  ОСТАНКИНО</v>
          </cell>
          <cell r="D143">
            <v>7</v>
          </cell>
          <cell r="F143">
            <v>7</v>
          </cell>
        </row>
        <row r="144">
          <cell r="A144" t="str">
            <v>4194 Сыр Чечил копченый 43% 100г/6шт ТМ Папа Может  ОСТАНКИНО</v>
          </cell>
          <cell r="D144">
            <v>136</v>
          </cell>
          <cell r="F144">
            <v>136</v>
          </cell>
        </row>
        <row r="145">
          <cell r="A145" t="str">
            <v>4574 Колбаса вар Мясная со шпиком 1кг Папа может п/о (код покуп. 24784) Останкино</v>
          </cell>
          <cell r="D145">
            <v>94.9</v>
          </cell>
          <cell r="F145">
            <v>94.9</v>
          </cell>
        </row>
        <row r="146">
          <cell r="A146" t="str">
            <v>4574 Мясная со шпиком Папа может вар п/о ОСТАНКИНО</v>
          </cell>
          <cell r="D146">
            <v>1.3</v>
          </cell>
          <cell r="F146">
            <v>1.3</v>
          </cell>
        </row>
        <row r="147">
          <cell r="A147" t="str">
            <v>4813 ФИЛЕЙНАЯ Папа может вар п/о_Л   ОСТАНКИНО</v>
          </cell>
          <cell r="D147">
            <v>487.9</v>
          </cell>
          <cell r="F147">
            <v>487.9</v>
          </cell>
        </row>
        <row r="148">
          <cell r="A148" t="str">
            <v>4819 Сыр "Пармезан" 40% кусок 180 гр  ОСТАНКИНО</v>
          </cell>
          <cell r="D148">
            <v>59</v>
          </cell>
          <cell r="F148">
            <v>59</v>
          </cell>
        </row>
        <row r="149">
          <cell r="A149" t="str">
            <v>4903 Сыр Перлини 40% 100гр (8шт)  ОСТАНКИНО</v>
          </cell>
          <cell r="D149">
            <v>69</v>
          </cell>
          <cell r="F149">
            <v>69</v>
          </cell>
        </row>
        <row r="150">
          <cell r="A150" t="str">
            <v>4910 Сыр Перлини копченый 40% 100гр (8шт)  ОСТАНКИНО</v>
          </cell>
          <cell r="D150">
            <v>48</v>
          </cell>
          <cell r="F150">
            <v>48</v>
          </cell>
        </row>
        <row r="151">
          <cell r="A151" t="str">
            <v>4927 Сыр Перлини со вкусом Васаби 40% 100гр (8шт)  ОСТАНКИНО</v>
          </cell>
          <cell r="D151">
            <v>41</v>
          </cell>
          <cell r="F151">
            <v>41</v>
          </cell>
        </row>
        <row r="152">
          <cell r="A152" t="str">
            <v>4993 САЛЯМИ ИТАЛЬЯНСКАЯ с/к в/у 1/250*8_120c ОСТАНКИНО</v>
          </cell>
          <cell r="D152">
            <v>254</v>
          </cell>
          <cell r="F152">
            <v>254</v>
          </cell>
        </row>
        <row r="153">
          <cell r="A153" t="str">
            <v>5160 Мясной пашт п/о 0,150 ОСТАНКИНО</v>
          </cell>
          <cell r="D153">
            <v>1</v>
          </cell>
          <cell r="F153">
            <v>1</v>
          </cell>
        </row>
        <row r="154">
          <cell r="A154" t="str">
            <v>5160 Сыр Косичка сырная 45% 100г/8шт ТМ Папа Может  ОСТАНКИНО</v>
          </cell>
          <cell r="D154">
            <v>52</v>
          </cell>
          <cell r="F154">
            <v>52</v>
          </cell>
        </row>
        <row r="155">
          <cell r="A155" t="str">
            <v>5177 Сыр Косичка сырная  копченая 43% 100г/8шт ТМ Папа Может  ОСТАНКИНО</v>
          </cell>
          <cell r="D155">
            <v>56</v>
          </cell>
          <cell r="F155">
            <v>56</v>
          </cell>
        </row>
        <row r="156">
          <cell r="A156" t="str">
            <v>5198 Сыр Папа Может "Сметанковый" 50% вес (=3кг)  ОСТАНКИНО</v>
          </cell>
          <cell r="D156">
            <v>26.8</v>
          </cell>
          <cell r="F156">
            <v>26.8</v>
          </cell>
        </row>
        <row r="157">
          <cell r="A157" t="str">
            <v>5204 Сыр полутвердый "Российский", ВЕС брус, с массовой долей жира 50%  ОСТАНКИНО</v>
          </cell>
          <cell r="D157">
            <v>109.6</v>
          </cell>
          <cell r="F157">
            <v>112.82599999999999</v>
          </cell>
        </row>
        <row r="158">
          <cell r="A158" t="str">
            <v>5235 Сыр полутвердый "Голландский" 45%, брус ВЕС  ОСТАНКИНО</v>
          </cell>
          <cell r="D158">
            <v>3.5</v>
          </cell>
          <cell r="F158">
            <v>3.5</v>
          </cell>
        </row>
        <row r="159">
          <cell r="A159" t="str">
            <v>5242 Сыр полутвердый "Гауда", 45%, ВЕС брус из блока 1/5  ОСТАНКИНО</v>
          </cell>
          <cell r="D159">
            <v>25.9</v>
          </cell>
          <cell r="F159">
            <v>25.9</v>
          </cell>
        </row>
        <row r="160">
          <cell r="A160" t="str">
            <v>5246 ДОКТОРСКАЯ ПРЕМИУМ вар б/о мгс_30с ОСТАНКИНО</v>
          </cell>
          <cell r="D160">
            <v>89.4</v>
          </cell>
          <cell r="F160">
            <v>92.388000000000005</v>
          </cell>
        </row>
        <row r="161">
          <cell r="A161" t="str">
            <v>5247 РУССКАЯ ПРЕМИУМ вар б/о мгс_30с ОСТАНКИНО</v>
          </cell>
          <cell r="D161">
            <v>49.5</v>
          </cell>
          <cell r="F161">
            <v>49.5</v>
          </cell>
        </row>
        <row r="162">
          <cell r="A162" t="str">
            <v>5259 Сыр полутвердый "Тильзитер" 45%, ВЕС брус ТМ "Папа может"  ОСТАНКИНО</v>
          </cell>
          <cell r="D162">
            <v>7</v>
          </cell>
          <cell r="F162">
            <v>7</v>
          </cell>
        </row>
        <row r="163">
          <cell r="A163" t="str">
            <v>5483 ЭКСТРА Папа может с/к в/у 1/250 8шт.   ОСТАНКИНО</v>
          </cell>
          <cell r="D163">
            <v>705</v>
          </cell>
          <cell r="F163">
            <v>705</v>
          </cell>
        </row>
        <row r="164">
          <cell r="A164" t="str">
            <v>5544 Сервелат Финский в/к в/у_45с НОВАЯ ОСТАНКИНО</v>
          </cell>
          <cell r="D164">
            <v>812.20899999999995</v>
          </cell>
          <cell r="F164">
            <v>812.20899999999995</v>
          </cell>
        </row>
        <row r="165">
          <cell r="A165" t="str">
            <v>5579 БЛИНЧ.КРУГЛЫЕ С САД.ЯБЛОК.1/420 зам_ПОСТ  ОСТАНКИНО</v>
          </cell>
          <cell r="D165">
            <v>15</v>
          </cell>
          <cell r="F165">
            <v>15</v>
          </cell>
        </row>
        <row r="166">
          <cell r="A166" t="str">
            <v>5679 САЛЯМИ ИТАЛЬЯНСКАЯ с/к в/у 1/150_60с ОСТАНКИНО</v>
          </cell>
          <cell r="D166">
            <v>218</v>
          </cell>
          <cell r="F166">
            <v>218</v>
          </cell>
        </row>
        <row r="167">
          <cell r="A167" t="str">
            <v>5682 САЛЯМИ МЕЛКОЗЕРНЕНАЯ с/к в/у 1/120_60с   ОСТАНКИНО</v>
          </cell>
          <cell r="D167">
            <v>14</v>
          </cell>
          <cell r="F167">
            <v>14</v>
          </cell>
        </row>
        <row r="168">
          <cell r="A168" t="str">
            <v>5706 АРОМАТНАЯ Папа может с/к в/у 1/250 8шт.  ОСТАНКИНО</v>
          </cell>
          <cell r="D168">
            <v>7</v>
          </cell>
          <cell r="F168">
            <v>7</v>
          </cell>
        </row>
        <row r="169">
          <cell r="A169" t="str">
            <v>5708 ПОСОЛЬСКАЯ Папа может с/к в/у ОСТАНКИНО</v>
          </cell>
          <cell r="D169">
            <v>21.8</v>
          </cell>
          <cell r="F169">
            <v>21.8</v>
          </cell>
        </row>
        <row r="170">
          <cell r="A170" t="str">
            <v>5851 ЭКСТРА Папа может вар п/о   ОСТАНКИНО</v>
          </cell>
          <cell r="D170">
            <v>247.53</v>
          </cell>
          <cell r="F170">
            <v>247.53</v>
          </cell>
        </row>
        <row r="171">
          <cell r="A171" t="str">
            <v>5931 ОХОТНИЧЬЯ Папа может с/к в/у 1/220 8шт.   ОСТАНКИНО</v>
          </cell>
          <cell r="D171">
            <v>1136</v>
          </cell>
          <cell r="F171">
            <v>1136</v>
          </cell>
        </row>
        <row r="172">
          <cell r="A172" t="str">
            <v>5949 Сырный продукт Моцарелла 45% (батоны) 1,0кг ТМ "КОРОВИНО"  ОСТАНКИНО</v>
          </cell>
          <cell r="D172">
            <v>2</v>
          </cell>
          <cell r="F172">
            <v>2</v>
          </cell>
        </row>
        <row r="173">
          <cell r="A173" t="str">
            <v>6004 РАГУ СВИНОЕ 1кг 8шт.зам_120с ОСТАНКИНО</v>
          </cell>
          <cell r="D173">
            <v>176</v>
          </cell>
          <cell r="F173">
            <v>176</v>
          </cell>
        </row>
        <row r="174">
          <cell r="A174" t="str">
            <v>6148 БЛИНЧ.КРУГЛЫЕ С ВЕТЧ.И СЫР.ПМ 1/300 зам.  ОСТАНКИНО</v>
          </cell>
          <cell r="D174">
            <v>6</v>
          </cell>
          <cell r="F174">
            <v>6</v>
          </cell>
        </row>
        <row r="175">
          <cell r="A175" t="str">
            <v>6168 БЛИНЧ.С МЯСОМ пл.1/350 зам  ОСТАНКИНО</v>
          </cell>
          <cell r="D175">
            <v>63</v>
          </cell>
          <cell r="F175">
            <v>63</v>
          </cell>
        </row>
        <row r="176">
          <cell r="A176" t="str">
            <v>6202 БЛИНЧ.КРУГЛЫЕ С ТВОРОГОМ ПМ 1/300 зам.  ОСТАНКИНО</v>
          </cell>
          <cell r="D176">
            <v>15</v>
          </cell>
          <cell r="F176">
            <v>15</v>
          </cell>
        </row>
        <row r="177">
          <cell r="A177" t="str">
            <v>6209 БЛИНЧ.С КУРИНЫМ МЯСОМ пл.1/350 зам.  ОСТАНКИНО</v>
          </cell>
          <cell r="D177">
            <v>53</v>
          </cell>
          <cell r="F177">
            <v>53</v>
          </cell>
        </row>
        <row r="178">
          <cell r="A178" t="str">
            <v>6220 ГОВЯЖЬЯ Папа может вар п/о  ОСТАНКИНО</v>
          </cell>
          <cell r="D178">
            <v>16.5</v>
          </cell>
          <cell r="F178">
            <v>16.5</v>
          </cell>
        </row>
        <row r="179">
          <cell r="A179" t="str">
            <v>6221 НЕАПОЛИТАНСКИЙ ДУЭТ с/к с/н мгс 1/90  ОСТАНКИНО</v>
          </cell>
          <cell r="D179">
            <v>403</v>
          </cell>
          <cell r="F179">
            <v>403</v>
          </cell>
        </row>
        <row r="180">
          <cell r="A180" t="str">
            <v>6228 МЯСНОЕ АССОРТИ к/з с/н мгс 1/90 10шт.  ОСТАНКИНО</v>
          </cell>
          <cell r="D180">
            <v>361</v>
          </cell>
          <cell r="F180">
            <v>361</v>
          </cell>
        </row>
        <row r="181">
          <cell r="A181" t="str">
            <v>6247 ДОМАШНЯЯ Папа может вар п/о 0,4кг 8шт.  ОСТАНКИНО</v>
          </cell>
          <cell r="D181">
            <v>111</v>
          </cell>
          <cell r="F181">
            <v>111</v>
          </cell>
        </row>
        <row r="182">
          <cell r="A182" t="str">
            <v>6268 ГОВЯЖЬЯ Папа может вар п/о 0,4кг 8 шт.  ОСТАНКИНО</v>
          </cell>
          <cell r="D182">
            <v>631</v>
          </cell>
          <cell r="F182">
            <v>631</v>
          </cell>
        </row>
        <row r="183">
          <cell r="A183" t="str">
            <v>6279 КОРЕЙКА ПО-ОСТ.к/в в/с с/н в/у 1/150_45с  ОСТАНКИНО</v>
          </cell>
          <cell r="D183">
            <v>463</v>
          </cell>
          <cell r="F183">
            <v>463</v>
          </cell>
        </row>
        <row r="184">
          <cell r="A184" t="str">
            <v>6303 МЯСНЫЕ Папа может сос п/о мгс 1.5*3  ОСТАНКИНО</v>
          </cell>
          <cell r="D184">
            <v>580.70000000000005</v>
          </cell>
          <cell r="F184">
            <v>580.70000000000005</v>
          </cell>
        </row>
        <row r="185">
          <cell r="A185" t="str">
            <v>6324 ДОКТОРСКАЯ ГОСТ вар п/о 0.4кг 8шт.  ОСТАНКИНО</v>
          </cell>
          <cell r="D185">
            <v>65</v>
          </cell>
          <cell r="F185">
            <v>65</v>
          </cell>
        </row>
        <row r="186">
          <cell r="A186" t="str">
            <v>6325 ДОКТОРСКАЯ ПРЕМИУМ вар п/о 0.4кг 8шт.  ОСТАНКИНО</v>
          </cell>
          <cell r="D186">
            <v>1544</v>
          </cell>
          <cell r="F186">
            <v>1544</v>
          </cell>
        </row>
        <row r="187">
          <cell r="A187" t="str">
            <v>6333 МЯСНАЯ Папа может вар п/о 0.4кг 8шт.  ОСТАНКИНО</v>
          </cell>
          <cell r="D187">
            <v>3459</v>
          </cell>
          <cell r="F187">
            <v>3459</v>
          </cell>
        </row>
        <row r="188">
          <cell r="A188" t="str">
            <v>6340 ДОМАШНИЙ РЕЦЕПТ Коровино 0.5кг 8шт.  ОСТАНКИНО</v>
          </cell>
          <cell r="D188">
            <v>265</v>
          </cell>
          <cell r="F188">
            <v>265</v>
          </cell>
        </row>
        <row r="189">
          <cell r="A189" t="str">
            <v>6352 Масло "Папа может" 82,5% 180 гр. Фольга ОСТАНКИНО</v>
          </cell>
          <cell r="F189">
            <v>1</v>
          </cell>
        </row>
        <row r="190">
          <cell r="A190" t="str">
            <v>6353 ЭКСТРА Папа может вар п/о 0.4кг 8шт.  ОСТАНКИНО</v>
          </cell>
          <cell r="D190">
            <v>1311</v>
          </cell>
          <cell r="F190">
            <v>1311</v>
          </cell>
        </row>
        <row r="191">
          <cell r="A191" t="str">
            <v>6392 ФИЛЕЙНАЯ Папа может вар п/о 0.4кг. ОСТАНКИНО</v>
          </cell>
          <cell r="D191">
            <v>2676</v>
          </cell>
          <cell r="F191">
            <v>2676</v>
          </cell>
        </row>
        <row r="192">
          <cell r="A192" t="str">
            <v>6448 СВИНИНА МАДЕРА с/к с/н в/у 1/100 10шт.   ОСТАНКИНО</v>
          </cell>
          <cell r="D192">
            <v>5</v>
          </cell>
          <cell r="F192">
            <v>5</v>
          </cell>
        </row>
        <row r="193">
          <cell r="A193" t="str">
            <v>6453 ЭКСТРА Папа может с/к с/н в/у 1/100 14шт.   ОСТАНКИНО</v>
          </cell>
          <cell r="D193">
            <v>1383</v>
          </cell>
          <cell r="F193">
            <v>1383</v>
          </cell>
        </row>
        <row r="194">
          <cell r="A194" t="str">
            <v>6454 АРОМАТНАЯ с/к с/н в/у 1/100 10шт.  ОСТАНКИНО</v>
          </cell>
          <cell r="D194">
            <v>1339</v>
          </cell>
          <cell r="F194">
            <v>1339</v>
          </cell>
        </row>
        <row r="195">
          <cell r="A195" t="str">
            <v>6459 СЕРВЕЛАТ ШВЕЙЦАРСК. в/к с/н в/у 1/100*10  ОСТАНКИНО</v>
          </cell>
          <cell r="D195">
            <v>1021</v>
          </cell>
          <cell r="F195">
            <v>1021</v>
          </cell>
        </row>
        <row r="196">
          <cell r="A196" t="str">
            <v>6470 ВЕТЧ.МРАМОРНАЯ в/у_45с  ОСТАНКИНО</v>
          </cell>
          <cell r="D196">
            <v>27.8</v>
          </cell>
          <cell r="F196">
            <v>27.8</v>
          </cell>
        </row>
        <row r="197">
          <cell r="A197" t="str">
            <v>6495 ВЕТЧ.МРАМОРНАЯ в/у срез 0.3кг 6шт_45с  ОСТАНКИНО</v>
          </cell>
          <cell r="D197">
            <v>343</v>
          </cell>
          <cell r="F197">
            <v>343</v>
          </cell>
        </row>
        <row r="198">
          <cell r="A198" t="str">
            <v>6527 ШПИКАЧКИ СОЧНЫЕ ПМ сар б/о мгс 1*3 45с ОСТАНКИНО</v>
          </cell>
          <cell r="D198">
            <v>274.10000000000002</v>
          </cell>
          <cell r="F198">
            <v>274.10000000000002</v>
          </cell>
        </row>
        <row r="199">
          <cell r="A199" t="str">
            <v>6528 ШПИКАЧКИ СОЧНЫЕ ПМ сар б/о мгс 0.4кг 45с  ОСТАНКИНО</v>
          </cell>
          <cell r="D199">
            <v>7</v>
          </cell>
          <cell r="F199">
            <v>7</v>
          </cell>
        </row>
        <row r="200">
          <cell r="A200" t="str">
            <v>6609 С ГОВЯДИНОЙ ПМ сар б/о мгс 0.4кг_45с ОСТАНКИНО</v>
          </cell>
          <cell r="D200">
            <v>18</v>
          </cell>
          <cell r="F200">
            <v>18</v>
          </cell>
        </row>
        <row r="201">
          <cell r="A201" t="str">
            <v>6616 МОЛОЧНЫЕ КЛАССИЧЕСКИЕ сос п/о в/у 0.3кг  ОСТАНКИНО</v>
          </cell>
          <cell r="D201">
            <v>2083</v>
          </cell>
          <cell r="F201">
            <v>2083</v>
          </cell>
        </row>
        <row r="202">
          <cell r="A202" t="str">
            <v>6697 СЕРВЕЛАТ ФИНСКИЙ ПМ в/к в/у 0,35кг 8шт.  ОСТАНКИНО</v>
          </cell>
          <cell r="D202">
            <v>3963</v>
          </cell>
          <cell r="F202">
            <v>3963</v>
          </cell>
        </row>
        <row r="203">
          <cell r="A203" t="str">
            <v>6713 СОЧНЫЙ ГРИЛЬ ПМ сос п/о мгс 0.41кг 8шт.  ОСТАНКИНО</v>
          </cell>
          <cell r="D203">
            <v>1047</v>
          </cell>
          <cell r="F203">
            <v>1047</v>
          </cell>
        </row>
        <row r="204">
          <cell r="A204" t="str">
            <v>6724 МОЛОЧНЫЕ ПМ сос п/о мгс 0.41кг 10шт.  ОСТАНКИНО</v>
          </cell>
          <cell r="D204">
            <v>725</v>
          </cell>
          <cell r="F204">
            <v>725</v>
          </cell>
        </row>
        <row r="205">
          <cell r="A205" t="str">
            <v>6765 РУБЛЕНЫЕ сос ц/о мгс 0.36кг 6шт.  ОСТАНКИНО</v>
          </cell>
          <cell r="D205">
            <v>335</v>
          </cell>
          <cell r="F205">
            <v>335</v>
          </cell>
        </row>
        <row r="206">
          <cell r="A206" t="str">
            <v>6785 ВЕНСКАЯ САЛЯМИ п/к в/у 0.33кг 8шт.  ОСТАНКИНО</v>
          </cell>
          <cell r="D206">
            <v>131</v>
          </cell>
          <cell r="F206">
            <v>131</v>
          </cell>
        </row>
        <row r="207">
          <cell r="A207" t="str">
            <v>6787 СЕРВЕЛАТ КРЕМЛЕВСКИЙ в/к в/у 0,33кг 8шт.  ОСТАНКИНО</v>
          </cell>
          <cell r="D207">
            <v>126</v>
          </cell>
          <cell r="F207">
            <v>126</v>
          </cell>
        </row>
        <row r="208">
          <cell r="A208" t="str">
            <v>6793 БАЛЫКОВАЯ в/к в/у 0,33кг 8шт.  ОСТАНКИНО</v>
          </cell>
          <cell r="D208">
            <v>244</v>
          </cell>
          <cell r="F208">
            <v>244</v>
          </cell>
        </row>
        <row r="209">
          <cell r="A209" t="str">
            <v>6797 С ИНДЕЙКОЙ Папа может вар п/о 0,4кг 8шт.  ОСТАНКИНО</v>
          </cell>
          <cell r="D209">
            <v>13</v>
          </cell>
          <cell r="F209">
            <v>13</v>
          </cell>
        </row>
        <row r="210">
          <cell r="A210" t="str">
            <v>6819 БЛИНЧ.КРУГЛЫЕ С САД.ЯБЛОК. пл.1/300 зам.  ОСТАНКИНО</v>
          </cell>
          <cell r="D210">
            <v>12</v>
          </cell>
          <cell r="F210">
            <v>12</v>
          </cell>
        </row>
        <row r="211">
          <cell r="A211" t="str">
            <v>6829 МОЛОЧНЫЕ КЛАССИЧЕСКИЕ сос п/о мгс 2*4_С  ОСТАНКИНО</v>
          </cell>
          <cell r="D211">
            <v>819.2</v>
          </cell>
          <cell r="F211">
            <v>819.2</v>
          </cell>
        </row>
        <row r="212">
          <cell r="A212" t="str">
            <v>6832 АССОРТИ СЫРОКОПЧЕНЫХ КОЛБАС Коровино в/у  ОСТАНКИНО</v>
          </cell>
          <cell r="D212">
            <v>6.7</v>
          </cell>
          <cell r="F212">
            <v>6.7</v>
          </cell>
        </row>
        <row r="213">
          <cell r="A213" t="str">
            <v>6837 ФИЛЕЙНЫЕ Папа Может сос ц/о мгс 0.4кг  ОСТАНКИНО</v>
          </cell>
          <cell r="D213">
            <v>951</v>
          </cell>
          <cell r="F213">
            <v>951</v>
          </cell>
        </row>
        <row r="214">
          <cell r="A214" t="str">
            <v>6842 ДЫМОВИЦА ИЗ ОКОРОКА к/в мл/к в/у 0,3кг  ОСТАНКИНО</v>
          </cell>
          <cell r="D214">
            <v>32</v>
          </cell>
          <cell r="F214">
            <v>32</v>
          </cell>
        </row>
        <row r="215">
          <cell r="A215" t="str">
            <v>6861 ДОМАШНИЙ РЕЦЕПТ Коровино вар п/о  ОСТАНКИНО</v>
          </cell>
          <cell r="D215">
            <v>786.42499999999995</v>
          </cell>
          <cell r="F215">
            <v>786.42499999999995</v>
          </cell>
        </row>
        <row r="216">
          <cell r="A216" t="str">
            <v>6866 ВЕТЧ.НЕЖНАЯ Коровино п/о_Маяк  ОСТАНКИНО</v>
          </cell>
          <cell r="D216">
            <v>188.5</v>
          </cell>
          <cell r="F216">
            <v>190.06</v>
          </cell>
        </row>
        <row r="217">
          <cell r="A217" t="str">
            <v>6928 Сыр твердый "Пармезан", с массовой долей жира 35%, цилиндр 1/4  ОСТАНКИНО</v>
          </cell>
          <cell r="D217">
            <v>5.9</v>
          </cell>
          <cell r="F217">
            <v>5.9</v>
          </cell>
        </row>
        <row r="218">
          <cell r="A218" t="str">
            <v>7001 КЛАССИЧЕСКИЕ Папа может сар б/о мгс 1*3  ОСТАНКИНО</v>
          </cell>
          <cell r="D218">
            <v>162.19999999999999</v>
          </cell>
          <cell r="F218">
            <v>162.19999999999999</v>
          </cell>
        </row>
        <row r="219">
          <cell r="A219" t="str">
            <v>7040 С ИНДЕЙКОЙ ПМ сос ц/о в/у 1/270 8шт.  ОСТАНКИНО</v>
          </cell>
          <cell r="D219">
            <v>214</v>
          </cell>
          <cell r="F219">
            <v>214</v>
          </cell>
        </row>
        <row r="220">
          <cell r="A220" t="str">
            <v>7059 ШПИКАЧКИ СОЧНЫЕ С БЕК. п/о мгс 0.3кг_60с  ОСТАНКИНО</v>
          </cell>
          <cell r="D220">
            <v>296</v>
          </cell>
          <cell r="F220">
            <v>296</v>
          </cell>
        </row>
        <row r="221">
          <cell r="A221" t="str">
            <v>7066 СОЧНЫЕ ПМ сос п/о мгс 0.41кг 10шт_50с  ОСТАНКИНО</v>
          </cell>
          <cell r="D221">
            <v>6280</v>
          </cell>
          <cell r="F221">
            <v>6280</v>
          </cell>
        </row>
        <row r="222">
          <cell r="A222" t="str">
            <v>7070 СОЧНЫЕ ПМ сос п/о мгс 1.5*4_А_50с  ОСТАНКИНО</v>
          </cell>
          <cell r="D222">
            <v>2970.2</v>
          </cell>
          <cell r="F222">
            <v>2972.7669999999998</v>
          </cell>
        </row>
        <row r="223">
          <cell r="A223" t="str">
            <v>7073 МОЛОЧ.ПРЕМИУМ ПМ сос п/о в/у 1/350_50с  ОСТАНКИНО</v>
          </cell>
          <cell r="D223">
            <v>1668</v>
          </cell>
          <cell r="F223">
            <v>1668</v>
          </cell>
        </row>
        <row r="224">
          <cell r="A224" t="str">
            <v>7075 МОЛОЧ.ПРЕМИУМ ПМ сос п/о мгс 1.5*4_О_50с  ОСТАНКИНО</v>
          </cell>
          <cell r="D224">
            <v>83.4</v>
          </cell>
          <cell r="F224">
            <v>83.4</v>
          </cell>
        </row>
        <row r="225">
          <cell r="A225" t="str">
            <v>7077 МЯСНЫЕ С ГОВЯД.ПМ сос п/о мгс 0.4кг_50с  ОСТАНКИНО</v>
          </cell>
          <cell r="D225">
            <v>58</v>
          </cell>
          <cell r="F225">
            <v>58</v>
          </cell>
        </row>
        <row r="226">
          <cell r="A226" t="str">
            <v>7080 СЛИВОЧНЫЕ ПМ сос п/о мгс 0.41кг 10шт. 50с  ОСТАНКИНО</v>
          </cell>
          <cell r="D226">
            <v>3085</v>
          </cell>
          <cell r="F226">
            <v>3085</v>
          </cell>
        </row>
        <row r="227">
          <cell r="A227" t="str">
            <v>7082 СЛИВОЧНЫЕ ПМ сос п/о мгс 1.5*4_50с  ОСТАНКИНО</v>
          </cell>
          <cell r="D227">
            <v>151.69999999999999</v>
          </cell>
          <cell r="F227">
            <v>152.69999999999999</v>
          </cell>
        </row>
        <row r="228">
          <cell r="A228" t="str">
            <v>7087 ШПИК С ЧЕСНОК.И ПЕРЦЕМ к/в в/у 0.3кг_50с  ОСТАНКИНО</v>
          </cell>
          <cell r="D228">
            <v>232</v>
          </cell>
          <cell r="F228">
            <v>232</v>
          </cell>
        </row>
        <row r="229">
          <cell r="A229" t="str">
            <v>7090 СВИНИНА ПО-ДОМ. к/в мл/к в/у 0.3кг_50с  ОСТАНКИНО</v>
          </cell>
          <cell r="D229">
            <v>507</v>
          </cell>
          <cell r="F229">
            <v>507</v>
          </cell>
        </row>
        <row r="230">
          <cell r="A230" t="str">
            <v>7092 БЕКОН Папа может с/к с/н в/у 1/140_50с  ОСТАНКИНО</v>
          </cell>
          <cell r="D230">
            <v>847</v>
          </cell>
          <cell r="F230">
            <v>847</v>
          </cell>
        </row>
        <row r="231">
          <cell r="A231" t="str">
            <v>7131 БАЛЫКОВАЯ в/к в/у 0,84кг ВЕС ОСТАНКИНО</v>
          </cell>
          <cell r="D231">
            <v>1</v>
          </cell>
          <cell r="F231">
            <v>1</v>
          </cell>
        </row>
        <row r="232">
          <cell r="A232" t="str">
            <v>7147 САЛЬЧИЧОН Останкино с/к в/у 1/220 8шт.  ОСТАНКИНО</v>
          </cell>
          <cell r="D232">
            <v>21</v>
          </cell>
          <cell r="F232">
            <v>21</v>
          </cell>
        </row>
        <row r="233">
          <cell r="A233" t="str">
            <v>7149 БАЛЫКОВАЯ Коровино п/к в/у 0.84кг_50с  ОСТАНКИНО</v>
          </cell>
          <cell r="D233">
            <v>21</v>
          </cell>
          <cell r="F233">
            <v>21</v>
          </cell>
        </row>
        <row r="234">
          <cell r="A234" t="str">
            <v>7154 СЕРВЕЛАТ ЗЕРНИСТЫЙ ПМ в/к в/у 0.35кг_50с  ОСТАНКИНО</v>
          </cell>
          <cell r="D234">
            <v>2635</v>
          </cell>
          <cell r="F234">
            <v>2635</v>
          </cell>
        </row>
        <row r="235">
          <cell r="A235" t="str">
            <v>7157 СЕРВЕЛАТ ЗЕРНИСНЫЙ ПМ в/к в/у_50с  ОСТАНКИНО</v>
          </cell>
          <cell r="D235">
            <v>140.30000000000001</v>
          </cell>
          <cell r="F235">
            <v>140.30000000000001</v>
          </cell>
        </row>
        <row r="236">
          <cell r="A236" t="str">
            <v>7166 СЕРВЕЛТ ОХОТНИЧИЙ ПМ в/к в/у_50с  ОСТАНКИНО</v>
          </cell>
          <cell r="D236">
            <v>398.7</v>
          </cell>
          <cell r="F236">
            <v>398.7</v>
          </cell>
        </row>
        <row r="237">
          <cell r="A237" t="str">
            <v>7169 СЕРВЕЛАТ ОХОТНИЧИЙ ПМ в/к в/у 0.35кг_50с  ОСТАНКИНО</v>
          </cell>
          <cell r="D237">
            <v>3384</v>
          </cell>
          <cell r="F237">
            <v>3384</v>
          </cell>
        </row>
        <row r="238">
          <cell r="A238" t="str">
            <v>7187 ГРУДИНКА ПРЕМИУМ к/в мл/к в/у 0,3кг_50с ОСТАНКИНО</v>
          </cell>
          <cell r="D238">
            <v>899</v>
          </cell>
          <cell r="F238">
            <v>899</v>
          </cell>
        </row>
        <row r="239">
          <cell r="A239" t="str">
            <v>7227 САЛЯМИ ФИНСКАЯ Папа может с/к в/у 1/180  ОСТАНКИНО</v>
          </cell>
          <cell r="D239">
            <v>8</v>
          </cell>
          <cell r="F239">
            <v>8</v>
          </cell>
        </row>
        <row r="240">
          <cell r="A240" t="str">
            <v>7229 САЛЬЧИЧОН Останкино с/к в/у 1/180 ОСТАНКИНО</v>
          </cell>
          <cell r="D240">
            <v>3</v>
          </cell>
          <cell r="F240">
            <v>3</v>
          </cell>
        </row>
        <row r="241">
          <cell r="A241" t="str">
            <v>7231 КЛАССИЧЕСКАЯ ПМ вар п/о 0,3кг 8шт_209к ОСТАНКИНО</v>
          </cell>
          <cell r="D241">
            <v>1281</v>
          </cell>
          <cell r="F241">
            <v>1281</v>
          </cell>
        </row>
        <row r="242">
          <cell r="A242" t="str">
            <v>7232 БОЯNСКАЯ ПМ п/к в/у 0,28кг 8шт_209к ОСТАНКИНО</v>
          </cell>
          <cell r="D242">
            <v>1365</v>
          </cell>
          <cell r="F242">
            <v>1365</v>
          </cell>
        </row>
        <row r="243">
          <cell r="A243" t="str">
            <v>7236 СЕРВЕЛАТ КАРЕЛЬСКИЙ в/к в/у 0,28кг_209к ОСТАНКИНО</v>
          </cell>
          <cell r="D243">
            <v>3158</v>
          </cell>
          <cell r="F243">
            <v>3158</v>
          </cell>
        </row>
        <row r="244">
          <cell r="A244" t="str">
            <v>7241 САЛЯМИ Папа может п/к в/у 0,28кг_209к ОСТАНКИНО</v>
          </cell>
          <cell r="D244">
            <v>1052</v>
          </cell>
          <cell r="F244">
            <v>1052</v>
          </cell>
        </row>
        <row r="245">
          <cell r="A245" t="str">
            <v>7245 ВЕТЧ.ФИЛЕЙНАЯ ПМ п/о 0,4кг 8шт ОСТАНКИНО</v>
          </cell>
          <cell r="D245">
            <v>52</v>
          </cell>
          <cell r="F245">
            <v>52</v>
          </cell>
        </row>
        <row r="246">
          <cell r="A246" t="str">
            <v>7255 МЯСНЫЕ С ГОВЯД. ПМ сос п/о мгс 0,4кг 6шт.  ОСТАНКИНО</v>
          </cell>
          <cell r="D246">
            <v>1886</v>
          </cell>
          <cell r="F246">
            <v>1886</v>
          </cell>
        </row>
        <row r="247">
          <cell r="A247" t="str">
            <v>7271 МЯСНЫЕ С ГОВЯДИНОЙ ПМ сос п/о мгс 1.5*4 ВЕС  ОСТАНКИНО</v>
          </cell>
          <cell r="D247">
            <v>134.6</v>
          </cell>
          <cell r="F247">
            <v>134.6</v>
          </cell>
        </row>
        <row r="248">
          <cell r="A248" t="str">
            <v>7284 ДЛЯ ДЕТЕЙ сос п/о мгс 0,33кг 6шт  ОСТАНКИНО</v>
          </cell>
          <cell r="D248">
            <v>103</v>
          </cell>
          <cell r="F248">
            <v>103</v>
          </cell>
        </row>
        <row r="249">
          <cell r="A249" t="str">
            <v>7299 НАБОР ДЛЯ ПИЦЦЫ Папа может с/к в/у  ОСТАНКИНО</v>
          </cell>
          <cell r="D249">
            <v>2.5</v>
          </cell>
          <cell r="F249">
            <v>2.5</v>
          </cell>
        </row>
        <row r="250">
          <cell r="A250" t="str">
            <v>7332 БОЯРСКАЯ ПМ п/к в/у 0.28кг_СНГ  ОСТАНКИНО</v>
          </cell>
          <cell r="D250">
            <v>52</v>
          </cell>
          <cell r="F250">
            <v>52</v>
          </cell>
        </row>
        <row r="251">
          <cell r="A251" t="str">
            <v>7333 СЕРВЕЛАТ ОХОТНИЧИЙ ПМ в/к в/у 0.28кг_СНГ  ОСТАНКИНО</v>
          </cell>
          <cell r="D251">
            <v>47</v>
          </cell>
          <cell r="F251">
            <v>47</v>
          </cell>
        </row>
        <row r="252">
          <cell r="A252" t="str">
            <v>7343 СЕЙЧАС СЕЗОН ПМ вар п/о 0,4кг  ОСТАНКИНО</v>
          </cell>
          <cell r="D252">
            <v>1457</v>
          </cell>
          <cell r="F252">
            <v>1457</v>
          </cell>
        </row>
        <row r="253">
          <cell r="A253" t="str">
            <v>7364 ЧОРИЗО Останкино с/к в/у 1/220 8шт.  ОСТАНКИНО</v>
          </cell>
          <cell r="D253">
            <v>23</v>
          </cell>
          <cell r="F253">
            <v>23</v>
          </cell>
        </row>
        <row r="254">
          <cell r="A254" t="str">
            <v>7377 ВЕТЧ.С ИНДЕЙКОЙ ПМ в/у срез 0,3кг 6шт.  ОСТАНКИНО</v>
          </cell>
          <cell r="D254">
            <v>128</v>
          </cell>
          <cell r="F254">
            <v>128</v>
          </cell>
        </row>
        <row r="255">
          <cell r="A255" t="str">
            <v>7382 САЛЯМИ МЕЛКОЗЕРНЕНАЯ с/к в/у 1/120 8шт.  ОСТАНКИНО</v>
          </cell>
          <cell r="D255">
            <v>1478</v>
          </cell>
          <cell r="F255">
            <v>1478</v>
          </cell>
        </row>
        <row r="256">
          <cell r="A256" t="str">
            <v>8249 Майонезный соус провансаль деликатесный с мас. долей жира 25%ТМ «Коровино» 824,5г  ОСТАНКИНО</v>
          </cell>
          <cell r="D256">
            <v>22</v>
          </cell>
          <cell r="F256">
            <v>22</v>
          </cell>
        </row>
        <row r="257">
          <cell r="A257" t="str">
            <v>8256 Майонез провансаль классический оливковый с мас. долей жира 67%ТМ «ПАПА МОЖЕТ» 372г  ОСТАНКИНО</v>
          </cell>
          <cell r="D257">
            <v>287</v>
          </cell>
          <cell r="F257">
            <v>287</v>
          </cell>
        </row>
        <row r="258">
          <cell r="A258" t="str">
            <v>8263 Майонез провансаль классический оливковый с мас. долей жира 67%ТМ «ПАПА МОЖЕТ» 744г  ОСТАНКИНО</v>
          </cell>
          <cell r="D258">
            <v>136</v>
          </cell>
          <cell r="F258">
            <v>136</v>
          </cell>
        </row>
        <row r="259">
          <cell r="A259" t="str">
            <v>8270 Майонез провансаль классический с массовой долей жира 67% ТМ «ПАПА МОЖЕТ» 372г  ОСТАНКИНО</v>
          </cell>
          <cell r="D259">
            <v>527</v>
          </cell>
          <cell r="F259">
            <v>527</v>
          </cell>
        </row>
        <row r="260">
          <cell r="A260" t="str">
            <v>8287 Майонез провансаль классический с массовой долей жира 67% ТМ "ПАПА МОЖЕТ" 744 г  ОСТАНКИНО</v>
          </cell>
          <cell r="D260">
            <v>246</v>
          </cell>
          <cell r="F260">
            <v>246</v>
          </cell>
        </row>
        <row r="261">
          <cell r="A261" t="str">
            <v>8377 Творожный Сыр 60% Сливочный  СТМ "ПапаМожет" - 140гр  ОСТАНКИНО</v>
          </cell>
          <cell r="D261">
            <v>340</v>
          </cell>
          <cell r="F261">
            <v>340</v>
          </cell>
        </row>
        <row r="262">
          <cell r="A262" t="str">
            <v>8391 Сыр творожный с зеленью 60% Папа может 140 гр.  ОСТАНКИНО</v>
          </cell>
          <cell r="D262">
            <v>130</v>
          </cell>
          <cell r="F262">
            <v>130</v>
          </cell>
        </row>
        <row r="263">
          <cell r="A263" t="str">
            <v>8398 Сыр ПАПА МОЖЕТ "Тильзитер" 45% 180 г  ОСТАНКИНО</v>
          </cell>
          <cell r="D263">
            <v>237</v>
          </cell>
          <cell r="F263">
            <v>237</v>
          </cell>
        </row>
        <row r="264">
          <cell r="A264" t="str">
            <v>8411 Сыр ПАПА МОЖЕТ "Гауда Голд" 45% 180 г  ОСТАНКИНО</v>
          </cell>
          <cell r="D264">
            <v>336</v>
          </cell>
          <cell r="F264">
            <v>336</v>
          </cell>
        </row>
        <row r="265">
          <cell r="A265" t="str">
            <v>8421 Творожный Сыр 60% С маринованными огурчиками и укропом 140 гр  ОСТАНКИНО</v>
          </cell>
          <cell r="D265">
            <v>13</v>
          </cell>
          <cell r="F265">
            <v>13</v>
          </cell>
        </row>
        <row r="266">
          <cell r="A266" t="str">
            <v>8435 Сыр ПАПА МОЖЕТ "Российский традиционный" 45% 180 г  ОСТАНКИНО</v>
          </cell>
          <cell r="D266">
            <v>1207</v>
          </cell>
          <cell r="F266">
            <v>1207</v>
          </cell>
        </row>
        <row r="267">
          <cell r="A267" t="str">
            <v>8438 Плавленый Сыр 45% "С ветчиной" СТМ "ПапаМожет" 180гр  ОСТАНКИНО</v>
          </cell>
          <cell r="D267">
            <v>35</v>
          </cell>
          <cell r="F267">
            <v>35</v>
          </cell>
        </row>
        <row r="268">
          <cell r="A268" t="str">
            <v>8445 Плавленый Сыр 45% "С грибами" СТМ "ПапаМожет 180гр  ОСТАНКИНО</v>
          </cell>
          <cell r="D268">
            <v>27</v>
          </cell>
          <cell r="F268">
            <v>27</v>
          </cell>
        </row>
        <row r="269">
          <cell r="A269" t="str">
            <v>8452 Сыр колбасный копченый Папа Может 400 гр  ОСТАНКИНО</v>
          </cell>
          <cell r="D269">
            <v>7</v>
          </cell>
          <cell r="F269">
            <v>7</v>
          </cell>
        </row>
        <row r="270">
          <cell r="A270" t="str">
            <v>8459 Сыр ПАПА МОЖЕТ "Голландский традиционный" 45% 180 г  ОСТАНКИНО</v>
          </cell>
          <cell r="D270">
            <v>1061</v>
          </cell>
          <cell r="F270">
            <v>1061</v>
          </cell>
        </row>
        <row r="271">
          <cell r="A271" t="str">
            <v>8476 Продукт колбасный с сыром копченый Коровино 400 гр  ОСТАНКИНО</v>
          </cell>
          <cell r="D271">
            <v>13</v>
          </cell>
          <cell r="F271">
            <v>13</v>
          </cell>
        </row>
        <row r="272">
          <cell r="A272" t="str">
            <v>8572 Сыр Папа Может "Гауда Голд", 45% брусок ВЕС ОСТАНКИНО</v>
          </cell>
          <cell r="D272">
            <v>3</v>
          </cell>
          <cell r="F272">
            <v>3</v>
          </cell>
        </row>
        <row r="273">
          <cell r="A273" t="str">
            <v>8674 Плавленый сыр "Шоколадный" 30% 180 гр ТМ "ПАПА МОЖЕТ"  ОСТАНКИНО</v>
          </cell>
          <cell r="D273">
            <v>11</v>
          </cell>
          <cell r="F273">
            <v>11</v>
          </cell>
        </row>
        <row r="274">
          <cell r="A274" t="str">
            <v>8681 Сыр плавленый Сливочный ж 45 % 180г ТМ Папа Может (16шт) ОСТАНКИНО</v>
          </cell>
          <cell r="D274">
            <v>110</v>
          </cell>
          <cell r="F274">
            <v>110</v>
          </cell>
        </row>
        <row r="275">
          <cell r="A275" t="str">
            <v>8831 Сыр ПАПА МОЖЕТ "Министерский" 180гр, 45 %  ОСТАНКИНО</v>
          </cell>
          <cell r="D275">
            <v>42</v>
          </cell>
          <cell r="F275">
            <v>42</v>
          </cell>
        </row>
        <row r="276">
          <cell r="A276" t="str">
            <v>8855 Сыр ПАПА МОЖЕТ "Папин завтрак" 180гр, 45 %  ОСТАНКИНО</v>
          </cell>
          <cell r="D276">
            <v>25</v>
          </cell>
          <cell r="F276">
            <v>25</v>
          </cell>
        </row>
        <row r="277">
          <cell r="A277" t="str">
            <v>8950 Масло сливочное ПАПА МОЖЕТ 72,5%, фас. в фольгу, 180гр  ОСТАНКИНО</v>
          </cell>
          <cell r="D277">
            <v>89</v>
          </cell>
          <cell r="F277">
            <v>89</v>
          </cell>
        </row>
        <row r="278">
          <cell r="A278" t="str">
            <v>8967 Масло "Папа может" 82,5% 180гр  ОСТАНКИНО</v>
          </cell>
          <cell r="D278">
            <v>88</v>
          </cell>
          <cell r="F278">
            <v>88</v>
          </cell>
        </row>
        <row r="279">
          <cell r="A279" t="str">
            <v>Балык говяжий с/к "Эликатессе" 0,10 кг.шт. нарезка (лоток с ср.защ.атм.)  СПК</v>
          </cell>
          <cell r="D279">
            <v>147</v>
          </cell>
          <cell r="F279">
            <v>147</v>
          </cell>
        </row>
        <row r="280">
          <cell r="A280" t="str">
            <v>Балык свиной с/к "Эликатессе" 0,10 кг.шт. нарезка (лоток с ср.защ.атм.)  СПК</v>
          </cell>
          <cell r="D280">
            <v>187</v>
          </cell>
          <cell r="F280">
            <v>187</v>
          </cell>
        </row>
        <row r="281">
          <cell r="A281" t="str">
            <v>Балыковая с/к 200 гр. срез "Эликатессе" термоформ.пак.  СПК</v>
          </cell>
          <cell r="D281">
            <v>124</v>
          </cell>
          <cell r="F281">
            <v>124</v>
          </cell>
        </row>
        <row r="282">
          <cell r="A282" t="str">
            <v>БЛИНЧ.КРУГЛЫЕ С ГРУШЕЙ пл.1/420 зам.   ОСТАНКИНО</v>
          </cell>
          <cell r="D282">
            <v>18</v>
          </cell>
          <cell r="F282">
            <v>18</v>
          </cell>
        </row>
        <row r="283">
          <cell r="A283" t="str">
            <v>БОНУС МОЛОЧНЫЕ КЛАССИЧЕСКИЕ сос п/о в/у 0.3кг (6084)  ОСТАНКИНО</v>
          </cell>
          <cell r="D283">
            <v>6</v>
          </cell>
          <cell r="F283">
            <v>6</v>
          </cell>
        </row>
        <row r="284">
          <cell r="A284" t="str">
            <v>БОНУС МОЛОЧНЫЕ КЛАССИЧЕСКИЕ сос п/о мгс 2*4_С (4980)  ОСТАНКИНО</v>
          </cell>
          <cell r="D284">
            <v>18</v>
          </cell>
          <cell r="F284">
            <v>18</v>
          </cell>
        </row>
        <row r="285">
          <cell r="A285" t="str">
            <v>БОНУС СОЧНЫЕ Папа может сос п/о мгс 1.5*4 (6954)  ОСТАНКИНО</v>
          </cell>
          <cell r="D285">
            <v>226</v>
          </cell>
          <cell r="F285">
            <v>226</v>
          </cell>
        </row>
        <row r="286">
          <cell r="A286" t="str">
            <v>БОНУС СОЧНЫЕ сос п/о мгс 0.41кг_UZ (6087)  ОСТАНКИНО</v>
          </cell>
          <cell r="D286">
            <v>17</v>
          </cell>
          <cell r="F286">
            <v>17</v>
          </cell>
        </row>
        <row r="287">
          <cell r="A287" t="str">
            <v>БОНУС_334  Паштет Любительский ТМ Стародворье ламистер 0,1 кг  ПОКОМ</v>
          </cell>
          <cell r="F287">
            <v>129</v>
          </cell>
        </row>
        <row r="288">
          <cell r="A288" t="str">
            <v>БОНУС_Пельмени Отборные из свинины и говядины 0,9 кг ТМ Стародворье ТС Медвежье ушко  ПОКОМ</v>
          </cell>
          <cell r="F288">
            <v>1</v>
          </cell>
        </row>
        <row r="289">
          <cell r="A289" t="str">
            <v>Бутербродная вареная 0,47 кг шт.  СПК</v>
          </cell>
          <cell r="D289">
            <v>23</v>
          </cell>
          <cell r="F289">
            <v>23</v>
          </cell>
        </row>
        <row r="290">
          <cell r="A290" t="str">
            <v>Вацлавская п/к (черева) 390 гр.шт. термоус.пак  СПК</v>
          </cell>
          <cell r="D290">
            <v>23</v>
          </cell>
          <cell r="F290">
            <v>23</v>
          </cell>
        </row>
        <row r="291">
          <cell r="A291" t="str">
            <v>Ветчина Альтаирская Столовая (для ХОРЕКА)  СПК</v>
          </cell>
          <cell r="D291">
            <v>1</v>
          </cell>
          <cell r="F291">
            <v>1</v>
          </cell>
        </row>
        <row r="292">
          <cell r="A292" t="str">
            <v>Готовые бельмеши сочные с мясом ТМ Горячая штучка 0,3кг зам  ПОКОМ</v>
          </cell>
          <cell r="D292">
            <v>14</v>
          </cell>
          <cell r="F292">
            <v>358</v>
          </cell>
        </row>
        <row r="293">
          <cell r="A293" t="str">
            <v>Готовые чебупели острые с мясом 0,24кг ТМ Горячая штучка  ПОКОМ</v>
          </cell>
          <cell r="D293">
            <v>15</v>
          </cell>
          <cell r="F293">
            <v>504</v>
          </cell>
        </row>
        <row r="294">
          <cell r="A294" t="str">
            <v>Готовые чебупели с ветчиной и сыром ТМ Горячая штучка флоу-пак 0,24 кг.  ПОКОМ</v>
          </cell>
          <cell r="D294">
            <v>1835</v>
          </cell>
          <cell r="F294">
            <v>3705</v>
          </cell>
        </row>
        <row r="295">
          <cell r="A295" t="str">
            <v>Готовые чебупели сочные с мясом ТМ Горячая штучка  0,3кг зам  ПОКОМ</v>
          </cell>
          <cell r="F295">
            <v>2</v>
          </cell>
        </row>
        <row r="296">
          <cell r="A296" t="str">
            <v>Готовые чебупели сочные с мясом ТМ Горячая штучка флоу-пак 0,24 кг  ПОКОМ</v>
          </cell>
          <cell r="D296">
            <v>2435</v>
          </cell>
          <cell r="F296">
            <v>3937</v>
          </cell>
        </row>
        <row r="297">
          <cell r="A297" t="str">
            <v>Готовые чебуреки с мясом ТМ Горячая штучка 0,09 кг флоу-пак ПОКОМ</v>
          </cell>
          <cell r="D297">
            <v>8</v>
          </cell>
          <cell r="F297">
            <v>696</v>
          </cell>
        </row>
        <row r="298">
          <cell r="A298" t="str">
            <v>Грудинка Деревенская в аджике к/в 150 гр.шт. нарезка (лоток с ср.защ.атм.)  СПК</v>
          </cell>
          <cell r="D298">
            <v>5</v>
          </cell>
          <cell r="F298">
            <v>5</v>
          </cell>
        </row>
        <row r="299">
          <cell r="A299" t="str">
            <v>Гуцульская с/к "КолбасГрад" 160 гр.шт. термоус. пак  СПК</v>
          </cell>
          <cell r="D299">
            <v>140</v>
          </cell>
          <cell r="F299">
            <v>140</v>
          </cell>
        </row>
        <row r="300">
          <cell r="A300" t="str">
            <v>Дельгаро с/в "Эликатессе" 140 гр.шт.  СПК</v>
          </cell>
          <cell r="D300">
            <v>141</v>
          </cell>
          <cell r="F300">
            <v>141</v>
          </cell>
        </row>
        <row r="301">
          <cell r="A301" t="str">
            <v>Деревенская с чесночком и сальцем п/к (черева) 390 гр.шт. термоус. пак.  СПК</v>
          </cell>
          <cell r="D301">
            <v>168</v>
          </cell>
          <cell r="F301">
            <v>171</v>
          </cell>
        </row>
        <row r="302">
          <cell r="A302" t="str">
            <v>Докторская вареная в/с 0,47 кг шт.  СПК</v>
          </cell>
          <cell r="D302">
            <v>56</v>
          </cell>
          <cell r="F302">
            <v>56</v>
          </cell>
        </row>
        <row r="303">
          <cell r="A303" t="str">
            <v>Докторская вареная вес. (белк.об.) термоус.пак.  СПК</v>
          </cell>
          <cell r="D303">
            <v>11.5</v>
          </cell>
          <cell r="F303">
            <v>11.5</v>
          </cell>
        </row>
        <row r="304">
          <cell r="A304" t="str">
            <v>Докторская вареная термоус.пак. "Высокий вкус"  СПК</v>
          </cell>
          <cell r="D304">
            <v>20</v>
          </cell>
          <cell r="F304">
            <v>22.039000000000001</v>
          </cell>
        </row>
        <row r="305">
          <cell r="A305" t="str">
            <v>Европоддон (невозвратный)</v>
          </cell>
          <cell r="F305">
            <v>200</v>
          </cell>
        </row>
        <row r="306">
          <cell r="A306" t="str">
            <v>ЖАР-ладушки с мясом 0,2кг ТМ Стародворье  ПОКОМ</v>
          </cell>
          <cell r="D306">
            <v>10</v>
          </cell>
          <cell r="F306">
            <v>235</v>
          </cell>
        </row>
        <row r="307">
          <cell r="A307" t="str">
            <v>Жареные вареники с картофелем и беконом Добросельские 0,2 кг. ТМ Стародворье  ПОКОМ</v>
          </cell>
          <cell r="F307">
            <v>1</v>
          </cell>
        </row>
        <row r="308">
          <cell r="A308" t="str">
            <v>Жареные вареники с картофелем и беконом ТМ Стародворье 0,2 кг  ПОКОМ</v>
          </cell>
          <cell r="D308">
            <v>8</v>
          </cell>
          <cell r="F308">
            <v>148</v>
          </cell>
        </row>
        <row r="309">
          <cell r="A309" t="str">
            <v>К798 Сыч/Прод Коровино Российский 50% 200г НОВАЯ СЗМЖ  ОСТАНКИНО</v>
          </cell>
          <cell r="D309">
            <v>1555</v>
          </cell>
          <cell r="F309">
            <v>1555</v>
          </cell>
        </row>
        <row r="310">
          <cell r="A310" t="str">
            <v>К801 Сыч/Прод Коровино Тильзитер 50% 200г НОВАЯ СЗМЖ  ОСТАНКИНО</v>
          </cell>
          <cell r="D310">
            <v>1346</v>
          </cell>
          <cell r="F310">
            <v>1346</v>
          </cell>
        </row>
        <row r="311">
          <cell r="A311" t="str">
            <v>К811 Сыч/Прод Коровино Российский Оригин 50% ВЕС НОВАЯ (5 кг)  ОСТАНКИНО</v>
          </cell>
          <cell r="D311">
            <v>151.4</v>
          </cell>
          <cell r="F311">
            <v>151.4</v>
          </cell>
        </row>
        <row r="312">
          <cell r="A312" t="str">
            <v>К825 Сыч/Прод Коровино Тильзитер Оригин 50% ВЕС НОВАЯ (5 кг брус) СЗМЖ  ОСТАНКИНО</v>
          </cell>
          <cell r="D312">
            <v>59.7</v>
          </cell>
          <cell r="F312">
            <v>59.7</v>
          </cell>
        </row>
        <row r="313">
          <cell r="A313" t="str">
            <v>Карбонад Юбилейный термоус.пак.  СПК</v>
          </cell>
          <cell r="D313">
            <v>11.515000000000001</v>
          </cell>
          <cell r="F313">
            <v>11.515000000000001</v>
          </cell>
        </row>
        <row r="314">
          <cell r="A314" t="str">
            <v>Классическая вареная 400 гр.шт.  СПК</v>
          </cell>
          <cell r="D314">
            <v>18</v>
          </cell>
          <cell r="F314">
            <v>18</v>
          </cell>
        </row>
        <row r="315">
          <cell r="A315" t="str">
            <v>Классическая с/к 80 гр.шт.нар. (лоток с ср.защ.атм.)  СПК</v>
          </cell>
          <cell r="D315">
            <v>269</v>
          </cell>
          <cell r="F315">
            <v>269</v>
          </cell>
        </row>
        <row r="316">
          <cell r="A316" t="str">
            <v>Колбаса Сервелат в/к мясной продукт Кат. А охл ГОСТ (ц/о фас вак 0,250 кг)   ДН</v>
          </cell>
          <cell r="D316">
            <v>1</v>
          </cell>
          <cell r="F316">
            <v>1</v>
          </cell>
        </row>
        <row r="317">
          <cell r="A317" t="str">
            <v>Колбаски ПодПивасики оригинальные с/к 0,10 кг.шт. термофор.пак.  СПК</v>
          </cell>
          <cell r="D317">
            <v>583</v>
          </cell>
          <cell r="F317">
            <v>583</v>
          </cell>
        </row>
        <row r="318">
          <cell r="A318" t="str">
            <v>Колбаски ПодПивасики острые с/к 0,10 кг.шт. термофор.пак.  СПК</v>
          </cell>
          <cell r="D318">
            <v>424</v>
          </cell>
          <cell r="F318">
            <v>424</v>
          </cell>
        </row>
        <row r="319">
          <cell r="A319" t="str">
            <v>Колбаски ПодПивасики с сыром с/к 100 гр.шт. (в ср.защ.атм.)  СПК</v>
          </cell>
          <cell r="D319">
            <v>74</v>
          </cell>
          <cell r="F319">
            <v>74</v>
          </cell>
        </row>
        <row r="320">
          <cell r="A320" t="str">
            <v>Круггетсы с сырным соусом ТМ Горячая штучка ТС Круггетсы флоу-пак 0,2 кг  ПОКОМ</v>
          </cell>
          <cell r="D320">
            <v>13</v>
          </cell>
          <cell r="F320">
            <v>715</v>
          </cell>
        </row>
        <row r="321">
          <cell r="A321" t="str">
            <v>Круггетсы с чесночным соусом ТМ Горячая штучка 0,25 кг зам  ПОКОМ</v>
          </cell>
          <cell r="F321">
            <v>1</v>
          </cell>
        </row>
        <row r="322">
          <cell r="A322" t="str">
            <v>Круггетсы сочные ТМ Горячая штучка ТС Круггетсы флоу-пак 0,2 кг.  ПОКОМ</v>
          </cell>
          <cell r="D322">
            <v>1825</v>
          </cell>
          <cell r="F322">
            <v>2642</v>
          </cell>
        </row>
        <row r="323">
          <cell r="A323" t="str">
            <v>Ла Фаворте с/в "Эликатессе" 140 гр.шт.  СПК</v>
          </cell>
          <cell r="D323">
            <v>167</v>
          </cell>
          <cell r="F323">
            <v>167</v>
          </cell>
        </row>
        <row r="324">
          <cell r="A324" t="str">
            <v>Ливерная Печеночная 250 гр.шт.  СПК</v>
          </cell>
          <cell r="D324">
            <v>47</v>
          </cell>
          <cell r="F324">
            <v>47</v>
          </cell>
        </row>
        <row r="325">
          <cell r="A325" t="str">
            <v>Любительская вареная термоус.пак. "Высокий вкус"  СПК</v>
          </cell>
          <cell r="D325">
            <v>102.8</v>
          </cell>
          <cell r="F325">
            <v>102.8</v>
          </cell>
        </row>
        <row r="326">
          <cell r="A326" t="str">
            <v>Мини-пицца с ветчиной и сыром ТМ Зареченские ВЕС,  ПОКОМ</v>
          </cell>
          <cell r="D326">
            <v>3</v>
          </cell>
          <cell r="F326">
            <v>32.4</v>
          </cell>
        </row>
        <row r="327">
          <cell r="A327" t="str">
            <v>Мини-сосиски в тесте 3,7кг ВЕС заморож. ТМ Зареченские  ПОКОМ</v>
          </cell>
          <cell r="D327">
            <v>7.4</v>
          </cell>
          <cell r="F327">
            <v>171.4</v>
          </cell>
        </row>
        <row r="328">
          <cell r="A328" t="str">
            <v>Мини-чебуречки с мясом ВЕС 5,5кг ТМ Зареченские  ПОКОМ</v>
          </cell>
          <cell r="D328">
            <v>11</v>
          </cell>
          <cell r="F328">
            <v>66</v>
          </cell>
        </row>
        <row r="329">
          <cell r="A329" t="str">
            <v>Мини-шарики с курочкой и сыром ТМ Зареченские ВЕС  ПОКОМ</v>
          </cell>
          <cell r="D329">
            <v>9</v>
          </cell>
          <cell r="F329">
            <v>332</v>
          </cell>
        </row>
        <row r="330">
          <cell r="A330" t="str">
            <v>Наггетсы из печи 0,25кг ТМ Вязанка ТС Няняггетсы Сливушки замор.  ПОКОМ</v>
          </cell>
          <cell r="D330">
            <v>1946</v>
          </cell>
          <cell r="F330">
            <v>4075</v>
          </cell>
        </row>
        <row r="331">
          <cell r="A331" t="str">
            <v>Наггетсы Нагетосы Сочная курочка ТМ Горячая штучка 0,25 кг зам  ПОКОМ</v>
          </cell>
          <cell r="D331">
            <v>1230</v>
          </cell>
          <cell r="F331">
            <v>2513</v>
          </cell>
        </row>
        <row r="332">
          <cell r="A332" t="str">
            <v>Наггетсы с индейкой 0,25кг ТМ Вязанка ТС Няняггетсы Сливушки НД2 замор.  ПОКОМ</v>
          </cell>
          <cell r="D332">
            <v>2422</v>
          </cell>
          <cell r="F332">
            <v>4203</v>
          </cell>
        </row>
        <row r="333">
          <cell r="A333" t="str">
            <v>Наггетсы с куриным филе и сыром ТМ Вязанка 0,25 кг ПОКОМ</v>
          </cell>
          <cell r="D333">
            <v>1937</v>
          </cell>
          <cell r="F333">
            <v>3829</v>
          </cell>
        </row>
        <row r="334">
          <cell r="A334" t="str">
            <v>Наггетсы Сливушки в темпуре ТМ Вязанка флоу-пак 0,23 кг  ПОКОМ</v>
          </cell>
          <cell r="D334">
            <v>5</v>
          </cell>
          <cell r="F334">
            <v>359</v>
          </cell>
        </row>
        <row r="335">
          <cell r="A335" t="str">
            <v>Наггетсы Хрустящие ТМ Зареченские. ВЕС ПОКОМ</v>
          </cell>
          <cell r="D335">
            <v>42</v>
          </cell>
          <cell r="F335">
            <v>1761</v>
          </cell>
        </row>
        <row r="336">
          <cell r="A336" t="str">
            <v>Наггетсы Хрустящие ТМ Стародворье с сочной курочкой 0,23 кг  ПОКОМ</v>
          </cell>
          <cell r="D336">
            <v>16</v>
          </cell>
          <cell r="F336">
            <v>553</v>
          </cell>
        </row>
        <row r="337">
          <cell r="A337" t="str">
            <v>Оригинальная с перцем с/к  СПК</v>
          </cell>
          <cell r="D337">
            <v>136.69999999999999</v>
          </cell>
          <cell r="F337">
            <v>136.69999999999999</v>
          </cell>
        </row>
        <row r="338">
          <cell r="A338" t="str">
            <v>Паштет печеночный 140 гр.шт.  СПК</v>
          </cell>
          <cell r="D338">
            <v>41</v>
          </cell>
          <cell r="F338">
            <v>41</v>
          </cell>
        </row>
        <row r="339">
          <cell r="A339" t="str">
            <v>Пекерсы с индейкой в сливочном соусе ТМ Горячая штучка 0,25 кг зам  ПОКОМ</v>
          </cell>
          <cell r="D339">
            <v>14</v>
          </cell>
          <cell r="F339">
            <v>335</v>
          </cell>
        </row>
        <row r="340">
          <cell r="A340" t="str">
            <v>Пельмени Grandmeni с говядиной и свининой 0,7кг ТМ Горячая штучка  ПОКОМ</v>
          </cell>
          <cell r="D340">
            <v>3</v>
          </cell>
          <cell r="F340">
            <v>235</v>
          </cell>
        </row>
        <row r="341">
          <cell r="A341" t="str">
            <v>Пельмени Бигбули #МЕГАВКУСИЩЕ с сочной грудинкой 0,9 кг  ПОКОМ</v>
          </cell>
          <cell r="F341">
            <v>3</v>
          </cell>
        </row>
        <row r="342">
          <cell r="A342" t="str">
            <v>Пельмени Бигбули #МЕГАВКУСИЩЕ с сочной грудинкой ТМ Горячая штучка 0,4 кг. ПОКОМ</v>
          </cell>
          <cell r="F342">
            <v>1</v>
          </cell>
        </row>
        <row r="343">
          <cell r="A343" t="str">
            <v>Пельмени Бигбули #МЕГАВКУСИЩЕ с сочной грудинкой ТМ Горячая штучка 0,7 кг. ПОКОМ</v>
          </cell>
          <cell r="D343">
            <v>4</v>
          </cell>
          <cell r="F343">
            <v>846</v>
          </cell>
        </row>
        <row r="344">
          <cell r="A344" t="str">
            <v>Пельмени Бигбули с мясом ТМ Горячая штучка. флоу-пак сфера 0,4 кг. ПОКОМ</v>
          </cell>
          <cell r="D344">
            <v>4</v>
          </cell>
          <cell r="F344">
            <v>127</v>
          </cell>
        </row>
        <row r="345">
          <cell r="A345" t="str">
            <v>Пельмени Бигбули с мясом ТМ Горячая штучка. флоу-пак сфера 0,7 кг ПОКОМ</v>
          </cell>
          <cell r="D345">
            <v>1818</v>
          </cell>
          <cell r="F345">
            <v>2733</v>
          </cell>
        </row>
        <row r="346">
          <cell r="A346" t="str">
            <v>Пельмени Бигбули с мясом, Горячая штучка 0,9кг  ПОКОМ</v>
          </cell>
          <cell r="F346">
            <v>1</v>
          </cell>
        </row>
        <row r="347">
          <cell r="A347" t="str">
            <v>Пельмени Бигбули со сливоч.маслом (Мегамаслище) ТМ БУЛЬМЕНИ сфера 0,43. замор. ПОКОМ</v>
          </cell>
          <cell r="F347">
            <v>6</v>
          </cell>
        </row>
        <row r="348">
          <cell r="A348" t="str">
            <v>Пельмени Бигбули со сливочным маслом #МЕГАМАСЛИЩЕ Горячая штучка 0,9 кг  ПОКОМ</v>
          </cell>
          <cell r="F348">
            <v>8</v>
          </cell>
        </row>
        <row r="349">
          <cell r="A349" t="str">
            <v>Пельмени Бигбули со сливочным маслом ТМ Горячая штучка, флоу-пак сфера 0,7. ПОКОМ</v>
          </cell>
          <cell r="D349">
            <v>14</v>
          </cell>
          <cell r="F349">
            <v>1242</v>
          </cell>
        </row>
        <row r="350">
          <cell r="A350" t="str">
            <v>Пельмени Бульмени мини с мясом и cыром ТМ Горячая штучка ТС Бульмени ГШ флоу-пак сфера 0,4 кг  ПОКОМ</v>
          </cell>
          <cell r="D350">
            <v>7</v>
          </cell>
          <cell r="F350">
            <v>179</v>
          </cell>
        </row>
        <row r="351">
          <cell r="A351" t="str">
            <v>Пельмени Бульмени мини с мясом и оливковым маслом 0,7 кг ТМ Горячая штучка  ПОКОМ</v>
          </cell>
          <cell r="D351">
            <v>21</v>
          </cell>
          <cell r="F351">
            <v>929</v>
          </cell>
        </row>
        <row r="352">
          <cell r="A352" t="str">
            <v>Пельмени Бульмени Нейробуст с мясом ТМ Горячая штучка ТС Бульмени ГШ сфера флоу-пак 0,6 кг.  ПОКОМ</v>
          </cell>
          <cell r="D352">
            <v>3</v>
          </cell>
          <cell r="F352">
            <v>88</v>
          </cell>
        </row>
        <row r="353">
          <cell r="A353" t="str">
            <v>Пельмени Бульмени с говядиной и свининой Наваристые 5кг Горячая штучка ВЕС  ПОКОМ</v>
          </cell>
          <cell r="D353">
            <v>60</v>
          </cell>
          <cell r="F353">
            <v>2035</v>
          </cell>
        </row>
        <row r="354">
          <cell r="A354" t="str">
            <v>Пельмени Бульмени с говядиной и свининой СЕВЕРНАЯ КОЛЛЕКЦИЯ 0,7кг ТМ Горячая штучка сфера  ПОКОМ</v>
          </cell>
          <cell r="D354">
            <v>5</v>
          </cell>
          <cell r="F354">
            <v>1210</v>
          </cell>
        </row>
        <row r="355">
          <cell r="A355" t="str">
            <v>Пельмени Бульмени с говядиной и свининой ТМ Горячая штучка. флоу-пак сфера 0,4 кг ПОКОМ</v>
          </cell>
          <cell r="D355">
            <v>28</v>
          </cell>
          <cell r="F355">
            <v>1027</v>
          </cell>
        </row>
        <row r="356">
          <cell r="A356" t="str">
            <v>Пельмени Бульмени с говядиной и свининой ТМ Горячая штучка. флоу-пак сфера 0,7 кг ПОКОМ</v>
          </cell>
          <cell r="D356">
            <v>2033</v>
          </cell>
          <cell r="F356">
            <v>4344</v>
          </cell>
        </row>
        <row r="357">
          <cell r="A357" t="str">
            <v>Пельмени Бульмени со сливочным маслом ТМ Горячая штучка. флоу-пак сфера 0,4 кг. ПОКОМ</v>
          </cell>
          <cell r="D357">
            <v>22</v>
          </cell>
          <cell r="F357">
            <v>1235</v>
          </cell>
        </row>
        <row r="358">
          <cell r="A358" t="str">
            <v>Пельмени Бульмени со сливочным маслом ТМ Горячая штучка.флоу-пак сфера 0,7 кг. ПОКОМ</v>
          </cell>
          <cell r="D358">
            <v>2249</v>
          </cell>
          <cell r="F358">
            <v>4945</v>
          </cell>
        </row>
        <row r="359">
          <cell r="A359" t="str">
            <v>Пельмени Бульмени хрустящие с мясом 0,22 кг ТМ Горячая штучка  ПОКОМ</v>
          </cell>
          <cell r="D359">
            <v>4</v>
          </cell>
          <cell r="F359">
            <v>198</v>
          </cell>
        </row>
        <row r="360">
          <cell r="A360" t="str">
            <v>Пельмени Добросельские со свининой и говядиной ТМ Стародворье флоу-пак клас. форма 0,65 кг.  ПОКОМ</v>
          </cell>
          <cell r="F360">
            <v>8</v>
          </cell>
        </row>
        <row r="361">
          <cell r="A361" t="str">
            <v>Пельмени Мясные с говядиной ТМ Стародворье сфера флоу-пак 1 кг  ПОКОМ</v>
          </cell>
          <cell r="D361">
            <v>8</v>
          </cell>
          <cell r="F361">
            <v>441</v>
          </cell>
        </row>
        <row r="362">
          <cell r="A362" t="str">
            <v>Пельмени Отборные из свинины и говядины 0,9 кг ТМ Стародворье ТС Медвежье ушко  ПОКОМ</v>
          </cell>
          <cell r="D362">
            <v>9</v>
          </cell>
          <cell r="F362">
            <v>739</v>
          </cell>
        </row>
        <row r="363">
          <cell r="A363" t="str">
            <v>Пельмени С говядиной и свининой, ВЕС, сфера пуговки Мясная Галерея  ПОКОМ</v>
          </cell>
          <cell r="D363">
            <v>65</v>
          </cell>
          <cell r="F363">
            <v>605</v>
          </cell>
        </row>
        <row r="364">
          <cell r="A364" t="str">
            <v>Пельмени Со свининой и говядиной ТМ Особый рецепт Любимая ложка 1,0 кг  ПОКОМ</v>
          </cell>
          <cell r="D364">
            <v>23</v>
          </cell>
          <cell r="F364">
            <v>654</v>
          </cell>
        </row>
        <row r="365">
          <cell r="A365" t="str">
            <v>Пельмени Сочные сфера 0,8 кг ТМ Стародворье  ПОКОМ</v>
          </cell>
          <cell r="D365">
            <v>9</v>
          </cell>
          <cell r="F365">
            <v>232</v>
          </cell>
        </row>
        <row r="366">
          <cell r="A366" t="str">
            <v>Пирожки с мясом 3,7кг ВЕС ТМ Зареченские  ПОКОМ</v>
          </cell>
          <cell r="D366">
            <v>3.7</v>
          </cell>
          <cell r="F366">
            <v>92.5</v>
          </cell>
        </row>
        <row r="367">
          <cell r="A367" t="str">
            <v>Ричеза с/к 230 гр.шт.  СПК</v>
          </cell>
          <cell r="D367">
            <v>141</v>
          </cell>
          <cell r="F367">
            <v>141</v>
          </cell>
        </row>
        <row r="368">
          <cell r="A368" t="str">
            <v>Сальчетти с/к 230 гр.шт.  СПК</v>
          </cell>
          <cell r="D368">
            <v>208</v>
          </cell>
          <cell r="F368">
            <v>208</v>
          </cell>
        </row>
        <row r="369">
          <cell r="A369" t="str">
            <v>Салями с перчиком с/к "КолбасГрад" 160 гр.шт. термоус. пак.  СПК</v>
          </cell>
          <cell r="D369">
            <v>177</v>
          </cell>
          <cell r="F369">
            <v>177</v>
          </cell>
        </row>
        <row r="370">
          <cell r="A370" t="str">
            <v>Салями с/к 100 гр.шт.нар. (лоток с ср.защ.атм.)  СПК</v>
          </cell>
          <cell r="D370">
            <v>310</v>
          </cell>
          <cell r="F370">
            <v>310</v>
          </cell>
        </row>
        <row r="371">
          <cell r="A371" t="str">
            <v>Салями Трюфель с/в "Эликатессе" 0,16 кг.шт.  СПК</v>
          </cell>
          <cell r="D371">
            <v>247</v>
          </cell>
          <cell r="F371">
            <v>247</v>
          </cell>
        </row>
        <row r="372">
          <cell r="A372" t="str">
            <v>Сардельки "Докторские" (черева) ( в ср.защ.атм.) 1.0 кг. "Высокий вкус"  СПК</v>
          </cell>
          <cell r="D372">
            <v>27.1</v>
          </cell>
          <cell r="F372">
            <v>27.1</v>
          </cell>
        </row>
        <row r="373">
          <cell r="A373" t="str">
            <v>Сардельки из говядины (черева) (в ср.защ.атм.) "Высокий вкус"  СПК</v>
          </cell>
          <cell r="D373">
            <v>28</v>
          </cell>
          <cell r="F373">
            <v>28</v>
          </cell>
        </row>
        <row r="374">
          <cell r="A374" t="str">
            <v>Сардельки Необыкновенные (черева) 400 гр.шт. (лоток с ср.защ.атм.)  СПК</v>
          </cell>
          <cell r="D374">
            <v>17</v>
          </cell>
          <cell r="F374">
            <v>17</v>
          </cell>
        </row>
        <row r="375">
          <cell r="A375" t="str">
            <v>Семейная с чесночком Экстра вареная  СПК</v>
          </cell>
          <cell r="D375">
            <v>11</v>
          </cell>
          <cell r="F375">
            <v>11</v>
          </cell>
        </row>
        <row r="376">
          <cell r="A376" t="str">
            <v>Сервелат Европейский в/к, в/с 0,38 кг.шт.термофор.пак  СПК</v>
          </cell>
          <cell r="D376">
            <v>30</v>
          </cell>
          <cell r="F376">
            <v>30</v>
          </cell>
        </row>
        <row r="377">
          <cell r="A377" t="str">
            <v>Сервелат мелкозернистый в/к 0,5 кг.шт. термоус.пак. "Высокий вкус"  СПК</v>
          </cell>
          <cell r="D377">
            <v>53</v>
          </cell>
          <cell r="F377">
            <v>53</v>
          </cell>
        </row>
        <row r="378">
          <cell r="A378" t="str">
            <v>Сервелат Финский в/к 0,38 кг.шт. термофор.пак.  СПК</v>
          </cell>
          <cell r="D378">
            <v>22</v>
          </cell>
          <cell r="F378">
            <v>22</v>
          </cell>
        </row>
        <row r="379">
          <cell r="A379" t="str">
            <v>Сервелат Фирменный в/к 0,10 кг.шт. нарезка (лоток с ср.защ.атм.)  СПК</v>
          </cell>
          <cell r="D379">
            <v>221</v>
          </cell>
          <cell r="F379">
            <v>221</v>
          </cell>
        </row>
        <row r="380">
          <cell r="A380" t="str">
            <v>Сервелат Фирменный в/к 250 гр.шт. термоформ.пак.  СПК</v>
          </cell>
          <cell r="D380">
            <v>2</v>
          </cell>
          <cell r="F380">
            <v>2</v>
          </cell>
        </row>
        <row r="381">
          <cell r="A381" t="str">
            <v>Сибирская особая с/к 0,10 кг.шт. нарезка (лоток с ср.защ.атм.)  СПК</v>
          </cell>
          <cell r="D381">
            <v>117</v>
          </cell>
          <cell r="F381">
            <v>117</v>
          </cell>
        </row>
        <row r="382">
          <cell r="A382" t="str">
            <v>Сибирская особая с/к 0,235 кг шт.  СПК</v>
          </cell>
          <cell r="D382">
            <v>235</v>
          </cell>
          <cell r="F382">
            <v>235</v>
          </cell>
        </row>
        <row r="383">
          <cell r="A383" t="str">
            <v>Сосиски "Баварские" 0,36 кг.шт. вак.упак.  СПК</v>
          </cell>
          <cell r="D383">
            <v>5</v>
          </cell>
          <cell r="F383">
            <v>5</v>
          </cell>
        </row>
        <row r="384">
          <cell r="A384" t="str">
            <v>Сосиски "Молочные" 0,36 кг.шт. вак.упак.  СПК</v>
          </cell>
          <cell r="D384">
            <v>7</v>
          </cell>
          <cell r="F384">
            <v>7</v>
          </cell>
        </row>
        <row r="385">
          <cell r="A385" t="str">
            <v>Сосиски Классические (в ср.защ.атм.) СПК</v>
          </cell>
          <cell r="D385">
            <v>7</v>
          </cell>
          <cell r="F385">
            <v>7</v>
          </cell>
        </row>
        <row r="386">
          <cell r="A386" t="str">
            <v>Сосиски Мусульманские "Просто выгодно" (в ср.защ.атм.)  СПК</v>
          </cell>
          <cell r="D386">
            <v>7</v>
          </cell>
          <cell r="F386">
            <v>7</v>
          </cell>
        </row>
        <row r="387">
          <cell r="A387" t="str">
            <v>Сосиски Хот-дог подкопченные (лоток с ср.защ.атм.)  СПК</v>
          </cell>
          <cell r="D387">
            <v>6</v>
          </cell>
          <cell r="F387">
            <v>8.1539999999999999</v>
          </cell>
        </row>
        <row r="388">
          <cell r="A388" t="str">
            <v>Сочный мегачебурек ТМ Зареченские ВЕС ПОКОМ</v>
          </cell>
          <cell r="D388">
            <v>2.5</v>
          </cell>
          <cell r="F388">
            <v>94.85</v>
          </cell>
        </row>
        <row r="389">
          <cell r="A389" t="str">
            <v>Торо Неро с/в "Эликатессе" 140 гр.шт.  СПК</v>
          </cell>
          <cell r="D389">
            <v>120</v>
          </cell>
          <cell r="F389">
            <v>120</v>
          </cell>
        </row>
        <row r="390">
          <cell r="A390" t="str">
            <v>Уши свиные копченые к пиву 0,15кг нар. д/ф шт.  СПК</v>
          </cell>
          <cell r="D390">
            <v>28</v>
          </cell>
          <cell r="F390">
            <v>28</v>
          </cell>
        </row>
        <row r="391">
          <cell r="A391" t="str">
            <v>Фестивальная пора с/к 100 гр.шт.нар. (лоток с ср.защ.атм.)  СПК</v>
          </cell>
          <cell r="D391">
            <v>126</v>
          </cell>
          <cell r="F391">
            <v>126</v>
          </cell>
        </row>
        <row r="392">
          <cell r="A392" t="str">
            <v>Фестивальная пора с/к 235 гр.шт.  СПК</v>
          </cell>
          <cell r="D392">
            <v>660</v>
          </cell>
          <cell r="F392">
            <v>660</v>
          </cell>
        </row>
        <row r="393">
          <cell r="A393" t="str">
            <v>Фестивальная пора с/к термоус.пак  СПК</v>
          </cell>
          <cell r="D393">
            <v>24.4</v>
          </cell>
          <cell r="F393">
            <v>24.4</v>
          </cell>
        </row>
        <row r="394">
          <cell r="A394" t="str">
            <v>Фирменная с/к 200 гр. срез "Эликатессе" термоформ.пак.  СПК</v>
          </cell>
          <cell r="D394">
            <v>240</v>
          </cell>
          <cell r="F394">
            <v>240</v>
          </cell>
        </row>
        <row r="395">
          <cell r="A395" t="str">
            <v>Фуэт с/в "Эликатессе" 160 гр.шт.  СПК</v>
          </cell>
          <cell r="D395">
            <v>244</v>
          </cell>
          <cell r="F395">
            <v>244</v>
          </cell>
        </row>
        <row r="396">
          <cell r="A396" t="str">
            <v>Хот-догстер ТМ Горячая штучка ТС Хот-Догстер флоу-пак 0,09 кг. ПОКОМ</v>
          </cell>
          <cell r="D396">
            <v>1</v>
          </cell>
          <cell r="F396">
            <v>352</v>
          </cell>
        </row>
        <row r="397">
          <cell r="A397" t="str">
            <v>Хотстеры с сыром 0,25кг ТМ Горячая штучка  ПОКОМ</v>
          </cell>
          <cell r="D397">
            <v>20</v>
          </cell>
          <cell r="F397">
            <v>582</v>
          </cell>
        </row>
        <row r="398">
          <cell r="A398" t="str">
            <v>Хотстеры ТМ Горячая штучка ТС Хотстеры 0,25 кг зам  ПОКОМ</v>
          </cell>
          <cell r="D398">
            <v>1831</v>
          </cell>
          <cell r="F398">
            <v>3703</v>
          </cell>
        </row>
        <row r="399">
          <cell r="A399" t="str">
            <v>Хрустящие крылышки острые к пиву ТМ Горячая штучка 0,3кг зам  ПОКОМ</v>
          </cell>
          <cell r="D399">
            <v>13</v>
          </cell>
          <cell r="F399">
            <v>615</v>
          </cell>
        </row>
        <row r="400">
          <cell r="A400" t="str">
            <v>Хрустящие крылышки ТМ Горячая штучка 0,3 кг зам  ПОКОМ</v>
          </cell>
          <cell r="D400">
            <v>11</v>
          </cell>
          <cell r="F400">
            <v>628</v>
          </cell>
        </row>
        <row r="401">
          <cell r="A401" t="str">
            <v>Чебупели Курочка гриль ТМ Горячая штучка, 0,3 кг зам  ПОКОМ</v>
          </cell>
          <cell r="D401">
            <v>11</v>
          </cell>
          <cell r="F401">
            <v>302</v>
          </cell>
        </row>
        <row r="402">
          <cell r="A402" t="str">
            <v>Чебупицца курочка по-итальянски Горячая штучка 0,25 кг зам  ПОКОМ</v>
          </cell>
          <cell r="D402">
            <v>2466</v>
          </cell>
          <cell r="F402">
            <v>4501</v>
          </cell>
        </row>
        <row r="403">
          <cell r="A403" t="str">
            <v>Чебупицца Маргарита 0,2кг ТМ Горячая штучка ТС Foodgital  ПОКОМ</v>
          </cell>
          <cell r="D403">
            <v>11</v>
          </cell>
          <cell r="F403">
            <v>288</v>
          </cell>
        </row>
        <row r="404">
          <cell r="A404" t="str">
            <v>Чебупицца Пепперони ТМ Горячая штучка ТС Чебупицца 0.25кг зам  ПОКОМ</v>
          </cell>
          <cell r="D404">
            <v>2450</v>
          </cell>
          <cell r="F404">
            <v>5972</v>
          </cell>
        </row>
        <row r="405">
          <cell r="A405" t="str">
            <v>Чебупицца со вкусом 4 сыра 0,2кг ТМ Горячая штучка ТС Foodgital  ПОКОМ</v>
          </cell>
          <cell r="D405">
            <v>13</v>
          </cell>
          <cell r="F405">
            <v>272</v>
          </cell>
        </row>
        <row r="406">
          <cell r="A406" t="str">
            <v>Чебуреки сочные ВЕС ТМ Зареченские  ПОКОМ</v>
          </cell>
          <cell r="D406">
            <v>41</v>
          </cell>
          <cell r="F406">
            <v>1549</v>
          </cell>
        </row>
        <row r="407">
          <cell r="A407" t="str">
            <v>Шпикачки Русские (черева) (в ср.защ.атм.) "Высокий вкус"  СПК</v>
          </cell>
          <cell r="D407">
            <v>40.799999999999997</v>
          </cell>
          <cell r="F407">
            <v>40.799999999999997</v>
          </cell>
        </row>
        <row r="408">
          <cell r="A408" t="str">
            <v>Эликапреза с/в "Эликатессе" 85 гр.шт. нарезка (лоток с ср.защ.атм.)  СПК</v>
          </cell>
          <cell r="D408">
            <v>21</v>
          </cell>
          <cell r="F408">
            <v>21</v>
          </cell>
        </row>
        <row r="409">
          <cell r="A409" t="str">
            <v>Юбилейная с/к 0,235 кг.шт.  СПК</v>
          </cell>
          <cell r="D409">
            <v>612</v>
          </cell>
          <cell r="F409">
            <v>612</v>
          </cell>
        </row>
        <row r="410">
          <cell r="A410" t="str">
            <v>Итого</v>
          </cell>
          <cell r="D410">
            <v>132915.95199999999</v>
          </cell>
          <cell r="F410">
            <v>308286.66499999998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29.01.2026 - 29.01.2026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58.192999999999998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259.22699999999998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145.42599999999999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349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546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494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30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48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60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193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24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28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23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27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90.078999999999994</v>
          </cell>
        </row>
        <row r="22">
          <cell r="A22" t="str">
            <v xml:space="preserve"> 201  Ветчина Нежная ТМ Особый рецепт, (2,5кг), ПОКОМ</v>
          </cell>
          <cell r="D22">
            <v>659.18100000000004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52.87</v>
          </cell>
        </row>
        <row r="24">
          <cell r="A24" t="str">
            <v xml:space="preserve"> 226  Колбаса Княжеская, с/к белков.обол в термоусад. пакете, ВЕС, ТМ Стародворье ПОКОМ</v>
          </cell>
          <cell r="D24">
            <v>0.751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95.522999999999996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39.072000000000003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64.146000000000001</v>
          </cell>
        </row>
        <row r="28">
          <cell r="A28" t="str">
            <v xml:space="preserve"> 240  Колбаса Салями охотничья, ВЕС. ПОКОМ</v>
          </cell>
          <cell r="D28">
            <v>0.72299999999999998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76.347999999999999</v>
          </cell>
        </row>
        <row r="30">
          <cell r="A30" t="str">
            <v xml:space="preserve"> 247  Сардельки Нежные, ВЕС.  ПОКОМ</v>
          </cell>
          <cell r="D30">
            <v>31.629000000000001</v>
          </cell>
        </row>
        <row r="31">
          <cell r="A31" t="str">
            <v xml:space="preserve"> 248  Сардельки Сочные ТМ Особый рецепт,   ПОКОМ</v>
          </cell>
          <cell r="D31">
            <v>16.39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245.02199999999999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D33">
            <v>45.753999999999998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D34">
            <v>22.088000000000001</v>
          </cell>
        </row>
        <row r="35">
          <cell r="A35" t="str">
            <v xml:space="preserve"> 263  Шпикачки Стародворские, ВЕС.  ПОКОМ</v>
          </cell>
          <cell r="D35">
            <v>249.36799999999999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D36">
            <v>298</v>
          </cell>
        </row>
        <row r="37">
          <cell r="A37" t="str">
            <v xml:space="preserve"> 273  Сосиски Сочинки с сочной грудинкой, МГС 0.4кг,   ПОКОМ</v>
          </cell>
          <cell r="D37">
            <v>625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D38">
            <v>483</v>
          </cell>
        </row>
        <row r="39">
          <cell r="A39" t="str">
            <v xml:space="preserve"> 283  Сосиски Сочинки, ВЕС, ТМ Стародворье ПОКОМ</v>
          </cell>
          <cell r="D39">
            <v>110.249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>
            <v>168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>
            <v>210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>
            <v>27.381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D43">
            <v>133</v>
          </cell>
        </row>
        <row r="44">
          <cell r="A44" t="str">
            <v xml:space="preserve"> 302  Сосиски Сочинки по-баварски,  0.4кг, ТМ Стародворье  ПОКОМ</v>
          </cell>
          <cell r="D44">
            <v>226</v>
          </cell>
        </row>
        <row r="45">
          <cell r="A45" t="str">
            <v xml:space="preserve"> 304  Колбаса Салями Мясорубская с рубленным шпиком ВЕС ТМ Стародворье  ПОКОМ</v>
          </cell>
          <cell r="D45">
            <v>32.5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>
            <v>66.082999999999998</v>
          </cell>
        </row>
        <row r="47">
          <cell r="A47" t="str">
            <v xml:space="preserve"> 306  Колбаса Салями Мясорубская с рубленым шпиком 0,35 кг срез ТМ Стародворье   Поком</v>
          </cell>
          <cell r="D47">
            <v>238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D48">
            <v>388</v>
          </cell>
        </row>
        <row r="49">
          <cell r="A49" t="str">
            <v xml:space="preserve"> 309  Сосиски Сочинки с сыром 0,4 кг ТМ Стародворье  ПОКОМ</v>
          </cell>
          <cell r="D49">
            <v>248</v>
          </cell>
        </row>
        <row r="50">
          <cell r="A50" t="str">
            <v xml:space="preserve"> 312  Ветчина Филейская ВЕС ТМ  Вязанка ТС Столичная  ПОКОМ</v>
          </cell>
          <cell r="D50">
            <v>167.31299999999999</v>
          </cell>
        </row>
        <row r="51">
          <cell r="A51" t="str">
            <v xml:space="preserve"> 315  Колбаса вареная Молокуша ТМ Вязанка ВЕС, ПОКОМ</v>
          </cell>
          <cell r="D51">
            <v>59.838000000000001</v>
          </cell>
        </row>
        <row r="52">
          <cell r="A52" t="str">
            <v xml:space="preserve"> 316  Колбаса Нежная ТМ Зареченские ВЕС  ПОКОМ</v>
          </cell>
          <cell r="D52">
            <v>-4.2000000000000003E-2</v>
          </cell>
        </row>
        <row r="53">
          <cell r="A53" t="str">
            <v xml:space="preserve"> 318  Сосиски Датские ТМ Зареченские, ВЕС  ПОКОМ</v>
          </cell>
          <cell r="D53">
            <v>422.69600000000003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435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779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288</v>
          </cell>
        </row>
        <row r="57">
          <cell r="A57" t="str">
            <v xml:space="preserve"> 328  Сардельки Сочинки Стародворье ТМ  0,4 кг ПОКОМ</v>
          </cell>
          <cell r="D57">
            <v>63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60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106.134</v>
          </cell>
        </row>
        <row r="60">
          <cell r="A60" t="str">
            <v xml:space="preserve"> 334  Паштет Любительский ТМ Стародворье ламистер 0,1 кг  ПОКОМ</v>
          </cell>
          <cell r="D60">
            <v>134</v>
          </cell>
        </row>
        <row r="61">
          <cell r="A61" t="str">
            <v xml:space="preserve"> 335  Колбаса Сливушка ТМ Вязанка. ВЕС.  ПОКОМ </v>
          </cell>
          <cell r="D61">
            <v>25.591000000000001</v>
          </cell>
        </row>
        <row r="62">
          <cell r="A62" t="str">
            <v xml:space="preserve"> 338  Паштет печеночный с морковью ТМ Стародворье ламистер 0,1 кг.  ПОКОМ</v>
          </cell>
          <cell r="D62">
            <v>56</v>
          </cell>
        </row>
        <row r="63">
          <cell r="A63" t="str">
            <v xml:space="preserve"> 342 Сосиски Сочинки Молочные ТМ Стародворье 0,4 кг ПОКОМ</v>
          </cell>
          <cell r="D63">
            <v>488</v>
          </cell>
        </row>
        <row r="64">
          <cell r="A64" t="str">
            <v xml:space="preserve"> 343 Сосиски Сочинки Сливочные ТМ Стародворье  0,4 кг</v>
          </cell>
          <cell r="D64">
            <v>382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D65">
            <v>79.622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D66">
            <v>42.853999999999999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D67">
            <v>425.73899999999998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D68">
            <v>63.253999999999998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D69">
            <v>26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D70">
            <v>43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D71">
            <v>62</v>
          </cell>
        </row>
        <row r="72">
          <cell r="A72" t="str">
            <v xml:space="preserve"> 364  Сардельки Филейские Вязанка ВЕС NDX ТМ Вязанка  ПОКОМ</v>
          </cell>
          <cell r="D72">
            <v>21.626000000000001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D73">
            <v>55</v>
          </cell>
        </row>
        <row r="74">
          <cell r="A74" t="str">
            <v xml:space="preserve"> 377  Колбаса Молочная Дугушка 0,6кг ТМ Стародворье  ПОКОМ</v>
          </cell>
          <cell r="D74">
            <v>145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D75">
            <v>151</v>
          </cell>
        </row>
        <row r="76">
          <cell r="A76" t="str">
            <v xml:space="preserve"> 388  Сосиски Восточные Халяль ТМ Вязанка 0,33 кг АК. ПОКОМ</v>
          </cell>
          <cell r="D76">
            <v>121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D77">
            <v>122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D78">
            <v>25</v>
          </cell>
        </row>
        <row r="79">
          <cell r="A79" t="str">
            <v xml:space="preserve"> 410  Сосиски Баварские с сыром ТМ Стародворье 0,35 кг. ПОКОМ</v>
          </cell>
          <cell r="D79">
            <v>747</v>
          </cell>
        </row>
        <row r="80">
          <cell r="A80" t="str">
            <v xml:space="preserve"> 412  Сосиски Баварские ТМ Стародворье 0,35 кг ПОКОМ</v>
          </cell>
          <cell r="D80">
            <v>1405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D81">
            <v>95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D82">
            <v>56.465000000000003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D83">
            <v>55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D84">
            <v>14.391999999999999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D85">
            <v>89</v>
          </cell>
        </row>
        <row r="86">
          <cell r="A86" t="str">
            <v xml:space="preserve"> 448  Сосиски Сливушки по-венски ТМ Вязанка. 0,3 кг ПОКОМ</v>
          </cell>
          <cell r="D86">
            <v>47</v>
          </cell>
        </row>
        <row r="87">
          <cell r="A87" t="str">
            <v xml:space="preserve"> 449  Колбаса Дугушка Стародворская ВЕС ТС Дугушка ПОКОМ</v>
          </cell>
          <cell r="D87">
            <v>42.692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D88">
            <v>716.37800000000004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D89">
            <v>927.04899999999998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D90">
            <v>1416.6869999999999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D91">
            <v>53.787999999999997</v>
          </cell>
        </row>
        <row r="92">
          <cell r="A92" t="str">
            <v xml:space="preserve"> 467  Колбаса Филейная 0,5кг ТМ Особый рецепт  ПОКОМ</v>
          </cell>
          <cell r="D92">
            <v>36</v>
          </cell>
        </row>
        <row r="93">
          <cell r="A93" t="str">
            <v xml:space="preserve"> 495  Колбаса Сочинка по-европейски с сочной грудинкой 0,3кг ТМ Стародворье  ПОКОМ</v>
          </cell>
          <cell r="D93">
            <v>277</v>
          </cell>
        </row>
        <row r="94">
          <cell r="A94" t="str">
            <v xml:space="preserve"> 496  Колбаса Сочинка по-фински с сочным окроком 0,3кг ТМ Стародворье  ПОКОМ</v>
          </cell>
          <cell r="D94">
            <v>138</v>
          </cell>
        </row>
        <row r="95">
          <cell r="A95" t="str">
            <v xml:space="preserve"> 497  Колбаса Сочинка зернистая с сочной грудинкой 0,3кг ТМ Стародворье  ПОКОМ</v>
          </cell>
          <cell r="D95">
            <v>225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D96">
            <v>202</v>
          </cell>
        </row>
        <row r="97">
          <cell r="A97" t="str">
            <v xml:space="preserve"> 519  Грудинка 0,12 кг нарезка ТМ Стародворье  ПОКОМ</v>
          </cell>
          <cell r="D97">
            <v>29</v>
          </cell>
        </row>
        <row r="98">
          <cell r="A98" t="str">
            <v xml:space="preserve"> 520  Колбаса Мраморная ТМ Стародворье в вакуумной упаковке 0,07 кг нарезка  ПОКОМ</v>
          </cell>
          <cell r="D98">
            <v>26</v>
          </cell>
        </row>
        <row r="99">
          <cell r="A99" t="str">
            <v xml:space="preserve"> 521  Бекон ТМ Стародворье в вакуумной упаковке 0,12кг нарезка  ПОКОМ</v>
          </cell>
          <cell r="D99">
            <v>123</v>
          </cell>
        </row>
        <row r="100">
          <cell r="A100" t="str">
            <v xml:space="preserve"> 523  Колбаса Сальчичон нарезка 0,07кг ТМ Стародворье  ПОКОМ </v>
          </cell>
          <cell r="D100">
            <v>64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D101">
            <v>91</v>
          </cell>
        </row>
        <row r="102">
          <cell r="A102" t="str">
            <v xml:space="preserve"> 525  Колбаса Фуэт нарезка 0,07кг ТМ Стародворье  ПОКОМ</v>
          </cell>
          <cell r="D102">
            <v>47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D103">
            <v>20</v>
          </cell>
        </row>
        <row r="104">
          <cell r="A104" t="str">
            <v xml:space="preserve"> 527  Окорок Прошутто выдержанный нарезка 0,055кг ТМ Стародворье  ПОКОМ</v>
          </cell>
          <cell r="D104">
            <v>2</v>
          </cell>
        </row>
        <row r="105">
          <cell r="A105" t="str">
            <v xml:space="preserve"> 549  Колбаса Докторская ТМ Особый рецепт в оболочке полиамид.ВЕС  ПОКОМ</v>
          </cell>
          <cell r="D105">
            <v>721.17600000000004</v>
          </cell>
        </row>
        <row r="106">
          <cell r="A106" t="str">
            <v xml:space="preserve"> 551  Колбаса Сливушка ТМ Вязанка в модифицированной газовой среде 0,11 кг нарезка  ПОКОМ</v>
          </cell>
          <cell r="D106">
            <v>15</v>
          </cell>
        </row>
        <row r="107">
          <cell r="A107" t="str">
            <v xml:space="preserve"> 552  Ветчина Сливушка с индейкой ТМ Вязанка в модифицированной газовой среде 0,1 кг нарезка  ПОКОМ</v>
          </cell>
          <cell r="D107">
            <v>27</v>
          </cell>
        </row>
        <row r="108">
          <cell r="A108" t="str">
            <v xml:space="preserve"> 553  Ассорти колбас Мясорубская коллекция: Сервелат Делюкс, С балыком 0,08 кг нарезка  ПОКОМ</v>
          </cell>
          <cell r="D108">
            <v>61</v>
          </cell>
        </row>
        <row r="109">
          <cell r="A109" t="str">
            <v xml:space="preserve"> 554  Колбаса Сервелат Мясорубский ТМ Стародворье в упаковке скин 0,08 кг нарезка  ПОКОМ</v>
          </cell>
          <cell r="D109">
            <v>61</v>
          </cell>
        </row>
        <row r="110">
          <cell r="A110" t="str">
            <v xml:space="preserve"> 556  Колбаса Сервелат Ореховый ТМ Вязанка в оболочке фиброуз в вакуумной упаковке, ВЕС  ПОКОМ</v>
          </cell>
          <cell r="D110">
            <v>61.707999999999998</v>
          </cell>
        </row>
        <row r="111">
          <cell r="A111" t="str">
            <v xml:space="preserve"> 557  Колбаса Сервелат Финский ТМ Вязанка в оболочке фиброуз в вакуумной упаковке, ВЕС  ПОКОМ</v>
          </cell>
          <cell r="D111">
            <v>53.176000000000002</v>
          </cell>
        </row>
        <row r="112">
          <cell r="A112" t="str">
            <v xml:space="preserve"> 558  Колбаса Балыковая НОВАЯ ВЕС Вязанка фиброуз в/у ПОКОМ</v>
          </cell>
          <cell r="D112">
            <v>41.225000000000001</v>
          </cell>
        </row>
        <row r="113">
          <cell r="A113" t="str">
            <v>1577 Спред растительно-сливочный "Сливочный вкус" 82,5% 180гр  ОСТАНКИНО</v>
          </cell>
          <cell r="D113">
            <v>39</v>
          </cell>
        </row>
        <row r="114">
          <cell r="A114" t="str">
            <v>1584 Спред растительно-сливочный "Сливочный вкус" 72,5% 180гр  ОСТАНКИНО</v>
          </cell>
          <cell r="D114">
            <v>33</v>
          </cell>
        </row>
        <row r="115">
          <cell r="A115" t="str">
            <v>3215 ВЕТЧ.МЯСНАЯ Папа может п/о 0.4кг 8шт.    ОСТАНКИНО</v>
          </cell>
          <cell r="D115">
            <v>124</v>
          </cell>
        </row>
        <row r="116">
          <cell r="A116" t="str">
            <v>3684 ПРЕСИЖН с/к в/у 1/250 8шт.   ОСТАНКИНО</v>
          </cell>
          <cell r="D116">
            <v>11</v>
          </cell>
        </row>
        <row r="117">
          <cell r="A117" t="str">
            <v>3986 Ароматная с/к в/у 1/250 ОСТАНКИНО</v>
          </cell>
          <cell r="D117">
            <v>74</v>
          </cell>
        </row>
        <row r="118">
          <cell r="A118" t="str">
            <v>4063 МЯСНАЯ Папа может вар п/о_Л   ОСТАНКИНО</v>
          </cell>
          <cell r="D118">
            <v>126.092</v>
          </cell>
        </row>
        <row r="119">
          <cell r="A119" t="str">
            <v>4117 ЭКСТРА Папа может с/к в/у_Л   ОСТАНКИНО</v>
          </cell>
          <cell r="D119">
            <v>2.4750000000000001</v>
          </cell>
        </row>
        <row r="120">
          <cell r="A120" t="str">
            <v>4574 Колбаса вар Мясная со шпиком 1кг Папа может п/о (код покуп. 24784) Останкино</v>
          </cell>
          <cell r="D120">
            <v>17.795000000000002</v>
          </cell>
        </row>
        <row r="121">
          <cell r="A121" t="str">
            <v>4813 ФИЛЕЙНАЯ Папа может вар п/о_Л   ОСТАНКИНО</v>
          </cell>
          <cell r="D121">
            <v>76.653000000000006</v>
          </cell>
        </row>
        <row r="122">
          <cell r="A122" t="str">
            <v>4993 САЛЯМИ ИТАЛЬЯНСКАЯ с/к в/у 1/250*8_120c ОСТАНКИНО</v>
          </cell>
          <cell r="D122">
            <v>48</v>
          </cell>
        </row>
        <row r="123">
          <cell r="A123" t="str">
            <v>5483 ЭКСТРА Папа может с/к в/у 1/250 8шт.   ОСТАНКИНО</v>
          </cell>
          <cell r="D123">
            <v>95</v>
          </cell>
        </row>
        <row r="124">
          <cell r="A124" t="str">
            <v>5544 Сервелат Финский в/к в/у_45с НОВАЯ ОСТАНКИНО</v>
          </cell>
          <cell r="D124">
            <v>42.512999999999998</v>
          </cell>
        </row>
        <row r="125">
          <cell r="A125" t="str">
            <v>5579 БЛИНЧ.КРУГЛЫЕ С САД.ЯБЛОК.1/420 зам_ПОСТ  ОСТАНКИНО</v>
          </cell>
          <cell r="D125">
            <v>4</v>
          </cell>
        </row>
        <row r="126">
          <cell r="A126" t="str">
            <v>5679 САЛЯМИ ИТАЛЬЯНСКАЯ с/к в/у 1/150_60с ОСТАНКИНО</v>
          </cell>
          <cell r="D126">
            <v>38</v>
          </cell>
        </row>
        <row r="127">
          <cell r="A127" t="str">
            <v>5708 ПОСОЛЬСКАЯ Папа может с/к в/у ОСТАНКИНО</v>
          </cell>
          <cell r="D127">
            <v>2.484</v>
          </cell>
        </row>
        <row r="128">
          <cell r="A128" t="str">
            <v>5851 ЭКСТРА Папа может вар п/о   ОСТАНКИНО</v>
          </cell>
          <cell r="D128">
            <v>46.947000000000003</v>
          </cell>
        </row>
        <row r="129">
          <cell r="A129" t="str">
            <v>5931 ОХОТНИЧЬЯ Папа может с/к в/у 1/220 8шт.   ОСТАНКИНО</v>
          </cell>
          <cell r="D129">
            <v>146</v>
          </cell>
        </row>
        <row r="130">
          <cell r="A130" t="str">
            <v>6004 РАГУ СВИНОЕ 1кг 8шт.зам_120с ОСТАНКИНО</v>
          </cell>
          <cell r="D130">
            <v>56</v>
          </cell>
        </row>
        <row r="131">
          <cell r="A131" t="str">
            <v>6168 БЛИНЧ.С МЯСОМ пл.1/350 зам  ОСТАНКИНО</v>
          </cell>
          <cell r="D131">
            <v>23</v>
          </cell>
        </row>
        <row r="132">
          <cell r="A132" t="str">
            <v>6209 БЛИНЧ.С КУРИНЫМ МЯСОМ пл.1/350 зам.  ОСТАНКИНО</v>
          </cell>
          <cell r="D132">
            <v>14</v>
          </cell>
        </row>
        <row r="133">
          <cell r="A133" t="str">
            <v>6220 ГОВЯЖЬЯ Папа может вар п/о  ОСТАНКИНО</v>
          </cell>
          <cell r="D133">
            <v>2.7120000000000002</v>
          </cell>
        </row>
        <row r="134">
          <cell r="A134" t="str">
            <v>6221 НЕАПОЛИТАНСКИЙ ДУЭТ с/к с/н мгс 1/90  ОСТАНКИНО</v>
          </cell>
          <cell r="D134">
            <v>40</v>
          </cell>
        </row>
        <row r="135">
          <cell r="A135" t="str">
            <v>6228 МЯСНОЕ АССОРТИ к/з с/н мгс 1/90 10шт.  ОСТАНКИНО</v>
          </cell>
          <cell r="D135">
            <v>28</v>
          </cell>
        </row>
        <row r="136">
          <cell r="A136" t="str">
            <v>6247 ДОМАШНЯЯ Папа может вар п/о 0,4кг 8шт.  ОСТАНКИНО</v>
          </cell>
          <cell r="D136">
            <v>14</v>
          </cell>
        </row>
        <row r="137">
          <cell r="A137" t="str">
            <v>6268 ГОВЯЖЬЯ Папа может вар п/о 0,4кг 8 шт.  ОСТАНКИНО</v>
          </cell>
          <cell r="D137">
            <v>87</v>
          </cell>
        </row>
        <row r="138">
          <cell r="A138" t="str">
            <v>6279 КОРЕЙКА ПО-ОСТ.к/в в/с с/н в/у 1/150_45с  ОСТАНКИНО</v>
          </cell>
          <cell r="D138">
            <v>23</v>
          </cell>
        </row>
        <row r="139">
          <cell r="A139" t="str">
            <v>6303 МЯСНЫЕ Папа может сос п/о мгс 1.5*3  ОСТАНКИНО</v>
          </cell>
          <cell r="D139">
            <v>275.48</v>
          </cell>
        </row>
        <row r="140">
          <cell r="A140" t="str">
            <v>6324 ДОКТОРСКАЯ ГОСТ вар п/о 0.4кг 8шт.  ОСТАНКИНО</v>
          </cell>
          <cell r="D140">
            <v>20</v>
          </cell>
        </row>
        <row r="141">
          <cell r="A141" t="str">
            <v>6325 ДОКТОРСКАЯ ПРЕМИУМ вар п/о 0.4кг 8шт.  ОСТАНКИНО</v>
          </cell>
          <cell r="D141">
            <v>239</v>
          </cell>
        </row>
        <row r="142">
          <cell r="A142" t="str">
            <v>6333 МЯСНАЯ Папа может вар п/о 0.4кг 8шт.  ОСТАНКИНО</v>
          </cell>
          <cell r="D142">
            <v>451</v>
          </cell>
        </row>
        <row r="143">
          <cell r="A143" t="str">
            <v>6340 ДОМАШНИЙ РЕЦЕПТ Коровино 0.5кг 8шт.  ОСТАНКИНО</v>
          </cell>
          <cell r="D143">
            <v>48</v>
          </cell>
        </row>
        <row r="144">
          <cell r="A144" t="str">
            <v>6353 ЭКСТРА Папа может вар п/о 0.4кг 8шт.  ОСТАНКИНО</v>
          </cell>
          <cell r="D144">
            <v>214</v>
          </cell>
        </row>
        <row r="145">
          <cell r="A145" t="str">
            <v>6392 ФИЛЕЙНАЯ Папа может вар п/о 0.4кг. ОСТАНКИНО</v>
          </cell>
          <cell r="D145">
            <v>424</v>
          </cell>
        </row>
        <row r="146">
          <cell r="A146" t="str">
            <v>6453 ЭКСТРА Папа может с/к с/н в/у 1/100 14шт.   ОСТАНКИНО</v>
          </cell>
          <cell r="D146">
            <v>234</v>
          </cell>
        </row>
        <row r="147">
          <cell r="A147" t="str">
            <v>6454 АРОМАТНАЯ с/к с/н в/у 1/100 10шт.  ОСТАНКИНО</v>
          </cell>
          <cell r="D147">
            <v>219</v>
          </cell>
        </row>
        <row r="148">
          <cell r="A148" t="str">
            <v>6459 СЕРВЕЛАТ ШВЕЙЦАРСК. в/к с/н в/у 1/100*10  ОСТАНКИНО</v>
          </cell>
          <cell r="D148">
            <v>63</v>
          </cell>
        </row>
        <row r="149">
          <cell r="A149" t="str">
            <v>6470 ВЕТЧ.МРАМОРНАЯ в/у_45с  ОСТАНКИНО</v>
          </cell>
          <cell r="D149">
            <v>1.21</v>
          </cell>
        </row>
        <row r="150">
          <cell r="A150" t="str">
            <v>6495 ВЕТЧ.МРАМОРНАЯ в/у срез 0.3кг 6шт_45с  ОСТАНКИНО</v>
          </cell>
          <cell r="D150">
            <v>47</v>
          </cell>
        </row>
        <row r="151">
          <cell r="A151" t="str">
            <v>6527 ШПИКАЧКИ СОЧНЫЕ ПМ сар б/о мгс 1*3 45с ОСТАНКИНО</v>
          </cell>
          <cell r="D151">
            <v>59.287999999999997</v>
          </cell>
        </row>
        <row r="152">
          <cell r="A152" t="str">
            <v>6609 С ГОВЯДИНОЙ ПМ сар б/о мгс 0.4кг_45с ОСТАНКИНО</v>
          </cell>
          <cell r="D152">
            <v>3</v>
          </cell>
        </row>
        <row r="153">
          <cell r="A153" t="str">
            <v>6616 МОЛОЧНЫЕ КЛАССИЧЕСКИЕ сос п/о в/у 0.3кг  ОСТАНКИНО</v>
          </cell>
          <cell r="D153">
            <v>151</v>
          </cell>
        </row>
        <row r="154">
          <cell r="A154" t="str">
            <v>6697 СЕРВЕЛАТ ФИНСКИЙ ПМ в/к в/у 0,35кг 8шт.  ОСТАНКИНО</v>
          </cell>
          <cell r="D154">
            <v>626</v>
          </cell>
        </row>
        <row r="155">
          <cell r="A155" t="str">
            <v>6713 СОЧНЫЙ ГРИЛЬ ПМ сос п/о мгс 0.41кг 8шт.  ОСТАНКИНО</v>
          </cell>
          <cell r="D155">
            <v>79</v>
          </cell>
        </row>
        <row r="156">
          <cell r="A156" t="str">
            <v>6724 МОЛОЧНЫЕ ПМ сос п/о мгс 0.41кг 10шт.  ОСТАНКИНО</v>
          </cell>
          <cell r="D156">
            <v>140</v>
          </cell>
        </row>
        <row r="157">
          <cell r="A157" t="str">
            <v>6765 РУБЛЕНЫЕ сос ц/о мгс 0.36кг 6шт.  ОСТАНКИНО</v>
          </cell>
          <cell r="D157">
            <v>61</v>
          </cell>
        </row>
        <row r="158">
          <cell r="A158" t="str">
            <v>6785 ВЕНСКАЯ САЛЯМИ п/к в/у 0.33кг 8шт.  ОСТАНКИНО</v>
          </cell>
          <cell r="D158">
            <v>23</v>
          </cell>
        </row>
        <row r="159">
          <cell r="A159" t="str">
            <v>6787 СЕРВЕЛАТ КРЕМЛЕВСКИЙ в/к в/у 0,33кг 8шт.  ОСТАНКИНО</v>
          </cell>
          <cell r="D159">
            <v>13</v>
          </cell>
        </row>
        <row r="160">
          <cell r="A160" t="str">
            <v>6793 БАЛЫКОВАЯ в/к в/у 0,33кг 8шт.  ОСТАНКИНО</v>
          </cell>
          <cell r="D160">
            <v>30</v>
          </cell>
        </row>
        <row r="161">
          <cell r="A161" t="str">
            <v>6819 БЛИНЧ.КРУГЛЫЕ С САД.ЯБЛОК. пл.1/300 зам.  ОСТАНКИНО</v>
          </cell>
          <cell r="D161">
            <v>2</v>
          </cell>
        </row>
        <row r="162">
          <cell r="A162" t="str">
            <v>6829 МОЛОЧНЫЕ КЛАССИЧЕСКИЕ сос п/о мгс 2*4_С  ОСТАНКИНО</v>
          </cell>
          <cell r="D162">
            <v>148.49100000000001</v>
          </cell>
        </row>
        <row r="163">
          <cell r="A163" t="str">
            <v>6837 ФИЛЕЙНЫЕ Папа Может сос ц/о мгс 0.4кг  ОСТАНКИНО</v>
          </cell>
          <cell r="D163">
            <v>81</v>
          </cell>
        </row>
        <row r="164">
          <cell r="A164" t="str">
            <v>6861 ДОМАШНИЙ РЕЦЕПТ Коровино вар п/о  ОСТАНКИНО</v>
          </cell>
          <cell r="D164">
            <v>34.033000000000001</v>
          </cell>
        </row>
        <row r="165">
          <cell r="A165" t="str">
            <v>6866 ВЕТЧ.НЕЖНАЯ Коровино п/о_Маяк  ОСТАНКИНО</v>
          </cell>
          <cell r="D165">
            <v>9.16</v>
          </cell>
        </row>
        <row r="166">
          <cell r="A166" t="str">
            <v>7001 КЛАССИЧЕСКИЕ Папа может сар б/о мгс 1*3  ОСТАНКИНО</v>
          </cell>
          <cell r="D166">
            <v>34.085999999999999</v>
          </cell>
        </row>
        <row r="167">
          <cell r="A167" t="str">
            <v>7040 С ИНДЕЙКОЙ ПМ сос ц/о в/у 1/270 8шт.  ОСТАНКИНО</v>
          </cell>
          <cell r="D167">
            <v>17</v>
          </cell>
        </row>
        <row r="168">
          <cell r="A168" t="str">
            <v>7059 ШПИКАЧКИ СОЧНЫЕ С БЕК. п/о мгс 0.3кг_60с  ОСТАНКИНО</v>
          </cell>
          <cell r="D168">
            <v>48</v>
          </cell>
        </row>
        <row r="169">
          <cell r="A169" t="str">
            <v>7066 СОЧНЫЕ ПМ сос п/о мгс 0.41кг 10шт_50с  ОСТАНКИНО</v>
          </cell>
          <cell r="D169">
            <v>626</v>
          </cell>
        </row>
        <row r="170">
          <cell r="A170" t="str">
            <v>7070 СОЧНЫЕ ПМ сос п/о мгс 1.5*4_А_50с  ОСТАНКИНО</v>
          </cell>
          <cell r="D170">
            <v>308.649</v>
          </cell>
        </row>
        <row r="171">
          <cell r="A171" t="str">
            <v>7073 МОЛОЧ.ПРЕМИУМ ПМ сос п/о в/у 1/350_50с  ОСТАНКИНО</v>
          </cell>
          <cell r="D171">
            <v>200</v>
          </cell>
        </row>
        <row r="172">
          <cell r="A172" t="str">
            <v>7075 МОЛОЧ.ПРЕМИУМ ПМ сос п/о мгс 1.5*4_О_50с  ОСТАНКИНО</v>
          </cell>
          <cell r="D172">
            <v>18.721</v>
          </cell>
        </row>
        <row r="173">
          <cell r="A173" t="str">
            <v>7080 СЛИВОЧНЫЕ ПМ сос п/о мгс 0.41кг 10шт. 50с  ОСТАНКИНО</v>
          </cell>
          <cell r="D173">
            <v>357</v>
          </cell>
        </row>
        <row r="174">
          <cell r="A174" t="str">
            <v>7082 СЛИВОЧНЫЕ ПМ сос п/о мгс 1.5*4_50с  ОСТАНКИНО</v>
          </cell>
          <cell r="D174">
            <v>32.094999999999999</v>
          </cell>
        </row>
        <row r="175">
          <cell r="A175" t="str">
            <v>7087 ШПИК С ЧЕСНОК.И ПЕРЦЕМ к/в в/у 0.3кг_50с  ОСТАНКИНО</v>
          </cell>
          <cell r="D175">
            <v>10</v>
          </cell>
        </row>
        <row r="176">
          <cell r="A176" t="str">
            <v>7090 СВИНИНА ПО-ДОМ. к/в мл/к в/у 0.3кг_50с  ОСТАНКИНО</v>
          </cell>
          <cell r="D176">
            <v>39</v>
          </cell>
        </row>
        <row r="177">
          <cell r="A177" t="str">
            <v>7092 БЕКОН Папа может с/к с/н в/у 1/140_50с  ОСТАНКИНО</v>
          </cell>
          <cell r="D177">
            <v>151</v>
          </cell>
        </row>
        <row r="178">
          <cell r="A178" t="str">
            <v>7147 САЛЬЧИЧОН Останкино с/к в/у 1/220 8шт.  ОСТАНКИНО</v>
          </cell>
          <cell r="D178">
            <v>3</v>
          </cell>
        </row>
        <row r="179">
          <cell r="A179" t="str">
            <v>7149 БАЛЫКОВАЯ Коровино п/к в/у 0.84кг_50с  ОСТАНКИНО</v>
          </cell>
          <cell r="D179">
            <v>7</v>
          </cell>
        </row>
        <row r="180">
          <cell r="A180" t="str">
            <v>7154 СЕРВЕЛАТ ЗЕРНИСТЫЙ ПМ в/к в/у 0.35кг_50с  ОСТАНКИНО</v>
          </cell>
          <cell r="D180">
            <v>420</v>
          </cell>
        </row>
        <row r="181">
          <cell r="A181" t="str">
            <v>7157 СЕРВЕЛАТ ЗЕРНИСНЫЙ ПМ в/к в/у_50с  ОСТАНКИНО</v>
          </cell>
          <cell r="D181">
            <v>24.047999999999998</v>
          </cell>
        </row>
        <row r="182">
          <cell r="A182" t="str">
            <v>7166 СЕРВЕЛТ ОХОТНИЧИЙ ПМ в/к в/у_50с  ОСТАНКИНО</v>
          </cell>
          <cell r="D182">
            <v>43.8</v>
          </cell>
        </row>
        <row r="183">
          <cell r="A183" t="str">
            <v>7169 СЕРВЕЛАТ ОХОТНИЧИЙ ПМ в/к в/у 0.35кг_50с  ОСТАНКИНО</v>
          </cell>
          <cell r="D183">
            <v>534</v>
          </cell>
        </row>
        <row r="184">
          <cell r="A184" t="str">
            <v>7187 ГРУДИНКА ПРЕМИУМ к/в мл/к в/у 0,3кг_50с ОСТАНКИНО</v>
          </cell>
          <cell r="D184">
            <v>84</v>
          </cell>
        </row>
        <row r="185">
          <cell r="A185" t="str">
            <v>7227 САЛЯМИ ФИНСКАЯ Папа может с/к в/у 1/180  ОСТАНКИНО</v>
          </cell>
          <cell r="D185">
            <v>-1</v>
          </cell>
        </row>
        <row r="186">
          <cell r="A186" t="str">
            <v>7231 КЛАССИЧЕСКАЯ ПМ вар п/о 0,3кг 8шт_209к ОСТАНКИНО</v>
          </cell>
          <cell r="D186">
            <v>126</v>
          </cell>
        </row>
        <row r="187">
          <cell r="A187" t="str">
            <v>7232 БОЯNСКАЯ ПМ п/к в/у 0,28кг 8шт_209к ОСТАНКИНО</v>
          </cell>
          <cell r="D187">
            <v>259</v>
          </cell>
        </row>
        <row r="188">
          <cell r="A188" t="str">
            <v>7236 СЕРВЕЛАТ КАРЕЛЬСКИЙ в/к в/у 0,28кг_209к ОСТАНКИНО</v>
          </cell>
          <cell r="D188">
            <v>381</v>
          </cell>
        </row>
        <row r="189">
          <cell r="A189" t="str">
            <v>7241 САЛЯМИ Папа может п/к в/у 0,28кг_209к ОСТАНКИНО</v>
          </cell>
          <cell r="D189">
            <v>176</v>
          </cell>
        </row>
        <row r="190">
          <cell r="A190" t="str">
            <v>7245 ВЕТЧ.ФИЛЕЙНАЯ ПМ п/о 0,4кг 8шт ОСТАНКИНО</v>
          </cell>
          <cell r="D190">
            <v>5</v>
          </cell>
        </row>
        <row r="191">
          <cell r="A191" t="str">
            <v>7255 МЯСНЫЕ С ГОВЯД. ПМ сос п/о мгс 0,4кг 6шт.  ОСТАНКИНО</v>
          </cell>
          <cell r="D191">
            <v>249</v>
          </cell>
        </row>
        <row r="192">
          <cell r="A192" t="str">
            <v>7271 МЯСНЫЕ С ГОВЯДИНОЙ ПМ сос п/о мгс 1.5*4 ВЕС  ОСТАНКИНО</v>
          </cell>
          <cell r="D192">
            <v>20.221</v>
          </cell>
        </row>
        <row r="193">
          <cell r="A193" t="str">
            <v>7284 ДЛЯ ДЕТЕЙ сос п/о мгс 0,33кг 6шт  ОСТАНКИНО</v>
          </cell>
          <cell r="D193">
            <v>30</v>
          </cell>
        </row>
        <row r="194">
          <cell r="A194" t="str">
            <v>7332 БОЯРСКАЯ ПМ п/к в/у 0.28кг_СНГ  ОСТАНКИНО</v>
          </cell>
          <cell r="D194">
            <v>4</v>
          </cell>
        </row>
        <row r="195">
          <cell r="A195" t="str">
            <v>7333 СЕРВЕЛАТ ОХОТНИЧИЙ ПМ в/к в/у 0.28кг_СНГ  ОСТАНКИНО</v>
          </cell>
          <cell r="D195">
            <v>14</v>
          </cell>
        </row>
        <row r="196">
          <cell r="A196" t="str">
            <v>7343 СЕЙЧАС СЕЗОН ПМ вар п/о 0,4кг  ОСТАНКИНО</v>
          </cell>
          <cell r="D196">
            <v>50</v>
          </cell>
        </row>
        <row r="197">
          <cell r="A197" t="str">
            <v>7364 ЧОРИЗО Останкино с/к в/у 1/220 8шт.  ОСТАНКИНО</v>
          </cell>
          <cell r="D197">
            <v>3</v>
          </cell>
        </row>
        <row r="198">
          <cell r="A198" t="str">
            <v>7377 ВЕТЧ.С ИНДЕЙКОЙ ПМ в/у срез 0,3кг 6шт.  ОСТАНКИНО</v>
          </cell>
          <cell r="D198">
            <v>14</v>
          </cell>
        </row>
        <row r="199">
          <cell r="A199" t="str">
            <v>7382 САЛЯМИ МЕЛКОЗЕРНЕНАЯ с/к в/у 1/120 8шт.  ОСТАНКИНО</v>
          </cell>
          <cell r="D199">
            <v>209</v>
          </cell>
        </row>
        <row r="200">
          <cell r="A200" t="str">
            <v>8950 Масло сливочное ПАПА МОЖЕТ 72,5%, фас. в фольгу, 180гр  ОСТАНКИНО</v>
          </cell>
          <cell r="D200">
            <v>26</v>
          </cell>
        </row>
        <row r="201">
          <cell r="A201" t="str">
            <v>8967 Масло "Папа может" 82,5% 180гр  ОСТАНКИНО</v>
          </cell>
          <cell r="D201">
            <v>31</v>
          </cell>
        </row>
        <row r="202">
          <cell r="A202" t="str">
            <v>Балык говяжий с/к "Эликатессе" 0,10 кг.шт. нарезка (лоток с ср.защ.атм.)  СПК</v>
          </cell>
          <cell r="D202">
            <v>17</v>
          </cell>
        </row>
        <row r="203">
          <cell r="A203" t="str">
            <v>Балык свиной с/к "Эликатессе" 0,10 кг.шт. нарезка (лоток с ср.защ.атм.)  СПК</v>
          </cell>
          <cell r="D203">
            <v>15</v>
          </cell>
        </row>
        <row r="204">
          <cell r="A204" t="str">
            <v>Балыковая с/к 200 гр. срез "Эликатессе" термоформ.пак.  СПК</v>
          </cell>
          <cell r="D204">
            <v>24</v>
          </cell>
        </row>
        <row r="205">
          <cell r="A205" t="str">
            <v>БЛИНЧ.КРУГЛЫЕ С ГРУШЕЙ пл.1/420 зам.   ОСТАНКИНО</v>
          </cell>
          <cell r="D205">
            <v>2</v>
          </cell>
        </row>
        <row r="206">
          <cell r="A206" t="str">
            <v>БОНУС_334  Паштет Любительский ТМ Стародворье ламистер 0,1 кг  ПОКОМ</v>
          </cell>
          <cell r="D206">
            <v>25</v>
          </cell>
        </row>
        <row r="207">
          <cell r="A207" t="str">
            <v>Бутербродная вареная 0,47 кг шт.  СПК</v>
          </cell>
          <cell r="D207">
            <v>5</v>
          </cell>
        </row>
        <row r="208">
          <cell r="A208" t="str">
            <v>Вацлавская п/к (черева) 390 гр.шт. термоус.пак  СПК</v>
          </cell>
          <cell r="D208">
            <v>1</v>
          </cell>
        </row>
        <row r="209">
          <cell r="A209" t="str">
            <v>Готовые бельмеши сочные с мясом ТМ Горячая штучка 0,3кг зам  ПОКОМ</v>
          </cell>
          <cell r="D209">
            <v>81</v>
          </cell>
        </row>
        <row r="210">
          <cell r="A210" t="str">
            <v>Готовые чебупели острые с мясом 0,24кг ТМ Горячая штучка  ПОКОМ</v>
          </cell>
          <cell r="D210">
            <v>100</v>
          </cell>
        </row>
        <row r="211">
          <cell r="A211" t="str">
            <v>Готовые чебупели с ветчиной и сыром ТМ Горячая штучка флоу-пак 0,24 кг.  ПОКОМ</v>
          </cell>
          <cell r="D211">
            <v>240</v>
          </cell>
        </row>
        <row r="212">
          <cell r="A212" t="str">
            <v>Готовые чебупели сочные с мясом ТМ Горячая штучка флоу-пак 0,24 кг  ПОКОМ</v>
          </cell>
          <cell r="D212">
            <v>329</v>
          </cell>
        </row>
        <row r="213">
          <cell r="A213" t="str">
            <v>Готовые чебуреки с мясом ТМ Горячая штучка 0,09 кг флоу-пак ПОКОМ</v>
          </cell>
          <cell r="D213">
            <v>212</v>
          </cell>
        </row>
        <row r="214">
          <cell r="A214" t="str">
            <v>Грудинка Деревенская в аджике к/в 150 гр.шт. нарезка (лоток с ср.защ.атм.)  СПК</v>
          </cell>
          <cell r="D214">
            <v>-2</v>
          </cell>
        </row>
        <row r="215">
          <cell r="A215" t="str">
            <v>Гуцульская с/к "КолбасГрад" 160 гр.шт. термоус. пак  СПК</v>
          </cell>
          <cell r="D215">
            <v>6</v>
          </cell>
        </row>
        <row r="216">
          <cell r="A216" t="str">
            <v>Дельгаро с/в "Эликатессе" 140 гр.шт.  СПК</v>
          </cell>
          <cell r="D216">
            <v>7</v>
          </cell>
        </row>
        <row r="217">
          <cell r="A217" t="str">
            <v>Деревенская с чесночком и сальцем п/к (черева) 390 гр.шт. термоус. пак.  СПК</v>
          </cell>
          <cell r="D217">
            <v>17</v>
          </cell>
        </row>
        <row r="218">
          <cell r="A218" t="str">
            <v>Докторская вареная вес. (белк.об.) термоус.пак.  СПК</v>
          </cell>
          <cell r="D218">
            <v>5.7720000000000002</v>
          </cell>
        </row>
        <row r="219">
          <cell r="A219" t="str">
            <v>Докторская вареная термоус.пак. "Высокий вкус"  СПК</v>
          </cell>
          <cell r="D219">
            <v>2.0390000000000001</v>
          </cell>
        </row>
        <row r="220">
          <cell r="A220" t="str">
            <v>ЖАР-ладушки с мясом 0,2кг ТМ Стародворье  ПОКОМ</v>
          </cell>
          <cell r="D220">
            <v>31</v>
          </cell>
        </row>
        <row r="221">
          <cell r="A221" t="str">
            <v>Жареные вареники с картофелем и беконом ТМ Стародворье 0,2 кг  ПОКОМ</v>
          </cell>
          <cell r="D221">
            <v>22</v>
          </cell>
        </row>
        <row r="222">
          <cell r="A222" t="str">
            <v>Карбонад Юбилейный термоус.пак.  СПК</v>
          </cell>
          <cell r="D222">
            <v>3.1059999999999999</v>
          </cell>
        </row>
        <row r="223">
          <cell r="A223" t="str">
            <v>Классическая вареная 400 гр.шт.  СПК</v>
          </cell>
          <cell r="D223">
            <v>8</v>
          </cell>
        </row>
        <row r="224">
          <cell r="A224" t="str">
            <v>Классическая с/к 80 гр.шт.нар. (лоток с ср.защ.атм.)  СПК</v>
          </cell>
          <cell r="D224">
            <v>5</v>
          </cell>
        </row>
        <row r="225">
          <cell r="A225" t="str">
            <v>Колбаски ПодПивасики оригинальные с/к 0,10 кг.шт. термофор.пак.  СПК</v>
          </cell>
          <cell r="D225">
            <v>121</v>
          </cell>
        </row>
        <row r="226">
          <cell r="A226" t="str">
            <v>Колбаски ПодПивасики острые с/к 0,10 кг.шт. термофор.пак.  СПК</v>
          </cell>
          <cell r="D226">
            <v>78</v>
          </cell>
        </row>
        <row r="227">
          <cell r="A227" t="str">
            <v>Колбаски ПодПивасики с сыром с/к 100 гр.шт. (в ср.защ.атм.)  СПК</v>
          </cell>
          <cell r="D227">
            <v>5</v>
          </cell>
        </row>
        <row r="228">
          <cell r="A228" t="str">
            <v>Круггетсы с сырным соусом ТМ Горячая штучка ТС Круггетсы флоу-пак 0,2 кг  ПОКОМ</v>
          </cell>
          <cell r="D228">
            <v>176</v>
          </cell>
        </row>
        <row r="229">
          <cell r="A229" t="str">
            <v>Круггетсы сочные ТМ Горячая штучка ТС Круггетсы флоу-пак 0,2 кг.  ПОКОМ</v>
          </cell>
          <cell r="D229">
            <v>135</v>
          </cell>
        </row>
        <row r="230">
          <cell r="A230" t="str">
            <v>Ла Фаворте с/в "Эликатессе" 140 гр.шт.  СПК</v>
          </cell>
          <cell r="D230">
            <v>10</v>
          </cell>
        </row>
        <row r="231">
          <cell r="A231" t="str">
            <v>Ливерная Печеночная 250 гр.шт.  СПК</v>
          </cell>
          <cell r="D231">
            <v>10</v>
          </cell>
        </row>
        <row r="232">
          <cell r="A232" t="str">
            <v>Любительская вареная термоус.пак. "Высокий вкус"  СПК</v>
          </cell>
          <cell r="D232">
            <v>1.4910000000000001</v>
          </cell>
        </row>
        <row r="233">
          <cell r="A233" t="str">
            <v>Мини-пицца с ветчиной и сыром ТМ Зареченские ВЕС,  ПОКОМ</v>
          </cell>
          <cell r="D233">
            <v>6</v>
          </cell>
        </row>
        <row r="234">
          <cell r="A234" t="str">
            <v>Мини-сосиски в тесте 3,7кг ВЕС заморож. ТМ Зареченские  ПОКОМ</v>
          </cell>
          <cell r="D234">
            <v>51.8</v>
          </cell>
        </row>
        <row r="235">
          <cell r="A235" t="str">
            <v>Мини-чебуречки с мясом ВЕС 5,5кг ТМ Зареченские  ПОКОМ</v>
          </cell>
          <cell r="D235">
            <v>22</v>
          </cell>
        </row>
        <row r="236">
          <cell r="A236" t="str">
            <v>Мини-шарики с курочкой и сыром ТМ Зареченские ВЕС  ПОКОМ</v>
          </cell>
          <cell r="D236">
            <v>84</v>
          </cell>
        </row>
        <row r="237">
          <cell r="A237" t="str">
            <v>Наггетсы из печи 0,25кг ТМ Вязанка ТС Няняггетсы Сливушки замор.  ПОКОМ</v>
          </cell>
          <cell r="D237">
            <v>222</v>
          </cell>
        </row>
        <row r="238">
          <cell r="A238" t="str">
            <v>Наггетсы Нагетосы Сочная курочка ТМ Горячая штучка 0,25 кг зам  ПОКОМ</v>
          </cell>
          <cell r="D238">
            <v>199</v>
          </cell>
        </row>
        <row r="239">
          <cell r="A239" t="str">
            <v>Наггетсы с индейкой 0,25кг ТМ Вязанка ТС Няняггетсы Сливушки НД2 замор.  ПОКОМ</v>
          </cell>
          <cell r="D239">
            <v>207</v>
          </cell>
        </row>
        <row r="240">
          <cell r="A240" t="str">
            <v>Наггетсы с куриным филе и сыром ТМ Вязанка 0,25 кг ПОКОМ</v>
          </cell>
          <cell r="D240">
            <v>214</v>
          </cell>
        </row>
        <row r="241">
          <cell r="A241" t="str">
            <v>Наггетсы Сливушки в темпуре ТМ Вязанка флоу-пак 0,23 кг  ПОКОМ</v>
          </cell>
          <cell r="D241">
            <v>88</v>
          </cell>
        </row>
        <row r="242">
          <cell r="A242" t="str">
            <v>Наггетсы Хрустящие ТМ Зареченские. ВЕС ПОКОМ</v>
          </cell>
          <cell r="D242">
            <v>288</v>
          </cell>
        </row>
        <row r="243">
          <cell r="A243" t="str">
            <v>Наггетсы Хрустящие ТМ Стародворье с сочной курочкой 0,23 кг  ПОКОМ</v>
          </cell>
          <cell r="D243">
            <v>88</v>
          </cell>
        </row>
        <row r="244">
          <cell r="A244" t="str">
            <v>Оригинальная с перцем с/к  СПК</v>
          </cell>
          <cell r="D244">
            <v>9.4459999999999997</v>
          </cell>
        </row>
        <row r="245">
          <cell r="A245" t="str">
            <v>Паштет печеночный 140 гр.шт.  СПК</v>
          </cell>
          <cell r="D245">
            <v>8</v>
          </cell>
        </row>
        <row r="246">
          <cell r="A246" t="str">
            <v>Пекерсы с индейкой в сливочном соусе ТМ Горячая штучка 0,25 кг зам  ПОКОМ</v>
          </cell>
          <cell r="D246">
            <v>85</v>
          </cell>
        </row>
        <row r="247">
          <cell r="A247" t="str">
            <v>Пельмени Grandmeni с говядиной и свининой 0,7кг ТМ Горячая штучка  ПОКОМ</v>
          </cell>
          <cell r="D247">
            <v>12</v>
          </cell>
        </row>
        <row r="248">
          <cell r="A248" t="str">
            <v>Пельмени Бигбули #МЕГАВКУСИЩЕ с сочной грудинкой ТМ Горячая штучка 0,7 кг. ПОКОМ</v>
          </cell>
          <cell r="D248">
            <v>50</v>
          </cell>
        </row>
        <row r="249">
          <cell r="A249" t="str">
            <v>Пельмени Бигбули с мясом ТМ Горячая штучка. флоу-пак сфера 0,4 кг. ПОКОМ</v>
          </cell>
          <cell r="D249">
            <v>35</v>
          </cell>
        </row>
        <row r="250">
          <cell r="A250" t="str">
            <v>Пельмени Бигбули с мясом ТМ Горячая штучка. флоу-пак сфера 0,7 кг ПОКОМ</v>
          </cell>
          <cell r="D250">
            <v>79</v>
          </cell>
        </row>
        <row r="251">
          <cell r="A251" t="str">
            <v>Пельмени Бигбули со сливочным маслом ТМ Горячая штучка, флоу-пак сфера 0,7. ПОКОМ</v>
          </cell>
          <cell r="D251">
            <v>114</v>
          </cell>
        </row>
        <row r="252">
          <cell r="A252" t="str">
            <v>Пельмени Бульмени мини с мясом и cыром ТМ Горячая штучка ТС Бульмени ГШ флоу-пак сфера 0,4 кг  ПОКОМ</v>
          </cell>
          <cell r="D252">
            <v>28</v>
          </cell>
        </row>
        <row r="253">
          <cell r="A253" t="str">
            <v>Пельмени Бульмени мини с мясом и оливковым маслом 0,7 кг ТМ Горячая штучка  ПОКОМ</v>
          </cell>
          <cell r="D253">
            <v>124</v>
          </cell>
        </row>
        <row r="254">
          <cell r="A254" t="str">
            <v>Пельмени Бульмени Нейробуст с мясом ТМ Горячая штучка ТС Бульмени ГШ сфера флоу-пак 0,6 кг.  ПОКОМ</v>
          </cell>
          <cell r="D254">
            <v>9</v>
          </cell>
        </row>
        <row r="255">
          <cell r="A255" t="str">
            <v>Пельмени Бульмени с говядиной и свининой Наваристые 5кг Горячая штучка ВЕС  ПОКОМ</v>
          </cell>
          <cell r="D255">
            <v>375</v>
          </cell>
        </row>
        <row r="256">
          <cell r="A256" t="str">
            <v>Пельмени Бульмени с говядиной и свининой СЕВЕРНАЯ КОЛЛЕКЦИЯ 0,7кг ТМ Горячая штучка сфера  ПОКОМ</v>
          </cell>
          <cell r="D256">
            <v>31</v>
          </cell>
        </row>
        <row r="257">
          <cell r="A257" t="str">
            <v>Пельмени Бульмени с говядиной и свининой ТМ Горячая штучка. флоу-пак сфера 0,4 кг ПОКОМ</v>
          </cell>
          <cell r="D257">
            <v>220</v>
          </cell>
        </row>
        <row r="258">
          <cell r="A258" t="str">
            <v>Пельмени Бульмени с говядиной и свининой ТМ Горячая штучка. флоу-пак сфера 0,7 кг ПОКОМ</v>
          </cell>
          <cell r="D258">
            <v>286</v>
          </cell>
        </row>
        <row r="259">
          <cell r="A259" t="str">
            <v>Пельмени Бульмени со сливочным маслом ТМ Горячая штучка. флоу-пак сфера 0,4 кг. ПОКОМ</v>
          </cell>
          <cell r="D259">
            <v>273</v>
          </cell>
        </row>
        <row r="260">
          <cell r="A260" t="str">
            <v>Пельмени Бульмени со сливочным маслом ТМ Горячая штучка.флоу-пак сфера 0,7 кг. ПОКОМ</v>
          </cell>
          <cell r="D260">
            <v>434</v>
          </cell>
        </row>
        <row r="261">
          <cell r="A261" t="str">
            <v>Пельмени Бульмени хрустящие с мясом 0,22 кг ТМ Горячая штучка  ПОКОМ</v>
          </cell>
          <cell r="D261">
            <v>38</v>
          </cell>
        </row>
        <row r="262">
          <cell r="A262" t="str">
            <v>Пельмени Мясные с говядиной ТМ Стародворье сфера флоу-пак 1 кг  ПОКОМ</v>
          </cell>
          <cell r="D262">
            <v>80</v>
          </cell>
        </row>
        <row r="263">
          <cell r="A263" t="str">
            <v>Пельмени Отборные из свинины и говядины 0,9 кг ТМ Стародворье ТС Медвежье ушко  ПОКОМ</v>
          </cell>
          <cell r="D263">
            <v>132</v>
          </cell>
        </row>
        <row r="264">
          <cell r="A264" t="str">
            <v>Пельмени С говядиной и свининой, ВЕС, сфера пуговки Мясная Галерея  ПОКОМ</v>
          </cell>
          <cell r="D264">
            <v>150</v>
          </cell>
        </row>
        <row r="265">
          <cell r="A265" t="str">
            <v>Пельмени Со свининой и говядиной ТМ Особый рецепт Любимая ложка 1,0 кг  ПОКОМ</v>
          </cell>
          <cell r="D265">
            <v>118</v>
          </cell>
        </row>
        <row r="266">
          <cell r="A266" t="str">
            <v>Пельмени Сочные сфера 0,8 кг ТМ Стародворье  ПОКОМ</v>
          </cell>
          <cell r="D266">
            <v>40</v>
          </cell>
        </row>
        <row r="267">
          <cell r="A267" t="str">
            <v>Пирожки с мясом 3,7кг ВЕС ТМ Зареченские  ПОКОМ</v>
          </cell>
          <cell r="D267">
            <v>18.5</v>
          </cell>
        </row>
        <row r="268">
          <cell r="A268" t="str">
            <v>Ричеза с/к 230 гр.шт.  СПК</v>
          </cell>
        </row>
        <row r="269">
          <cell r="A269" t="str">
            <v>Сальчетти с/к 230 гр.шт.  СПК</v>
          </cell>
          <cell r="D269">
            <v>18</v>
          </cell>
        </row>
        <row r="270">
          <cell r="A270" t="str">
            <v>Салями с перчиком с/к "КолбасГрад" 160 гр.шт. термоус. пак.  СПК</v>
          </cell>
          <cell r="D270">
            <v>13</v>
          </cell>
        </row>
        <row r="271">
          <cell r="A271" t="str">
            <v>Салями с/к 100 гр.шт.нар. (лоток с ср.защ.атм.)  СПК</v>
          </cell>
          <cell r="D271">
            <v>-1</v>
          </cell>
        </row>
        <row r="272">
          <cell r="A272" t="str">
            <v>Сардельки "Докторские" (черева) ( в ср.защ.атм.) 1.0 кг. "Высокий вкус"  СПК</v>
          </cell>
          <cell r="D272">
            <v>1.7709999999999999</v>
          </cell>
        </row>
        <row r="273">
          <cell r="A273" t="str">
            <v>Сардельки из говядины (черева) (в ср.защ.атм.) "Высокий вкус"  СПК</v>
          </cell>
          <cell r="D273">
            <v>0.182</v>
          </cell>
        </row>
        <row r="274">
          <cell r="A274" t="str">
            <v>Сардельки Необыкновенные (черева) 400 гр.шт. (лоток с ср.защ.атм.)  СПК</v>
          </cell>
          <cell r="D274">
            <v>2</v>
          </cell>
        </row>
        <row r="275">
          <cell r="A275" t="str">
            <v>Сервелат Европейский в/к, в/с 0,38 кг.шт.термофор.пак  СПК</v>
          </cell>
          <cell r="D275">
            <v>2</v>
          </cell>
        </row>
        <row r="276">
          <cell r="A276" t="str">
            <v>Сервелат мелкозернистый в/к 0,5 кг.шт. термоус.пак. "Высокий вкус"  СПК</v>
          </cell>
          <cell r="D276">
            <v>2</v>
          </cell>
        </row>
        <row r="277">
          <cell r="A277" t="str">
            <v>Сервелат Финский в/к 0,38 кг.шт. термофор.пак.  СПК</v>
          </cell>
        </row>
        <row r="278">
          <cell r="A278" t="str">
            <v>Сервелат Фирменный в/к 0,10 кг.шт. нарезка (лоток с ср.защ.атм.)  СПК</v>
          </cell>
          <cell r="D278">
            <v>2</v>
          </cell>
        </row>
        <row r="279">
          <cell r="A279" t="str">
            <v>Сибирская особая с/к 0,10 кг.шт. нарезка (лоток с ср.защ.атм.)  СПК</v>
          </cell>
          <cell r="D279">
            <v>17</v>
          </cell>
        </row>
        <row r="280">
          <cell r="A280" t="str">
            <v>Сибирская особая с/к 0,235 кг шт.  СПК</v>
          </cell>
          <cell r="D280">
            <v>11</v>
          </cell>
        </row>
        <row r="281">
          <cell r="A281" t="str">
            <v>Сосиски "Баварские" 0,36 кг.шт. вак.упак.  СПК</v>
          </cell>
          <cell r="D281">
            <v>1</v>
          </cell>
        </row>
        <row r="282">
          <cell r="A282" t="str">
            <v>Сосиски "Молочные" 0,36 кг.шт. вак.упак.  СПК</v>
          </cell>
          <cell r="D282">
            <v>4</v>
          </cell>
        </row>
        <row r="283">
          <cell r="A283" t="str">
            <v>Сосиски Классические (в ср.защ.атм.) СПК</v>
          </cell>
          <cell r="D283">
            <v>2.496</v>
          </cell>
        </row>
        <row r="284">
          <cell r="A284" t="str">
            <v>Сосиски Мусульманские "Просто выгодно" (в ср.защ.атм.)  СПК</v>
          </cell>
          <cell r="D284">
            <v>4.6920000000000002</v>
          </cell>
        </row>
        <row r="285">
          <cell r="A285" t="str">
            <v>Сосиски Хот-дог подкопченные (лоток с ср.защ.атм.)  СПК</v>
          </cell>
          <cell r="D285">
            <v>6.3029999999999999</v>
          </cell>
        </row>
        <row r="286">
          <cell r="A286" t="str">
            <v>Сочный мегачебурек ТМ Зареченские ВЕС ПОКОМ</v>
          </cell>
          <cell r="D286">
            <v>24.64</v>
          </cell>
        </row>
        <row r="287">
          <cell r="A287" t="str">
            <v>Торо Неро с/в "Эликатессе" 140 гр.шт.  СПК</v>
          </cell>
          <cell r="D287">
            <v>10</v>
          </cell>
        </row>
        <row r="288">
          <cell r="A288" t="str">
            <v>Уши свиные копченые к пиву 0,15кг нар. д/ф шт.  СПК</v>
          </cell>
          <cell r="D288">
            <v>-1</v>
          </cell>
        </row>
        <row r="289">
          <cell r="A289" t="str">
            <v>Фестивальная пора с/к 100 гр.шт.нар. (лоток с ср.защ.атм.)  СПК</v>
          </cell>
          <cell r="D289">
            <v>21</v>
          </cell>
        </row>
        <row r="290">
          <cell r="A290" t="str">
            <v>Фестивальная пора с/к 235 гр.шт.  СПК</v>
          </cell>
          <cell r="D290">
            <v>40</v>
          </cell>
        </row>
        <row r="291">
          <cell r="A291" t="str">
            <v>Фестивальная пора с/к термоус.пак  СПК</v>
          </cell>
          <cell r="D291">
            <v>0.61799999999999999</v>
          </cell>
        </row>
        <row r="292">
          <cell r="A292" t="str">
            <v>Фирменная с/к 200 гр. срез "Эликатессе" термоформ.пак.  СПК</v>
          </cell>
          <cell r="D292">
            <v>37</v>
          </cell>
        </row>
        <row r="293">
          <cell r="A293" t="str">
            <v>Фуэт с/в "Эликатессе" 160 гр.шт.  СПК</v>
          </cell>
          <cell r="D293">
            <v>17</v>
          </cell>
        </row>
        <row r="294">
          <cell r="A294" t="str">
            <v>Хот-догстер ТМ Горячая штучка ТС Хот-Догстер флоу-пак 0,09 кг. ПОКОМ</v>
          </cell>
          <cell r="D294">
            <v>114</v>
          </cell>
        </row>
        <row r="295">
          <cell r="A295" t="str">
            <v>Хотстеры с сыром 0,25кг ТМ Горячая штучка  ПОКОМ</v>
          </cell>
          <cell r="D295">
            <v>128</v>
          </cell>
        </row>
        <row r="296">
          <cell r="A296" t="str">
            <v>Хотстеры ТМ Горячая штучка ТС Хотстеры 0,25 кг зам  ПОКОМ</v>
          </cell>
          <cell r="D296">
            <v>276</v>
          </cell>
        </row>
        <row r="297">
          <cell r="A297" t="str">
            <v>Хрустящие крылышки острые к пиву ТМ Горячая штучка 0,3кг зам  ПОКОМ</v>
          </cell>
          <cell r="D297">
            <v>84</v>
          </cell>
        </row>
        <row r="298">
          <cell r="A298" t="str">
            <v>Хрустящие крылышки ТМ Горячая штучка 0,3 кг зам  ПОКОМ</v>
          </cell>
          <cell r="D298">
            <v>108</v>
          </cell>
        </row>
        <row r="299">
          <cell r="A299" t="str">
            <v>Чебупели Курочка гриль ТМ Горячая штучка, 0,3 кг зам  ПОКОМ</v>
          </cell>
          <cell r="D299">
            <v>57</v>
          </cell>
        </row>
        <row r="300">
          <cell r="A300" t="str">
            <v>Чебупицца курочка по-итальянски Горячая штучка 0,25 кг зам  ПОКОМ</v>
          </cell>
          <cell r="D300">
            <v>499</v>
          </cell>
        </row>
        <row r="301">
          <cell r="A301" t="str">
            <v>Чебупицца Маргарита 0,2кг ТМ Горячая штучка ТС Foodgital  ПОКОМ</v>
          </cell>
          <cell r="D301">
            <v>50</v>
          </cell>
        </row>
        <row r="302">
          <cell r="A302" t="str">
            <v>Чебупицца Пепперони ТМ Горячая штучка ТС Чебупицца 0.25кг зам  ПОКОМ</v>
          </cell>
          <cell r="D302">
            <v>482</v>
          </cell>
        </row>
        <row r="303">
          <cell r="A303" t="str">
            <v>Чебупицца со вкусом 4 сыра 0,2кг ТМ Горячая штучка ТС Foodgital  ПОКОМ</v>
          </cell>
          <cell r="D303">
            <v>40</v>
          </cell>
        </row>
        <row r="304">
          <cell r="A304" t="str">
            <v>Чебуреки сочные ВЕС ТМ Зареченские  ПОКОМ</v>
          </cell>
          <cell r="D304">
            <v>330</v>
          </cell>
        </row>
        <row r="305">
          <cell r="A305" t="str">
            <v>Шпикачки Русские (черева) (в ср.защ.атм.) "Высокий вкус"  СПК</v>
          </cell>
          <cell r="D305">
            <v>7.8220000000000001</v>
          </cell>
        </row>
        <row r="306">
          <cell r="A306" t="str">
            <v>Эликапреза с/в "Эликатессе" 85 гр.шт. нарезка (лоток с ср.защ.атм.)  СПК</v>
          </cell>
          <cell r="D306">
            <v>7</v>
          </cell>
        </row>
        <row r="307">
          <cell r="A307" t="str">
            <v>Юбилейная с/к 0,235 кг.шт.  СПК</v>
          </cell>
          <cell r="D307">
            <v>58</v>
          </cell>
        </row>
        <row r="308">
          <cell r="A308" t="str">
            <v>Итого</v>
          </cell>
          <cell r="D308">
            <v>37914.995000000003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J61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C5" sqref="AC5"/>
    </sheetView>
  </sheetViews>
  <sheetFormatPr defaultColWidth="10.5" defaultRowHeight="11.45" customHeight="1" outlineLevelRow="1" x14ac:dyDescent="0.2"/>
  <cols>
    <col min="1" max="1" width="70" style="1" customWidth="1"/>
    <col min="2" max="2" width="4.33203125" style="1" customWidth="1"/>
    <col min="3" max="6" width="8.1640625" style="1" customWidth="1"/>
    <col min="7" max="7" width="6.33203125" style="5" bestFit="1" customWidth="1"/>
    <col min="8" max="8" width="6" style="5" bestFit="1" customWidth="1"/>
    <col min="9" max="9" width="6.6640625" style="5" bestFit="1" customWidth="1"/>
    <col min="10" max="10" width="6.33203125" style="5" bestFit="1" customWidth="1"/>
    <col min="11" max="11" width="6.6640625" style="5" bestFit="1" customWidth="1"/>
    <col min="12" max="14" width="1.1640625" style="5" customWidth="1"/>
    <col min="15" max="15" width="5.6640625" style="5" bestFit="1" customWidth="1"/>
    <col min="16" max="16" width="6.6640625" style="5" bestFit="1" customWidth="1"/>
    <col min="17" max="17" width="6.5" style="5" customWidth="1"/>
    <col min="18" max="18" width="5.33203125" style="5" bestFit="1" customWidth="1"/>
    <col min="19" max="23" width="6.1640625" style="5" bestFit="1" customWidth="1"/>
    <col min="24" max="24" width="6.6640625" style="5" bestFit="1" customWidth="1"/>
    <col min="25" max="25" width="6.1640625" style="5" bestFit="1" customWidth="1"/>
    <col min="26" max="26" width="5.1640625" style="5" bestFit="1" customWidth="1"/>
    <col min="27" max="27" width="5.83203125" style="5" bestFit="1" customWidth="1"/>
    <col min="28" max="28" width="6" style="5" customWidth="1"/>
    <col min="29" max="29" width="7.6640625" style="5" bestFit="1" customWidth="1"/>
    <col min="30" max="30" width="8" style="5" customWidth="1"/>
    <col min="31" max="31" width="6" style="5" bestFit="1" customWidth="1"/>
    <col min="32" max="32" width="5.1640625" style="5" bestFit="1" customWidth="1"/>
    <col min="33" max="33" width="6.6640625" style="5" bestFit="1" customWidth="1"/>
    <col min="34" max="35" width="1.5" style="5" customWidth="1"/>
    <col min="36" max="16384" width="10.5" style="5"/>
  </cols>
  <sheetData>
    <row r="1" spans="1:36" s="1" customFormat="1" ht="9.9499999999999993" customHeight="1" x14ac:dyDescent="0.2"/>
    <row r="2" spans="1:36" s="1" customFormat="1" ht="12.95" customHeight="1" outlineLevel="1" x14ac:dyDescent="0.2">
      <c r="A2" s="2" t="s">
        <v>0</v>
      </c>
    </row>
    <row r="3" spans="1:36" s="1" customFormat="1" ht="9.9499999999999993" customHeight="1" x14ac:dyDescent="0.2"/>
    <row r="4" spans="1:36" ht="12.95" customHeight="1" x14ac:dyDescent="0.2">
      <c r="A4" s="4"/>
      <c r="B4" s="4"/>
      <c r="C4" s="4" t="s">
        <v>1</v>
      </c>
      <c r="D4" s="4"/>
      <c r="E4" s="4"/>
      <c r="F4" s="4"/>
      <c r="G4" s="9" t="s">
        <v>65</v>
      </c>
      <c r="H4" s="9" t="s">
        <v>66</v>
      </c>
      <c r="I4" s="9" t="s">
        <v>67</v>
      </c>
      <c r="J4" s="9" t="s">
        <v>68</v>
      </c>
      <c r="K4" s="9" t="s">
        <v>69</v>
      </c>
      <c r="L4" s="9" t="s">
        <v>69</v>
      </c>
      <c r="M4" s="9" t="s">
        <v>69</v>
      </c>
      <c r="N4" s="1" t="s">
        <v>70</v>
      </c>
      <c r="O4" s="1" t="s">
        <v>71</v>
      </c>
      <c r="P4" s="10" t="s">
        <v>69</v>
      </c>
      <c r="Q4" s="1" t="s">
        <v>72</v>
      </c>
      <c r="R4" s="1" t="s">
        <v>73</v>
      </c>
      <c r="S4" s="1" t="s">
        <v>71</v>
      </c>
      <c r="T4" s="11" t="s">
        <v>71</v>
      </c>
      <c r="U4" s="11" t="s">
        <v>71</v>
      </c>
      <c r="V4" s="1" t="s">
        <v>71</v>
      </c>
      <c r="W4" s="1" t="s">
        <v>74</v>
      </c>
      <c r="X4" s="1" t="s">
        <v>75</v>
      </c>
      <c r="Y4" s="12" t="s">
        <v>76</v>
      </c>
      <c r="Z4" s="11" t="s">
        <v>77</v>
      </c>
      <c r="AA4" s="13" t="s">
        <v>78</v>
      </c>
      <c r="AB4" s="14" t="s">
        <v>79</v>
      </c>
      <c r="AC4" s="10" t="s">
        <v>80</v>
      </c>
      <c r="AD4" s="1" t="s">
        <v>81</v>
      </c>
      <c r="AE4" s="10" t="s">
        <v>82</v>
      </c>
      <c r="AF4" s="1" t="s">
        <v>83</v>
      </c>
      <c r="AG4" s="15" t="s">
        <v>84</v>
      </c>
    </row>
    <row r="5" spans="1:36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5" t="s">
        <v>85</v>
      </c>
      <c r="P5" s="15" t="s">
        <v>86</v>
      </c>
      <c r="S5" s="15" t="s">
        <v>87</v>
      </c>
      <c r="T5" s="15" t="s">
        <v>88</v>
      </c>
      <c r="U5" s="15" t="s">
        <v>89</v>
      </c>
      <c r="V5" s="15" t="s">
        <v>90</v>
      </c>
      <c r="W5" s="15" t="s">
        <v>91</v>
      </c>
    </row>
    <row r="6" spans="1:36" ht="11.1" customHeight="1" x14ac:dyDescent="0.2">
      <c r="A6" s="6"/>
      <c r="B6" s="6"/>
      <c r="C6" s="3"/>
      <c r="D6" s="3"/>
      <c r="E6" s="16">
        <f>SUM(E7:E105)</f>
        <v>72440.239999999991</v>
      </c>
      <c r="F6" s="16">
        <f>SUM(F7:F105)</f>
        <v>53836.411999999997</v>
      </c>
      <c r="I6" s="16">
        <f>SUM(I7:I105)</f>
        <v>74173.149999999994</v>
      </c>
      <c r="J6" s="16">
        <f t="shared" ref="J6:P6" si="0">SUM(J7:J105)</f>
        <v>-1732.91</v>
      </c>
      <c r="K6" s="16">
        <f t="shared" si="0"/>
        <v>19020</v>
      </c>
      <c r="L6" s="16">
        <f t="shared" si="0"/>
        <v>0</v>
      </c>
      <c r="M6" s="16">
        <f t="shared" si="0"/>
        <v>0</v>
      </c>
      <c r="N6" s="16">
        <f t="shared" si="0"/>
        <v>0</v>
      </c>
      <c r="O6" s="16">
        <f t="shared" si="0"/>
        <v>9383.2479999999996</v>
      </c>
      <c r="P6" s="16">
        <f t="shared" si="0"/>
        <v>23940</v>
      </c>
      <c r="S6" s="16">
        <f t="shared" ref="S6" si="1">SUM(S7:S105)</f>
        <v>9719.275999999998</v>
      </c>
      <c r="T6" s="16">
        <f t="shared" ref="T6" si="2">SUM(T7:T105)</f>
        <v>9440.86</v>
      </c>
      <c r="U6" s="16">
        <f t="shared" ref="U6" si="3">SUM(U7:U105)</f>
        <v>9676.2743999999984</v>
      </c>
      <c r="V6" s="16">
        <f t="shared" ref="V6" si="4">SUM(V7:V105)</f>
        <v>9783.7402000000038</v>
      </c>
      <c r="W6" s="16">
        <f t="shared" ref="W6" si="5">SUM(W7:W105)</f>
        <v>7719.9400000000005</v>
      </c>
      <c r="X6" s="16">
        <f t="shared" ref="X6" si="6">SUM(X7:X105)</f>
        <v>25524</v>
      </c>
      <c r="AB6" s="16">
        <f t="shared" ref="AB6:AC6" si="7">SUM(AB7:AB105)</f>
        <v>2742</v>
      </c>
      <c r="AC6" s="16">
        <f t="shared" si="7"/>
        <v>23940</v>
      </c>
      <c r="AG6" s="16">
        <f t="shared" ref="AG6" si="8">SUM(AG7:AG105)</f>
        <v>12246.72</v>
      </c>
    </row>
    <row r="7" spans="1:36" s="1" customFormat="1" ht="11.1" customHeight="1" outlineLevel="1" x14ac:dyDescent="0.2">
      <c r="A7" s="7" t="s">
        <v>10</v>
      </c>
      <c r="B7" s="7" t="s">
        <v>9</v>
      </c>
      <c r="C7" s="8">
        <v>316</v>
      </c>
      <c r="D7" s="8">
        <v>521</v>
      </c>
      <c r="E7" s="8">
        <v>348</v>
      </c>
      <c r="F7" s="8">
        <v>474</v>
      </c>
      <c r="G7" s="1">
        <f>VLOOKUP(A:A,[1]TDSheet!$A:$G,7,0)</f>
        <v>0</v>
      </c>
      <c r="H7" s="1" t="e">
        <f>VLOOKUP(A:A,[1]TDSheet!$A:$H,8,0)</f>
        <v>#N/A</v>
      </c>
      <c r="I7" s="17">
        <f>VLOOKUP(A:A,[2]TDSheet!$A:$F,6,0)</f>
        <v>358</v>
      </c>
      <c r="J7" s="17">
        <f>E7-I7</f>
        <v>-10</v>
      </c>
      <c r="K7" s="17">
        <f>VLOOKUP(A:A,[1]TDSheet!$A:$P,16,0)</f>
        <v>120</v>
      </c>
      <c r="L7" s="17"/>
      <c r="M7" s="17"/>
      <c r="N7" s="17"/>
      <c r="O7" s="17">
        <f>(E7-X7)/5</f>
        <v>69.599999999999994</v>
      </c>
      <c r="P7" s="18">
        <v>120</v>
      </c>
      <c r="Q7" s="19">
        <f>(F7+K7+P7)/O7</f>
        <v>10.258620689655173</v>
      </c>
      <c r="R7" s="17">
        <f>F7/O7</f>
        <v>6.8103448275862073</v>
      </c>
      <c r="S7" s="17">
        <f>VLOOKUP(A:A,[1]TDSheet!$A:$S,15,0)</f>
        <v>74.400000000000006</v>
      </c>
      <c r="T7" s="17">
        <f>VLOOKUP(A:A,[1]TDSheet!$A:$T,20,0)</f>
        <v>76.25</v>
      </c>
      <c r="U7" s="17">
        <f>VLOOKUP(A:A,[1]TDSheet!$A:$U,21,0)</f>
        <v>63.4</v>
      </c>
      <c r="V7" s="17">
        <f>VLOOKUP(A:A,[1]TDSheet!$A:$V,22,0)</f>
        <v>68.8</v>
      </c>
      <c r="W7" s="17">
        <f>VLOOKUP(A:A,[3]TDSheet!$A:$D,4,0)</f>
        <v>81</v>
      </c>
      <c r="X7" s="17">
        <f>VLOOKUP(A:A,[1]TDSheet!$A:$X,24,0)</f>
        <v>0</v>
      </c>
      <c r="Y7" s="17">
        <f>VLOOKUP(A:A,[1]TDSheet!$A:$Y,25,0)</f>
        <v>70</v>
      </c>
      <c r="Z7" s="17">
        <f>VLOOKUP(A:A,[1]TDSheet!$A:$Z,26,0)</f>
        <v>14</v>
      </c>
      <c r="AA7" s="17">
        <f>VLOOKUP(A:A,[1]TDSheet!$A:$AA,27,0)</f>
        <v>12</v>
      </c>
      <c r="AB7" s="21">
        <f t="shared" ref="AB7:AB14" si="9">MROUND(AE7,Z7)</f>
        <v>14</v>
      </c>
      <c r="AC7" s="17">
        <f>P7+0</f>
        <v>120</v>
      </c>
      <c r="AD7" s="17">
        <f>VLOOKUP(A:A,[1]TDSheet!$A:$AD,30,0)</f>
        <v>0</v>
      </c>
      <c r="AE7" s="20">
        <f>AC7/12</f>
        <v>10</v>
      </c>
      <c r="AF7" s="22">
        <f>VLOOKUP(A:A,[1]TDSheet!$A:$AF,32,0)</f>
        <v>0.3</v>
      </c>
      <c r="AG7" s="17">
        <f t="shared" ref="AG7:AG8" si="10">AB7*AA7*AF7</f>
        <v>50.4</v>
      </c>
      <c r="AH7" s="17"/>
      <c r="AI7" s="17"/>
      <c r="AJ7" s="17"/>
    </row>
    <row r="8" spans="1:36" s="1" customFormat="1" ht="11.1" customHeight="1" outlineLevel="1" x14ac:dyDescent="0.2">
      <c r="A8" s="7" t="s">
        <v>11</v>
      </c>
      <c r="B8" s="7" t="s">
        <v>9</v>
      </c>
      <c r="C8" s="8">
        <v>236</v>
      </c>
      <c r="D8" s="8">
        <v>875</v>
      </c>
      <c r="E8" s="8">
        <v>465</v>
      </c>
      <c r="F8" s="8">
        <v>620</v>
      </c>
      <c r="G8" s="1">
        <f>VLOOKUP(A:A,[1]TDSheet!$A:$G,7,0)</f>
        <v>0.24</v>
      </c>
      <c r="H8" s="1" t="e">
        <f>VLOOKUP(A:A,[1]TDSheet!$A:$H,8,0)</f>
        <v>#N/A</v>
      </c>
      <c r="I8" s="17">
        <f>VLOOKUP(A:A,[2]TDSheet!$A:$F,6,0)</f>
        <v>504</v>
      </c>
      <c r="J8" s="17">
        <f t="shared" ref="J8:J61" si="11">E8-I8</f>
        <v>-39</v>
      </c>
      <c r="K8" s="17">
        <f>VLOOKUP(A:A,[1]TDSheet!$A:$P,16,0)</f>
        <v>180</v>
      </c>
      <c r="L8" s="17"/>
      <c r="M8" s="17"/>
      <c r="N8" s="17"/>
      <c r="O8" s="17">
        <f t="shared" ref="O8:O61" si="12">(E8-X8)/5</f>
        <v>93</v>
      </c>
      <c r="P8" s="18">
        <v>150</v>
      </c>
      <c r="Q8" s="19">
        <f t="shared" ref="Q8:Q61" si="13">(F8+K8+P8)/O8</f>
        <v>10.21505376344086</v>
      </c>
      <c r="R8" s="17">
        <f t="shared" ref="R8:R61" si="14">F8/O8</f>
        <v>6.666666666666667</v>
      </c>
      <c r="S8" s="17">
        <f>VLOOKUP(A:A,[1]TDSheet!$A:$S,15,0)</f>
        <v>112.6</v>
      </c>
      <c r="T8" s="17">
        <f>VLOOKUP(A:A,[1]TDSheet!$A:$T,20,0)</f>
        <v>120.25</v>
      </c>
      <c r="U8" s="17">
        <f>VLOOKUP(A:A,[1]TDSheet!$A:$U,21,0)</f>
        <v>88.4</v>
      </c>
      <c r="V8" s="17">
        <f>VLOOKUP(A:A,[1]TDSheet!$A:$V,22,0)</f>
        <v>107.6</v>
      </c>
      <c r="W8" s="17">
        <f>VLOOKUP(A:A,[3]TDSheet!$A:$D,4,0)</f>
        <v>100</v>
      </c>
      <c r="X8" s="17">
        <f>VLOOKUP(A:A,[1]TDSheet!$A:$X,24,0)</f>
        <v>0</v>
      </c>
      <c r="Y8" s="17">
        <f>VLOOKUP(A:A,[1]TDSheet!$A:$Y,25,0)</f>
        <v>70</v>
      </c>
      <c r="Z8" s="17">
        <f>VLOOKUP(A:A,[1]TDSheet!$A:$Z,26,0)</f>
        <v>14</v>
      </c>
      <c r="AA8" s="17">
        <f>VLOOKUP(A:A,[1]TDSheet!$A:$AA,27,0)</f>
        <v>12</v>
      </c>
      <c r="AB8" s="21">
        <f t="shared" si="9"/>
        <v>14</v>
      </c>
      <c r="AC8" s="17">
        <f t="shared" ref="AC8:AC61" si="15">P8+0</f>
        <v>150</v>
      </c>
      <c r="AD8" s="17" t="e">
        <f>VLOOKUP(A:A,[1]TDSheet!$A:$AD,30,0)</f>
        <v>#N/A</v>
      </c>
      <c r="AE8" s="20">
        <f>AC8/12</f>
        <v>12.5</v>
      </c>
      <c r="AF8" s="22">
        <f>VLOOKUP(A:A,[1]TDSheet!$A:$AF,32,0)</f>
        <v>0.24</v>
      </c>
      <c r="AG8" s="17">
        <f t="shared" si="10"/>
        <v>40.32</v>
      </c>
      <c r="AH8" s="17"/>
      <c r="AI8" s="17"/>
      <c r="AJ8" s="17"/>
    </row>
    <row r="9" spans="1:36" s="1" customFormat="1" ht="11.1" customHeight="1" outlineLevel="1" x14ac:dyDescent="0.2">
      <c r="A9" s="7" t="s">
        <v>12</v>
      </c>
      <c r="B9" s="7" t="s">
        <v>9</v>
      </c>
      <c r="C9" s="8">
        <v>1092</v>
      </c>
      <c r="D9" s="8">
        <v>4610</v>
      </c>
      <c r="E9" s="8">
        <v>3731</v>
      </c>
      <c r="F9" s="8">
        <v>1930</v>
      </c>
      <c r="G9" s="1">
        <f>VLOOKUP(A:A,[1]TDSheet!$A:$G,7,0)</f>
        <v>0.24</v>
      </c>
      <c r="H9" s="1" t="e">
        <f>VLOOKUP(A:A,[1]TDSheet!$A:$H,8,0)</f>
        <v>#N/A</v>
      </c>
      <c r="I9" s="17">
        <f>VLOOKUP(A:A,[2]TDSheet!$A:$F,6,0)</f>
        <v>3705</v>
      </c>
      <c r="J9" s="17">
        <f t="shared" si="11"/>
        <v>26</v>
      </c>
      <c r="K9" s="17">
        <f>VLOOKUP(A:A,[1]TDSheet!$A:$P,16,0)</f>
        <v>900</v>
      </c>
      <c r="L9" s="17"/>
      <c r="M9" s="17"/>
      <c r="N9" s="17"/>
      <c r="O9" s="17">
        <f t="shared" si="12"/>
        <v>376.6</v>
      </c>
      <c r="P9" s="18">
        <v>1000</v>
      </c>
      <c r="Q9" s="19">
        <f t="shared" si="13"/>
        <v>10.169941582580988</v>
      </c>
      <c r="R9" s="17">
        <f t="shared" si="14"/>
        <v>5.1248008497079125</v>
      </c>
      <c r="S9" s="17">
        <f>VLOOKUP(A:A,[1]TDSheet!$A:$S,15,0)</f>
        <v>400.2</v>
      </c>
      <c r="T9" s="17">
        <f>VLOOKUP(A:A,[1]TDSheet!$A:$T,20,0)</f>
        <v>358.25</v>
      </c>
      <c r="U9" s="17">
        <f>VLOOKUP(A:A,[1]TDSheet!$A:$U,21,0)</f>
        <v>337.2</v>
      </c>
      <c r="V9" s="17">
        <f>VLOOKUP(A:A,[1]TDSheet!$A:$V,22,0)</f>
        <v>392.8</v>
      </c>
      <c r="W9" s="17">
        <f>VLOOKUP(A:A,[3]TDSheet!$A:$D,4,0)</f>
        <v>240</v>
      </c>
      <c r="X9" s="17">
        <f>VLOOKUP(A:A,[1]TDSheet!$A:$X,24,0)</f>
        <v>1848</v>
      </c>
      <c r="Y9" s="17">
        <f>VLOOKUP(A:A,[1]TDSheet!$A:$Y,25,0)</f>
        <v>70</v>
      </c>
      <c r="Z9" s="17">
        <f>VLOOKUP(A:A,[1]TDSheet!$A:$Z,26,0)</f>
        <v>14</v>
      </c>
      <c r="AA9" s="17">
        <f>VLOOKUP(A:A,[1]TDSheet!$A:$AA,27,0)</f>
        <v>12</v>
      </c>
      <c r="AB9" s="21">
        <f t="shared" si="9"/>
        <v>84</v>
      </c>
      <c r="AC9" s="17">
        <f t="shared" si="15"/>
        <v>1000</v>
      </c>
      <c r="AD9" s="17" t="e">
        <f>VLOOKUP(A:A,[1]TDSheet!$A:$AD,30,0)</f>
        <v>#N/A</v>
      </c>
      <c r="AE9" s="20">
        <f>AC9/12</f>
        <v>83.333333333333329</v>
      </c>
      <c r="AF9" s="22">
        <f>VLOOKUP(A:A,[1]TDSheet!$A:$AF,32,0)</f>
        <v>0.24</v>
      </c>
      <c r="AG9" s="17">
        <f>AB9*AA9*AF9</f>
        <v>241.92</v>
      </c>
      <c r="AH9" s="17"/>
      <c r="AI9" s="17"/>
      <c r="AJ9" s="17"/>
    </row>
    <row r="10" spans="1:36" s="1" customFormat="1" ht="11.1" customHeight="1" outlineLevel="1" x14ac:dyDescent="0.2">
      <c r="A10" s="7" t="s">
        <v>13</v>
      </c>
      <c r="B10" s="7" t="s">
        <v>9</v>
      </c>
      <c r="C10" s="8">
        <v>1420</v>
      </c>
      <c r="D10" s="8">
        <v>3799</v>
      </c>
      <c r="E10" s="8">
        <v>3860</v>
      </c>
      <c r="F10" s="8">
        <v>1324</v>
      </c>
      <c r="G10" s="1">
        <f>VLOOKUP(A:A,[1]TDSheet!$A:$G,7,0)</f>
        <v>0</v>
      </c>
      <c r="H10" s="1" t="e">
        <f>VLOOKUP(A:A,[1]TDSheet!$A:$H,8,0)</f>
        <v>#N/A</v>
      </c>
      <c r="I10" s="17">
        <f>VLOOKUP(A:A,[2]TDSheet!$A:$F,6,0)</f>
        <v>3937</v>
      </c>
      <c r="J10" s="17">
        <f t="shared" si="11"/>
        <v>-77</v>
      </c>
      <c r="K10" s="17">
        <f>VLOOKUP(A:A,[1]TDSheet!$A:$P,16,0)</f>
        <v>720</v>
      </c>
      <c r="L10" s="17"/>
      <c r="M10" s="17"/>
      <c r="N10" s="17"/>
      <c r="O10" s="17">
        <f t="shared" si="12"/>
        <v>301.60000000000002</v>
      </c>
      <c r="P10" s="18">
        <v>1000</v>
      </c>
      <c r="Q10" s="19">
        <f t="shared" si="13"/>
        <v>10.092838196286472</v>
      </c>
      <c r="R10" s="17">
        <f t="shared" si="14"/>
        <v>4.3899204244031829</v>
      </c>
      <c r="S10" s="17">
        <f>VLOOKUP(A:A,[1]TDSheet!$A:$S,15,0)</f>
        <v>308</v>
      </c>
      <c r="T10" s="17">
        <f>VLOOKUP(A:A,[1]TDSheet!$A:$T,20,0)</f>
        <v>371.5</v>
      </c>
      <c r="U10" s="17">
        <f>VLOOKUP(A:A,[1]TDSheet!$A:$U,21,0)</f>
        <v>341</v>
      </c>
      <c r="V10" s="17">
        <f>VLOOKUP(A:A,[1]TDSheet!$A:$V,22,0)</f>
        <v>293.2</v>
      </c>
      <c r="W10" s="17">
        <f>VLOOKUP(A:A,[3]TDSheet!$A:$D,4,0)</f>
        <v>329</v>
      </c>
      <c r="X10" s="17">
        <f>VLOOKUP(A:A,[1]TDSheet!$A:$X,24,0)</f>
        <v>2352</v>
      </c>
      <c r="Y10" s="17">
        <f>VLOOKUP(A:A,[1]TDSheet!$A:$Y,25,0)</f>
        <v>70</v>
      </c>
      <c r="Z10" s="17">
        <f>VLOOKUP(A:A,[1]TDSheet!$A:$Z,26,0)</f>
        <v>14</v>
      </c>
      <c r="AA10" s="17">
        <f>VLOOKUP(A:A,[1]TDSheet!$A:$AA,27,0)</f>
        <v>12</v>
      </c>
      <c r="AB10" s="21">
        <f t="shared" si="9"/>
        <v>84</v>
      </c>
      <c r="AC10" s="17">
        <f t="shared" si="15"/>
        <v>1000</v>
      </c>
      <c r="AD10" s="17" t="e">
        <f>VLOOKUP(A:A,[1]TDSheet!$A:$AD,30,0)</f>
        <v>#N/A</v>
      </c>
      <c r="AE10" s="20">
        <f>AC10/12</f>
        <v>83.333333333333329</v>
      </c>
      <c r="AF10" s="22">
        <f>VLOOKUP(A:A,[1]TDSheet!$A:$AF,32,0)</f>
        <v>0.24</v>
      </c>
      <c r="AG10" s="17">
        <f t="shared" ref="AG10:AG24" si="16">AB10*AA10*AF10</f>
        <v>241.92</v>
      </c>
      <c r="AH10" s="17"/>
      <c r="AI10" s="17"/>
      <c r="AJ10" s="17"/>
    </row>
    <row r="11" spans="1:36" s="1" customFormat="1" ht="11.1" customHeight="1" outlineLevel="1" x14ac:dyDescent="0.2">
      <c r="A11" s="7" t="s">
        <v>14</v>
      </c>
      <c r="B11" s="7" t="s">
        <v>9</v>
      </c>
      <c r="C11" s="8">
        <v>176</v>
      </c>
      <c r="D11" s="8">
        <v>1077</v>
      </c>
      <c r="E11" s="8">
        <v>572</v>
      </c>
      <c r="F11" s="8">
        <v>626</v>
      </c>
      <c r="G11" s="1">
        <f>VLOOKUP(A:A,[1]TDSheet!$A:$G,7,0)</f>
        <v>1</v>
      </c>
      <c r="H11" s="1">
        <f>VLOOKUP(A:A,[1]TDSheet!$A:$H,8,0)</f>
        <v>180</v>
      </c>
      <c r="I11" s="17">
        <f>VLOOKUP(A:A,[2]TDSheet!$A:$F,6,0)</f>
        <v>696</v>
      </c>
      <c r="J11" s="17">
        <f t="shared" si="11"/>
        <v>-124</v>
      </c>
      <c r="K11" s="17">
        <f>VLOOKUP(A:A,[1]TDSheet!$A:$P,16,0)</f>
        <v>0</v>
      </c>
      <c r="L11" s="17"/>
      <c r="M11" s="17"/>
      <c r="N11" s="17"/>
      <c r="O11" s="17">
        <f t="shared" si="12"/>
        <v>114.4</v>
      </c>
      <c r="P11" s="18">
        <v>600</v>
      </c>
      <c r="Q11" s="19">
        <f t="shared" si="13"/>
        <v>10.716783216783217</v>
      </c>
      <c r="R11" s="17">
        <f t="shared" si="14"/>
        <v>5.4720279720279716</v>
      </c>
      <c r="S11" s="17">
        <f>VLOOKUP(A:A,[1]TDSheet!$A:$S,15,0)</f>
        <v>96.2</v>
      </c>
      <c r="T11" s="17">
        <f>VLOOKUP(A:A,[1]TDSheet!$A:$T,20,0)</f>
        <v>85</v>
      </c>
      <c r="U11" s="17">
        <f>VLOOKUP(A:A,[1]TDSheet!$A:$U,21,0)</f>
        <v>69.599999999999994</v>
      </c>
      <c r="V11" s="17">
        <f>VLOOKUP(A:A,[1]TDSheet!$A:$V,22,0)</f>
        <v>110.2</v>
      </c>
      <c r="W11" s="17">
        <f>VLOOKUP(A:A,[3]TDSheet!$A:$D,4,0)</f>
        <v>212</v>
      </c>
      <c r="X11" s="17">
        <f>VLOOKUP(A:A,[1]TDSheet!$A:$X,24,0)</f>
        <v>0</v>
      </c>
      <c r="Y11" s="17">
        <f>VLOOKUP(A:A,[1]TDSheet!$A:$Y,25,0)</f>
        <v>126</v>
      </c>
      <c r="Z11" s="17">
        <f>VLOOKUP(A:A,[1]TDSheet!$A:$Z,26,0)</f>
        <v>14</v>
      </c>
      <c r="AA11" s="17">
        <f>VLOOKUP(A:A,[1]TDSheet!$A:$AA,27,0)</f>
        <v>24</v>
      </c>
      <c r="AB11" s="21">
        <f t="shared" si="9"/>
        <v>28</v>
      </c>
      <c r="AC11" s="17">
        <f t="shared" si="15"/>
        <v>600</v>
      </c>
      <c r="AD11" s="17">
        <f>VLOOKUP(A:A,[1]TDSheet!$A:$AD,30,0)</f>
        <v>0</v>
      </c>
      <c r="AE11" s="20">
        <f>AC11/24</f>
        <v>25</v>
      </c>
      <c r="AF11" s="22">
        <f>VLOOKUP(A:A,[1]TDSheet!$A:$AF,32,0)</f>
        <v>0.09</v>
      </c>
      <c r="AG11" s="17">
        <f t="shared" si="16"/>
        <v>60.48</v>
      </c>
      <c r="AH11" s="17"/>
      <c r="AI11" s="17"/>
      <c r="AJ11" s="17"/>
    </row>
    <row r="12" spans="1:36" s="1" customFormat="1" ht="11.1" customHeight="1" outlineLevel="1" x14ac:dyDescent="0.2">
      <c r="A12" s="7" t="s">
        <v>15</v>
      </c>
      <c r="B12" s="7" t="s">
        <v>9</v>
      </c>
      <c r="C12" s="8">
        <v>371</v>
      </c>
      <c r="D12" s="8">
        <v>180</v>
      </c>
      <c r="E12" s="8">
        <v>229</v>
      </c>
      <c r="F12" s="8">
        <v>314</v>
      </c>
      <c r="G12" s="1">
        <f>VLOOKUP(A:A,[1]TDSheet!$A:$G,7,0)</f>
        <v>0</v>
      </c>
      <c r="H12" s="1" t="e">
        <f>VLOOKUP(A:A,[1]TDSheet!$A:$H,8,0)</f>
        <v>#N/A</v>
      </c>
      <c r="I12" s="17">
        <f>VLOOKUP(A:A,[2]TDSheet!$A:$F,6,0)</f>
        <v>235</v>
      </c>
      <c r="J12" s="17">
        <f t="shared" si="11"/>
        <v>-6</v>
      </c>
      <c r="K12" s="17">
        <f>VLOOKUP(A:A,[1]TDSheet!$A:$P,16,0)</f>
        <v>150</v>
      </c>
      <c r="L12" s="17"/>
      <c r="M12" s="17"/>
      <c r="N12" s="17"/>
      <c r="O12" s="17">
        <f t="shared" si="12"/>
        <v>45.8</v>
      </c>
      <c r="P12" s="18"/>
      <c r="Q12" s="19">
        <f t="shared" si="13"/>
        <v>10.131004366812228</v>
      </c>
      <c r="R12" s="17">
        <f t="shared" si="14"/>
        <v>6.8558951965065509</v>
      </c>
      <c r="S12" s="17">
        <f>VLOOKUP(A:A,[1]TDSheet!$A:$S,15,0)</f>
        <v>52.6</v>
      </c>
      <c r="T12" s="17">
        <f>VLOOKUP(A:A,[1]TDSheet!$A:$T,20,0)</f>
        <v>66</v>
      </c>
      <c r="U12" s="17">
        <f>VLOOKUP(A:A,[1]TDSheet!$A:$U,21,0)</f>
        <v>72.400000000000006</v>
      </c>
      <c r="V12" s="17">
        <f>VLOOKUP(A:A,[1]TDSheet!$A:$V,22,0)</f>
        <v>54.8</v>
      </c>
      <c r="W12" s="17">
        <f>VLOOKUP(A:A,[3]TDSheet!$A:$D,4,0)</f>
        <v>31</v>
      </c>
      <c r="X12" s="17">
        <f>VLOOKUP(A:A,[1]TDSheet!$A:$X,24,0)</f>
        <v>0</v>
      </c>
      <c r="Y12" s="17">
        <f>VLOOKUP(A:A,[1]TDSheet!$A:$Y,25,0)</f>
        <v>70</v>
      </c>
      <c r="Z12" s="17">
        <f>VLOOKUP(A:A,[1]TDSheet!$A:$Z,26,0)</f>
        <v>14</v>
      </c>
      <c r="AA12" s="17">
        <f>VLOOKUP(A:A,[1]TDSheet!$A:$AA,27,0)</f>
        <v>12</v>
      </c>
      <c r="AB12" s="21">
        <f t="shared" si="9"/>
        <v>0</v>
      </c>
      <c r="AC12" s="17">
        <f t="shared" si="15"/>
        <v>0</v>
      </c>
      <c r="AD12" s="17" t="str">
        <f>VLOOKUP(A:A,[1]TDSheet!$A:$AD,30,0)</f>
        <v>яблоко</v>
      </c>
      <c r="AE12" s="20">
        <f t="shared" ref="AE12:AE15" si="17">AC12/12</f>
        <v>0</v>
      </c>
      <c r="AF12" s="22">
        <f>VLOOKUP(A:A,[1]TDSheet!$A:$AF,32,0)</f>
        <v>0.2</v>
      </c>
      <c r="AG12" s="17">
        <f t="shared" si="16"/>
        <v>0</v>
      </c>
      <c r="AH12" s="17"/>
      <c r="AI12" s="17"/>
      <c r="AJ12" s="17"/>
    </row>
    <row r="13" spans="1:36" s="1" customFormat="1" ht="11.1" customHeight="1" outlineLevel="1" x14ac:dyDescent="0.2">
      <c r="A13" s="7" t="s">
        <v>60</v>
      </c>
      <c r="B13" s="7" t="s">
        <v>9</v>
      </c>
      <c r="C13" s="8">
        <v>102</v>
      </c>
      <c r="D13" s="8">
        <v>178</v>
      </c>
      <c r="E13" s="8">
        <v>148</v>
      </c>
      <c r="F13" s="8">
        <v>126</v>
      </c>
      <c r="G13" s="1" t="str">
        <f>VLOOKUP(A:A,[1]TDSheet!$A:$G,7,0)</f>
        <v>рот</v>
      </c>
      <c r="H13" s="1" t="e">
        <f>VLOOKUP(A:A,[1]TDSheet!$A:$H,8,0)</f>
        <v>#N/A</v>
      </c>
      <c r="I13" s="17">
        <f>VLOOKUP(A:A,[2]TDSheet!$A:$F,6,0)</f>
        <v>148</v>
      </c>
      <c r="J13" s="17">
        <f t="shared" si="11"/>
        <v>0</v>
      </c>
      <c r="K13" s="17">
        <f>VLOOKUP(A:A,[1]TDSheet!$A:$P,16,0)</f>
        <v>150</v>
      </c>
      <c r="L13" s="17"/>
      <c r="M13" s="17"/>
      <c r="N13" s="17"/>
      <c r="O13" s="17">
        <f t="shared" si="12"/>
        <v>29.6</v>
      </c>
      <c r="P13" s="18"/>
      <c r="Q13" s="19">
        <f t="shared" si="13"/>
        <v>9.3243243243243246</v>
      </c>
      <c r="R13" s="17">
        <f t="shared" si="14"/>
        <v>4.2567567567567561</v>
      </c>
      <c r="S13" s="17">
        <f>VLOOKUP(A:A,[1]TDSheet!$A:$S,15,0)</f>
        <v>32.6</v>
      </c>
      <c r="T13" s="17">
        <f>VLOOKUP(A:A,[1]TDSheet!$A:$T,20,0)</f>
        <v>31.75</v>
      </c>
      <c r="U13" s="17">
        <f>VLOOKUP(A:A,[1]TDSheet!$A:$U,21,0)</f>
        <v>28.8</v>
      </c>
      <c r="V13" s="17">
        <f>VLOOKUP(A:A,[1]TDSheet!$A:$V,22,0)</f>
        <v>28.6</v>
      </c>
      <c r="W13" s="17">
        <f>VLOOKUP(A:A,[3]TDSheet!$A:$D,4,0)</f>
        <v>22</v>
      </c>
      <c r="X13" s="17">
        <f>VLOOKUP(A:A,[1]TDSheet!$A:$X,24,0)</f>
        <v>0</v>
      </c>
      <c r="Y13" s="17">
        <f>VLOOKUP(A:A,[1]TDSheet!$A:$Y,25,0)</f>
        <v>70</v>
      </c>
      <c r="Z13" s="17">
        <f>VLOOKUP(A:A,[1]TDSheet!$A:$Z,26,0)</f>
        <v>14</v>
      </c>
      <c r="AA13" s="17">
        <f>VLOOKUP(A:A,[1]TDSheet!$A:$AA,27,0)</f>
        <v>12</v>
      </c>
      <c r="AB13" s="21">
        <f t="shared" si="9"/>
        <v>0</v>
      </c>
      <c r="AC13" s="17">
        <f t="shared" si="15"/>
        <v>0</v>
      </c>
      <c r="AD13" s="17">
        <f>VLOOKUP(A:A,[1]TDSheet!$A:$AD,30,0)</f>
        <v>0</v>
      </c>
      <c r="AE13" s="20">
        <f t="shared" si="17"/>
        <v>0</v>
      </c>
      <c r="AF13" s="22">
        <f>VLOOKUP(A:A,[1]TDSheet!$A:$AF,32,0)</f>
        <v>0.2</v>
      </c>
      <c r="AG13" s="17">
        <f t="shared" si="16"/>
        <v>0</v>
      </c>
      <c r="AH13" s="17"/>
      <c r="AI13" s="17"/>
      <c r="AJ13" s="17"/>
    </row>
    <row r="14" spans="1:36" s="1" customFormat="1" ht="21.95" customHeight="1" outlineLevel="1" x14ac:dyDescent="0.2">
      <c r="A14" s="7" t="s">
        <v>16</v>
      </c>
      <c r="B14" s="7" t="s">
        <v>9</v>
      </c>
      <c r="C14" s="8">
        <v>608</v>
      </c>
      <c r="D14" s="8">
        <v>867</v>
      </c>
      <c r="E14" s="8">
        <v>725</v>
      </c>
      <c r="F14" s="8">
        <v>738</v>
      </c>
      <c r="G14" s="1" t="str">
        <f>VLOOKUP(A:A,[1]TDSheet!$A:$G,7,0)</f>
        <v>рот</v>
      </c>
      <c r="H14" s="1" t="e">
        <f>VLOOKUP(A:A,[1]TDSheet!$A:$H,8,0)</f>
        <v>#N/A</v>
      </c>
      <c r="I14" s="17">
        <f>VLOOKUP(A:A,[2]TDSheet!$A:$F,6,0)</f>
        <v>715</v>
      </c>
      <c r="J14" s="17">
        <f t="shared" si="11"/>
        <v>10</v>
      </c>
      <c r="K14" s="17">
        <f>VLOOKUP(A:A,[1]TDSheet!$A:$P,16,0)</f>
        <v>300</v>
      </c>
      <c r="L14" s="17"/>
      <c r="M14" s="17"/>
      <c r="N14" s="17"/>
      <c r="O14" s="17">
        <f t="shared" si="12"/>
        <v>145</v>
      </c>
      <c r="P14" s="18">
        <v>500</v>
      </c>
      <c r="Q14" s="19">
        <f t="shared" si="13"/>
        <v>10.606896551724137</v>
      </c>
      <c r="R14" s="17">
        <f t="shared" si="14"/>
        <v>5.0896551724137931</v>
      </c>
      <c r="S14" s="17">
        <f>VLOOKUP(A:A,[1]TDSheet!$A:$S,15,0)</f>
        <v>145</v>
      </c>
      <c r="T14" s="17">
        <f>VLOOKUP(A:A,[1]TDSheet!$A:$T,20,0)</f>
        <v>166.25</v>
      </c>
      <c r="U14" s="17">
        <f>VLOOKUP(A:A,[1]TDSheet!$A:$U,21,0)</f>
        <v>158.6</v>
      </c>
      <c r="V14" s="17">
        <f>VLOOKUP(A:A,[1]TDSheet!$A:$V,22,0)</f>
        <v>141.6</v>
      </c>
      <c r="W14" s="17">
        <f>VLOOKUP(A:A,[3]TDSheet!$A:$D,4,0)</f>
        <v>176</v>
      </c>
      <c r="X14" s="17">
        <f>VLOOKUP(A:A,[1]TDSheet!$A:$X,24,0)</f>
        <v>0</v>
      </c>
      <c r="Y14" s="17">
        <f>VLOOKUP(A:A,[1]TDSheet!$A:$Y,25,0)</f>
        <v>70</v>
      </c>
      <c r="Z14" s="17">
        <f>VLOOKUP(A:A,[1]TDSheet!$A:$Z,26,0)</f>
        <v>14</v>
      </c>
      <c r="AA14" s="17">
        <f>VLOOKUP(A:A,[1]TDSheet!$A:$AA,27,0)</f>
        <v>12</v>
      </c>
      <c r="AB14" s="21">
        <f t="shared" si="9"/>
        <v>42</v>
      </c>
      <c r="AC14" s="17">
        <f t="shared" si="15"/>
        <v>500</v>
      </c>
      <c r="AD14" s="17" t="e">
        <f>VLOOKUP(A:A,[1]TDSheet!$A:$AD,30,0)</f>
        <v>#N/A</v>
      </c>
      <c r="AE14" s="20">
        <f t="shared" si="17"/>
        <v>41.666666666666664</v>
      </c>
      <c r="AF14" s="22">
        <f>VLOOKUP(A:A,[1]TDSheet!$A:$AF,32,0)</f>
        <v>0.2</v>
      </c>
      <c r="AG14" s="17">
        <f t="shared" si="16"/>
        <v>100.80000000000001</v>
      </c>
      <c r="AH14" s="17"/>
      <c r="AI14" s="17"/>
      <c r="AJ14" s="17"/>
    </row>
    <row r="15" spans="1:36" s="1" customFormat="1" ht="11.1" customHeight="1" outlineLevel="1" x14ac:dyDescent="0.2">
      <c r="A15" s="7" t="s">
        <v>17</v>
      </c>
      <c r="B15" s="7" t="s">
        <v>9</v>
      </c>
      <c r="C15" s="8">
        <v>864</v>
      </c>
      <c r="D15" s="8">
        <v>2899</v>
      </c>
      <c r="E15" s="8">
        <v>2688</v>
      </c>
      <c r="F15" s="8">
        <v>1062</v>
      </c>
      <c r="G15" s="1">
        <f>VLOOKUP(A:A,[1]TDSheet!$A:$G,7,0)</f>
        <v>0.2</v>
      </c>
      <c r="H15" s="1" t="e">
        <f>VLOOKUP(A:A,[1]TDSheet!$A:$H,8,0)</f>
        <v>#N/A</v>
      </c>
      <c r="I15" s="17">
        <f>VLOOKUP(A:A,[2]TDSheet!$A:$F,6,0)</f>
        <v>2642</v>
      </c>
      <c r="J15" s="17">
        <f t="shared" si="11"/>
        <v>46</v>
      </c>
      <c r="K15" s="17">
        <f>VLOOKUP(A:A,[1]TDSheet!$A:$P,16,0)</f>
        <v>220</v>
      </c>
      <c r="L15" s="17"/>
      <c r="M15" s="17"/>
      <c r="N15" s="17"/>
      <c r="O15" s="17">
        <f t="shared" si="12"/>
        <v>168</v>
      </c>
      <c r="P15" s="18">
        <v>500</v>
      </c>
      <c r="Q15" s="19">
        <f t="shared" si="13"/>
        <v>10.607142857142858</v>
      </c>
      <c r="R15" s="17">
        <f t="shared" si="14"/>
        <v>6.3214285714285712</v>
      </c>
      <c r="S15" s="17">
        <f>VLOOKUP(A:A,[1]TDSheet!$A:$S,15,0)</f>
        <v>169.6</v>
      </c>
      <c r="T15" s="17">
        <f>VLOOKUP(A:A,[1]TDSheet!$A:$T,20,0)</f>
        <v>208.5</v>
      </c>
      <c r="U15" s="17">
        <f>VLOOKUP(A:A,[1]TDSheet!$A:$U,21,0)</f>
        <v>177.4</v>
      </c>
      <c r="V15" s="17">
        <f>VLOOKUP(A:A,[1]TDSheet!$A:$V,22,0)</f>
        <v>175.4</v>
      </c>
      <c r="W15" s="17">
        <f>VLOOKUP(A:A,[3]TDSheet!$A:$D,4,0)</f>
        <v>135</v>
      </c>
      <c r="X15" s="17">
        <f>VLOOKUP(A:A,[1]TDSheet!$A:$X,24,0)</f>
        <v>1848</v>
      </c>
      <c r="Y15" s="17">
        <f>VLOOKUP(A:A,[1]TDSheet!$A:$Y,25,0)</f>
        <v>70</v>
      </c>
      <c r="Z15" s="17">
        <f>VLOOKUP(A:A,[1]TDSheet!$A:$Z,26,0)</f>
        <v>14</v>
      </c>
      <c r="AA15" s="17">
        <f>VLOOKUP(A:A,[1]TDSheet!$A:$AA,27,0)</f>
        <v>12</v>
      </c>
      <c r="AB15" s="21">
        <f>MROUND(AE15,Z15)</f>
        <v>42</v>
      </c>
      <c r="AC15" s="17">
        <f t="shared" si="15"/>
        <v>500</v>
      </c>
      <c r="AD15" s="17" t="e">
        <f>VLOOKUP(A:A,[1]TDSheet!$A:$AD,30,0)</f>
        <v>#N/A</v>
      </c>
      <c r="AE15" s="20">
        <f t="shared" si="17"/>
        <v>41.666666666666664</v>
      </c>
      <c r="AF15" s="22">
        <f>VLOOKUP(A:A,[1]TDSheet!$A:$AF,32,0)</f>
        <v>0.2</v>
      </c>
      <c r="AG15" s="17">
        <f t="shared" si="16"/>
        <v>100.80000000000001</v>
      </c>
      <c r="AH15" s="17"/>
      <c r="AI15" s="17"/>
      <c r="AJ15" s="17"/>
    </row>
    <row r="16" spans="1:36" s="1" customFormat="1" ht="11.1" customHeight="1" outlineLevel="1" x14ac:dyDescent="0.2">
      <c r="A16" s="7" t="s">
        <v>61</v>
      </c>
      <c r="B16" s="7" t="s">
        <v>8</v>
      </c>
      <c r="C16" s="8">
        <v>92</v>
      </c>
      <c r="D16" s="8">
        <v>15</v>
      </c>
      <c r="E16" s="8">
        <v>24</v>
      </c>
      <c r="F16" s="8">
        <v>77</v>
      </c>
      <c r="G16" s="1" t="str">
        <f>VLOOKUP(A:A,[1]TDSheet!$A:$G,7,0)</f>
        <v>пхн</v>
      </c>
      <c r="H16" s="1" t="e">
        <f>VLOOKUP(A:A,[1]TDSheet!$A:$H,8,0)</f>
        <v>#N/A</v>
      </c>
      <c r="I16" s="17">
        <f>VLOOKUP(A:A,[2]TDSheet!$A:$F,6,0)</f>
        <v>32.4</v>
      </c>
      <c r="J16" s="17">
        <f t="shared" si="11"/>
        <v>-8.3999999999999986</v>
      </c>
      <c r="K16" s="17">
        <f>VLOOKUP(A:A,[1]TDSheet!$A:$P,16,0)</f>
        <v>0</v>
      </c>
      <c r="L16" s="17"/>
      <c r="M16" s="17"/>
      <c r="N16" s="17"/>
      <c r="O16" s="17">
        <f t="shared" si="12"/>
        <v>4.8</v>
      </c>
      <c r="P16" s="18"/>
      <c r="Q16" s="19">
        <f t="shared" si="13"/>
        <v>16.041666666666668</v>
      </c>
      <c r="R16" s="17">
        <f t="shared" si="14"/>
        <v>16.041666666666668</v>
      </c>
      <c r="S16" s="17">
        <f>VLOOKUP(A:A,[1]TDSheet!$A:$S,15,0)</f>
        <v>6</v>
      </c>
      <c r="T16" s="17">
        <f>VLOOKUP(A:A,[1]TDSheet!$A:$T,20,0)</f>
        <v>7.75</v>
      </c>
      <c r="U16" s="17">
        <f>VLOOKUP(A:A,[1]TDSheet!$A:$U,21,0)</f>
        <v>4.8</v>
      </c>
      <c r="V16" s="17">
        <f>VLOOKUP(A:A,[1]TDSheet!$A:$V,22,0)</f>
        <v>5.4</v>
      </c>
      <c r="W16" s="17">
        <f>VLOOKUP(A:A,[3]TDSheet!$A:$D,4,0)</f>
        <v>6</v>
      </c>
      <c r="X16" s="17">
        <f>VLOOKUP(A:A,[1]TDSheet!$A:$X,24,0)</f>
        <v>0</v>
      </c>
      <c r="Y16" s="17">
        <f>VLOOKUP(A:A,[1]TDSheet!$A:$Y,25,0)</f>
        <v>126</v>
      </c>
      <c r="Z16" s="17">
        <f>VLOOKUP(A:A,[1]TDSheet!$A:$Z,26,0)</f>
        <v>14</v>
      </c>
      <c r="AA16" s="17">
        <f>VLOOKUP(A:A,[1]TDSheet!$A:$AA,27,0)</f>
        <v>3</v>
      </c>
      <c r="AB16" s="21">
        <f>MROUND(AE16,Z16)</f>
        <v>0</v>
      </c>
      <c r="AC16" s="17">
        <f t="shared" si="15"/>
        <v>0</v>
      </c>
      <c r="AD16" s="17" t="str">
        <f>VLOOKUP(A:A,[1]TDSheet!$A:$AD,30,0)</f>
        <v>увел</v>
      </c>
      <c r="AE16" s="20">
        <f>AC16/3</f>
        <v>0</v>
      </c>
      <c r="AF16" s="22">
        <f>VLOOKUP(A:A,[1]TDSheet!$A:$AF,32,0)</f>
        <v>1</v>
      </c>
      <c r="AG16" s="17">
        <f t="shared" si="16"/>
        <v>0</v>
      </c>
      <c r="AH16" s="17"/>
      <c r="AI16" s="17"/>
      <c r="AJ16" s="17"/>
    </row>
    <row r="17" spans="1:36" s="1" customFormat="1" ht="11.1" customHeight="1" outlineLevel="1" x14ac:dyDescent="0.2">
      <c r="A17" s="7" t="s">
        <v>18</v>
      </c>
      <c r="B17" s="7" t="s">
        <v>8</v>
      </c>
      <c r="C17" s="8">
        <v>293.36</v>
      </c>
      <c r="D17" s="8">
        <v>122.3</v>
      </c>
      <c r="E17" s="8">
        <v>163.4</v>
      </c>
      <c r="F17" s="8">
        <v>244.26</v>
      </c>
      <c r="G17" s="1" t="str">
        <f>VLOOKUP(A:A,[1]TDSheet!$A:$G,7,0)</f>
        <v>рот2</v>
      </c>
      <c r="H17" s="1" t="e">
        <f>VLOOKUP(A:A,[1]TDSheet!$A:$H,8,0)</f>
        <v>#N/A</v>
      </c>
      <c r="I17" s="17">
        <f>VLOOKUP(A:A,[2]TDSheet!$A:$F,6,0)</f>
        <v>171.4</v>
      </c>
      <c r="J17" s="17">
        <f t="shared" si="11"/>
        <v>-8</v>
      </c>
      <c r="K17" s="17">
        <f>VLOOKUP(A:A,[1]TDSheet!$A:$P,16,0)</f>
        <v>50</v>
      </c>
      <c r="L17" s="17"/>
      <c r="M17" s="17"/>
      <c r="N17" s="17"/>
      <c r="O17" s="17">
        <f t="shared" si="12"/>
        <v>32.68</v>
      </c>
      <c r="P17" s="18">
        <v>50</v>
      </c>
      <c r="Q17" s="19">
        <f t="shared" si="13"/>
        <v>10.534271725826192</v>
      </c>
      <c r="R17" s="17">
        <f t="shared" si="14"/>
        <v>7.4742962056303544</v>
      </c>
      <c r="S17" s="17">
        <f>VLOOKUP(A:A,[1]TDSheet!$A:$S,15,0)</f>
        <v>38.160000000000004</v>
      </c>
      <c r="T17" s="17">
        <f>VLOOKUP(A:A,[1]TDSheet!$A:$T,20,0)</f>
        <v>43.475000000000001</v>
      </c>
      <c r="U17" s="17">
        <f>VLOOKUP(A:A,[1]TDSheet!$A:$U,21,0)</f>
        <v>26.648000000000003</v>
      </c>
      <c r="V17" s="17">
        <f>VLOOKUP(A:A,[1]TDSheet!$A:$V,22,0)</f>
        <v>43.22</v>
      </c>
      <c r="W17" s="17">
        <f>VLOOKUP(A:A,[3]TDSheet!$A:$D,4,0)</f>
        <v>51.8</v>
      </c>
      <c r="X17" s="17">
        <f>VLOOKUP(A:A,[1]TDSheet!$A:$X,24,0)</f>
        <v>0</v>
      </c>
      <c r="Y17" s="17">
        <f>VLOOKUP(A:A,[1]TDSheet!$A:$Y,25,0)</f>
        <v>126</v>
      </c>
      <c r="Z17" s="17">
        <f>VLOOKUP(A:A,[1]TDSheet!$A:$Z,26,0)</f>
        <v>14</v>
      </c>
      <c r="AA17" s="17">
        <f>VLOOKUP(A:A,[1]TDSheet!$A:$AA,27,0)</f>
        <v>3.7</v>
      </c>
      <c r="AB17" s="21">
        <f t="shared" ref="AB17:AB61" si="18">MROUND(AE17,Z17)</f>
        <v>14</v>
      </c>
      <c r="AC17" s="17">
        <f t="shared" si="15"/>
        <v>50</v>
      </c>
      <c r="AD17" s="17" t="str">
        <f>VLOOKUP(A:A,[1]TDSheet!$A:$AD,30,0)</f>
        <v>п200</v>
      </c>
      <c r="AE17" s="20">
        <f>AC17/3.7</f>
        <v>13.513513513513512</v>
      </c>
      <c r="AF17" s="22">
        <f>VLOOKUP(A:A,[1]TDSheet!$A:$AF,32,0)</f>
        <v>1</v>
      </c>
      <c r="AG17" s="17">
        <f t="shared" si="16"/>
        <v>51.800000000000004</v>
      </c>
      <c r="AH17" s="17"/>
      <c r="AI17" s="17"/>
      <c r="AJ17" s="17"/>
    </row>
    <row r="18" spans="1:36" s="1" customFormat="1" ht="11.1" customHeight="1" outlineLevel="1" x14ac:dyDescent="0.2">
      <c r="A18" s="7" t="s">
        <v>62</v>
      </c>
      <c r="B18" s="7" t="s">
        <v>8</v>
      </c>
      <c r="C18" s="8">
        <v>82.5</v>
      </c>
      <c r="D18" s="8">
        <v>77</v>
      </c>
      <c r="E18" s="8">
        <v>60.5</v>
      </c>
      <c r="F18" s="8">
        <v>82.5</v>
      </c>
      <c r="G18" s="1" t="str">
        <f>VLOOKUP(A:A,[1]TDSheet!$A:$G,7,0)</f>
        <v>рот1</v>
      </c>
      <c r="H18" s="1" t="e">
        <f>VLOOKUP(A:A,[1]TDSheet!$A:$H,8,0)</f>
        <v>#N/A</v>
      </c>
      <c r="I18" s="17">
        <f>VLOOKUP(A:A,[2]TDSheet!$A:$F,6,0)</f>
        <v>66</v>
      </c>
      <c r="J18" s="17">
        <f t="shared" si="11"/>
        <v>-5.5</v>
      </c>
      <c r="K18" s="17">
        <f>VLOOKUP(A:A,[1]TDSheet!$A:$P,16,0)</f>
        <v>0</v>
      </c>
      <c r="L18" s="17"/>
      <c r="M18" s="17"/>
      <c r="N18" s="17"/>
      <c r="O18" s="17">
        <f t="shared" si="12"/>
        <v>12.1</v>
      </c>
      <c r="P18" s="18">
        <v>60</v>
      </c>
      <c r="Q18" s="19">
        <f t="shared" si="13"/>
        <v>11.776859504132231</v>
      </c>
      <c r="R18" s="17">
        <f t="shared" si="14"/>
        <v>6.8181818181818183</v>
      </c>
      <c r="S18" s="17">
        <f>VLOOKUP(A:A,[1]TDSheet!$A:$S,15,0)</f>
        <v>12.1</v>
      </c>
      <c r="T18" s="17">
        <f>VLOOKUP(A:A,[1]TDSheet!$A:$T,20,0)</f>
        <v>15.125</v>
      </c>
      <c r="U18" s="17">
        <f>VLOOKUP(A:A,[1]TDSheet!$A:$U,21,0)</f>
        <v>15.4</v>
      </c>
      <c r="V18" s="17">
        <f>VLOOKUP(A:A,[1]TDSheet!$A:$V,22,0)</f>
        <v>14.3</v>
      </c>
      <c r="W18" s="17">
        <f>VLOOKUP(A:A,[3]TDSheet!$A:$D,4,0)</f>
        <v>22</v>
      </c>
      <c r="X18" s="17">
        <f>VLOOKUP(A:A,[1]TDSheet!$A:$X,24,0)</f>
        <v>0</v>
      </c>
      <c r="Y18" s="17">
        <f>VLOOKUP(A:A,[1]TDSheet!$A:$Y,25,0)</f>
        <v>84</v>
      </c>
      <c r="Z18" s="17">
        <f>VLOOKUP(A:A,[1]TDSheet!$A:$Z,26,0)</f>
        <v>12</v>
      </c>
      <c r="AA18" s="17">
        <f>VLOOKUP(A:A,[1]TDSheet!$A:$AA,27,0)</f>
        <v>5.5</v>
      </c>
      <c r="AB18" s="21">
        <f t="shared" si="18"/>
        <v>12</v>
      </c>
      <c r="AC18" s="17">
        <f t="shared" si="15"/>
        <v>60</v>
      </c>
      <c r="AD18" s="17" t="str">
        <f>VLOOKUP(A:A,[1]TDSheet!$A:$AD,30,0)</f>
        <v>увел</v>
      </c>
      <c r="AE18" s="20">
        <f>AC18/5.5</f>
        <v>10.909090909090908</v>
      </c>
      <c r="AF18" s="22">
        <f>VLOOKUP(A:A,[1]TDSheet!$A:$AF,32,0)</f>
        <v>1</v>
      </c>
      <c r="AG18" s="17">
        <f t="shared" si="16"/>
        <v>66</v>
      </c>
      <c r="AH18" s="17"/>
      <c r="AI18" s="17"/>
      <c r="AJ18" s="17"/>
    </row>
    <row r="19" spans="1:36" s="1" customFormat="1" ht="11.1" customHeight="1" outlineLevel="1" x14ac:dyDescent="0.2">
      <c r="A19" s="7" t="s">
        <v>19</v>
      </c>
      <c r="B19" s="7" t="s">
        <v>8</v>
      </c>
      <c r="C19" s="8">
        <v>360</v>
      </c>
      <c r="D19" s="8">
        <v>411</v>
      </c>
      <c r="E19" s="8">
        <v>315</v>
      </c>
      <c r="F19" s="8">
        <v>435</v>
      </c>
      <c r="G19" s="1">
        <f>VLOOKUP(A:A,[1]TDSheet!$A:$G,7,0)</f>
        <v>0</v>
      </c>
      <c r="H19" s="1" t="e">
        <f>VLOOKUP(A:A,[1]TDSheet!$A:$H,8,0)</f>
        <v>#N/A</v>
      </c>
      <c r="I19" s="17">
        <f>VLOOKUP(A:A,[2]TDSheet!$A:$F,6,0)</f>
        <v>332</v>
      </c>
      <c r="J19" s="17">
        <f t="shared" si="11"/>
        <v>-17</v>
      </c>
      <c r="K19" s="17">
        <f>VLOOKUP(A:A,[1]TDSheet!$A:$P,16,0)</f>
        <v>500</v>
      </c>
      <c r="L19" s="17"/>
      <c r="M19" s="17"/>
      <c r="N19" s="17"/>
      <c r="O19" s="17">
        <f t="shared" si="12"/>
        <v>63</v>
      </c>
      <c r="P19" s="18">
        <v>700</v>
      </c>
      <c r="Q19" s="19">
        <f t="shared" si="13"/>
        <v>25.952380952380953</v>
      </c>
      <c r="R19" s="17">
        <f t="shared" si="14"/>
        <v>6.9047619047619051</v>
      </c>
      <c r="S19" s="17">
        <f>VLOOKUP(A:A,[1]TDSheet!$A:$S,15,0)</f>
        <v>72.599999999999994</v>
      </c>
      <c r="T19" s="17">
        <f>VLOOKUP(A:A,[1]TDSheet!$A:$T,20,0)</f>
        <v>75</v>
      </c>
      <c r="U19" s="17">
        <f>VLOOKUP(A:A,[1]TDSheet!$A:$U,21,0)</f>
        <v>77.400000000000006</v>
      </c>
      <c r="V19" s="17">
        <f>VLOOKUP(A:A,[1]TDSheet!$A:$V,22,0)</f>
        <v>77.400000000000006</v>
      </c>
      <c r="W19" s="17">
        <f>VLOOKUP(A:A,[3]TDSheet!$A:$D,4,0)</f>
        <v>84</v>
      </c>
      <c r="X19" s="17">
        <f>VLOOKUP(A:A,[1]TDSheet!$A:$X,24,0)</f>
        <v>0</v>
      </c>
      <c r="Y19" s="17">
        <f>VLOOKUP(A:A,[1]TDSheet!$A:$Y,25,0)</f>
        <v>126</v>
      </c>
      <c r="Z19" s="17">
        <f>VLOOKUP(A:A,[1]TDSheet!$A:$Z,26,0)</f>
        <v>14</v>
      </c>
      <c r="AA19" s="17">
        <f>VLOOKUP(A:A,[1]TDSheet!$A:$AA,27,0)</f>
        <v>3</v>
      </c>
      <c r="AB19" s="21">
        <f t="shared" si="18"/>
        <v>238</v>
      </c>
      <c r="AC19" s="17">
        <f t="shared" si="15"/>
        <v>700</v>
      </c>
      <c r="AD19" s="23" t="str">
        <f>VLOOKUP(A:A,[1]TDSheet!$A:$AD,30,0)</f>
        <v>жк-февр</v>
      </c>
      <c r="AE19" s="20">
        <f>AC19/3</f>
        <v>233.33333333333334</v>
      </c>
      <c r="AF19" s="22">
        <f>VLOOKUP(A:A,[1]TDSheet!$A:$AF,32,0)</f>
        <v>1</v>
      </c>
      <c r="AG19" s="17">
        <f t="shared" si="16"/>
        <v>714</v>
      </c>
      <c r="AH19" s="17"/>
      <c r="AI19" s="17"/>
      <c r="AJ19" s="17"/>
    </row>
    <row r="20" spans="1:36" s="1" customFormat="1" ht="11.1" customHeight="1" outlineLevel="1" x14ac:dyDescent="0.2">
      <c r="A20" s="7" t="s">
        <v>20</v>
      </c>
      <c r="B20" s="7" t="s">
        <v>9</v>
      </c>
      <c r="C20" s="8">
        <v>1912</v>
      </c>
      <c r="D20" s="8">
        <v>4597</v>
      </c>
      <c r="E20" s="8">
        <v>3999</v>
      </c>
      <c r="F20" s="8">
        <v>2451</v>
      </c>
      <c r="G20" s="1" t="str">
        <f>VLOOKUP(A:A,[1]TDSheet!$A:$G,7,0)</f>
        <v>пуд</v>
      </c>
      <c r="H20" s="1">
        <f>VLOOKUP(A:A,[1]TDSheet!$A:$H,8,0)</f>
        <v>180</v>
      </c>
      <c r="I20" s="17">
        <f>VLOOKUP(A:A,[2]TDSheet!$A:$F,6,0)</f>
        <v>4075</v>
      </c>
      <c r="J20" s="17">
        <f t="shared" si="11"/>
        <v>-76</v>
      </c>
      <c r="K20" s="17">
        <f>VLOOKUP(A:A,[1]TDSheet!$A:$P,16,0)</f>
        <v>800</v>
      </c>
      <c r="L20" s="17"/>
      <c r="M20" s="17"/>
      <c r="N20" s="17"/>
      <c r="O20" s="17">
        <f t="shared" si="12"/>
        <v>435</v>
      </c>
      <c r="P20" s="18">
        <v>900</v>
      </c>
      <c r="Q20" s="19">
        <f t="shared" si="13"/>
        <v>9.5425287356321835</v>
      </c>
      <c r="R20" s="17">
        <f t="shared" si="14"/>
        <v>5.63448275862069</v>
      </c>
      <c r="S20" s="17">
        <f>VLOOKUP(A:A,[1]TDSheet!$A:$S,15,0)</f>
        <v>459</v>
      </c>
      <c r="T20" s="17">
        <f>VLOOKUP(A:A,[1]TDSheet!$A:$T,20,0)</f>
        <v>423.75</v>
      </c>
      <c r="U20" s="17">
        <f>VLOOKUP(A:A,[1]TDSheet!$A:$U,21,0)</f>
        <v>485.8</v>
      </c>
      <c r="V20" s="17">
        <f>VLOOKUP(A:A,[1]TDSheet!$A:$V,22,0)</f>
        <v>482</v>
      </c>
      <c r="W20" s="17">
        <f>VLOOKUP(A:A,[3]TDSheet!$A:$D,4,0)</f>
        <v>222</v>
      </c>
      <c r="X20" s="17">
        <f>VLOOKUP(A:A,[1]TDSheet!$A:$X,24,0)</f>
        <v>1824</v>
      </c>
      <c r="Y20" s="17">
        <f>VLOOKUP(A:A,[1]TDSheet!$A:$Y,25,0)</f>
        <v>70</v>
      </c>
      <c r="Z20" s="17">
        <f>VLOOKUP(A:A,[1]TDSheet!$A:$Z,26,0)</f>
        <v>14</v>
      </c>
      <c r="AA20" s="17">
        <f>VLOOKUP(A:A,[1]TDSheet!$A:$AA,27,0)</f>
        <v>12</v>
      </c>
      <c r="AB20" s="21">
        <f t="shared" si="18"/>
        <v>70</v>
      </c>
      <c r="AC20" s="17">
        <f t="shared" si="15"/>
        <v>900</v>
      </c>
      <c r="AD20" s="17" t="str">
        <f>VLOOKUP(A:A,[1]TDSheet!$A:$AD,30,0)</f>
        <v>ябмай</v>
      </c>
      <c r="AE20" s="20">
        <f>AC20/12</f>
        <v>75</v>
      </c>
      <c r="AF20" s="22">
        <f>VLOOKUP(A:A,[1]TDSheet!$A:$AF,32,0)</f>
        <v>0.25</v>
      </c>
      <c r="AG20" s="17">
        <f t="shared" si="16"/>
        <v>210</v>
      </c>
      <c r="AH20" s="17"/>
      <c r="AI20" s="17"/>
      <c r="AJ20" s="17"/>
    </row>
    <row r="21" spans="1:36" s="1" customFormat="1" ht="11.1" customHeight="1" outlineLevel="1" x14ac:dyDescent="0.2">
      <c r="A21" s="7" t="s">
        <v>21</v>
      </c>
      <c r="B21" s="7" t="s">
        <v>9</v>
      </c>
      <c r="C21" s="8">
        <v>1253</v>
      </c>
      <c r="D21" s="8">
        <v>2908</v>
      </c>
      <c r="E21" s="8">
        <v>2450</v>
      </c>
      <c r="F21" s="8">
        <v>1687</v>
      </c>
      <c r="G21" s="1" t="str">
        <f>VLOOKUP(A:A,[1]TDSheet!$A:$G,7,0)</f>
        <v>яб</v>
      </c>
      <c r="H21" s="1">
        <f>VLOOKUP(A:A,[1]TDSheet!$A:$H,8,0)</f>
        <v>180</v>
      </c>
      <c r="I21" s="17">
        <f>VLOOKUP(A:A,[2]TDSheet!$A:$F,6,0)</f>
        <v>2513</v>
      </c>
      <c r="J21" s="17">
        <f t="shared" si="11"/>
        <v>-63</v>
      </c>
      <c r="K21" s="17">
        <f>VLOOKUP(A:A,[1]TDSheet!$A:$P,16,0)</f>
        <v>240</v>
      </c>
      <c r="L21" s="17"/>
      <c r="M21" s="17"/>
      <c r="N21" s="17"/>
      <c r="O21" s="17">
        <f t="shared" si="12"/>
        <v>254.8</v>
      </c>
      <c r="P21" s="18">
        <v>600</v>
      </c>
      <c r="Q21" s="19">
        <f t="shared" si="13"/>
        <v>9.9175824175824179</v>
      </c>
      <c r="R21" s="17">
        <f t="shared" si="14"/>
        <v>6.6208791208791204</v>
      </c>
      <c r="S21" s="17">
        <f>VLOOKUP(A:A,[1]TDSheet!$A:$S,15,0)</f>
        <v>272</v>
      </c>
      <c r="T21" s="17">
        <f>VLOOKUP(A:A,[1]TDSheet!$A:$T,20,0)</f>
        <v>324.5</v>
      </c>
      <c r="U21" s="17">
        <f>VLOOKUP(A:A,[1]TDSheet!$A:$U,21,0)</f>
        <v>314</v>
      </c>
      <c r="V21" s="17">
        <f>VLOOKUP(A:A,[1]TDSheet!$A:$V,22,0)</f>
        <v>299.39999999999998</v>
      </c>
      <c r="W21" s="17">
        <f>VLOOKUP(A:A,[3]TDSheet!$A:$D,4,0)</f>
        <v>199</v>
      </c>
      <c r="X21" s="17">
        <f>VLOOKUP(A:A,[1]TDSheet!$A:$X,24,0)</f>
        <v>1176</v>
      </c>
      <c r="Y21" s="17">
        <f>VLOOKUP(A:A,[1]TDSheet!$A:$Y,25,0)</f>
        <v>126</v>
      </c>
      <c r="Z21" s="17">
        <f>VLOOKUP(A:A,[1]TDSheet!$A:$Z,26,0)</f>
        <v>14</v>
      </c>
      <c r="AA21" s="17">
        <f>VLOOKUP(A:A,[1]TDSheet!$A:$AA,27,0)</f>
        <v>6</v>
      </c>
      <c r="AB21" s="21">
        <f t="shared" si="18"/>
        <v>98</v>
      </c>
      <c r="AC21" s="17">
        <f t="shared" si="15"/>
        <v>600</v>
      </c>
      <c r="AD21" s="17" t="str">
        <f>VLOOKUP(A:A,[1]TDSheet!$A:$AD,30,0)</f>
        <v>ябмай</v>
      </c>
      <c r="AE21" s="20">
        <f>AC21/6</f>
        <v>100</v>
      </c>
      <c r="AF21" s="22">
        <f>VLOOKUP(A:A,[1]TDSheet!$A:$AF,32,0)</f>
        <v>0.25</v>
      </c>
      <c r="AG21" s="17">
        <f t="shared" si="16"/>
        <v>147</v>
      </c>
      <c r="AH21" s="17"/>
      <c r="AI21" s="17"/>
      <c r="AJ21" s="17"/>
    </row>
    <row r="22" spans="1:36" s="1" customFormat="1" ht="11.1" customHeight="1" outlineLevel="1" x14ac:dyDescent="0.2">
      <c r="A22" s="7" t="s">
        <v>22</v>
      </c>
      <c r="B22" s="7" t="s">
        <v>9</v>
      </c>
      <c r="C22" s="8">
        <v>1614</v>
      </c>
      <c r="D22" s="8">
        <v>4585</v>
      </c>
      <c r="E22" s="8">
        <v>4169</v>
      </c>
      <c r="F22" s="8">
        <v>1990</v>
      </c>
      <c r="G22" s="1">
        <f>VLOOKUP(A:A,[1]TDSheet!$A:$G,7,0)</f>
        <v>1</v>
      </c>
      <c r="H22" s="1">
        <f>VLOOKUP(A:A,[1]TDSheet!$A:$H,8,0)</f>
        <v>180</v>
      </c>
      <c r="I22" s="17">
        <f>VLOOKUP(A:A,[2]TDSheet!$A:$F,6,0)</f>
        <v>4203</v>
      </c>
      <c r="J22" s="17">
        <f t="shared" si="11"/>
        <v>-34</v>
      </c>
      <c r="K22" s="17">
        <f>VLOOKUP(A:A,[1]TDSheet!$A:$P,16,0)</f>
        <v>720</v>
      </c>
      <c r="L22" s="17"/>
      <c r="M22" s="17"/>
      <c r="N22" s="17"/>
      <c r="O22" s="17">
        <f t="shared" si="12"/>
        <v>363.4</v>
      </c>
      <c r="P22" s="18">
        <v>840</v>
      </c>
      <c r="Q22" s="19">
        <f t="shared" si="13"/>
        <v>9.7688497523390208</v>
      </c>
      <c r="R22" s="17">
        <f t="shared" si="14"/>
        <v>5.4760594386351134</v>
      </c>
      <c r="S22" s="17">
        <f>VLOOKUP(A:A,[1]TDSheet!$A:$S,15,0)</f>
        <v>379.2</v>
      </c>
      <c r="T22" s="17">
        <f>VLOOKUP(A:A,[1]TDSheet!$A:$T,20,0)</f>
        <v>352</v>
      </c>
      <c r="U22" s="17">
        <f>VLOOKUP(A:A,[1]TDSheet!$A:$U,21,0)</f>
        <v>382</v>
      </c>
      <c r="V22" s="17">
        <f>VLOOKUP(A:A,[1]TDSheet!$A:$V,22,0)</f>
        <v>398.2</v>
      </c>
      <c r="W22" s="17">
        <f>VLOOKUP(A:A,[3]TDSheet!$A:$D,4,0)</f>
        <v>207</v>
      </c>
      <c r="X22" s="17">
        <f>VLOOKUP(A:A,[1]TDSheet!$A:$X,24,0)</f>
        <v>2352</v>
      </c>
      <c r="Y22" s="17">
        <f>VLOOKUP(A:A,[1]TDSheet!$A:$Y,25,0)</f>
        <v>70</v>
      </c>
      <c r="Z22" s="17">
        <f>VLOOKUP(A:A,[1]TDSheet!$A:$Z,26,0)</f>
        <v>14</v>
      </c>
      <c r="AA22" s="17">
        <f>VLOOKUP(A:A,[1]TDSheet!$A:$AA,27,0)</f>
        <v>12</v>
      </c>
      <c r="AB22" s="21">
        <f t="shared" si="18"/>
        <v>70</v>
      </c>
      <c r="AC22" s="17">
        <f t="shared" si="15"/>
        <v>840</v>
      </c>
      <c r="AD22" s="17" t="str">
        <f>VLOOKUP(A:A,[1]TDSheet!$A:$AD,30,0)</f>
        <v>ябмай</v>
      </c>
      <c r="AE22" s="20">
        <f>AC22/12</f>
        <v>70</v>
      </c>
      <c r="AF22" s="22">
        <f>VLOOKUP(A:A,[1]TDSheet!$A:$AF,32,0)</f>
        <v>0.25</v>
      </c>
      <c r="AG22" s="17">
        <f t="shared" si="16"/>
        <v>210</v>
      </c>
      <c r="AH22" s="17"/>
      <c r="AI22" s="17"/>
      <c r="AJ22" s="17"/>
    </row>
    <row r="23" spans="1:36" s="1" customFormat="1" ht="11.1" customHeight="1" outlineLevel="1" x14ac:dyDescent="0.2">
      <c r="A23" s="7" t="s">
        <v>23</v>
      </c>
      <c r="B23" s="7" t="s">
        <v>9</v>
      </c>
      <c r="C23" s="8">
        <v>1157</v>
      </c>
      <c r="D23" s="8">
        <v>4743</v>
      </c>
      <c r="E23" s="8">
        <v>3753</v>
      </c>
      <c r="F23" s="8">
        <v>2127</v>
      </c>
      <c r="G23" s="1">
        <f>VLOOKUP(A:A,[1]TDSheet!$A:$G,7,0)</f>
        <v>1</v>
      </c>
      <c r="H23" s="1" t="e">
        <f>VLOOKUP(A:A,[1]TDSheet!$A:$H,8,0)</f>
        <v>#N/A</v>
      </c>
      <c r="I23" s="17">
        <f>VLOOKUP(A:A,[2]TDSheet!$A:$F,6,0)</f>
        <v>3829</v>
      </c>
      <c r="J23" s="17">
        <f t="shared" si="11"/>
        <v>-76</v>
      </c>
      <c r="K23" s="17">
        <f>VLOOKUP(A:A,[1]TDSheet!$A:$P,16,0)</f>
        <v>720</v>
      </c>
      <c r="L23" s="17"/>
      <c r="M23" s="17"/>
      <c r="N23" s="17"/>
      <c r="O23" s="17">
        <f t="shared" si="12"/>
        <v>381</v>
      </c>
      <c r="P23" s="18">
        <v>900</v>
      </c>
      <c r="Q23" s="19">
        <f t="shared" si="13"/>
        <v>9.8346456692913389</v>
      </c>
      <c r="R23" s="17">
        <f t="shared" si="14"/>
        <v>5.5826771653543306</v>
      </c>
      <c r="S23" s="17">
        <f>VLOOKUP(A:A,[1]TDSheet!$A:$S,15,0)</f>
        <v>397.4</v>
      </c>
      <c r="T23" s="17">
        <f>VLOOKUP(A:A,[1]TDSheet!$A:$T,20,0)</f>
        <v>313.75</v>
      </c>
      <c r="U23" s="17">
        <f>VLOOKUP(A:A,[1]TDSheet!$A:$U,21,0)</f>
        <v>357.8</v>
      </c>
      <c r="V23" s="17">
        <f>VLOOKUP(A:A,[1]TDSheet!$A:$V,22,0)</f>
        <v>405.8</v>
      </c>
      <c r="W23" s="17">
        <f>VLOOKUP(A:A,[3]TDSheet!$A:$D,4,0)</f>
        <v>214</v>
      </c>
      <c r="X23" s="17">
        <f>VLOOKUP(A:A,[1]TDSheet!$A:$X,24,0)</f>
        <v>1848</v>
      </c>
      <c r="Y23" s="17">
        <f>VLOOKUP(A:A,[1]TDSheet!$A:$Y,25,0)</f>
        <v>70</v>
      </c>
      <c r="Z23" s="17">
        <f>VLOOKUP(A:A,[1]TDSheet!$A:$Z,26,0)</f>
        <v>14</v>
      </c>
      <c r="AA23" s="17">
        <f>VLOOKUP(A:A,[1]TDSheet!$A:$AA,27,0)</f>
        <v>12</v>
      </c>
      <c r="AB23" s="21">
        <f t="shared" si="18"/>
        <v>70</v>
      </c>
      <c r="AC23" s="17">
        <f t="shared" si="15"/>
        <v>900</v>
      </c>
      <c r="AD23" s="17" t="str">
        <f>VLOOKUP(A:A,[1]TDSheet!$A:$AD,30,0)</f>
        <v>ябмай</v>
      </c>
      <c r="AE23" s="20">
        <f>AC23/12</f>
        <v>75</v>
      </c>
      <c r="AF23" s="22">
        <f>VLOOKUP(A:A,[1]TDSheet!$A:$AF,32,0)</f>
        <v>0.25</v>
      </c>
      <c r="AG23" s="17">
        <f t="shared" si="16"/>
        <v>210</v>
      </c>
      <c r="AH23" s="17"/>
      <c r="AI23" s="17"/>
      <c r="AJ23" s="17"/>
    </row>
    <row r="24" spans="1:36" s="1" customFormat="1" ht="11.1" customHeight="1" outlineLevel="1" x14ac:dyDescent="0.2">
      <c r="A24" s="7" t="s">
        <v>63</v>
      </c>
      <c r="B24" s="7" t="s">
        <v>9</v>
      </c>
      <c r="C24" s="8">
        <v>336</v>
      </c>
      <c r="D24" s="8">
        <v>2</v>
      </c>
      <c r="E24" s="8">
        <v>333</v>
      </c>
      <c r="F24" s="8">
        <v>2</v>
      </c>
      <c r="G24" s="1" t="str">
        <f>VLOOKUP(A:A,[1]TDSheet!$A:$G,7,0)</f>
        <v>нв21,01,</v>
      </c>
      <c r="H24" s="1" t="e">
        <f>VLOOKUP(A:A,[1]TDSheet!$A:$H,8,0)</f>
        <v>#N/A</v>
      </c>
      <c r="I24" s="17">
        <f>VLOOKUP(A:A,[2]TDSheet!$A:$F,6,0)</f>
        <v>359</v>
      </c>
      <c r="J24" s="17">
        <f t="shared" si="11"/>
        <v>-26</v>
      </c>
      <c r="K24" s="17">
        <f>VLOOKUP(A:A,[1]TDSheet!$A:$P,16,0)</f>
        <v>300</v>
      </c>
      <c r="L24" s="17"/>
      <c r="M24" s="17"/>
      <c r="N24" s="17"/>
      <c r="O24" s="17">
        <f t="shared" si="12"/>
        <v>66.599999999999994</v>
      </c>
      <c r="P24" s="18">
        <v>330</v>
      </c>
      <c r="Q24" s="19">
        <f t="shared" si="13"/>
        <v>9.4894894894894897</v>
      </c>
      <c r="R24" s="17">
        <f t="shared" si="14"/>
        <v>3.0030030030030033E-2</v>
      </c>
      <c r="S24" s="17">
        <f>VLOOKUP(A:A,[1]TDSheet!$A:$S,15,0)</f>
        <v>49.2</v>
      </c>
      <c r="T24" s="17">
        <f>VLOOKUP(A:A,[1]TDSheet!$A:$T,20,0)</f>
        <v>0</v>
      </c>
      <c r="U24" s="17">
        <f>VLOOKUP(A:A,[1]TDSheet!$A:$U,21,0)</f>
        <v>0</v>
      </c>
      <c r="V24" s="17">
        <f>VLOOKUP(A:A,[1]TDSheet!$A:$V,22,0)</f>
        <v>0</v>
      </c>
      <c r="W24" s="17">
        <f>VLOOKUP(A:A,[3]TDSheet!$A:$D,4,0)</f>
        <v>88</v>
      </c>
      <c r="X24" s="17">
        <f>VLOOKUP(A:A,[1]TDSheet!$A:$X,24,0)</f>
        <v>0</v>
      </c>
      <c r="Y24" s="17">
        <f>VLOOKUP(A:A,[1]TDSheet!$A:$Y,25,0)</f>
        <v>70</v>
      </c>
      <c r="Z24" s="17">
        <f>VLOOKUP(A:A,[1]TDSheet!$A:$Z,26,0)</f>
        <v>14</v>
      </c>
      <c r="AA24" s="17">
        <f>VLOOKUP(A:A,[1]TDSheet!$A:$AA,27,0)</f>
        <v>12</v>
      </c>
      <c r="AB24" s="21">
        <f t="shared" si="18"/>
        <v>28</v>
      </c>
      <c r="AC24" s="17">
        <f t="shared" si="15"/>
        <v>330</v>
      </c>
      <c r="AD24" s="17" t="str">
        <f>VLOOKUP(A:A,[1]TDSheet!$A:$AD,30,0)</f>
        <v>нв21,01,</v>
      </c>
      <c r="AE24" s="20">
        <f>AC24/12</f>
        <v>27.5</v>
      </c>
      <c r="AF24" s="22">
        <f>VLOOKUP(A:A,[1]TDSheet!$A:$AF,32,0)</f>
        <v>0.23</v>
      </c>
      <c r="AG24" s="17">
        <f t="shared" si="16"/>
        <v>77.28</v>
      </c>
      <c r="AH24" s="17"/>
      <c r="AI24" s="17"/>
      <c r="AJ24" s="17"/>
    </row>
    <row r="25" spans="1:36" s="1" customFormat="1" ht="11.1" customHeight="1" outlineLevel="1" x14ac:dyDescent="0.2">
      <c r="A25" s="7" t="s">
        <v>24</v>
      </c>
      <c r="B25" s="7" t="s">
        <v>8</v>
      </c>
      <c r="C25" s="8">
        <v>1174</v>
      </c>
      <c r="D25" s="8">
        <v>2292</v>
      </c>
      <c r="E25" s="8">
        <v>1716</v>
      </c>
      <c r="F25" s="8">
        <v>1708</v>
      </c>
      <c r="G25" s="1">
        <f>VLOOKUP(A:A,[1]TDSheet!$A:$G,7,0)</f>
        <v>1</v>
      </c>
      <c r="H25" s="1" t="e">
        <f>VLOOKUP(A:A,[1]TDSheet!$A:$H,8,0)</f>
        <v>#N/A</v>
      </c>
      <c r="I25" s="17">
        <f>VLOOKUP(A:A,[2]TDSheet!$A:$F,6,0)</f>
        <v>1761</v>
      </c>
      <c r="J25" s="17">
        <f t="shared" si="11"/>
        <v>-45</v>
      </c>
      <c r="K25" s="17">
        <f>VLOOKUP(A:A,[1]TDSheet!$A:$P,16,0)</f>
        <v>800</v>
      </c>
      <c r="L25" s="17"/>
      <c r="M25" s="17"/>
      <c r="N25" s="17"/>
      <c r="O25" s="17">
        <f t="shared" si="12"/>
        <v>343.2</v>
      </c>
      <c r="P25" s="18">
        <v>850</v>
      </c>
      <c r="Q25" s="19">
        <f t="shared" si="13"/>
        <v>9.7843822843822839</v>
      </c>
      <c r="R25" s="17">
        <f t="shared" si="14"/>
        <v>4.9766899766899773</v>
      </c>
      <c r="S25" s="17">
        <f>VLOOKUP(A:A,[1]TDSheet!$A:$S,15,0)</f>
        <v>361.2</v>
      </c>
      <c r="T25" s="17">
        <f>VLOOKUP(A:A,[1]TDSheet!$A:$T,20,0)</f>
        <v>240</v>
      </c>
      <c r="U25" s="17">
        <f>VLOOKUP(A:A,[1]TDSheet!$A:$U,21,0)</f>
        <v>309.2</v>
      </c>
      <c r="V25" s="17">
        <f>VLOOKUP(A:A,[1]TDSheet!$A:$V,22,0)</f>
        <v>336.8</v>
      </c>
      <c r="W25" s="17">
        <f>VLOOKUP(A:A,[3]TDSheet!$A:$D,4,0)</f>
        <v>288</v>
      </c>
      <c r="X25" s="17">
        <f>VLOOKUP(A:A,[1]TDSheet!$A:$X,24,0)</f>
        <v>0</v>
      </c>
      <c r="Y25" s="17">
        <f>VLOOKUP(A:A,[1]TDSheet!$A:$Y,25,0)</f>
        <v>84</v>
      </c>
      <c r="Z25" s="17">
        <f>VLOOKUP(A:A,[1]TDSheet!$A:$Z,26,0)</f>
        <v>12</v>
      </c>
      <c r="AA25" s="17">
        <f>VLOOKUP(A:A,[1]TDSheet!$A:$AA,27,0)</f>
        <v>6</v>
      </c>
      <c r="AB25" s="21">
        <f t="shared" si="18"/>
        <v>144</v>
      </c>
      <c r="AC25" s="17">
        <f t="shared" si="15"/>
        <v>850</v>
      </c>
      <c r="AD25" s="17" t="str">
        <f>VLOOKUP(A:A,[1]TDSheet!$A:$AD,30,0)</f>
        <v>жц</v>
      </c>
      <c r="AE25" s="20">
        <f>AC25/6</f>
        <v>141.66666666666666</v>
      </c>
      <c r="AF25" s="22">
        <f>VLOOKUP(A:A,[1]TDSheet!$A:$AF,32,0)</f>
        <v>1</v>
      </c>
      <c r="AG25" s="17">
        <f>AB25*AA25*AF25</f>
        <v>864</v>
      </c>
      <c r="AH25" s="17"/>
      <c r="AI25" s="17"/>
      <c r="AJ25" s="17"/>
    </row>
    <row r="26" spans="1:36" s="1" customFormat="1" ht="11.1" customHeight="1" outlineLevel="1" x14ac:dyDescent="0.2">
      <c r="A26" s="7" t="s">
        <v>25</v>
      </c>
      <c r="B26" s="7" t="s">
        <v>9</v>
      </c>
      <c r="C26" s="8">
        <v>323</v>
      </c>
      <c r="D26" s="8">
        <v>692</v>
      </c>
      <c r="E26" s="8">
        <v>529</v>
      </c>
      <c r="F26" s="8">
        <v>478</v>
      </c>
      <c r="G26" s="1" t="str">
        <f>VLOOKUP(A:A,[1]TDSheet!$A:$G,7,0)</f>
        <v>нов</v>
      </c>
      <c r="H26" s="1" t="e">
        <f>VLOOKUP(A:A,[1]TDSheet!$A:$H,8,0)</f>
        <v>#N/A</v>
      </c>
      <c r="I26" s="17">
        <f>VLOOKUP(A:A,[2]TDSheet!$A:$F,6,0)</f>
        <v>553</v>
      </c>
      <c r="J26" s="17">
        <f t="shared" si="11"/>
        <v>-24</v>
      </c>
      <c r="K26" s="17">
        <f>VLOOKUP(A:A,[1]TDSheet!$A:$P,16,0)</f>
        <v>340</v>
      </c>
      <c r="L26" s="17"/>
      <c r="M26" s="17"/>
      <c r="N26" s="17"/>
      <c r="O26" s="17">
        <f t="shared" si="12"/>
        <v>105.8</v>
      </c>
      <c r="P26" s="18">
        <v>320</v>
      </c>
      <c r="Q26" s="19">
        <f t="shared" si="13"/>
        <v>10.756143667296787</v>
      </c>
      <c r="R26" s="17">
        <f t="shared" si="14"/>
        <v>4.5179584120982987</v>
      </c>
      <c r="S26" s="17">
        <f>VLOOKUP(A:A,[1]TDSheet!$A:$S,15,0)</f>
        <v>96.8</v>
      </c>
      <c r="T26" s="17">
        <f>VLOOKUP(A:A,[1]TDSheet!$A:$T,20,0)</f>
        <v>89.25</v>
      </c>
      <c r="U26" s="17">
        <f>VLOOKUP(A:A,[1]TDSheet!$A:$U,21,0)</f>
        <v>86.8</v>
      </c>
      <c r="V26" s="17">
        <f>VLOOKUP(A:A,[1]TDSheet!$A:$V,22,0)</f>
        <v>94.6</v>
      </c>
      <c r="W26" s="17">
        <f>VLOOKUP(A:A,[3]TDSheet!$A:$D,4,0)</f>
        <v>88</v>
      </c>
      <c r="X26" s="17">
        <f>VLOOKUP(A:A,[1]TDSheet!$A:$X,24,0)</f>
        <v>0</v>
      </c>
      <c r="Y26" s="17">
        <f>VLOOKUP(A:A,[1]TDSheet!$A:$Y,25,0)</f>
        <v>70</v>
      </c>
      <c r="Z26" s="17">
        <f>VLOOKUP(A:A,[1]TDSheet!$A:$Z,26,0)</f>
        <v>14</v>
      </c>
      <c r="AA26" s="17">
        <f>VLOOKUP(A:A,[1]TDSheet!$A:$AA,27,0)</f>
        <v>12</v>
      </c>
      <c r="AB26" s="21">
        <f t="shared" si="18"/>
        <v>28</v>
      </c>
      <c r="AC26" s="17">
        <f t="shared" si="15"/>
        <v>320</v>
      </c>
      <c r="AD26" s="17" t="e">
        <f>VLOOKUP(A:A,[1]TDSheet!$A:$AD,30,0)</f>
        <v>#N/A</v>
      </c>
      <c r="AE26" s="20">
        <f>AC26/12</f>
        <v>26.666666666666668</v>
      </c>
      <c r="AF26" s="22">
        <f>VLOOKUP(A:A,[1]TDSheet!$A:$AF,32,0)</f>
        <v>0.23</v>
      </c>
      <c r="AG26" s="17">
        <f>AB26*AA26*AF26</f>
        <v>77.28</v>
      </c>
      <c r="AH26" s="17"/>
      <c r="AI26" s="17"/>
      <c r="AJ26" s="17"/>
    </row>
    <row r="27" spans="1:36" s="1" customFormat="1" ht="11.1" customHeight="1" outlineLevel="1" x14ac:dyDescent="0.2">
      <c r="A27" s="7" t="s">
        <v>26</v>
      </c>
      <c r="B27" s="7" t="s">
        <v>9</v>
      </c>
      <c r="C27" s="8">
        <v>489</v>
      </c>
      <c r="D27" s="8">
        <v>354</v>
      </c>
      <c r="E27" s="8">
        <v>325</v>
      </c>
      <c r="F27" s="8">
        <v>509</v>
      </c>
      <c r="G27" s="1" t="str">
        <f>VLOOKUP(A:A,[1]TDSheet!$A:$G,7,0)</f>
        <v>нов</v>
      </c>
      <c r="H27" s="1" t="e">
        <f>VLOOKUP(A:A,[1]TDSheet!$A:$H,8,0)</f>
        <v>#N/A</v>
      </c>
      <c r="I27" s="17">
        <f>VLOOKUP(A:A,[2]TDSheet!$A:$F,6,0)</f>
        <v>335</v>
      </c>
      <c r="J27" s="17">
        <f t="shared" si="11"/>
        <v>-10</v>
      </c>
      <c r="K27" s="17">
        <f>VLOOKUP(A:A,[1]TDSheet!$A:$P,16,0)</f>
        <v>0</v>
      </c>
      <c r="L27" s="17"/>
      <c r="M27" s="17"/>
      <c r="N27" s="17"/>
      <c r="O27" s="17">
        <f t="shared" si="12"/>
        <v>65</v>
      </c>
      <c r="P27" s="18">
        <v>160</v>
      </c>
      <c r="Q27" s="19">
        <f t="shared" si="13"/>
        <v>10.292307692307693</v>
      </c>
      <c r="R27" s="17">
        <f t="shared" si="14"/>
        <v>7.8307692307692305</v>
      </c>
      <c r="S27" s="17">
        <f>VLOOKUP(A:A,[1]TDSheet!$A:$S,15,0)</f>
        <v>66.599999999999994</v>
      </c>
      <c r="T27" s="17">
        <f>VLOOKUP(A:A,[1]TDSheet!$A:$T,20,0)</f>
        <v>76.25</v>
      </c>
      <c r="U27" s="17">
        <f>VLOOKUP(A:A,[1]TDSheet!$A:$U,21,0)</f>
        <v>88.8</v>
      </c>
      <c r="V27" s="17">
        <f>VLOOKUP(A:A,[1]TDSheet!$A:$V,22,0)</f>
        <v>75.599999999999994</v>
      </c>
      <c r="W27" s="17">
        <f>VLOOKUP(A:A,[3]TDSheet!$A:$D,4,0)</f>
        <v>85</v>
      </c>
      <c r="X27" s="17">
        <f>VLOOKUP(A:A,[1]TDSheet!$A:$X,24,0)</f>
        <v>0</v>
      </c>
      <c r="Y27" s="17">
        <f>VLOOKUP(A:A,[1]TDSheet!$A:$Y,25,0)</f>
        <v>70</v>
      </c>
      <c r="Z27" s="17">
        <f>VLOOKUP(A:A,[1]TDSheet!$A:$Z,26,0)</f>
        <v>14</v>
      </c>
      <c r="AA27" s="17">
        <f>VLOOKUP(A:A,[1]TDSheet!$A:$AA,27,0)</f>
        <v>12</v>
      </c>
      <c r="AB27" s="21">
        <f t="shared" si="18"/>
        <v>14</v>
      </c>
      <c r="AC27" s="17">
        <f t="shared" si="15"/>
        <v>160</v>
      </c>
      <c r="AD27" s="17">
        <f>VLOOKUP(A:A,[1]TDSheet!$A:$AD,30,0)</f>
        <v>0</v>
      </c>
      <c r="AE27" s="20">
        <f>AC27/12</f>
        <v>13.333333333333334</v>
      </c>
      <c r="AF27" s="22">
        <f>VLOOKUP(A:A,[1]TDSheet!$A:$AF,32,0)</f>
        <v>0.25</v>
      </c>
      <c r="AG27" s="17">
        <f t="shared" ref="AG27:AG61" si="19">AB27*AA27*AF27</f>
        <v>42</v>
      </c>
      <c r="AH27" s="17"/>
      <c r="AI27" s="17"/>
      <c r="AJ27" s="17"/>
    </row>
    <row r="28" spans="1:36" s="1" customFormat="1" ht="11.1" customHeight="1" outlineLevel="1" x14ac:dyDescent="0.2">
      <c r="A28" s="7" t="s">
        <v>27</v>
      </c>
      <c r="B28" s="7" t="s">
        <v>9</v>
      </c>
      <c r="C28" s="8">
        <v>245</v>
      </c>
      <c r="D28" s="8">
        <v>195</v>
      </c>
      <c r="E28" s="8">
        <v>226</v>
      </c>
      <c r="F28" s="8">
        <v>212</v>
      </c>
      <c r="G28" s="1" t="str">
        <f>VLOOKUP(A:A,[1]TDSheet!$A:$G,7,0)</f>
        <v>рот0502</v>
      </c>
      <c r="H28" s="1" t="e">
        <f>VLOOKUP(A:A,[1]TDSheet!$A:$H,8,0)</f>
        <v>#N/A</v>
      </c>
      <c r="I28" s="17">
        <f>VLOOKUP(A:A,[2]TDSheet!$A:$F,6,0)</f>
        <v>235</v>
      </c>
      <c r="J28" s="17">
        <f t="shared" si="11"/>
        <v>-9</v>
      </c>
      <c r="K28" s="17">
        <f>VLOOKUP(A:A,[1]TDSheet!$A:$P,16,0)</f>
        <v>180</v>
      </c>
      <c r="L28" s="17"/>
      <c r="M28" s="17"/>
      <c r="N28" s="17"/>
      <c r="O28" s="17">
        <f t="shared" si="12"/>
        <v>45.2</v>
      </c>
      <c r="P28" s="18">
        <v>90</v>
      </c>
      <c r="Q28" s="19">
        <f t="shared" si="13"/>
        <v>10.663716814159292</v>
      </c>
      <c r="R28" s="17">
        <f t="shared" si="14"/>
        <v>4.6902654867256635</v>
      </c>
      <c r="S28" s="17">
        <f>VLOOKUP(A:A,[1]TDSheet!$A:$S,15,0)</f>
        <v>46.2</v>
      </c>
      <c r="T28" s="17">
        <f>VLOOKUP(A:A,[1]TDSheet!$A:$T,20,0)</f>
        <v>43</v>
      </c>
      <c r="U28" s="17">
        <f>VLOOKUP(A:A,[1]TDSheet!$A:$U,21,0)</f>
        <v>38.200000000000003</v>
      </c>
      <c r="V28" s="17">
        <f>VLOOKUP(A:A,[1]TDSheet!$A:$V,22,0)</f>
        <v>41</v>
      </c>
      <c r="W28" s="17">
        <f>VLOOKUP(A:A,[3]TDSheet!$A:$D,4,0)</f>
        <v>12</v>
      </c>
      <c r="X28" s="17">
        <f>VLOOKUP(A:A,[1]TDSheet!$A:$X,24,0)</f>
        <v>0</v>
      </c>
      <c r="Y28" s="17">
        <f>VLOOKUP(A:A,[1]TDSheet!$A:$Y,25,0)</f>
        <v>84</v>
      </c>
      <c r="Z28" s="17">
        <f>VLOOKUP(A:A,[1]TDSheet!$A:$Z,26,0)</f>
        <v>12</v>
      </c>
      <c r="AA28" s="17">
        <f>VLOOKUP(A:A,[1]TDSheet!$A:$AA,27,0)</f>
        <v>8</v>
      </c>
      <c r="AB28" s="21">
        <f t="shared" si="18"/>
        <v>12</v>
      </c>
      <c r="AC28" s="17">
        <f t="shared" si="15"/>
        <v>90</v>
      </c>
      <c r="AD28" s="17" t="str">
        <f>VLOOKUP(A:A,[1]TDSheet!$A:$AD,30,0)</f>
        <v>ябмай</v>
      </c>
      <c r="AE28" s="20">
        <f>AC28/8</f>
        <v>11.25</v>
      </c>
      <c r="AF28" s="22">
        <f>VLOOKUP(A:A,[1]TDSheet!$A:$AF,32,0)</f>
        <v>0.7</v>
      </c>
      <c r="AG28" s="17">
        <f t="shared" si="19"/>
        <v>67.199999999999989</v>
      </c>
      <c r="AH28" s="17"/>
      <c r="AI28" s="17"/>
      <c r="AJ28" s="17"/>
    </row>
    <row r="29" spans="1:36" s="1" customFormat="1" ht="21.95" customHeight="1" outlineLevel="1" x14ac:dyDescent="0.2">
      <c r="A29" s="7" t="s">
        <v>28</v>
      </c>
      <c r="B29" s="7" t="s">
        <v>9</v>
      </c>
      <c r="C29" s="8">
        <v>906</v>
      </c>
      <c r="D29" s="8">
        <v>727</v>
      </c>
      <c r="E29" s="8">
        <v>860</v>
      </c>
      <c r="F29" s="8">
        <v>772</v>
      </c>
      <c r="G29" s="1" t="str">
        <f>VLOOKUP(A:A,[1]TDSheet!$A:$G,7,0)</f>
        <v>4рот</v>
      </c>
      <c r="H29" s="1" t="e">
        <f>VLOOKUP(A:A,[1]TDSheet!$A:$H,8,0)</f>
        <v>#N/A</v>
      </c>
      <c r="I29" s="17">
        <f>VLOOKUP(A:A,[2]TDSheet!$A:$F,6,0)</f>
        <v>846</v>
      </c>
      <c r="J29" s="17">
        <f t="shared" si="11"/>
        <v>14</v>
      </c>
      <c r="K29" s="17">
        <f>VLOOKUP(A:A,[1]TDSheet!$A:$P,16,0)</f>
        <v>600</v>
      </c>
      <c r="L29" s="17"/>
      <c r="M29" s="17"/>
      <c r="N29" s="17"/>
      <c r="O29" s="17">
        <f t="shared" si="12"/>
        <v>172</v>
      </c>
      <c r="P29" s="18">
        <v>360</v>
      </c>
      <c r="Q29" s="19">
        <f t="shared" si="13"/>
        <v>10.069767441860465</v>
      </c>
      <c r="R29" s="17">
        <f t="shared" si="14"/>
        <v>4.4883720930232558</v>
      </c>
      <c r="S29" s="17">
        <f>VLOOKUP(A:A,[1]TDSheet!$A:$S,15,0)</f>
        <v>173.6</v>
      </c>
      <c r="T29" s="17">
        <f>VLOOKUP(A:A,[1]TDSheet!$A:$T,20,0)</f>
        <v>159</v>
      </c>
      <c r="U29" s="17">
        <f>VLOOKUP(A:A,[1]TDSheet!$A:$U,21,0)</f>
        <v>182.2</v>
      </c>
      <c r="V29" s="17">
        <f>VLOOKUP(A:A,[1]TDSheet!$A:$V,22,0)</f>
        <v>155.6</v>
      </c>
      <c r="W29" s="17">
        <f>VLOOKUP(A:A,[3]TDSheet!$A:$D,4,0)</f>
        <v>50</v>
      </c>
      <c r="X29" s="17">
        <f>VLOOKUP(A:A,[1]TDSheet!$A:$X,24,0)</f>
        <v>0</v>
      </c>
      <c r="Y29" s="17">
        <f>VLOOKUP(A:A,[1]TDSheet!$A:$Y,25,0)</f>
        <v>84</v>
      </c>
      <c r="Z29" s="17">
        <f>VLOOKUP(A:A,[1]TDSheet!$A:$Z,26,0)</f>
        <v>12</v>
      </c>
      <c r="AA29" s="17">
        <f>VLOOKUP(A:A,[1]TDSheet!$A:$AA,27,0)</f>
        <v>10</v>
      </c>
      <c r="AB29" s="21">
        <f t="shared" si="18"/>
        <v>36</v>
      </c>
      <c r="AC29" s="17">
        <f t="shared" si="15"/>
        <v>360</v>
      </c>
      <c r="AD29" s="17" t="str">
        <f>VLOOKUP(A:A,[1]TDSheet!$A:$AD,30,0)</f>
        <v>ябмай</v>
      </c>
      <c r="AE29" s="20">
        <f>AC29/10</f>
        <v>36</v>
      </c>
      <c r="AF29" s="22">
        <f>VLOOKUP(A:A,[1]TDSheet!$A:$AF,32,0)</f>
        <v>0.7</v>
      </c>
      <c r="AG29" s="17">
        <f t="shared" si="19"/>
        <v>251.99999999999997</v>
      </c>
      <c r="AH29" s="17"/>
      <c r="AI29" s="17"/>
      <c r="AJ29" s="17"/>
    </row>
    <row r="30" spans="1:36" s="1" customFormat="1" ht="11.1" customHeight="1" outlineLevel="1" x14ac:dyDescent="0.2">
      <c r="A30" s="7" t="s">
        <v>29</v>
      </c>
      <c r="B30" s="7" t="s">
        <v>9</v>
      </c>
      <c r="C30" s="8">
        <v>368</v>
      </c>
      <c r="D30" s="8">
        <v>6</v>
      </c>
      <c r="E30" s="8">
        <v>135</v>
      </c>
      <c r="F30" s="8">
        <v>237</v>
      </c>
      <c r="G30" s="1" t="str">
        <f>VLOOKUP(A:A,[1]TDSheet!$A:$G,7,0)</f>
        <v>4рот</v>
      </c>
      <c r="H30" s="1" t="e">
        <f>VLOOKUP(A:A,[1]TDSheet!$A:$H,8,0)</f>
        <v>#N/A</v>
      </c>
      <c r="I30" s="17">
        <f>VLOOKUP(A:A,[2]TDSheet!$A:$F,6,0)</f>
        <v>127</v>
      </c>
      <c r="J30" s="17">
        <f t="shared" si="11"/>
        <v>8</v>
      </c>
      <c r="K30" s="17">
        <f>VLOOKUP(A:A,[1]TDSheet!$A:$P,16,0)</f>
        <v>0</v>
      </c>
      <c r="L30" s="17"/>
      <c r="M30" s="17"/>
      <c r="N30" s="17"/>
      <c r="O30" s="17">
        <f t="shared" si="12"/>
        <v>27</v>
      </c>
      <c r="P30" s="18">
        <v>120</v>
      </c>
      <c r="Q30" s="19">
        <f t="shared" si="13"/>
        <v>13.222222222222221</v>
      </c>
      <c r="R30" s="17">
        <f t="shared" si="14"/>
        <v>8.7777777777777786</v>
      </c>
      <c r="S30" s="17">
        <f>VLOOKUP(A:A,[1]TDSheet!$A:$S,15,0)</f>
        <v>28.2</v>
      </c>
      <c r="T30" s="17">
        <f>VLOOKUP(A:A,[1]TDSheet!$A:$T,20,0)</f>
        <v>32</v>
      </c>
      <c r="U30" s="17">
        <f>VLOOKUP(A:A,[1]TDSheet!$A:$U,21,0)</f>
        <v>43</v>
      </c>
      <c r="V30" s="17">
        <f>VLOOKUP(A:A,[1]TDSheet!$A:$V,22,0)</f>
        <v>33.200000000000003</v>
      </c>
      <c r="W30" s="17">
        <f>VLOOKUP(A:A,[3]TDSheet!$A:$D,4,0)</f>
        <v>35</v>
      </c>
      <c r="X30" s="17">
        <f>VLOOKUP(A:A,[1]TDSheet!$A:$X,24,0)</f>
        <v>0</v>
      </c>
      <c r="Y30" s="17">
        <f>VLOOKUP(A:A,[1]TDSheet!$A:$Y,25,0)</f>
        <v>84</v>
      </c>
      <c r="Z30" s="17">
        <f>VLOOKUP(A:A,[1]TDSheet!$A:$Z,26,0)</f>
        <v>12</v>
      </c>
      <c r="AA30" s="17">
        <f>VLOOKUP(A:A,[1]TDSheet!$A:$AA,27,0)</f>
        <v>16</v>
      </c>
      <c r="AB30" s="21">
        <f t="shared" si="18"/>
        <v>12</v>
      </c>
      <c r="AC30" s="17">
        <f t="shared" si="15"/>
        <v>120</v>
      </c>
      <c r="AD30" s="17" t="str">
        <f>VLOOKUP(A:A,[1]TDSheet!$A:$AD,30,0)</f>
        <v>увел</v>
      </c>
      <c r="AE30" s="20">
        <f>AC30/16</f>
        <v>7.5</v>
      </c>
      <c r="AF30" s="22">
        <f>VLOOKUP(A:A,[1]TDSheet!$A:$AF,32,0)</f>
        <v>0.4</v>
      </c>
      <c r="AG30" s="17">
        <f t="shared" si="19"/>
        <v>76.800000000000011</v>
      </c>
      <c r="AH30" s="17"/>
      <c r="AI30" s="17"/>
      <c r="AJ30" s="17"/>
    </row>
    <row r="31" spans="1:36" s="1" customFormat="1" ht="11.1" customHeight="1" outlineLevel="1" x14ac:dyDescent="0.2">
      <c r="A31" s="7" t="s">
        <v>30</v>
      </c>
      <c r="B31" s="7" t="s">
        <v>9</v>
      </c>
      <c r="C31" s="8">
        <v>653</v>
      </c>
      <c r="D31" s="8">
        <v>3135</v>
      </c>
      <c r="E31" s="8">
        <v>2618</v>
      </c>
      <c r="F31" s="8">
        <v>1138</v>
      </c>
      <c r="G31" s="1" t="str">
        <f>VLOOKUP(A:A,[1]TDSheet!$A:$G,7,0)</f>
        <v>4рот</v>
      </c>
      <c r="H31" s="1" t="e">
        <f>VLOOKUP(A:A,[1]TDSheet!$A:$H,8,0)</f>
        <v>#N/A</v>
      </c>
      <c r="I31" s="17">
        <f>VLOOKUP(A:A,[2]TDSheet!$A:$F,6,0)</f>
        <v>2733</v>
      </c>
      <c r="J31" s="17">
        <f t="shared" si="11"/>
        <v>-115</v>
      </c>
      <c r="K31" s="17">
        <f>VLOOKUP(A:A,[1]TDSheet!$A:$P,16,0)</f>
        <v>180</v>
      </c>
      <c r="L31" s="17"/>
      <c r="M31" s="17"/>
      <c r="N31" s="17"/>
      <c r="O31" s="17">
        <f t="shared" si="12"/>
        <v>163.6</v>
      </c>
      <c r="P31" s="18">
        <v>360</v>
      </c>
      <c r="Q31" s="19">
        <f t="shared" si="13"/>
        <v>10.256723716381419</v>
      </c>
      <c r="R31" s="17">
        <f t="shared" si="14"/>
        <v>6.9559902200488999</v>
      </c>
      <c r="S31" s="17">
        <f>VLOOKUP(A:A,[1]TDSheet!$A:$S,15,0)</f>
        <v>165.6</v>
      </c>
      <c r="T31" s="17">
        <f>VLOOKUP(A:A,[1]TDSheet!$A:$T,20,0)</f>
        <v>188.5</v>
      </c>
      <c r="U31" s="17">
        <f>VLOOKUP(A:A,[1]TDSheet!$A:$U,21,0)</f>
        <v>182.2</v>
      </c>
      <c r="V31" s="17">
        <f>VLOOKUP(A:A,[1]TDSheet!$A:$V,22,0)</f>
        <v>185.8</v>
      </c>
      <c r="W31" s="17">
        <f>VLOOKUP(A:A,[3]TDSheet!$A:$D,4,0)</f>
        <v>79</v>
      </c>
      <c r="X31" s="17">
        <f>VLOOKUP(A:A,[1]TDSheet!$A:$X,24,0)</f>
        <v>1800</v>
      </c>
      <c r="Y31" s="17">
        <f>VLOOKUP(A:A,[1]TDSheet!$A:$Y,25,0)</f>
        <v>84</v>
      </c>
      <c r="Z31" s="17">
        <f>VLOOKUP(A:A,[1]TDSheet!$A:$Z,26,0)</f>
        <v>12</v>
      </c>
      <c r="AA31" s="17">
        <f>VLOOKUP(A:A,[1]TDSheet!$A:$AA,27,0)</f>
        <v>10</v>
      </c>
      <c r="AB31" s="21">
        <f t="shared" si="18"/>
        <v>36</v>
      </c>
      <c r="AC31" s="17">
        <f t="shared" si="15"/>
        <v>360</v>
      </c>
      <c r="AD31" s="17" t="str">
        <f>VLOOKUP(A:A,[1]TDSheet!$A:$AD,30,0)</f>
        <v>оконч</v>
      </c>
      <c r="AE31" s="20">
        <f>AC31/10</f>
        <v>36</v>
      </c>
      <c r="AF31" s="22">
        <f>VLOOKUP(A:A,[1]TDSheet!$A:$AF,32,0)</f>
        <v>0.7</v>
      </c>
      <c r="AG31" s="17">
        <f t="shared" si="19"/>
        <v>251.99999999999997</v>
      </c>
      <c r="AH31" s="17"/>
      <c r="AI31" s="17"/>
      <c r="AJ31" s="17"/>
    </row>
    <row r="32" spans="1:36" s="1" customFormat="1" ht="21.95" customHeight="1" outlineLevel="1" x14ac:dyDescent="0.2">
      <c r="A32" s="7" t="s">
        <v>31</v>
      </c>
      <c r="B32" s="7" t="s">
        <v>9</v>
      </c>
      <c r="C32" s="8">
        <v>1092</v>
      </c>
      <c r="D32" s="8">
        <v>1861</v>
      </c>
      <c r="E32" s="8">
        <v>1222</v>
      </c>
      <c r="F32" s="8">
        <v>1693</v>
      </c>
      <c r="G32" s="1" t="str">
        <f>VLOOKUP(A:A,[1]TDSheet!$A:$G,7,0)</f>
        <v>4рот</v>
      </c>
      <c r="H32" s="1" t="e">
        <f>VLOOKUP(A:A,[1]TDSheet!$A:$H,8,0)</f>
        <v>#N/A</v>
      </c>
      <c r="I32" s="17">
        <f>VLOOKUP(A:A,[2]TDSheet!$A:$F,6,0)</f>
        <v>1242</v>
      </c>
      <c r="J32" s="17">
        <f t="shared" si="11"/>
        <v>-20</v>
      </c>
      <c r="K32" s="17">
        <f>VLOOKUP(A:A,[1]TDSheet!$A:$P,16,0)</f>
        <v>240</v>
      </c>
      <c r="L32" s="17"/>
      <c r="M32" s="17"/>
      <c r="N32" s="17"/>
      <c r="O32" s="17">
        <f t="shared" si="12"/>
        <v>244.4</v>
      </c>
      <c r="P32" s="18">
        <v>480</v>
      </c>
      <c r="Q32" s="19">
        <f t="shared" si="13"/>
        <v>9.8731587561374798</v>
      </c>
      <c r="R32" s="17">
        <f t="shared" si="14"/>
        <v>6.9271685761047461</v>
      </c>
      <c r="S32" s="17">
        <f>VLOOKUP(A:A,[1]TDSheet!$A:$S,15,0)</f>
        <v>245.6</v>
      </c>
      <c r="T32" s="17">
        <f>VLOOKUP(A:A,[1]TDSheet!$A:$T,20,0)</f>
        <v>246.75</v>
      </c>
      <c r="U32" s="17">
        <f>VLOOKUP(A:A,[1]TDSheet!$A:$U,21,0)</f>
        <v>283</v>
      </c>
      <c r="V32" s="17">
        <f>VLOOKUP(A:A,[1]TDSheet!$A:$V,22,0)</f>
        <v>306.39999999999998</v>
      </c>
      <c r="W32" s="17">
        <f>VLOOKUP(A:A,[3]TDSheet!$A:$D,4,0)</f>
        <v>114</v>
      </c>
      <c r="X32" s="17">
        <f>VLOOKUP(A:A,[1]TDSheet!$A:$X,24,0)</f>
        <v>0</v>
      </c>
      <c r="Y32" s="17">
        <f>VLOOKUP(A:A,[1]TDSheet!$A:$Y,25,0)</f>
        <v>84</v>
      </c>
      <c r="Z32" s="17">
        <f>VLOOKUP(A:A,[1]TDSheet!$A:$Z,26,0)</f>
        <v>12</v>
      </c>
      <c r="AA32" s="17">
        <f>VLOOKUP(A:A,[1]TDSheet!$A:$AA,27,0)</f>
        <v>10</v>
      </c>
      <c r="AB32" s="21">
        <f t="shared" si="18"/>
        <v>48</v>
      </c>
      <c r="AC32" s="17">
        <f t="shared" si="15"/>
        <v>480</v>
      </c>
      <c r="AD32" s="17" t="str">
        <f>VLOOKUP(A:A,[1]TDSheet!$A:$AD,30,0)</f>
        <v>оконч жц</v>
      </c>
      <c r="AE32" s="20">
        <f>AC32/10</f>
        <v>48</v>
      </c>
      <c r="AF32" s="22">
        <f>VLOOKUP(A:A,[1]TDSheet!$A:$AF,32,0)</f>
        <v>0.7</v>
      </c>
      <c r="AG32" s="17">
        <f t="shared" si="19"/>
        <v>336</v>
      </c>
      <c r="AH32" s="17"/>
      <c r="AI32" s="17"/>
      <c r="AJ32" s="17"/>
    </row>
    <row r="33" spans="1:36" s="1" customFormat="1" ht="21.95" customHeight="1" outlineLevel="1" x14ac:dyDescent="0.2">
      <c r="A33" s="7" t="s">
        <v>64</v>
      </c>
      <c r="B33" s="7" t="s">
        <v>9</v>
      </c>
      <c r="C33" s="8">
        <v>177</v>
      </c>
      <c r="D33" s="8">
        <v>202</v>
      </c>
      <c r="E33" s="8">
        <v>172</v>
      </c>
      <c r="F33" s="8">
        <v>205</v>
      </c>
      <c r="G33" s="1" t="str">
        <f>VLOOKUP(A:A,[1]TDSheet!$A:$G,7,0)</f>
        <v>нв11,12,</v>
      </c>
      <c r="H33" s="1" t="e">
        <f>VLOOKUP(A:A,[1]TDSheet!$A:$H,8,0)</f>
        <v>#N/A</v>
      </c>
      <c r="I33" s="17">
        <f>VLOOKUP(A:A,[2]TDSheet!$A:$F,6,0)</f>
        <v>179</v>
      </c>
      <c r="J33" s="17">
        <f t="shared" si="11"/>
        <v>-7</v>
      </c>
      <c r="K33" s="17">
        <f>VLOOKUP(A:A,[1]TDSheet!$A:$P,16,0)</f>
        <v>200</v>
      </c>
      <c r="L33" s="17"/>
      <c r="M33" s="17"/>
      <c r="N33" s="17"/>
      <c r="O33" s="17">
        <f t="shared" si="12"/>
        <v>34.4</v>
      </c>
      <c r="P33" s="18"/>
      <c r="Q33" s="19">
        <f t="shared" si="13"/>
        <v>11.773255813953488</v>
      </c>
      <c r="R33" s="17">
        <f t="shared" si="14"/>
        <v>5.9593023255813957</v>
      </c>
      <c r="S33" s="17">
        <f>VLOOKUP(A:A,[1]TDSheet!$A:$S,15,0)</f>
        <v>40.4</v>
      </c>
      <c r="T33" s="17">
        <f>VLOOKUP(A:A,[1]TDSheet!$A:$T,20,0)</f>
        <v>30</v>
      </c>
      <c r="U33" s="17">
        <f>VLOOKUP(A:A,[1]TDSheet!$A:$U,21,0)</f>
        <v>32.4</v>
      </c>
      <c r="V33" s="17">
        <f>VLOOKUP(A:A,[1]TDSheet!$A:$V,22,0)</f>
        <v>32.4</v>
      </c>
      <c r="W33" s="17">
        <f>VLOOKUP(A:A,[3]TDSheet!$A:$D,4,0)</f>
        <v>28</v>
      </c>
      <c r="X33" s="17">
        <f>VLOOKUP(A:A,[1]TDSheet!$A:$X,24,0)</f>
        <v>0</v>
      </c>
      <c r="Y33" s="17">
        <f>VLOOKUP(A:A,[1]TDSheet!$A:$Y,25,0)</f>
        <v>84</v>
      </c>
      <c r="Z33" s="17">
        <f>VLOOKUP(A:A,[1]TDSheet!$A:$Z,26,0)</f>
        <v>12</v>
      </c>
      <c r="AA33" s="17">
        <f>VLOOKUP(A:A,[1]TDSheet!$A:$AA,27,0)</f>
        <v>16</v>
      </c>
      <c r="AB33" s="21">
        <f t="shared" si="18"/>
        <v>0</v>
      </c>
      <c r="AC33" s="17">
        <f t="shared" si="15"/>
        <v>0</v>
      </c>
      <c r="AD33" s="17" t="str">
        <f>VLOOKUP(A:A,[1]TDSheet!$A:$AD,30,0)</f>
        <v>увел</v>
      </c>
      <c r="AE33" s="20">
        <f>AC33/16</f>
        <v>0</v>
      </c>
      <c r="AF33" s="22">
        <f>VLOOKUP(A:A,[1]TDSheet!$A:$AF,32,0)</f>
        <v>0.4</v>
      </c>
      <c r="AG33" s="17">
        <f t="shared" si="19"/>
        <v>0</v>
      </c>
      <c r="AH33" s="17"/>
      <c r="AI33" s="17"/>
      <c r="AJ33" s="17"/>
    </row>
    <row r="34" spans="1:36" s="1" customFormat="1" ht="21.95" customHeight="1" outlineLevel="1" x14ac:dyDescent="0.2">
      <c r="A34" s="7" t="s">
        <v>32</v>
      </c>
      <c r="B34" s="7" t="s">
        <v>9</v>
      </c>
      <c r="C34" s="8">
        <v>923</v>
      </c>
      <c r="D34" s="8">
        <v>869</v>
      </c>
      <c r="E34" s="8">
        <v>907</v>
      </c>
      <c r="F34" s="8">
        <v>857</v>
      </c>
      <c r="G34" s="1">
        <f>VLOOKUP(A:A,[1]TDSheet!$A:$G,7,0)</f>
        <v>0</v>
      </c>
      <c r="H34" s="1" t="e">
        <f>VLOOKUP(A:A,[1]TDSheet!$A:$H,8,0)</f>
        <v>#N/A</v>
      </c>
      <c r="I34" s="17">
        <f>VLOOKUP(A:A,[2]TDSheet!$A:$F,6,0)</f>
        <v>929</v>
      </c>
      <c r="J34" s="17">
        <f t="shared" si="11"/>
        <v>-22</v>
      </c>
      <c r="K34" s="17">
        <f>VLOOKUP(A:A,[1]TDSheet!$A:$P,16,0)</f>
        <v>1000</v>
      </c>
      <c r="L34" s="17"/>
      <c r="M34" s="17"/>
      <c r="N34" s="17"/>
      <c r="O34" s="17">
        <f t="shared" si="12"/>
        <v>181.4</v>
      </c>
      <c r="P34" s="18">
        <v>1200</v>
      </c>
      <c r="Q34" s="19">
        <f t="shared" si="13"/>
        <v>16.852260198456449</v>
      </c>
      <c r="R34" s="17">
        <f t="shared" si="14"/>
        <v>4.7243660418963618</v>
      </c>
      <c r="S34" s="17">
        <f>VLOOKUP(A:A,[1]TDSheet!$A:$S,15,0)</f>
        <v>193.6</v>
      </c>
      <c r="T34" s="17">
        <f>VLOOKUP(A:A,[1]TDSheet!$A:$T,20,0)</f>
        <v>248.25</v>
      </c>
      <c r="U34" s="17">
        <f>VLOOKUP(A:A,[1]TDSheet!$A:$U,21,0)</f>
        <v>200.4</v>
      </c>
      <c r="V34" s="17">
        <f>VLOOKUP(A:A,[1]TDSheet!$A:$V,22,0)</f>
        <v>177.8</v>
      </c>
      <c r="W34" s="17">
        <f>VLOOKUP(A:A,[3]TDSheet!$A:$D,4,0)</f>
        <v>124</v>
      </c>
      <c r="X34" s="17">
        <f>VLOOKUP(A:A,[1]TDSheet!$A:$X,24,0)</f>
        <v>0</v>
      </c>
      <c r="Y34" s="17">
        <f>VLOOKUP(A:A,[1]TDSheet!$A:$Y,25,0)</f>
        <v>84</v>
      </c>
      <c r="Z34" s="17">
        <f>VLOOKUP(A:A,[1]TDSheet!$A:$Z,26,0)</f>
        <v>12</v>
      </c>
      <c r="AA34" s="17">
        <f>VLOOKUP(A:A,[1]TDSheet!$A:$AA,27,0)</f>
        <v>10</v>
      </c>
      <c r="AB34" s="21">
        <f t="shared" si="18"/>
        <v>120</v>
      </c>
      <c r="AC34" s="17">
        <f t="shared" si="15"/>
        <v>1200</v>
      </c>
      <c r="AD34" s="17" t="str">
        <f>VLOOKUP(A:A,[1]TDSheet!$A:$AD,30,0)</f>
        <v>жк-февр</v>
      </c>
      <c r="AE34" s="20">
        <f>AC34/10</f>
        <v>120</v>
      </c>
      <c r="AF34" s="22">
        <f>VLOOKUP(A:A,[1]TDSheet!$A:$AF,32,0)</f>
        <v>0.7</v>
      </c>
      <c r="AG34" s="17">
        <f t="shared" si="19"/>
        <v>840</v>
      </c>
      <c r="AH34" s="17"/>
      <c r="AI34" s="17"/>
      <c r="AJ34" s="17"/>
    </row>
    <row r="35" spans="1:36" s="1" customFormat="1" ht="21.95" customHeight="1" outlineLevel="1" x14ac:dyDescent="0.2">
      <c r="A35" s="7" t="s">
        <v>33</v>
      </c>
      <c r="B35" s="7" t="s">
        <v>9</v>
      </c>
      <c r="C35" s="8">
        <v>83</v>
      </c>
      <c r="D35" s="8">
        <v>130</v>
      </c>
      <c r="E35" s="8">
        <v>85</v>
      </c>
      <c r="F35" s="8">
        <v>124</v>
      </c>
      <c r="G35" s="1">
        <f>VLOOKUP(A:A,[1]TDSheet!$A:$G,7,0)</f>
        <v>0</v>
      </c>
      <c r="H35" s="1" t="e">
        <f>VLOOKUP(A:A,[1]TDSheet!$A:$H,8,0)</f>
        <v>#N/A</v>
      </c>
      <c r="I35" s="17">
        <f>VLOOKUP(A:A,[2]TDSheet!$A:$F,6,0)</f>
        <v>88</v>
      </c>
      <c r="J35" s="17">
        <f t="shared" si="11"/>
        <v>-3</v>
      </c>
      <c r="K35" s="17">
        <f>VLOOKUP(A:A,[1]TDSheet!$A:$P,16,0)</f>
        <v>120</v>
      </c>
      <c r="L35" s="17"/>
      <c r="M35" s="17"/>
      <c r="N35" s="17"/>
      <c r="O35" s="17">
        <f t="shared" si="12"/>
        <v>17</v>
      </c>
      <c r="P35" s="18"/>
      <c r="Q35" s="19">
        <f t="shared" si="13"/>
        <v>14.352941176470589</v>
      </c>
      <c r="R35" s="17">
        <f t="shared" si="14"/>
        <v>7.2941176470588234</v>
      </c>
      <c r="S35" s="17">
        <f>VLOOKUP(A:A,[1]TDSheet!$A:$S,15,0)</f>
        <v>20.8</v>
      </c>
      <c r="T35" s="17">
        <f>VLOOKUP(A:A,[1]TDSheet!$A:$T,20,0)</f>
        <v>15.75</v>
      </c>
      <c r="U35" s="17">
        <f>VLOOKUP(A:A,[1]TDSheet!$A:$U,21,0)</f>
        <v>21</v>
      </c>
      <c r="V35" s="17">
        <f>VLOOKUP(A:A,[1]TDSheet!$A:$V,22,0)</f>
        <v>17.8</v>
      </c>
      <c r="W35" s="17">
        <f>VLOOKUP(A:A,[3]TDSheet!$A:$D,4,0)</f>
        <v>9</v>
      </c>
      <c r="X35" s="17">
        <f>VLOOKUP(A:A,[1]TDSheet!$A:$X,24,0)</f>
        <v>0</v>
      </c>
      <c r="Y35" s="17">
        <f>VLOOKUP(A:A,[1]TDSheet!$A:$Y,25,0)</f>
        <v>84</v>
      </c>
      <c r="Z35" s="17">
        <f>VLOOKUP(A:A,[1]TDSheet!$A:$Z,26,0)</f>
        <v>12</v>
      </c>
      <c r="AA35" s="17">
        <f>VLOOKUP(A:A,[1]TDSheet!$A:$AA,27,0)</f>
        <v>10</v>
      </c>
      <c r="AB35" s="21">
        <f t="shared" si="18"/>
        <v>0</v>
      </c>
      <c r="AC35" s="17">
        <f t="shared" si="15"/>
        <v>0</v>
      </c>
      <c r="AD35" s="17" t="e">
        <f>VLOOKUP(A:A,[1]TDSheet!$A:$AD,30,0)</f>
        <v>#N/A</v>
      </c>
      <c r="AE35" s="20">
        <f>AC35/10</f>
        <v>0</v>
      </c>
      <c r="AF35" s="22">
        <f>VLOOKUP(A:A,[1]TDSheet!$A:$AF,32,0)</f>
        <v>0.6</v>
      </c>
      <c r="AG35" s="17">
        <f t="shared" si="19"/>
        <v>0</v>
      </c>
      <c r="AH35" s="17"/>
      <c r="AI35" s="17"/>
      <c r="AJ35" s="17"/>
    </row>
    <row r="36" spans="1:36" s="1" customFormat="1" ht="21.95" customHeight="1" outlineLevel="1" x14ac:dyDescent="0.2">
      <c r="A36" s="7" t="s">
        <v>34</v>
      </c>
      <c r="B36" s="7" t="s">
        <v>8</v>
      </c>
      <c r="C36" s="8">
        <v>1340</v>
      </c>
      <c r="D36" s="8">
        <v>2670</v>
      </c>
      <c r="E36" s="8">
        <v>1985</v>
      </c>
      <c r="F36" s="8">
        <v>1985</v>
      </c>
      <c r="G36" s="1">
        <f>VLOOKUP(A:A,[1]TDSheet!$A:$G,7,0)</f>
        <v>0</v>
      </c>
      <c r="H36" s="1" t="e">
        <f>VLOOKUP(A:A,[1]TDSheet!$A:$H,8,0)</f>
        <v>#N/A</v>
      </c>
      <c r="I36" s="17">
        <f>VLOOKUP(A:A,[2]TDSheet!$A:$F,6,0)</f>
        <v>2035</v>
      </c>
      <c r="J36" s="17">
        <f t="shared" si="11"/>
        <v>-50</v>
      </c>
      <c r="K36" s="17">
        <f>VLOOKUP(A:A,[1]TDSheet!$A:$P,16,0)</f>
        <v>700</v>
      </c>
      <c r="L36" s="17"/>
      <c r="M36" s="17"/>
      <c r="N36" s="17"/>
      <c r="O36" s="17">
        <f t="shared" si="12"/>
        <v>397</v>
      </c>
      <c r="P36" s="18">
        <v>1100</v>
      </c>
      <c r="Q36" s="19">
        <f t="shared" si="13"/>
        <v>9.5340050377833752</v>
      </c>
      <c r="R36" s="17">
        <f t="shared" si="14"/>
        <v>5</v>
      </c>
      <c r="S36" s="17">
        <f>VLOOKUP(A:A,[1]TDSheet!$A:$S,15,0)</f>
        <v>412</v>
      </c>
      <c r="T36" s="17">
        <f>VLOOKUP(A:A,[1]TDSheet!$A:$T,20,0)</f>
        <v>358.75</v>
      </c>
      <c r="U36" s="17">
        <f>VLOOKUP(A:A,[1]TDSheet!$A:$U,21,0)</f>
        <v>394</v>
      </c>
      <c r="V36" s="17">
        <f>VLOOKUP(A:A,[1]TDSheet!$A:$V,22,0)</f>
        <v>403</v>
      </c>
      <c r="W36" s="17">
        <f>VLOOKUP(A:A,[3]TDSheet!$A:$D,4,0)</f>
        <v>375</v>
      </c>
      <c r="X36" s="17">
        <f>VLOOKUP(A:A,[1]TDSheet!$A:$X,24,0)</f>
        <v>0</v>
      </c>
      <c r="Y36" s="17">
        <f>VLOOKUP(A:A,[1]TDSheet!$A:$Y,25,0)</f>
        <v>144</v>
      </c>
      <c r="Z36" s="17">
        <f>VLOOKUP(A:A,[1]TDSheet!$A:$Z,26,0)</f>
        <v>12</v>
      </c>
      <c r="AA36" s="17">
        <f>VLOOKUP(A:A,[1]TDSheet!$A:$AA,27,0)</f>
        <v>5</v>
      </c>
      <c r="AB36" s="21">
        <f t="shared" si="18"/>
        <v>216</v>
      </c>
      <c r="AC36" s="17">
        <f t="shared" si="15"/>
        <v>1100</v>
      </c>
      <c r="AD36" s="17" t="str">
        <f>VLOOKUP(A:A,[1]TDSheet!$A:$AD,30,0)</f>
        <v>жк</v>
      </c>
      <c r="AE36" s="20">
        <f>AC36/5</f>
        <v>220</v>
      </c>
      <c r="AF36" s="22">
        <f>VLOOKUP(A:A,[1]TDSheet!$A:$AF,32,0)</f>
        <v>1</v>
      </c>
      <c r="AG36" s="17">
        <f t="shared" si="19"/>
        <v>1080</v>
      </c>
      <c r="AH36" s="17"/>
      <c r="AI36" s="17"/>
      <c r="AJ36" s="17"/>
    </row>
    <row r="37" spans="1:36" s="1" customFormat="1" ht="21.95" customHeight="1" outlineLevel="1" x14ac:dyDescent="0.2">
      <c r="A37" s="7" t="s">
        <v>35</v>
      </c>
      <c r="B37" s="7" t="s">
        <v>9</v>
      </c>
      <c r="C37" s="8">
        <v>2241</v>
      </c>
      <c r="D37" s="8">
        <v>403</v>
      </c>
      <c r="E37" s="8">
        <v>1213</v>
      </c>
      <c r="F37" s="8">
        <v>1412</v>
      </c>
      <c r="G37" s="1">
        <f>VLOOKUP(A:A,[1]TDSheet!$A:$G,7,0)</f>
        <v>0</v>
      </c>
      <c r="H37" s="1" t="e">
        <f>VLOOKUP(A:A,[1]TDSheet!$A:$H,8,0)</f>
        <v>#N/A</v>
      </c>
      <c r="I37" s="17">
        <f>VLOOKUP(A:A,[2]TDSheet!$A:$F,6,0)</f>
        <v>1210</v>
      </c>
      <c r="J37" s="17">
        <f t="shared" si="11"/>
        <v>3</v>
      </c>
      <c r="K37" s="17">
        <f>VLOOKUP(A:A,[1]TDSheet!$A:$P,16,0)</f>
        <v>800</v>
      </c>
      <c r="L37" s="17"/>
      <c r="M37" s="17"/>
      <c r="N37" s="17"/>
      <c r="O37" s="17">
        <f t="shared" si="12"/>
        <v>242.6</v>
      </c>
      <c r="P37" s="18">
        <v>240</v>
      </c>
      <c r="Q37" s="19">
        <f t="shared" si="13"/>
        <v>10.107172300082441</v>
      </c>
      <c r="R37" s="17">
        <f t="shared" si="14"/>
        <v>5.8202802967848308</v>
      </c>
      <c r="S37" s="17">
        <f>VLOOKUP(A:A,[1]TDSheet!$A:$S,15,0)</f>
        <v>243.6</v>
      </c>
      <c r="T37" s="17">
        <f>VLOOKUP(A:A,[1]TDSheet!$A:$T,20,0)</f>
        <v>135</v>
      </c>
      <c r="U37" s="17">
        <f>VLOOKUP(A:A,[1]TDSheet!$A:$U,21,0)</f>
        <v>150.19999999999999</v>
      </c>
      <c r="V37" s="17">
        <f>VLOOKUP(A:A,[1]TDSheet!$A:$V,22,0)</f>
        <v>166.2</v>
      </c>
      <c r="W37" s="17">
        <f>VLOOKUP(A:A,[3]TDSheet!$A:$D,4,0)</f>
        <v>31</v>
      </c>
      <c r="X37" s="17">
        <f>VLOOKUP(A:A,[1]TDSheet!$A:$X,24,0)</f>
        <v>0</v>
      </c>
      <c r="Y37" s="17">
        <f>VLOOKUP(A:A,[1]TDSheet!$A:$Y,25,0)</f>
        <v>84</v>
      </c>
      <c r="Z37" s="17">
        <f>VLOOKUP(A:A,[1]TDSheet!$A:$Z,26,0)</f>
        <v>12</v>
      </c>
      <c r="AA37" s="17">
        <f>VLOOKUP(A:A,[1]TDSheet!$A:$AA,27,0)</f>
        <v>10</v>
      </c>
      <c r="AB37" s="21">
        <f t="shared" si="18"/>
        <v>24</v>
      </c>
      <c r="AC37" s="17">
        <f t="shared" si="15"/>
        <v>240</v>
      </c>
      <c r="AD37" s="17" t="str">
        <f>VLOOKUP(A:A,[1]TDSheet!$A:$AD,30,0)</f>
        <v>Ларин, яб, борд</v>
      </c>
      <c r="AE37" s="20">
        <f>AC37/10</f>
        <v>24</v>
      </c>
      <c r="AF37" s="22">
        <f>VLOOKUP(A:A,[1]TDSheet!$A:$AF,32,0)</f>
        <v>0.7</v>
      </c>
      <c r="AG37" s="17">
        <f t="shared" si="19"/>
        <v>168</v>
      </c>
      <c r="AH37" s="17"/>
      <c r="AI37" s="17"/>
      <c r="AJ37" s="17"/>
    </row>
    <row r="38" spans="1:36" s="1" customFormat="1" ht="21.95" customHeight="1" outlineLevel="1" x14ac:dyDescent="0.2">
      <c r="A38" s="7" t="s">
        <v>36</v>
      </c>
      <c r="B38" s="7" t="s">
        <v>9</v>
      </c>
      <c r="C38" s="8">
        <v>855</v>
      </c>
      <c r="D38" s="8">
        <v>1380</v>
      </c>
      <c r="E38" s="8">
        <v>1042</v>
      </c>
      <c r="F38" s="8">
        <v>1176</v>
      </c>
      <c r="G38" s="1">
        <f>VLOOKUP(A:A,[1]TDSheet!$A:$G,7,0)</f>
        <v>0</v>
      </c>
      <c r="H38" s="1" t="e">
        <f>VLOOKUP(A:A,[1]TDSheet!$A:$H,8,0)</f>
        <v>#N/A</v>
      </c>
      <c r="I38" s="17">
        <f>VLOOKUP(A:A,[2]TDSheet!$A:$F,6,0)</f>
        <v>1027</v>
      </c>
      <c r="J38" s="17">
        <f t="shared" si="11"/>
        <v>15</v>
      </c>
      <c r="K38" s="17">
        <f>VLOOKUP(A:A,[1]TDSheet!$A:$P,16,0)</f>
        <v>360</v>
      </c>
      <c r="L38" s="17"/>
      <c r="M38" s="17"/>
      <c r="N38" s="17"/>
      <c r="O38" s="17">
        <f t="shared" si="12"/>
        <v>208.4</v>
      </c>
      <c r="P38" s="18">
        <v>600</v>
      </c>
      <c r="Q38" s="19">
        <f t="shared" si="13"/>
        <v>10.249520153550863</v>
      </c>
      <c r="R38" s="17">
        <f t="shared" si="14"/>
        <v>5.6429942418426098</v>
      </c>
      <c r="S38" s="17">
        <f>VLOOKUP(A:A,[1]TDSheet!$A:$S,15,0)</f>
        <v>220.4</v>
      </c>
      <c r="T38" s="17">
        <f>VLOOKUP(A:A,[1]TDSheet!$A:$T,20,0)</f>
        <v>215.25</v>
      </c>
      <c r="U38" s="17">
        <f>VLOOKUP(A:A,[1]TDSheet!$A:$U,21,0)</f>
        <v>217.8</v>
      </c>
      <c r="V38" s="17">
        <f>VLOOKUP(A:A,[1]TDSheet!$A:$V,22,0)</f>
        <v>220.4</v>
      </c>
      <c r="W38" s="17">
        <f>VLOOKUP(A:A,[3]TDSheet!$A:$D,4,0)</f>
        <v>220</v>
      </c>
      <c r="X38" s="17">
        <f>VLOOKUP(A:A,[1]TDSheet!$A:$X,24,0)</f>
        <v>0</v>
      </c>
      <c r="Y38" s="17">
        <f>VLOOKUP(A:A,[1]TDSheet!$A:$Y,25,0)</f>
        <v>84</v>
      </c>
      <c r="Z38" s="17">
        <f>VLOOKUP(A:A,[1]TDSheet!$A:$Z,26,0)</f>
        <v>12</v>
      </c>
      <c r="AA38" s="17">
        <f>VLOOKUP(A:A,[1]TDSheet!$A:$AA,27,0)</f>
        <v>16</v>
      </c>
      <c r="AB38" s="21">
        <f t="shared" si="18"/>
        <v>36</v>
      </c>
      <c r="AC38" s="17">
        <f t="shared" si="15"/>
        <v>600</v>
      </c>
      <c r="AD38" s="17" t="e">
        <f>VLOOKUP(A:A,[1]TDSheet!$A:$AD,30,0)</f>
        <v>#N/A</v>
      </c>
      <c r="AE38" s="20">
        <f>AC38/16</f>
        <v>37.5</v>
      </c>
      <c r="AF38" s="22">
        <f>VLOOKUP(A:A,[1]TDSheet!$A:$AF,32,0)</f>
        <v>0.4</v>
      </c>
      <c r="AG38" s="17">
        <f t="shared" si="19"/>
        <v>230.4</v>
      </c>
      <c r="AH38" s="17"/>
      <c r="AI38" s="17"/>
      <c r="AJ38" s="17"/>
    </row>
    <row r="39" spans="1:36" s="1" customFormat="1" ht="21.95" customHeight="1" outlineLevel="1" x14ac:dyDescent="0.2">
      <c r="A39" s="7" t="s">
        <v>37</v>
      </c>
      <c r="B39" s="7" t="s">
        <v>9</v>
      </c>
      <c r="C39" s="8">
        <v>1681</v>
      </c>
      <c r="D39" s="8">
        <v>5356</v>
      </c>
      <c r="E39" s="8">
        <v>4355</v>
      </c>
      <c r="F39" s="8">
        <v>2627</v>
      </c>
      <c r="G39" s="1">
        <f>VLOOKUP(A:A,[1]TDSheet!$A:$G,7,0)</f>
        <v>0</v>
      </c>
      <c r="H39" s="1" t="e">
        <f>VLOOKUP(A:A,[1]TDSheet!$A:$H,8,0)</f>
        <v>#N/A</v>
      </c>
      <c r="I39" s="17">
        <f>VLOOKUP(A:A,[2]TDSheet!$A:$F,6,0)</f>
        <v>4344</v>
      </c>
      <c r="J39" s="17">
        <f t="shared" si="11"/>
        <v>11</v>
      </c>
      <c r="K39" s="17">
        <f>VLOOKUP(A:A,[1]TDSheet!$A:$P,16,0)</f>
        <v>700</v>
      </c>
      <c r="L39" s="17"/>
      <c r="M39" s="17"/>
      <c r="N39" s="17"/>
      <c r="O39" s="17">
        <f t="shared" si="12"/>
        <v>463</v>
      </c>
      <c r="P39" s="18">
        <v>1100</v>
      </c>
      <c r="Q39" s="19">
        <f t="shared" si="13"/>
        <v>9.5615550755939527</v>
      </c>
      <c r="R39" s="17">
        <f t="shared" si="14"/>
        <v>5.6738660907127434</v>
      </c>
      <c r="S39" s="17">
        <f>VLOOKUP(A:A,[1]TDSheet!$A:$S,15,0)</f>
        <v>477.6</v>
      </c>
      <c r="T39" s="17">
        <f>VLOOKUP(A:A,[1]TDSheet!$A:$T,20,0)</f>
        <v>459.75</v>
      </c>
      <c r="U39" s="17">
        <f>VLOOKUP(A:A,[1]TDSheet!$A:$U,21,0)</f>
        <v>472.6</v>
      </c>
      <c r="V39" s="17">
        <f>VLOOKUP(A:A,[1]TDSheet!$A:$V,22,0)</f>
        <v>501</v>
      </c>
      <c r="W39" s="17">
        <f>VLOOKUP(A:A,[3]TDSheet!$A:$D,4,0)</f>
        <v>286</v>
      </c>
      <c r="X39" s="17">
        <f>VLOOKUP(A:A,[1]TDSheet!$A:$X,24,0)</f>
        <v>2040</v>
      </c>
      <c r="Y39" s="17">
        <f>VLOOKUP(A:A,[1]TDSheet!$A:$Y,25,0)</f>
        <v>84</v>
      </c>
      <c r="Z39" s="17">
        <f>VLOOKUP(A:A,[1]TDSheet!$A:$Z,26,0)</f>
        <v>12</v>
      </c>
      <c r="AA39" s="17">
        <f>VLOOKUP(A:A,[1]TDSheet!$A:$AA,27,0)</f>
        <v>10</v>
      </c>
      <c r="AB39" s="21">
        <f t="shared" si="18"/>
        <v>108</v>
      </c>
      <c r="AC39" s="17">
        <f t="shared" si="15"/>
        <v>1100</v>
      </c>
      <c r="AD39" s="17">
        <f>VLOOKUP(A:A,[1]TDSheet!$A:$AD,30,0)</f>
        <v>0</v>
      </c>
      <c r="AE39" s="20">
        <f>AC39/10</f>
        <v>110</v>
      </c>
      <c r="AF39" s="22">
        <f>VLOOKUP(A:A,[1]TDSheet!$A:$AF,32,0)</f>
        <v>0.7</v>
      </c>
      <c r="AG39" s="17">
        <f t="shared" si="19"/>
        <v>756</v>
      </c>
      <c r="AH39" s="17"/>
      <c r="AI39" s="17"/>
      <c r="AJ39" s="17"/>
    </row>
    <row r="40" spans="1:36" s="1" customFormat="1" ht="21.95" customHeight="1" outlineLevel="1" x14ac:dyDescent="0.2">
      <c r="A40" s="7" t="s">
        <v>38</v>
      </c>
      <c r="B40" s="7" t="s">
        <v>9</v>
      </c>
      <c r="C40" s="8">
        <v>931</v>
      </c>
      <c r="D40" s="8">
        <v>1807</v>
      </c>
      <c r="E40" s="8">
        <v>1101</v>
      </c>
      <c r="F40" s="8">
        <v>1603</v>
      </c>
      <c r="G40" s="1">
        <f>VLOOKUP(A:A,[1]TDSheet!$A:$G,7,0)</f>
        <v>0</v>
      </c>
      <c r="H40" s="1" t="e">
        <f>VLOOKUP(A:A,[1]TDSheet!$A:$H,8,0)</f>
        <v>#N/A</v>
      </c>
      <c r="I40" s="17">
        <f>VLOOKUP(A:A,[2]TDSheet!$A:$F,6,0)</f>
        <v>1235</v>
      </c>
      <c r="J40" s="17">
        <f t="shared" si="11"/>
        <v>-134</v>
      </c>
      <c r="K40" s="17">
        <f>VLOOKUP(A:A,[1]TDSheet!$A:$P,16,0)</f>
        <v>200</v>
      </c>
      <c r="L40" s="17"/>
      <c r="M40" s="17"/>
      <c r="N40" s="17"/>
      <c r="O40" s="17">
        <f t="shared" si="12"/>
        <v>220.2</v>
      </c>
      <c r="P40" s="18">
        <v>420</v>
      </c>
      <c r="Q40" s="19">
        <f t="shared" si="13"/>
        <v>10.095367847411445</v>
      </c>
      <c r="R40" s="17">
        <f t="shared" si="14"/>
        <v>7.2797456857402363</v>
      </c>
      <c r="S40" s="17">
        <f>VLOOKUP(A:A,[1]TDSheet!$A:$S,15,0)</f>
        <v>231</v>
      </c>
      <c r="T40" s="17">
        <f>VLOOKUP(A:A,[1]TDSheet!$A:$T,20,0)</f>
        <v>249.75</v>
      </c>
      <c r="U40" s="17">
        <f>VLOOKUP(A:A,[1]TDSheet!$A:$U,21,0)</f>
        <v>250.4</v>
      </c>
      <c r="V40" s="17">
        <f>VLOOKUP(A:A,[1]TDSheet!$A:$V,22,0)</f>
        <v>265.60000000000002</v>
      </c>
      <c r="W40" s="17">
        <f>VLOOKUP(A:A,[3]TDSheet!$A:$D,4,0)</f>
        <v>273</v>
      </c>
      <c r="X40" s="17">
        <f>VLOOKUP(A:A,[1]TDSheet!$A:$X,24,0)</f>
        <v>0</v>
      </c>
      <c r="Y40" s="17">
        <f>VLOOKUP(A:A,[1]TDSheet!$A:$Y,25,0)</f>
        <v>84</v>
      </c>
      <c r="Z40" s="17">
        <f>VLOOKUP(A:A,[1]TDSheet!$A:$Z,26,0)</f>
        <v>12</v>
      </c>
      <c r="AA40" s="17">
        <f>VLOOKUP(A:A,[1]TDSheet!$A:$AA,27,0)</f>
        <v>16</v>
      </c>
      <c r="AB40" s="21">
        <f t="shared" si="18"/>
        <v>24</v>
      </c>
      <c r="AC40" s="17">
        <f t="shared" si="15"/>
        <v>420</v>
      </c>
      <c r="AD40" s="17" t="e">
        <f>VLOOKUP(A:A,[1]TDSheet!$A:$AD,30,0)</f>
        <v>#N/A</v>
      </c>
      <c r="AE40" s="20">
        <f>AC40/16</f>
        <v>26.25</v>
      </c>
      <c r="AF40" s="22">
        <f>VLOOKUP(A:A,[1]TDSheet!$A:$AF,32,0)</f>
        <v>0.4</v>
      </c>
      <c r="AG40" s="17">
        <f t="shared" si="19"/>
        <v>153.60000000000002</v>
      </c>
      <c r="AH40" s="17"/>
      <c r="AI40" s="17"/>
      <c r="AJ40" s="17"/>
    </row>
    <row r="41" spans="1:36" s="1" customFormat="1" ht="21.95" customHeight="1" outlineLevel="1" x14ac:dyDescent="0.2">
      <c r="A41" s="7" t="s">
        <v>39</v>
      </c>
      <c r="B41" s="7" t="s">
        <v>9</v>
      </c>
      <c r="C41" s="8">
        <v>1919</v>
      </c>
      <c r="D41" s="8">
        <v>5990</v>
      </c>
      <c r="E41" s="8">
        <v>4854</v>
      </c>
      <c r="F41" s="8">
        <v>2974</v>
      </c>
      <c r="G41" s="1">
        <f>VLOOKUP(A:A,[1]TDSheet!$A:$G,7,0)</f>
        <v>0</v>
      </c>
      <c r="H41" s="1" t="e">
        <f>VLOOKUP(A:A,[1]TDSheet!$A:$H,8,0)</f>
        <v>#N/A</v>
      </c>
      <c r="I41" s="17">
        <f>VLOOKUP(A:A,[2]TDSheet!$A:$F,6,0)</f>
        <v>4945</v>
      </c>
      <c r="J41" s="17">
        <f t="shared" si="11"/>
        <v>-91</v>
      </c>
      <c r="K41" s="17">
        <f>VLOOKUP(A:A,[1]TDSheet!$A:$P,16,0)</f>
        <v>600</v>
      </c>
      <c r="L41" s="17"/>
      <c r="M41" s="17"/>
      <c r="N41" s="17"/>
      <c r="O41" s="17">
        <f t="shared" si="12"/>
        <v>538.79999999999995</v>
      </c>
      <c r="P41" s="18">
        <v>1600</v>
      </c>
      <c r="Q41" s="19">
        <f t="shared" si="13"/>
        <v>9.6028210838901273</v>
      </c>
      <c r="R41" s="17">
        <f t="shared" si="14"/>
        <v>5.5196733481811435</v>
      </c>
      <c r="S41" s="17">
        <f>VLOOKUP(A:A,[1]TDSheet!$A:$S,15,0)</f>
        <v>527.79999999999995</v>
      </c>
      <c r="T41" s="17">
        <f>VLOOKUP(A:A,[1]TDSheet!$A:$T,20,0)</f>
        <v>477.25</v>
      </c>
      <c r="U41" s="17">
        <f>VLOOKUP(A:A,[1]TDSheet!$A:$U,21,0)</f>
        <v>531.79999999999995</v>
      </c>
      <c r="V41" s="17">
        <f>VLOOKUP(A:A,[1]TDSheet!$A:$V,22,0)</f>
        <v>578.6</v>
      </c>
      <c r="W41" s="17">
        <f>VLOOKUP(A:A,[3]TDSheet!$A:$D,4,0)</f>
        <v>434</v>
      </c>
      <c r="X41" s="17">
        <f>VLOOKUP(A:A,[1]TDSheet!$A:$X,24,0)</f>
        <v>2160</v>
      </c>
      <c r="Y41" s="17">
        <f>VLOOKUP(A:A,[1]TDSheet!$A:$Y,25,0)</f>
        <v>84</v>
      </c>
      <c r="Z41" s="17">
        <f>VLOOKUP(A:A,[1]TDSheet!$A:$Z,26,0)</f>
        <v>12</v>
      </c>
      <c r="AA41" s="17">
        <f>VLOOKUP(A:A,[1]TDSheet!$A:$AA,27,0)</f>
        <v>10</v>
      </c>
      <c r="AB41" s="21">
        <f t="shared" si="18"/>
        <v>156</v>
      </c>
      <c r="AC41" s="17">
        <f t="shared" si="15"/>
        <v>1600</v>
      </c>
      <c r="AD41" s="17">
        <f>VLOOKUP(A:A,[1]TDSheet!$A:$AD,30,0)</f>
        <v>0</v>
      </c>
      <c r="AE41" s="20">
        <f>AC41/10</f>
        <v>160</v>
      </c>
      <c r="AF41" s="22">
        <f>VLOOKUP(A:A,[1]TDSheet!$A:$AF,32,0)</f>
        <v>0.7</v>
      </c>
      <c r="AG41" s="17">
        <f t="shared" si="19"/>
        <v>1092</v>
      </c>
      <c r="AH41" s="17"/>
      <c r="AI41" s="17"/>
      <c r="AJ41" s="17"/>
    </row>
    <row r="42" spans="1:36" s="1" customFormat="1" ht="11.1" customHeight="1" outlineLevel="1" x14ac:dyDescent="0.2">
      <c r="A42" s="7" t="s">
        <v>40</v>
      </c>
      <c r="B42" s="7" t="s">
        <v>9</v>
      </c>
      <c r="C42" s="8">
        <v>170</v>
      </c>
      <c r="D42" s="8">
        <v>179</v>
      </c>
      <c r="E42" s="8">
        <v>192</v>
      </c>
      <c r="F42" s="8">
        <v>152</v>
      </c>
      <c r="G42" s="1">
        <f>VLOOKUP(A:A,[1]TDSheet!$A:$G,7,0)</f>
        <v>0</v>
      </c>
      <c r="H42" s="1" t="e">
        <f>VLOOKUP(A:A,[1]TDSheet!$A:$H,8,0)</f>
        <v>#N/A</v>
      </c>
      <c r="I42" s="17">
        <f>VLOOKUP(A:A,[2]TDSheet!$A:$F,6,0)</f>
        <v>198</v>
      </c>
      <c r="J42" s="17">
        <f t="shared" si="11"/>
        <v>-6</v>
      </c>
      <c r="K42" s="17">
        <f>VLOOKUP(A:A,[1]TDSheet!$A:$P,16,0)</f>
        <v>170</v>
      </c>
      <c r="L42" s="17"/>
      <c r="M42" s="17"/>
      <c r="N42" s="17"/>
      <c r="O42" s="17">
        <f t="shared" si="12"/>
        <v>38.4</v>
      </c>
      <c r="P42" s="18">
        <v>120</v>
      </c>
      <c r="Q42" s="19">
        <f t="shared" si="13"/>
        <v>11.510416666666668</v>
      </c>
      <c r="R42" s="17">
        <f t="shared" si="14"/>
        <v>3.9583333333333335</v>
      </c>
      <c r="S42" s="17">
        <f>VLOOKUP(A:A,[1]TDSheet!$A:$S,15,0)</f>
        <v>43.2</v>
      </c>
      <c r="T42" s="17">
        <f>VLOOKUP(A:A,[1]TDSheet!$A:$T,20,0)</f>
        <v>37</v>
      </c>
      <c r="U42" s="17">
        <f>VLOOKUP(A:A,[1]TDSheet!$A:$U,21,0)</f>
        <v>34.200000000000003</v>
      </c>
      <c r="V42" s="17">
        <f>VLOOKUP(A:A,[1]TDSheet!$A:$V,22,0)</f>
        <v>33.6</v>
      </c>
      <c r="W42" s="17">
        <f>VLOOKUP(A:A,[3]TDSheet!$A:$D,4,0)</f>
        <v>38</v>
      </c>
      <c r="X42" s="17">
        <f>VLOOKUP(A:A,[1]TDSheet!$A:$X,24,0)</f>
        <v>0</v>
      </c>
      <c r="Y42" s="17">
        <f>VLOOKUP(A:A,[1]TDSheet!$A:$Y,25,0)</f>
        <v>70</v>
      </c>
      <c r="Z42" s="17">
        <f>VLOOKUP(A:A,[1]TDSheet!$A:$Z,26,0)</f>
        <v>14</v>
      </c>
      <c r="AA42" s="17">
        <f>VLOOKUP(A:A,[1]TDSheet!$A:$AA,27,0)</f>
        <v>12</v>
      </c>
      <c r="AB42" s="21">
        <f t="shared" si="18"/>
        <v>14</v>
      </c>
      <c r="AC42" s="17">
        <f t="shared" si="15"/>
        <v>120</v>
      </c>
      <c r="AD42" s="17" t="e">
        <f>VLOOKUP(A:A,[1]TDSheet!$A:$AD,30,0)</f>
        <v>#N/A</v>
      </c>
      <c r="AE42" s="20">
        <f>AC42/12</f>
        <v>10</v>
      </c>
      <c r="AF42" s="22">
        <f>VLOOKUP(A:A,[1]TDSheet!$A:$AF,32,0)</f>
        <v>0.22</v>
      </c>
      <c r="AG42" s="17">
        <f t="shared" si="19"/>
        <v>36.96</v>
      </c>
      <c r="AH42" s="17"/>
      <c r="AI42" s="17"/>
      <c r="AJ42" s="17"/>
    </row>
    <row r="43" spans="1:36" s="1" customFormat="1" ht="21.95" customHeight="1" outlineLevel="1" x14ac:dyDescent="0.2">
      <c r="A43" s="7" t="s">
        <v>41</v>
      </c>
      <c r="B43" s="7" t="s">
        <v>9</v>
      </c>
      <c r="C43" s="8">
        <v>-6</v>
      </c>
      <c r="D43" s="8">
        <v>14</v>
      </c>
      <c r="E43" s="8">
        <v>6</v>
      </c>
      <c r="F43" s="8"/>
      <c r="G43" s="1" t="str">
        <f>VLOOKUP(A:A,[1]TDSheet!$A:$G,7,0)</f>
        <v>вв1401</v>
      </c>
      <c r="H43" s="1" t="e">
        <f>VLOOKUP(A:A,[1]TDSheet!$A:$H,8,0)</f>
        <v>#N/A</v>
      </c>
      <c r="I43" s="17">
        <f>VLOOKUP(A:A,[2]TDSheet!$A:$F,6,0)</f>
        <v>8</v>
      </c>
      <c r="J43" s="17">
        <f t="shared" si="11"/>
        <v>-2</v>
      </c>
      <c r="K43" s="17">
        <f>VLOOKUP(A:A,[1]TDSheet!$A:$P,16,0)</f>
        <v>0</v>
      </c>
      <c r="L43" s="17"/>
      <c r="M43" s="17"/>
      <c r="N43" s="17"/>
      <c r="O43" s="17">
        <f t="shared" si="12"/>
        <v>1.2</v>
      </c>
      <c r="P43" s="18"/>
      <c r="Q43" s="19">
        <f t="shared" si="13"/>
        <v>0</v>
      </c>
      <c r="R43" s="17">
        <f t="shared" si="14"/>
        <v>0</v>
      </c>
      <c r="S43" s="17">
        <f>VLOOKUP(A:A,[1]TDSheet!$A:$S,15,0)</f>
        <v>1.2</v>
      </c>
      <c r="T43" s="17">
        <f>VLOOKUP(A:A,[1]TDSheet!$A:$T,20,0)</f>
        <v>8.25</v>
      </c>
      <c r="U43" s="17">
        <f>VLOOKUP(A:A,[1]TDSheet!$A:$U,21,0)</f>
        <v>13.6</v>
      </c>
      <c r="V43" s="17">
        <f>VLOOKUP(A:A,[1]TDSheet!$A:$V,22,0)</f>
        <v>4.2</v>
      </c>
      <c r="W43" s="17">
        <v>0</v>
      </c>
      <c r="X43" s="17">
        <f>VLOOKUP(A:A,[1]TDSheet!$A:$X,24,0)</f>
        <v>0</v>
      </c>
      <c r="Y43" s="17">
        <f>VLOOKUP(A:A,[1]TDSheet!$A:$Y,25,0)</f>
        <v>84</v>
      </c>
      <c r="Z43" s="17">
        <f>VLOOKUP(A:A,[1]TDSheet!$A:$Z,26,0)</f>
        <v>12</v>
      </c>
      <c r="AA43" s="17">
        <f>VLOOKUP(A:A,[1]TDSheet!$A:$AA,27,0)</f>
        <v>8</v>
      </c>
      <c r="AB43" s="21">
        <f t="shared" si="18"/>
        <v>0</v>
      </c>
      <c r="AC43" s="17">
        <f t="shared" si="15"/>
        <v>0</v>
      </c>
      <c r="AD43" s="17" t="str">
        <f>VLOOKUP(A:A,[1]TDSheet!$A:$AD,30,0)</f>
        <v>увел</v>
      </c>
      <c r="AE43" s="20">
        <v>0</v>
      </c>
      <c r="AF43" s="22">
        <f>VLOOKUP(A:A,[1]TDSheet!$A:$AF,32,0)</f>
        <v>0</v>
      </c>
      <c r="AG43" s="17">
        <v>0</v>
      </c>
      <c r="AH43" s="17"/>
      <c r="AI43" s="17"/>
      <c r="AJ43" s="17"/>
    </row>
    <row r="44" spans="1:36" s="1" customFormat="1" ht="11.1" customHeight="1" outlineLevel="1" x14ac:dyDescent="0.2">
      <c r="A44" s="7" t="s">
        <v>42</v>
      </c>
      <c r="B44" s="7" t="s">
        <v>9</v>
      </c>
      <c r="C44" s="8">
        <v>450</v>
      </c>
      <c r="D44" s="8">
        <v>513</v>
      </c>
      <c r="E44" s="8">
        <v>419</v>
      </c>
      <c r="F44" s="8">
        <v>524</v>
      </c>
      <c r="G44" s="1">
        <f>VLOOKUP(A:A,[1]TDSheet!$A:$G,7,0)</f>
        <v>0</v>
      </c>
      <c r="H44" s="1" t="e">
        <f>VLOOKUP(A:A,[1]TDSheet!$A:$H,8,0)</f>
        <v>#N/A</v>
      </c>
      <c r="I44" s="17">
        <f>VLOOKUP(A:A,[2]TDSheet!$A:$F,6,0)</f>
        <v>441</v>
      </c>
      <c r="J44" s="17">
        <f t="shared" si="11"/>
        <v>-22</v>
      </c>
      <c r="K44" s="17">
        <f>VLOOKUP(A:A,[1]TDSheet!$A:$P,16,0)</f>
        <v>180</v>
      </c>
      <c r="L44" s="17"/>
      <c r="M44" s="17"/>
      <c r="N44" s="17"/>
      <c r="O44" s="17">
        <f t="shared" si="12"/>
        <v>83.8</v>
      </c>
      <c r="P44" s="18">
        <v>180</v>
      </c>
      <c r="Q44" s="19">
        <f t="shared" si="13"/>
        <v>10.548926014319809</v>
      </c>
      <c r="R44" s="17">
        <f t="shared" si="14"/>
        <v>6.2529832935560865</v>
      </c>
      <c r="S44" s="17">
        <f>VLOOKUP(A:A,[1]TDSheet!$A:$S,15,0)</f>
        <v>97.6</v>
      </c>
      <c r="T44" s="17">
        <f>VLOOKUP(A:A,[1]TDSheet!$A:$T,20,0)</f>
        <v>104.5</v>
      </c>
      <c r="U44" s="17">
        <f>VLOOKUP(A:A,[1]TDSheet!$A:$U,21,0)</f>
        <v>111.2</v>
      </c>
      <c r="V44" s="17">
        <f>VLOOKUP(A:A,[1]TDSheet!$A:$V,22,0)</f>
        <v>97.8</v>
      </c>
      <c r="W44" s="17">
        <f>VLOOKUP(A:A,[3]TDSheet!$A:$D,4,0)</f>
        <v>80</v>
      </c>
      <c r="X44" s="17">
        <f>VLOOKUP(A:A,[1]TDSheet!$A:$X,24,0)</f>
        <v>0</v>
      </c>
      <c r="Y44" s="17">
        <f>VLOOKUP(A:A,[1]TDSheet!$A:$Y,25,0)</f>
        <v>84</v>
      </c>
      <c r="Z44" s="17">
        <f>VLOOKUP(A:A,[1]TDSheet!$A:$Z,26,0)</f>
        <v>12</v>
      </c>
      <c r="AA44" s="17">
        <f>VLOOKUP(A:A,[1]TDSheet!$A:$AA,27,0)</f>
        <v>5</v>
      </c>
      <c r="AB44" s="21">
        <f t="shared" si="18"/>
        <v>36</v>
      </c>
      <c r="AC44" s="17">
        <f t="shared" si="15"/>
        <v>180</v>
      </c>
      <c r="AD44" s="17">
        <f>VLOOKUP(A:A,[1]TDSheet!$A:$AD,30,0)</f>
        <v>0</v>
      </c>
      <c r="AE44" s="20">
        <f>AC44/5</f>
        <v>36</v>
      </c>
      <c r="AF44" s="22">
        <f>VLOOKUP(A:A,[1]TDSheet!$A:$AF,32,0)</f>
        <v>1</v>
      </c>
      <c r="AG44" s="17">
        <f t="shared" si="19"/>
        <v>180</v>
      </c>
      <c r="AH44" s="17"/>
      <c r="AI44" s="17"/>
      <c r="AJ44" s="17"/>
    </row>
    <row r="45" spans="1:36" s="1" customFormat="1" ht="21.95" customHeight="1" outlineLevel="1" x14ac:dyDescent="0.2">
      <c r="A45" s="7" t="s">
        <v>43</v>
      </c>
      <c r="B45" s="7" t="s">
        <v>9</v>
      </c>
      <c r="C45" s="8">
        <v>559</v>
      </c>
      <c r="D45" s="8">
        <v>1012</v>
      </c>
      <c r="E45" s="8">
        <v>711</v>
      </c>
      <c r="F45" s="8">
        <v>824</v>
      </c>
      <c r="G45" s="1" t="str">
        <f>VLOOKUP(A:A,[1]TDSheet!$A:$G,7,0)</f>
        <v>ак</v>
      </c>
      <c r="H45" s="1">
        <f>VLOOKUP(A:A,[1]TDSheet!$A:$H,8,0)</f>
        <v>180</v>
      </c>
      <c r="I45" s="17">
        <f>VLOOKUP(A:A,[2]TDSheet!$A:$F,6,0)</f>
        <v>739</v>
      </c>
      <c r="J45" s="17">
        <f t="shared" si="11"/>
        <v>-28</v>
      </c>
      <c r="K45" s="17">
        <f>VLOOKUP(A:A,[1]TDSheet!$A:$P,16,0)</f>
        <v>280</v>
      </c>
      <c r="L45" s="17"/>
      <c r="M45" s="17"/>
      <c r="N45" s="17"/>
      <c r="O45" s="17">
        <f t="shared" si="12"/>
        <v>142.19999999999999</v>
      </c>
      <c r="P45" s="18">
        <v>360</v>
      </c>
      <c r="Q45" s="19">
        <f t="shared" si="13"/>
        <v>10.29535864978903</v>
      </c>
      <c r="R45" s="17">
        <f t="shared" si="14"/>
        <v>5.79465541490858</v>
      </c>
      <c r="S45" s="17">
        <f>VLOOKUP(A:A,[1]TDSheet!$A:$S,15,0)</f>
        <v>151.19999999999999</v>
      </c>
      <c r="T45" s="17">
        <f>VLOOKUP(A:A,[1]TDSheet!$A:$T,20,0)</f>
        <v>135.5</v>
      </c>
      <c r="U45" s="17">
        <f>VLOOKUP(A:A,[1]TDSheet!$A:$U,21,0)</f>
        <v>153.4</v>
      </c>
      <c r="V45" s="17">
        <f>VLOOKUP(A:A,[1]TDSheet!$A:$V,22,0)</f>
        <v>163.6</v>
      </c>
      <c r="W45" s="17">
        <f>VLOOKUP(A:A,[3]TDSheet!$A:$D,4,0)</f>
        <v>132</v>
      </c>
      <c r="X45" s="17">
        <f>VLOOKUP(A:A,[1]TDSheet!$A:$X,24,0)</f>
        <v>0</v>
      </c>
      <c r="Y45" s="17">
        <f>VLOOKUP(A:A,[1]TDSheet!$A:$Y,25,0)</f>
        <v>84</v>
      </c>
      <c r="Z45" s="17">
        <f>VLOOKUP(A:A,[1]TDSheet!$A:$Z,26,0)</f>
        <v>12</v>
      </c>
      <c r="AA45" s="17">
        <f>VLOOKUP(A:A,[1]TDSheet!$A:$AA,27,0)</f>
        <v>8</v>
      </c>
      <c r="AB45" s="21">
        <f t="shared" si="18"/>
        <v>48</v>
      </c>
      <c r="AC45" s="17">
        <f t="shared" si="15"/>
        <v>360</v>
      </c>
      <c r="AD45" s="17" t="str">
        <f>VLOOKUP(A:A,[1]TDSheet!$A:$AD,30,0)</f>
        <v>жц, 800</v>
      </c>
      <c r="AE45" s="20">
        <f>AC45/8</f>
        <v>45</v>
      </c>
      <c r="AF45" s="22">
        <f>VLOOKUP(A:A,[1]TDSheet!$A:$AF,32,0)</f>
        <v>0.9</v>
      </c>
      <c r="AG45" s="17">
        <f t="shared" si="19"/>
        <v>345.6</v>
      </c>
      <c r="AH45" s="17"/>
      <c r="AI45" s="17"/>
      <c r="AJ45" s="17"/>
    </row>
    <row r="46" spans="1:36" s="1" customFormat="1" ht="11.1" customHeight="1" outlineLevel="1" x14ac:dyDescent="0.2">
      <c r="A46" s="7" t="s">
        <v>44</v>
      </c>
      <c r="B46" s="7" t="s">
        <v>8</v>
      </c>
      <c r="C46" s="8">
        <v>270</v>
      </c>
      <c r="D46" s="8">
        <v>820</v>
      </c>
      <c r="E46" s="8">
        <v>560</v>
      </c>
      <c r="F46" s="8">
        <v>495</v>
      </c>
      <c r="G46" s="1">
        <f>VLOOKUP(A:A,[1]TDSheet!$A:$G,7,0)</f>
        <v>1</v>
      </c>
      <c r="H46" s="1">
        <f>VLOOKUP(A:A,[1]TDSheet!$A:$H,8,0)</f>
        <v>90</v>
      </c>
      <c r="I46" s="17">
        <f>VLOOKUP(A:A,[2]TDSheet!$A:$F,6,0)</f>
        <v>605</v>
      </c>
      <c r="J46" s="17">
        <f t="shared" si="11"/>
        <v>-45</v>
      </c>
      <c r="K46" s="17">
        <f>VLOOKUP(A:A,[1]TDSheet!$A:$P,16,0)</f>
        <v>240</v>
      </c>
      <c r="L46" s="17"/>
      <c r="M46" s="17"/>
      <c r="N46" s="17"/>
      <c r="O46" s="17">
        <f t="shared" si="12"/>
        <v>112</v>
      </c>
      <c r="P46" s="18">
        <v>400</v>
      </c>
      <c r="Q46" s="19">
        <f t="shared" si="13"/>
        <v>10.133928571428571</v>
      </c>
      <c r="R46" s="17">
        <f t="shared" si="14"/>
        <v>4.4196428571428568</v>
      </c>
      <c r="S46" s="17">
        <f>VLOOKUP(A:A,[1]TDSheet!$A:$S,15,0)</f>
        <v>109</v>
      </c>
      <c r="T46" s="17">
        <f>VLOOKUP(A:A,[1]TDSheet!$A:$T,20,0)</f>
        <v>96.25</v>
      </c>
      <c r="U46" s="17">
        <f>VLOOKUP(A:A,[1]TDSheet!$A:$U,21,0)</f>
        <v>85</v>
      </c>
      <c r="V46" s="17">
        <f>VLOOKUP(A:A,[1]TDSheet!$A:$V,22,0)</f>
        <v>110</v>
      </c>
      <c r="W46" s="17">
        <f>VLOOKUP(A:A,[3]TDSheet!$A:$D,4,0)</f>
        <v>150</v>
      </c>
      <c r="X46" s="17">
        <f>VLOOKUP(A:A,[1]TDSheet!$A:$X,24,0)</f>
        <v>0</v>
      </c>
      <c r="Y46" s="17">
        <f>VLOOKUP(A:A,[1]TDSheet!$A:$Y,25,0)</f>
        <v>144</v>
      </c>
      <c r="Z46" s="17">
        <f>VLOOKUP(A:A,[1]TDSheet!$A:$Z,26,0)</f>
        <v>12</v>
      </c>
      <c r="AA46" s="17">
        <f>VLOOKUP(A:A,[1]TDSheet!$A:$AA,27,0)</f>
        <v>5</v>
      </c>
      <c r="AB46" s="21">
        <f t="shared" si="18"/>
        <v>84</v>
      </c>
      <c r="AC46" s="17">
        <f t="shared" si="15"/>
        <v>400</v>
      </c>
      <c r="AD46" s="17">
        <f>VLOOKUP(A:A,[1]TDSheet!$A:$AD,30,0)</f>
        <v>0</v>
      </c>
      <c r="AE46" s="20">
        <f>AC46/5</f>
        <v>80</v>
      </c>
      <c r="AF46" s="22">
        <f>VLOOKUP(A:A,[1]TDSheet!$A:$AF,32,0)</f>
        <v>1</v>
      </c>
      <c r="AG46" s="17">
        <f t="shared" si="19"/>
        <v>420</v>
      </c>
      <c r="AH46" s="17"/>
      <c r="AI46" s="17"/>
      <c r="AJ46" s="17"/>
    </row>
    <row r="47" spans="1:36" s="1" customFormat="1" ht="11.1" customHeight="1" outlineLevel="1" x14ac:dyDescent="0.2">
      <c r="A47" s="7" t="s">
        <v>45</v>
      </c>
      <c r="B47" s="7" t="s">
        <v>9</v>
      </c>
      <c r="C47" s="8">
        <v>699</v>
      </c>
      <c r="D47" s="8">
        <v>689</v>
      </c>
      <c r="E47" s="8">
        <v>630</v>
      </c>
      <c r="F47" s="8">
        <v>729</v>
      </c>
      <c r="G47" s="1">
        <f>VLOOKUP(A:A,[1]TDSheet!$A:$G,7,0)</f>
        <v>1</v>
      </c>
      <c r="H47" s="1">
        <f>VLOOKUP(A:A,[1]TDSheet!$A:$H,8,0)</f>
        <v>120</v>
      </c>
      <c r="I47" s="17">
        <f>VLOOKUP(A:A,[2]TDSheet!$A:$F,6,0)</f>
        <v>654</v>
      </c>
      <c r="J47" s="17">
        <f t="shared" si="11"/>
        <v>-24</v>
      </c>
      <c r="K47" s="17">
        <f>VLOOKUP(A:A,[1]TDSheet!$A:$P,16,0)</f>
        <v>180</v>
      </c>
      <c r="L47" s="17"/>
      <c r="M47" s="17"/>
      <c r="N47" s="17"/>
      <c r="O47" s="17">
        <f t="shared" si="12"/>
        <v>126</v>
      </c>
      <c r="P47" s="18">
        <v>360</v>
      </c>
      <c r="Q47" s="19">
        <f t="shared" si="13"/>
        <v>10.071428571428571</v>
      </c>
      <c r="R47" s="17">
        <f t="shared" si="14"/>
        <v>5.7857142857142856</v>
      </c>
      <c r="S47" s="17">
        <f>VLOOKUP(A:A,[1]TDSheet!$A:$S,15,0)</f>
        <v>130.4</v>
      </c>
      <c r="T47" s="17">
        <f>VLOOKUP(A:A,[1]TDSheet!$A:$T,20,0)</f>
        <v>128.5</v>
      </c>
      <c r="U47" s="17">
        <f>VLOOKUP(A:A,[1]TDSheet!$A:$U,21,0)</f>
        <v>160.19999999999999</v>
      </c>
      <c r="V47" s="17">
        <f>VLOOKUP(A:A,[1]TDSheet!$A:$V,22,0)</f>
        <v>138.19999999999999</v>
      </c>
      <c r="W47" s="17">
        <f>VLOOKUP(A:A,[3]TDSheet!$A:$D,4,0)</f>
        <v>118</v>
      </c>
      <c r="X47" s="17">
        <f>VLOOKUP(A:A,[1]TDSheet!$A:$X,24,0)</f>
        <v>0</v>
      </c>
      <c r="Y47" s="17">
        <f>VLOOKUP(A:A,[1]TDSheet!$A:$Y,25,0)</f>
        <v>84</v>
      </c>
      <c r="Z47" s="17">
        <f>VLOOKUP(A:A,[1]TDSheet!$A:$Z,26,0)</f>
        <v>12</v>
      </c>
      <c r="AA47" s="17">
        <f>VLOOKUP(A:A,[1]TDSheet!$A:$AA,27,0)</f>
        <v>5</v>
      </c>
      <c r="AB47" s="21">
        <f t="shared" si="18"/>
        <v>72</v>
      </c>
      <c r="AC47" s="17">
        <f t="shared" si="15"/>
        <v>360</v>
      </c>
      <c r="AD47" s="17" t="str">
        <f>VLOOKUP(A:A,[1]TDSheet!$A:$AD,30,0)</f>
        <v>оконч</v>
      </c>
      <c r="AE47" s="20">
        <f>AC47/5</f>
        <v>72</v>
      </c>
      <c r="AF47" s="22">
        <f>VLOOKUP(A:A,[1]TDSheet!$A:$AF,32,0)</f>
        <v>1</v>
      </c>
      <c r="AG47" s="17">
        <f t="shared" si="19"/>
        <v>360</v>
      </c>
      <c r="AH47" s="17"/>
      <c r="AI47" s="17"/>
      <c r="AJ47" s="17"/>
    </row>
    <row r="48" spans="1:36" s="1" customFormat="1" ht="11.1" customHeight="1" outlineLevel="1" x14ac:dyDescent="0.2">
      <c r="A48" s="7" t="s">
        <v>46</v>
      </c>
      <c r="B48" s="7" t="s">
        <v>9</v>
      </c>
      <c r="C48" s="8">
        <v>269</v>
      </c>
      <c r="D48" s="8">
        <v>210</v>
      </c>
      <c r="E48" s="8">
        <v>213</v>
      </c>
      <c r="F48" s="8">
        <v>250</v>
      </c>
      <c r="G48" s="1">
        <f>VLOOKUP(A:A,[1]TDSheet!$A:$G,7,0)</f>
        <v>1</v>
      </c>
      <c r="H48" s="1" t="e">
        <f>VLOOKUP(A:A,[1]TDSheet!$A:$H,8,0)</f>
        <v>#N/A</v>
      </c>
      <c r="I48" s="17">
        <f>VLOOKUP(A:A,[2]TDSheet!$A:$F,6,0)</f>
        <v>232</v>
      </c>
      <c r="J48" s="17">
        <f t="shared" si="11"/>
        <v>-19</v>
      </c>
      <c r="K48" s="17">
        <f>VLOOKUP(A:A,[1]TDSheet!$A:$P,16,0)</f>
        <v>80</v>
      </c>
      <c r="L48" s="17"/>
      <c r="M48" s="17"/>
      <c r="N48" s="17"/>
      <c r="O48" s="17">
        <f t="shared" si="12"/>
        <v>42.6</v>
      </c>
      <c r="P48" s="18">
        <v>100</v>
      </c>
      <c r="Q48" s="19">
        <f t="shared" si="13"/>
        <v>10.093896713615024</v>
      </c>
      <c r="R48" s="17">
        <f t="shared" si="14"/>
        <v>5.868544600938967</v>
      </c>
      <c r="S48" s="17">
        <f>VLOOKUP(A:A,[1]TDSheet!$A:$S,15,0)</f>
        <v>47.2</v>
      </c>
      <c r="T48" s="17">
        <f>VLOOKUP(A:A,[1]TDSheet!$A:$T,20,0)</f>
        <v>16.5</v>
      </c>
      <c r="U48" s="17">
        <f>VLOOKUP(A:A,[1]TDSheet!$A:$U,21,0)</f>
        <v>38.200000000000003</v>
      </c>
      <c r="V48" s="17">
        <f>VLOOKUP(A:A,[1]TDSheet!$A:$V,22,0)</f>
        <v>32.6</v>
      </c>
      <c r="W48" s="17">
        <f>VLOOKUP(A:A,[3]TDSheet!$A:$D,4,0)</f>
        <v>40</v>
      </c>
      <c r="X48" s="17">
        <f>VLOOKUP(A:A,[1]TDSheet!$A:$X,24,0)</f>
        <v>0</v>
      </c>
      <c r="Y48" s="17">
        <f>VLOOKUP(A:A,[1]TDSheet!$A:$Y,25,0)</f>
        <v>84</v>
      </c>
      <c r="Z48" s="17">
        <f>VLOOKUP(A:A,[1]TDSheet!$A:$Z,26,0)</f>
        <v>12</v>
      </c>
      <c r="AA48" s="17">
        <f>VLOOKUP(A:A,[1]TDSheet!$A:$AA,27,0)</f>
        <v>8</v>
      </c>
      <c r="AB48" s="21">
        <f t="shared" si="18"/>
        <v>12</v>
      </c>
      <c r="AC48" s="17">
        <f t="shared" si="15"/>
        <v>100</v>
      </c>
      <c r="AD48" s="17" t="str">
        <f>VLOOKUP(A:A,[1]TDSheet!$A:$AD,30,0)</f>
        <v>увел</v>
      </c>
      <c r="AE48" s="20">
        <f>AC48/8</f>
        <v>12.5</v>
      </c>
      <c r="AF48" s="22">
        <f>VLOOKUP(A:A,[1]TDSheet!$A:$AF,32,0)</f>
        <v>0.8</v>
      </c>
      <c r="AG48" s="17">
        <f t="shared" si="19"/>
        <v>76.800000000000011</v>
      </c>
      <c r="AH48" s="17"/>
      <c r="AI48" s="17"/>
      <c r="AJ48" s="17"/>
    </row>
    <row r="49" spans="1:36" s="1" customFormat="1" ht="11.1" customHeight="1" outlineLevel="1" x14ac:dyDescent="0.2">
      <c r="A49" s="7" t="s">
        <v>47</v>
      </c>
      <c r="B49" s="7" t="s">
        <v>8</v>
      </c>
      <c r="C49" s="8">
        <v>77.983999999999995</v>
      </c>
      <c r="D49" s="8">
        <v>210.9</v>
      </c>
      <c r="E49" s="8">
        <v>92.5</v>
      </c>
      <c r="F49" s="8">
        <v>196.38399999999999</v>
      </c>
      <c r="G49" s="1">
        <f>VLOOKUP(A:A,[1]TDSheet!$A:$G,7,0)</f>
        <v>0</v>
      </c>
      <c r="H49" s="1" t="e">
        <f>VLOOKUP(A:A,[1]TDSheet!$A:$H,8,0)</f>
        <v>#N/A</v>
      </c>
      <c r="I49" s="17">
        <f>VLOOKUP(A:A,[2]TDSheet!$A:$F,6,0)</f>
        <v>92.5</v>
      </c>
      <c r="J49" s="17">
        <f t="shared" si="11"/>
        <v>0</v>
      </c>
      <c r="K49" s="17">
        <f>VLOOKUP(A:A,[1]TDSheet!$A:$P,16,0)</f>
        <v>0</v>
      </c>
      <c r="L49" s="17"/>
      <c r="M49" s="17"/>
      <c r="N49" s="17"/>
      <c r="O49" s="17">
        <f t="shared" si="12"/>
        <v>18.5</v>
      </c>
      <c r="P49" s="18"/>
      <c r="Q49" s="19">
        <f t="shared" si="13"/>
        <v>10.61535135135135</v>
      </c>
      <c r="R49" s="17">
        <f t="shared" si="14"/>
        <v>10.61535135135135</v>
      </c>
      <c r="S49" s="17">
        <f>VLOOKUP(A:A,[1]TDSheet!$A:$S,15,0)</f>
        <v>17.759999999999998</v>
      </c>
      <c r="T49" s="17">
        <f>VLOOKUP(A:A,[1]TDSheet!$A:$T,20,0)</f>
        <v>12.95</v>
      </c>
      <c r="U49" s="17">
        <f>VLOOKUP(A:A,[1]TDSheet!$A:$U,21,0)</f>
        <v>24.36</v>
      </c>
      <c r="V49" s="17">
        <f>VLOOKUP(A:A,[1]TDSheet!$A:$V,22,0)</f>
        <v>24.420200000000001</v>
      </c>
      <c r="W49" s="17">
        <f>VLOOKUP(A:A,[3]TDSheet!$A:$D,4,0)</f>
        <v>18.5</v>
      </c>
      <c r="X49" s="17">
        <f>VLOOKUP(A:A,[1]TDSheet!$A:$X,24,0)</f>
        <v>0</v>
      </c>
      <c r="Y49" s="17">
        <f>VLOOKUP(A:A,[1]TDSheet!$A:$Y,25,0)</f>
        <v>126</v>
      </c>
      <c r="Z49" s="17">
        <f>VLOOKUP(A:A,[1]TDSheet!$A:$Z,26,0)</f>
        <v>14</v>
      </c>
      <c r="AA49" s="17">
        <f>VLOOKUP(A:A,[1]TDSheet!$A:$AA,27,0)</f>
        <v>3.7</v>
      </c>
      <c r="AB49" s="21">
        <f t="shared" si="18"/>
        <v>0</v>
      </c>
      <c r="AC49" s="17">
        <f t="shared" si="15"/>
        <v>0</v>
      </c>
      <c r="AD49" s="17" t="str">
        <f>VLOOKUP(A:A,[1]TDSheet!$A:$AD,30,0)</f>
        <v>увел</v>
      </c>
      <c r="AE49" s="20">
        <f>AC49/3.7</f>
        <v>0</v>
      </c>
      <c r="AF49" s="22">
        <f>VLOOKUP(A:A,[1]TDSheet!$A:$AF,32,0)</f>
        <v>1</v>
      </c>
      <c r="AG49" s="17">
        <f t="shared" si="19"/>
        <v>0</v>
      </c>
      <c r="AH49" s="17"/>
      <c r="AI49" s="17"/>
      <c r="AJ49" s="17"/>
    </row>
    <row r="50" spans="1:36" s="1" customFormat="1" ht="11.1" customHeight="1" outlineLevel="1" x14ac:dyDescent="0.2">
      <c r="A50" s="7" t="s">
        <v>48</v>
      </c>
      <c r="B50" s="7" t="s">
        <v>8</v>
      </c>
      <c r="C50" s="8">
        <v>130.02799999999999</v>
      </c>
      <c r="D50" s="8">
        <v>96.32</v>
      </c>
      <c r="E50" s="8">
        <v>91.84</v>
      </c>
      <c r="F50" s="8">
        <v>132.268</v>
      </c>
      <c r="G50" s="1">
        <f>VLOOKUP(A:A,[1]TDSheet!$A:$G,7,0)</f>
        <v>0</v>
      </c>
      <c r="H50" s="1" t="e">
        <f>VLOOKUP(A:A,[1]TDSheet!$A:$H,8,0)</f>
        <v>#N/A</v>
      </c>
      <c r="I50" s="17">
        <f>VLOOKUP(A:A,[2]TDSheet!$A:$F,6,0)</f>
        <v>94.85</v>
      </c>
      <c r="J50" s="17">
        <f t="shared" si="11"/>
        <v>-3.0099999999999909</v>
      </c>
      <c r="K50" s="17">
        <f>VLOOKUP(A:A,[1]TDSheet!$A:$P,16,0)</f>
        <v>30</v>
      </c>
      <c r="L50" s="17"/>
      <c r="M50" s="17"/>
      <c r="N50" s="17"/>
      <c r="O50" s="17">
        <f t="shared" si="12"/>
        <v>18.368000000000002</v>
      </c>
      <c r="P50" s="18">
        <v>30</v>
      </c>
      <c r="Q50" s="19">
        <f t="shared" si="13"/>
        <v>10.467552264808361</v>
      </c>
      <c r="R50" s="17">
        <f t="shared" si="14"/>
        <v>7.2010017421602779</v>
      </c>
      <c r="S50" s="17">
        <f>VLOOKUP(A:A,[1]TDSheet!$A:$S,15,0)</f>
        <v>21.056000000000001</v>
      </c>
      <c r="T50" s="17">
        <f>VLOOKUP(A:A,[1]TDSheet!$A:$T,20,0)</f>
        <v>28.56</v>
      </c>
      <c r="U50" s="17">
        <f>VLOOKUP(A:A,[1]TDSheet!$A:$U,21,0)</f>
        <v>25.066399999999998</v>
      </c>
      <c r="V50" s="17">
        <f>VLOOKUP(A:A,[1]TDSheet!$A:$V,22,0)</f>
        <v>22.4</v>
      </c>
      <c r="W50" s="17">
        <f>VLOOKUP(A:A,[3]TDSheet!$A:$D,4,0)</f>
        <v>24.64</v>
      </c>
      <c r="X50" s="17">
        <f>VLOOKUP(A:A,[1]TDSheet!$A:$X,24,0)</f>
        <v>0</v>
      </c>
      <c r="Y50" s="17">
        <f>VLOOKUP(A:A,[1]TDSheet!$A:$Y,25,0)</f>
        <v>126</v>
      </c>
      <c r="Z50" s="17">
        <f>VLOOKUP(A:A,[1]TDSheet!$A:$Z,26,0)</f>
        <v>14</v>
      </c>
      <c r="AA50" s="17">
        <f>VLOOKUP(A:A,[1]TDSheet!$A:$AA,27,0)</f>
        <v>2.2400000000000002</v>
      </c>
      <c r="AB50" s="21">
        <f t="shared" si="18"/>
        <v>14</v>
      </c>
      <c r="AC50" s="17">
        <f t="shared" si="15"/>
        <v>30</v>
      </c>
      <c r="AD50" s="17" t="e">
        <f>VLOOKUP(A:A,[1]TDSheet!$A:$AD,30,0)</f>
        <v>#N/A</v>
      </c>
      <c r="AE50" s="20">
        <f>AC50/2.24</f>
        <v>13.392857142857142</v>
      </c>
      <c r="AF50" s="22">
        <f>VLOOKUP(A:A,[1]TDSheet!$A:$AF,32,0)</f>
        <v>1</v>
      </c>
      <c r="AG50" s="17">
        <f t="shared" si="19"/>
        <v>31.360000000000003</v>
      </c>
      <c r="AH50" s="17"/>
      <c r="AI50" s="17"/>
      <c r="AJ50" s="17"/>
    </row>
    <row r="51" spans="1:36" s="1" customFormat="1" ht="11.1" customHeight="1" outlineLevel="1" x14ac:dyDescent="0.2">
      <c r="A51" s="7" t="s">
        <v>49</v>
      </c>
      <c r="B51" s="7" t="s">
        <v>9</v>
      </c>
      <c r="C51" s="8">
        <v>166</v>
      </c>
      <c r="D51" s="8">
        <v>844</v>
      </c>
      <c r="E51" s="8">
        <v>367</v>
      </c>
      <c r="F51" s="8">
        <v>643</v>
      </c>
      <c r="G51" s="1">
        <f>VLOOKUP(A:A,[1]TDSheet!$A:$G,7,0)</f>
        <v>0</v>
      </c>
      <c r="H51" s="1" t="e">
        <f>VLOOKUP(A:A,[1]TDSheet!$A:$H,8,0)</f>
        <v>#N/A</v>
      </c>
      <c r="I51" s="17">
        <f>VLOOKUP(A:A,[2]TDSheet!$A:$F,6,0)</f>
        <v>352</v>
      </c>
      <c r="J51" s="17">
        <f t="shared" si="11"/>
        <v>15</v>
      </c>
      <c r="K51" s="17">
        <f>VLOOKUP(A:A,[1]TDSheet!$A:$P,16,0)</f>
        <v>0</v>
      </c>
      <c r="L51" s="17"/>
      <c r="M51" s="17"/>
      <c r="N51" s="17"/>
      <c r="O51" s="17">
        <f t="shared" si="12"/>
        <v>73.400000000000006</v>
      </c>
      <c r="P51" s="18">
        <v>200</v>
      </c>
      <c r="Q51" s="19">
        <f t="shared" si="13"/>
        <v>11.485013623978201</v>
      </c>
      <c r="R51" s="17">
        <f t="shared" si="14"/>
        <v>8.7602179836512253</v>
      </c>
      <c r="S51" s="17">
        <f>VLOOKUP(A:A,[1]TDSheet!$A:$S,15,0)</f>
        <v>59.8</v>
      </c>
      <c r="T51" s="17">
        <f>VLOOKUP(A:A,[1]TDSheet!$A:$T,20,0)</f>
        <v>72.75</v>
      </c>
      <c r="U51" s="17">
        <f>VLOOKUP(A:A,[1]TDSheet!$A:$U,21,0)</f>
        <v>56.4</v>
      </c>
      <c r="V51" s="17">
        <f>VLOOKUP(A:A,[1]TDSheet!$A:$V,22,0)</f>
        <v>68.599999999999994</v>
      </c>
      <c r="W51" s="17">
        <f>VLOOKUP(A:A,[3]TDSheet!$A:$D,4,0)</f>
        <v>114</v>
      </c>
      <c r="X51" s="17">
        <f>VLOOKUP(A:A,[1]TDSheet!$A:$X,24,0)</f>
        <v>0</v>
      </c>
      <c r="Y51" s="17">
        <f>VLOOKUP(A:A,[1]TDSheet!$A:$Y,25,0)</f>
        <v>126</v>
      </c>
      <c r="Z51" s="17">
        <f>VLOOKUP(A:A,[1]TDSheet!$A:$Z,26,0)</f>
        <v>14</v>
      </c>
      <c r="AA51" s="17">
        <f>VLOOKUP(A:A,[1]TDSheet!$A:$AA,27,0)</f>
        <v>30</v>
      </c>
      <c r="AB51" s="21">
        <f t="shared" si="18"/>
        <v>0</v>
      </c>
      <c r="AC51" s="17">
        <f t="shared" si="15"/>
        <v>200</v>
      </c>
      <c r="AD51" s="17" t="str">
        <f>VLOOKUP(A:A,[1]TDSheet!$A:$AD,30,0)</f>
        <v>яблоко</v>
      </c>
      <c r="AE51" s="20">
        <f>AC51/30</f>
        <v>6.666666666666667</v>
      </c>
      <c r="AF51" s="22">
        <f>VLOOKUP(A:A,[1]TDSheet!$A:$AF,32,0)</f>
        <v>0.09</v>
      </c>
      <c r="AG51" s="17">
        <f t="shared" si="19"/>
        <v>0</v>
      </c>
      <c r="AH51" s="17"/>
      <c r="AI51" s="17"/>
      <c r="AJ51" s="17"/>
    </row>
    <row r="52" spans="1:36" s="1" customFormat="1" ht="11.1" customHeight="1" outlineLevel="1" x14ac:dyDescent="0.2">
      <c r="A52" s="7" t="s">
        <v>50</v>
      </c>
      <c r="B52" s="7" t="s">
        <v>9</v>
      </c>
      <c r="C52" s="8">
        <v>553</v>
      </c>
      <c r="D52" s="8">
        <v>695</v>
      </c>
      <c r="E52" s="8">
        <v>548</v>
      </c>
      <c r="F52" s="8">
        <v>680</v>
      </c>
      <c r="G52" s="1">
        <f>VLOOKUP(A:A,[1]TDSheet!$A:$G,7,0)</f>
        <v>0</v>
      </c>
      <c r="H52" s="1" t="e">
        <f>VLOOKUP(A:A,[1]TDSheet!$A:$H,8,0)</f>
        <v>#N/A</v>
      </c>
      <c r="I52" s="17">
        <f>VLOOKUP(A:A,[2]TDSheet!$A:$F,6,0)</f>
        <v>582</v>
      </c>
      <c r="J52" s="17">
        <f t="shared" si="11"/>
        <v>-34</v>
      </c>
      <c r="K52" s="17">
        <f>VLOOKUP(A:A,[1]TDSheet!$A:$P,16,0)</f>
        <v>150</v>
      </c>
      <c r="L52" s="17"/>
      <c r="M52" s="17"/>
      <c r="N52" s="17"/>
      <c r="O52" s="17">
        <f t="shared" si="12"/>
        <v>109.6</v>
      </c>
      <c r="P52" s="18">
        <v>300</v>
      </c>
      <c r="Q52" s="19">
        <f t="shared" si="13"/>
        <v>10.31021897810219</v>
      </c>
      <c r="R52" s="17">
        <f t="shared" si="14"/>
        <v>6.2043795620437958</v>
      </c>
      <c r="S52" s="17">
        <f>VLOOKUP(A:A,[1]TDSheet!$A:$S,15,0)</f>
        <v>116.8</v>
      </c>
      <c r="T52" s="17">
        <f>VLOOKUP(A:A,[1]TDSheet!$A:$T,20,0)</f>
        <v>143.25</v>
      </c>
      <c r="U52" s="17">
        <f>VLOOKUP(A:A,[1]TDSheet!$A:$U,21,0)</f>
        <v>132</v>
      </c>
      <c r="V52" s="17">
        <f>VLOOKUP(A:A,[1]TDSheet!$A:$V,22,0)</f>
        <v>118.2</v>
      </c>
      <c r="W52" s="17">
        <f>VLOOKUP(A:A,[3]TDSheet!$A:$D,4,0)</f>
        <v>128</v>
      </c>
      <c r="X52" s="17">
        <f>VLOOKUP(A:A,[1]TDSheet!$A:$X,24,0)</f>
        <v>0</v>
      </c>
      <c r="Y52" s="17">
        <f>VLOOKUP(A:A,[1]TDSheet!$A:$Y,25,0)</f>
        <v>70</v>
      </c>
      <c r="Z52" s="17">
        <f>VLOOKUP(A:A,[1]TDSheet!$A:$Z,26,0)</f>
        <v>14</v>
      </c>
      <c r="AA52" s="17">
        <f>VLOOKUP(A:A,[1]TDSheet!$A:$AA,27,0)</f>
        <v>12</v>
      </c>
      <c r="AB52" s="21">
        <f t="shared" si="18"/>
        <v>28</v>
      </c>
      <c r="AC52" s="17">
        <f t="shared" si="15"/>
        <v>300</v>
      </c>
      <c r="AD52" s="17" t="e">
        <f>VLOOKUP(A:A,[1]TDSheet!$A:$AD,30,0)</f>
        <v>#N/A</v>
      </c>
      <c r="AE52" s="20">
        <f>AC52/12</f>
        <v>25</v>
      </c>
      <c r="AF52" s="22">
        <f>VLOOKUP(A:A,[1]TDSheet!$A:$AF,32,0)</f>
        <v>0.25</v>
      </c>
      <c r="AG52" s="17">
        <f t="shared" si="19"/>
        <v>84</v>
      </c>
      <c r="AH52" s="17"/>
      <c r="AI52" s="17"/>
      <c r="AJ52" s="17"/>
    </row>
    <row r="53" spans="1:36" s="1" customFormat="1" ht="11.1" customHeight="1" outlineLevel="1" x14ac:dyDescent="0.2">
      <c r="A53" s="7" t="s">
        <v>51</v>
      </c>
      <c r="B53" s="7" t="s">
        <v>9</v>
      </c>
      <c r="C53" s="8">
        <v>1485</v>
      </c>
      <c r="D53" s="8">
        <v>4283</v>
      </c>
      <c r="E53" s="8">
        <v>3727</v>
      </c>
      <c r="F53" s="8">
        <v>1990</v>
      </c>
      <c r="G53" s="1" t="str">
        <f>VLOOKUP(A:A,[1]TDSheet!$A:$G,7,0)</f>
        <v>пуд,яб</v>
      </c>
      <c r="H53" s="1">
        <f>VLOOKUP(A:A,[1]TDSheet!$A:$H,8,0)</f>
        <v>180</v>
      </c>
      <c r="I53" s="17">
        <f>VLOOKUP(A:A,[2]TDSheet!$A:$F,6,0)</f>
        <v>3703</v>
      </c>
      <c r="J53" s="17">
        <f t="shared" si="11"/>
        <v>24</v>
      </c>
      <c r="K53" s="17">
        <f>VLOOKUP(A:A,[1]TDSheet!$A:$P,16,0)</f>
        <v>720</v>
      </c>
      <c r="L53" s="17"/>
      <c r="M53" s="17"/>
      <c r="N53" s="17"/>
      <c r="O53" s="17">
        <f t="shared" si="12"/>
        <v>375.8</v>
      </c>
      <c r="P53" s="18">
        <v>900</v>
      </c>
      <c r="Q53" s="19">
        <f t="shared" si="13"/>
        <v>9.6061734965407126</v>
      </c>
      <c r="R53" s="17">
        <f t="shared" si="14"/>
        <v>5.2953698775944646</v>
      </c>
      <c r="S53" s="17">
        <f>VLOOKUP(A:A,[1]TDSheet!$A:$S,15,0)</f>
        <v>392.2</v>
      </c>
      <c r="T53" s="17">
        <f>VLOOKUP(A:A,[1]TDSheet!$A:$T,20,0)</f>
        <v>426.5</v>
      </c>
      <c r="U53" s="17">
        <f>VLOOKUP(A:A,[1]TDSheet!$A:$U,21,0)</f>
        <v>410.2</v>
      </c>
      <c r="V53" s="17">
        <f>VLOOKUP(A:A,[1]TDSheet!$A:$V,22,0)</f>
        <v>410.4</v>
      </c>
      <c r="W53" s="17">
        <f>VLOOKUP(A:A,[3]TDSheet!$A:$D,4,0)</f>
        <v>276</v>
      </c>
      <c r="X53" s="17">
        <f>VLOOKUP(A:A,[1]TDSheet!$A:$X,24,0)</f>
        <v>1848</v>
      </c>
      <c r="Y53" s="17">
        <f>VLOOKUP(A:A,[1]TDSheet!$A:$Y,25,0)</f>
        <v>70</v>
      </c>
      <c r="Z53" s="17">
        <f>VLOOKUP(A:A,[1]TDSheet!$A:$Z,26,0)</f>
        <v>14</v>
      </c>
      <c r="AA53" s="17">
        <f>VLOOKUP(A:A,[1]TDSheet!$A:$AA,27,0)</f>
        <v>12</v>
      </c>
      <c r="AB53" s="21">
        <f t="shared" si="18"/>
        <v>70</v>
      </c>
      <c r="AC53" s="17">
        <f t="shared" si="15"/>
        <v>900</v>
      </c>
      <c r="AD53" s="17">
        <f>VLOOKUP(A:A,[1]TDSheet!$A:$AD,30,0)</f>
        <v>0</v>
      </c>
      <c r="AE53" s="20">
        <f>AC53/12</f>
        <v>75</v>
      </c>
      <c r="AF53" s="22">
        <f>VLOOKUP(A:A,[1]TDSheet!$A:$AF,32,0)</f>
        <v>0.25</v>
      </c>
      <c r="AG53" s="17">
        <f t="shared" si="19"/>
        <v>210</v>
      </c>
      <c r="AH53" s="17"/>
      <c r="AI53" s="17"/>
      <c r="AJ53" s="17"/>
    </row>
    <row r="54" spans="1:36" s="1" customFormat="1" ht="11.1" customHeight="1" outlineLevel="1" x14ac:dyDescent="0.2">
      <c r="A54" s="7" t="s">
        <v>52</v>
      </c>
      <c r="B54" s="7" t="s">
        <v>9</v>
      </c>
      <c r="C54" s="8">
        <v>343</v>
      </c>
      <c r="D54" s="8">
        <v>1362</v>
      </c>
      <c r="E54" s="8">
        <v>570</v>
      </c>
      <c r="F54" s="8">
        <v>1121</v>
      </c>
      <c r="G54" s="1">
        <f>VLOOKUP(A:A,[1]TDSheet!$A:$G,7,0)</f>
        <v>1</v>
      </c>
      <c r="H54" s="1">
        <f>VLOOKUP(A:A,[1]TDSheet!$A:$H,8,0)</f>
        <v>180</v>
      </c>
      <c r="I54" s="17">
        <f>VLOOKUP(A:A,[2]TDSheet!$A:$F,6,0)</f>
        <v>615</v>
      </c>
      <c r="J54" s="17">
        <f t="shared" si="11"/>
        <v>-45</v>
      </c>
      <c r="K54" s="17">
        <f>VLOOKUP(A:A,[1]TDSheet!$A:$P,16,0)</f>
        <v>0</v>
      </c>
      <c r="L54" s="17"/>
      <c r="M54" s="17"/>
      <c r="N54" s="17"/>
      <c r="O54" s="17">
        <f t="shared" si="12"/>
        <v>114</v>
      </c>
      <c r="P54" s="18"/>
      <c r="Q54" s="19">
        <f t="shared" si="13"/>
        <v>9.8333333333333339</v>
      </c>
      <c r="R54" s="17">
        <f t="shared" si="14"/>
        <v>9.8333333333333339</v>
      </c>
      <c r="S54" s="17">
        <f>VLOOKUP(A:A,[1]TDSheet!$A:$S,15,0)</f>
        <v>123</v>
      </c>
      <c r="T54" s="17">
        <f>VLOOKUP(A:A,[1]TDSheet!$A:$T,20,0)</f>
        <v>151</v>
      </c>
      <c r="U54" s="17">
        <f>VLOOKUP(A:A,[1]TDSheet!$A:$U,21,0)</f>
        <v>125</v>
      </c>
      <c r="V54" s="17">
        <f>VLOOKUP(A:A,[1]TDSheet!$A:$V,22,0)</f>
        <v>158.6</v>
      </c>
      <c r="W54" s="17">
        <f>VLOOKUP(A:A,[3]TDSheet!$A:$D,4,0)</f>
        <v>84</v>
      </c>
      <c r="X54" s="17">
        <f>VLOOKUP(A:A,[1]TDSheet!$A:$X,24,0)</f>
        <v>0</v>
      </c>
      <c r="Y54" s="17">
        <f>VLOOKUP(A:A,[1]TDSheet!$A:$Y,25,0)</f>
        <v>70</v>
      </c>
      <c r="Z54" s="17">
        <f>VLOOKUP(A:A,[1]TDSheet!$A:$Z,26,0)</f>
        <v>14</v>
      </c>
      <c r="AA54" s="17">
        <f>VLOOKUP(A:A,[1]TDSheet!$A:$AA,27,0)</f>
        <v>12</v>
      </c>
      <c r="AB54" s="21">
        <f t="shared" si="18"/>
        <v>0</v>
      </c>
      <c r="AC54" s="17">
        <f t="shared" si="15"/>
        <v>0</v>
      </c>
      <c r="AD54" s="17">
        <f>VLOOKUP(A:A,[1]TDSheet!$A:$AD,30,0)</f>
        <v>0</v>
      </c>
      <c r="AE54" s="20">
        <f>AC54/12</f>
        <v>0</v>
      </c>
      <c r="AF54" s="22">
        <f>VLOOKUP(A:A,[1]TDSheet!$A:$AF,32,0)</f>
        <v>0.3</v>
      </c>
      <c r="AG54" s="17">
        <f t="shared" si="19"/>
        <v>0</v>
      </c>
      <c r="AH54" s="17"/>
      <c r="AI54" s="17"/>
      <c r="AJ54" s="17"/>
    </row>
    <row r="55" spans="1:36" s="1" customFormat="1" ht="11.1" customHeight="1" outlineLevel="1" x14ac:dyDescent="0.2">
      <c r="A55" s="7" t="s">
        <v>53</v>
      </c>
      <c r="B55" s="7" t="s">
        <v>9</v>
      </c>
      <c r="C55" s="8">
        <v>519</v>
      </c>
      <c r="D55" s="8">
        <v>1034</v>
      </c>
      <c r="E55" s="8">
        <v>620</v>
      </c>
      <c r="F55" s="8">
        <v>914</v>
      </c>
      <c r="G55" s="1">
        <f>VLOOKUP(A:A,[1]TDSheet!$A:$G,7,0)</f>
        <v>1</v>
      </c>
      <c r="H55" s="1">
        <f>VLOOKUP(A:A,[1]TDSheet!$A:$H,8,0)</f>
        <v>180</v>
      </c>
      <c r="I55" s="17">
        <f>VLOOKUP(A:A,[2]TDSheet!$A:$F,6,0)</f>
        <v>628</v>
      </c>
      <c r="J55" s="17">
        <f t="shared" si="11"/>
        <v>-8</v>
      </c>
      <c r="K55" s="17">
        <f>VLOOKUP(A:A,[1]TDSheet!$A:$P,16,0)</f>
        <v>150</v>
      </c>
      <c r="L55" s="17"/>
      <c r="M55" s="17"/>
      <c r="N55" s="17"/>
      <c r="O55" s="17">
        <f t="shared" si="12"/>
        <v>124</v>
      </c>
      <c r="P55" s="18">
        <v>180</v>
      </c>
      <c r="Q55" s="19">
        <f t="shared" si="13"/>
        <v>10.03225806451613</v>
      </c>
      <c r="R55" s="17">
        <f t="shared" si="14"/>
        <v>7.370967741935484</v>
      </c>
      <c r="S55" s="17">
        <f>VLOOKUP(A:A,[1]TDSheet!$A:$S,15,0)</f>
        <v>132</v>
      </c>
      <c r="T55" s="17">
        <f>VLOOKUP(A:A,[1]TDSheet!$A:$T,20,0)</f>
        <v>146.75</v>
      </c>
      <c r="U55" s="17">
        <f>VLOOKUP(A:A,[1]TDSheet!$A:$U,21,0)</f>
        <v>137.4</v>
      </c>
      <c r="V55" s="17">
        <f>VLOOKUP(A:A,[1]TDSheet!$A:$V,22,0)</f>
        <v>143.80000000000001</v>
      </c>
      <c r="W55" s="17">
        <f>VLOOKUP(A:A,[3]TDSheet!$A:$D,4,0)</f>
        <v>108</v>
      </c>
      <c r="X55" s="17">
        <f>VLOOKUP(A:A,[1]TDSheet!$A:$X,24,0)</f>
        <v>0</v>
      </c>
      <c r="Y55" s="17">
        <f>VLOOKUP(A:A,[1]TDSheet!$A:$Y,25,0)</f>
        <v>70</v>
      </c>
      <c r="Z55" s="17">
        <f>VLOOKUP(A:A,[1]TDSheet!$A:$Z,26,0)</f>
        <v>14</v>
      </c>
      <c r="AA55" s="17">
        <f>VLOOKUP(A:A,[1]TDSheet!$A:$AA,27,0)</f>
        <v>12</v>
      </c>
      <c r="AB55" s="21">
        <f t="shared" si="18"/>
        <v>14</v>
      </c>
      <c r="AC55" s="17">
        <f t="shared" si="15"/>
        <v>180</v>
      </c>
      <c r="AD55" s="17">
        <f>VLOOKUP(A:A,[1]TDSheet!$A:$AD,30,0)</f>
        <v>0</v>
      </c>
      <c r="AE55" s="20">
        <f>AC55/12</f>
        <v>15</v>
      </c>
      <c r="AF55" s="22">
        <f>VLOOKUP(A:A,[1]TDSheet!$A:$AF,32,0)</f>
        <v>0.3</v>
      </c>
      <c r="AG55" s="17">
        <f t="shared" si="19"/>
        <v>50.4</v>
      </c>
      <c r="AH55" s="17"/>
      <c r="AI55" s="17"/>
      <c r="AJ55" s="17"/>
    </row>
    <row r="56" spans="1:36" s="1" customFormat="1" ht="11.1" customHeight="1" outlineLevel="1" x14ac:dyDescent="0.2">
      <c r="A56" s="24" t="s">
        <v>54</v>
      </c>
      <c r="B56" s="7" t="s">
        <v>9</v>
      </c>
      <c r="C56" s="8">
        <v>2388</v>
      </c>
      <c r="D56" s="8">
        <v>4</v>
      </c>
      <c r="E56" s="8">
        <v>303</v>
      </c>
      <c r="F56" s="8">
        <v>2089</v>
      </c>
      <c r="G56" s="1">
        <f>VLOOKUP(A:A,[1]TDSheet!$A:$G,7,0)</f>
        <v>1</v>
      </c>
      <c r="H56" s="1">
        <f>VLOOKUP(A:A,[1]TDSheet!$A:$H,8,0)</f>
        <v>180</v>
      </c>
      <c r="I56" s="17">
        <f>VLOOKUP(A:A,[2]TDSheet!$A:$F,6,0)</f>
        <v>302</v>
      </c>
      <c r="J56" s="17">
        <f t="shared" si="11"/>
        <v>1</v>
      </c>
      <c r="K56" s="17">
        <f>VLOOKUP(A:A,[1]TDSheet!$A:$P,16,0)</f>
        <v>0</v>
      </c>
      <c r="L56" s="17"/>
      <c r="M56" s="17"/>
      <c r="N56" s="17"/>
      <c r="O56" s="17">
        <f t="shared" si="12"/>
        <v>60.6</v>
      </c>
      <c r="P56" s="18"/>
      <c r="Q56" s="19">
        <f t="shared" si="13"/>
        <v>34.471947194719469</v>
      </c>
      <c r="R56" s="17">
        <f t="shared" si="14"/>
        <v>34.471947194719469</v>
      </c>
      <c r="S56" s="17">
        <f>VLOOKUP(A:A,[1]TDSheet!$A:$S,15,0)</f>
        <v>62</v>
      </c>
      <c r="T56" s="17">
        <f>VLOOKUP(A:A,[1]TDSheet!$A:$T,20,0)</f>
        <v>49</v>
      </c>
      <c r="U56" s="17">
        <f>VLOOKUP(A:A,[1]TDSheet!$A:$U,21,0)</f>
        <v>63.8</v>
      </c>
      <c r="V56" s="17">
        <f>VLOOKUP(A:A,[1]TDSheet!$A:$V,22,0)</f>
        <v>54.2</v>
      </c>
      <c r="W56" s="17">
        <f>VLOOKUP(A:A,[3]TDSheet!$A:$D,4,0)</f>
        <v>57</v>
      </c>
      <c r="X56" s="17">
        <f>VLOOKUP(A:A,[1]TDSheet!$A:$X,24,0)</f>
        <v>0</v>
      </c>
      <c r="Y56" s="17">
        <f>VLOOKUP(A:A,[1]TDSheet!$A:$Y,25,0)</f>
        <v>70</v>
      </c>
      <c r="Z56" s="17">
        <f>VLOOKUP(A:A,[1]TDSheet!$A:$Z,26,0)</f>
        <v>14</v>
      </c>
      <c r="AA56" s="17">
        <f>VLOOKUP(A:A,[1]TDSheet!$A:$AA,27,0)</f>
        <v>14</v>
      </c>
      <c r="AB56" s="21">
        <f t="shared" si="18"/>
        <v>0</v>
      </c>
      <c r="AC56" s="17">
        <f t="shared" si="15"/>
        <v>0</v>
      </c>
      <c r="AD56" s="17" t="str">
        <f>VLOOKUP(A:A,[1]TDSheet!$A:$AD,30,0)</f>
        <v>увел</v>
      </c>
      <c r="AE56" s="20">
        <f>AC56/14</f>
        <v>0</v>
      </c>
      <c r="AF56" s="22">
        <f>VLOOKUP(A:A,[1]TDSheet!$A:$AF,32,0)</f>
        <v>0.3</v>
      </c>
      <c r="AG56" s="17">
        <f t="shared" si="19"/>
        <v>0</v>
      </c>
      <c r="AH56" s="17"/>
      <c r="AI56" s="17"/>
      <c r="AJ56" s="17"/>
    </row>
    <row r="57" spans="1:36" s="1" customFormat="1" ht="11.1" customHeight="1" outlineLevel="1" x14ac:dyDescent="0.2">
      <c r="A57" s="7" t="s">
        <v>55</v>
      </c>
      <c r="B57" s="7" t="s">
        <v>9</v>
      </c>
      <c r="C57" s="8">
        <v>1748</v>
      </c>
      <c r="D57" s="8">
        <v>5053</v>
      </c>
      <c r="E57" s="8">
        <v>4130</v>
      </c>
      <c r="F57" s="8">
        <v>2201</v>
      </c>
      <c r="G57" s="1">
        <f>VLOOKUP(A:A,[1]TDSheet!$A:$G,7,0)</f>
        <v>1</v>
      </c>
      <c r="H57" s="1">
        <f>VLOOKUP(A:A,[1]TDSheet!$A:$H,8,0)</f>
        <v>180</v>
      </c>
      <c r="I57" s="17">
        <f>VLOOKUP(A:A,[2]TDSheet!$A:$F,6,0)</f>
        <v>4501</v>
      </c>
      <c r="J57" s="17">
        <f t="shared" si="11"/>
        <v>-371</v>
      </c>
      <c r="K57" s="17">
        <f>VLOOKUP(A:A,[1]TDSheet!$A:$P,16,0)</f>
        <v>1000</v>
      </c>
      <c r="L57" s="17"/>
      <c r="M57" s="17"/>
      <c r="N57" s="17"/>
      <c r="O57" s="17">
        <f t="shared" si="12"/>
        <v>410.8</v>
      </c>
      <c r="P57" s="18">
        <v>700</v>
      </c>
      <c r="Q57" s="19">
        <f t="shared" si="13"/>
        <v>9.4961051606621218</v>
      </c>
      <c r="R57" s="17">
        <f t="shared" si="14"/>
        <v>5.3578383641674776</v>
      </c>
      <c r="S57" s="17">
        <f>VLOOKUP(A:A,[1]TDSheet!$A:$S,15,0)</f>
        <v>422.2</v>
      </c>
      <c r="T57" s="17">
        <f>VLOOKUP(A:A,[1]TDSheet!$A:$T,20,0)</f>
        <v>492.75</v>
      </c>
      <c r="U57" s="17">
        <f>VLOOKUP(A:A,[1]TDSheet!$A:$U,21,0)</f>
        <v>458.8</v>
      </c>
      <c r="V57" s="17">
        <f>VLOOKUP(A:A,[1]TDSheet!$A:$V,22,0)</f>
        <v>417.2</v>
      </c>
      <c r="W57" s="17">
        <f>VLOOKUP(A:A,[3]TDSheet!$A:$D,4,0)</f>
        <v>499</v>
      </c>
      <c r="X57" s="17">
        <f>VLOOKUP(A:A,[1]TDSheet!$A:$X,24,0)</f>
        <v>2076</v>
      </c>
      <c r="Y57" s="17">
        <f>VLOOKUP(A:A,[1]TDSheet!$A:$Y,25,0)</f>
        <v>70</v>
      </c>
      <c r="Z57" s="17">
        <f>VLOOKUP(A:A,[1]TDSheet!$A:$Z,26,0)</f>
        <v>14</v>
      </c>
      <c r="AA57" s="17">
        <f>VLOOKUP(A:A,[1]TDSheet!$A:$AA,27,0)</f>
        <v>12</v>
      </c>
      <c r="AB57" s="21">
        <f t="shared" si="18"/>
        <v>56</v>
      </c>
      <c r="AC57" s="17">
        <f t="shared" si="15"/>
        <v>700</v>
      </c>
      <c r="AD57" s="17">
        <f>VLOOKUP(A:A,[1]TDSheet!$A:$AD,30,0)</f>
        <v>0</v>
      </c>
      <c r="AE57" s="20">
        <f>AC57/12</f>
        <v>58.333333333333336</v>
      </c>
      <c r="AF57" s="22">
        <f>VLOOKUP(A:A,[1]TDSheet!$A:$AF,32,0)</f>
        <v>0.25</v>
      </c>
      <c r="AG57" s="17">
        <f t="shared" si="19"/>
        <v>168</v>
      </c>
      <c r="AH57" s="17"/>
      <c r="AI57" s="17"/>
      <c r="AJ57" s="17"/>
    </row>
    <row r="58" spans="1:36" s="1" customFormat="1" ht="11.1" customHeight="1" outlineLevel="1" x14ac:dyDescent="0.2">
      <c r="A58" s="7" t="s">
        <v>56</v>
      </c>
      <c r="B58" s="7" t="s">
        <v>9</v>
      </c>
      <c r="C58" s="8">
        <v>224</v>
      </c>
      <c r="D58" s="8">
        <v>443</v>
      </c>
      <c r="E58" s="8">
        <v>270</v>
      </c>
      <c r="F58" s="8">
        <v>379</v>
      </c>
      <c r="G58" s="1">
        <f>VLOOKUP(A:A,[1]TDSheet!$A:$G,7,0)</f>
        <v>0</v>
      </c>
      <c r="H58" s="1">
        <f>VLOOKUP(A:A,[1]TDSheet!$A:$H,8,0)</f>
        <v>0</v>
      </c>
      <c r="I58" s="17">
        <f>VLOOKUP(A:A,[2]TDSheet!$A:$F,6,0)</f>
        <v>288</v>
      </c>
      <c r="J58" s="17">
        <f t="shared" si="11"/>
        <v>-18</v>
      </c>
      <c r="K58" s="17">
        <f>VLOOKUP(A:A,[1]TDSheet!$A:$P,16,0)</f>
        <v>150</v>
      </c>
      <c r="L58" s="17"/>
      <c r="M58" s="17"/>
      <c r="N58" s="17"/>
      <c r="O58" s="17">
        <f t="shared" si="12"/>
        <v>54</v>
      </c>
      <c r="P58" s="18"/>
      <c r="Q58" s="19">
        <f t="shared" si="13"/>
        <v>9.7962962962962958</v>
      </c>
      <c r="R58" s="17">
        <f t="shared" si="14"/>
        <v>7.0185185185185182</v>
      </c>
      <c r="S58" s="17">
        <f>VLOOKUP(A:A,[1]TDSheet!$A:$S,15,0)</f>
        <v>68.8</v>
      </c>
      <c r="T58" s="17">
        <f>VLOOKUP(A:A,[1]TDSheet!$A:$T,20,0)</f>
        <v>79.25</v>
      </c>
      <c r="U58" s="17">
        <f>VLOOKUP(A:A,[1]TDSheet!$A:$U,21,0)</f>
        <v>66.2</v>
      </c>
      <c r="V58" s="17">
        <f>VLOOKUP(A:A,[1]TDSheet!$A:$V,22,0)</f>
        <v>63</v>
      </c>
      <c r="W58" s="17">
        <f>VLOOKUP(A:A,[3]TDSheet!$A:$D,4,0)</f>
        <v>50</v>
      </c>
      <c r="X58" s="17">
        <f>VLOOKUP(A:A,[1]TDSheet!$A:$X,24,0)</f>
        <v>0</v>
      </c>
      <c r="Y58" s="17">
        <f>VLOOKUP(A:A,[1]TDSheet!$A:$Y,25,0)</f>
        <v>140</v>
      </c>
      <c r="Z58" s="17">
        <f>VLOOKUP(A:A,[1]TDSheet!$A:$Z,26,0)</f>
        <v>14</v>
      </c>
      <c r="AA58" s="17">
        <f>VLOOKUP(A:A,[1]TDSheet!$A:$AA,27,0)</f>
        <v>6</v>
      </c>
      <c r="AB58" s="21">
        <f t="shared" si="18"/>
        <v>0</v>
      </c>
      <c r="AC58" s="17">
        <f t="shared" si="15"/>
        <v>0</v>
      </c>
      <c r="AD58" s="17">
        <f>VLOOKUP(A:A,[1]TDSheet!$A:$AD,30,0)</f>
        <v>0</v>
      </c>
      <c r="AE58" s="20">
        <f>AC58/6</f>
        <v>0</v>
      </c>
      <c r="AF58" s="22">
        <f>VLOOKUP(A:A,[1]TDSheet!$A:$AF,32,0)</f>
        <v>0.2</v>
      </c>
      <c r="AG58" s="17">
        <f t="shared" si="19"/>
        <v>0</v>
      </c>
      <c r="AH58" s="17"/>
      <c r="AI58" s="17"/>
      <c r="AJ58" s="17"/>
    </row>
    <row r="59" spans="1:36" s="1" customFormat="1" ht="11.1" customHeight="1" outlineLevel="1" x14ac:dyDescent="0.2">
      <c r="A59" s="7" t="s">
        <v>57</v>
      </c>
      <c r="B59" s="7" t="s">
        <v>9</v>
      </c>
      <c r="C59" s="8">
        <v>2893</v>
      </c>
      <c r="D59" s="8">
        <v>6343</v>
      </c>
      <c r="E59" s="8">
        <v>5873</v>
      </c>
      <c r="F59" s="8">
        <v>3257</v>
      </c>
      <c r="G59" s="1">
        <f>VLOOKUP(A:A,[1]TDSheet!$A:$G,7,0)</f>
        <v>1</v>
      </c>
      <c r="H59" s="1">
        <f>VLOOKUP(A:A,[1]TDSheet!$A:$H,8,0)</f>
        <v>180</v>
      </c>
      <c r="I59" s="17">
        <f>VLOOKUP(A:A,[2]TDSheet!$A:$F,6,0)</f>
        <v>5972</v>
      </c>
      <c r="J59" s="17">
        <f t="shared" si="11"/>
        <v>-99</v>
      </c>
      <c r="K59" s="17">
        <f>VLOOKUP(A:A,[1]TDSheet!$A:$P,16,0)</f>
        <v>1800</v>
      </c>
      <c r="L59" s="17"/>
      <c r="M59" s="17"/>
      <c r="N59" s="17"/>
      <c r="O59" s="17">
        <f t="shared" si="12"/>
        <v>704.2</v>
      </c>
      <c r="P59" s="18">
        <v>1700</v>
      </c>
      <c r="Q59" s="19">
        <f t="shared" si="13"/>
        <v>9.5952854302754886</v>
      </c>
      <c r="R59" s="17">
        <f t="shared" si="14"/>
        <v>4.6251065038341377</v>
      </c>
      <c r="S59" s="17">
        <f>VLOOKUP(A:A,[1]TDSheet!$A:$S,15,0)</f>
        <v>732.8</v>
      </c>
      <c r="T59" s="17">
        <f>VLOOKUP(A:A,[1]TDSheet!$A:$T,20,0)</f>
        <v>751</v>
      </c>
      <c r="U59" s="17">
        <f>VLOOKUP(A:A,[1]TDSheet!$A:$U,21,0)</f>
        <v>769.4</v>
      </c>
      <c r="V59" s="17">
        <f>VLOOKUP(A:A,[1]TDSheet!$A:$V,22,0)</f>
        <v>720</v>
      </c>
      <c r="W59" s="17">
        <f>VLOOKUP(A:A,[3]TDSheet!$A:$D,4,0)</f>
        <v>482</v>
      </c>
      <c r="X59" s="17">
        <f>VLOOKUP(A:A,[1]TDSheet!$A:$X,24,0)</f>
        <v>2352</v>
      </c>
      <c r="Y59" s="17">
        <f>VLOOKUP(A:A,[1]TDSheet!$A:$Y,25,0)</f>
        <v>70</v>
      </c>
      <c r="Z59" s="17">
        <f>VLOOKUP(A:A,[1]TDSheet!$A:$Z,26,0)</f>
        <v>14</v>
      </c>
      <c r="AA59" s="17">
        <f>VLOOKUP(A:A,[1]TDSheet!$A:$AA,27,0)</f>
        <v>12</v>
      </c>
      <c r="AB59" s="21">
        <f t="shared" si="18"/>
        <v>140</v>
      </c>
      <c r="AC59" s="17">
        <f t="shared" si="15"/>
        <v>1700</v>
      </c>
      <c r="AD59" s="17">
        <f>VLOOKUP(A:A,[1]TDSheet!$A:$AD,30,0)</f>
        <v>0</v>
      </c>
      <c r="AE59" s="20">
        <f>AC59/12</f>
        <v>141.66666666666666</v>
      </c>
      <c r="AF59" s="22">
        <f>VLOOKUP(A:A,[1]TDSheet!$A:$AF,32,0)</f>
        <v>0.25</v>
      </c>
      <c r="AG59" s="17">
        <f t="shared" si="19"/>
        <v>420</v>
      </c>
      <c r="AH59" s="17"/>
      <c r="AI59" s="17"/>
      <c r="AJ59" s="17"/>
    </row>
    <row r="60" spans="1:36" s="1" customFormat="1" ht="11.1" customHeight="1" outlineLevel="1" x14ac:dyDescent="0.2">
      <c r="A60" s="7" t="s">
        <v>58</v>
      </c>
      <c r="B60" s="7" t="s">
        <v>9</v>
      </c>
      <c r="C60" s="8">
        <v>261</v>
      </c>
      <c r="D60" s="8">
        <v>192</v>
      </c>
      <c r="E60" s="8">
        <v>259</v>
      </c>
      <c r="F60" s="8">
        <v>181</v>
      </c>
      <c r="G60" s="1">
        <f>VLOOKUP(A:A,[1]TDSheet!$A:$G,7,0)</f>
        <v>0</v>
      </c>
      <c r="H60" s="1">
        <f>VLOOKUP(A:A,[1]TDSheet!$A:$H,8,0)</f>
        <v>0</v>
      </c>
      <c r="I60" s="17">
        <f>VLOOKUP(A:A,[2]TDSheet!$A:$F,6,0)</f>
        <v>272</v>
      </c>
      <c r="J60" s="17">
        <f t="shared" si="11"/>
        <v>-13</v>
      </c>
      <c r="K60" s="17">
        <f>VLOOKUP(A:A,[1]TDSheet!$A:$P,16,0)</f>
        <v>200</v>
      </c>
      <c r="L60" s="17"/>
      <c r="M60" s="17"/>
      <c r="N60" s="17"/>
      <c r="O60" s="17">
        <f t="shared" si="12"/>
        <v>51.8</v>
      </c>
      <c r="P60" s="18">
        <v>160</v>
      </c>
      <c r="Q60" s="19">
        <f t="shared" si="13"/>
        <v>10.444015444015445</v>
      </c>
      <c r="R60" s="17">
        <f t="shared" si="14"/>
        <v>3.4942084942084946</v>
      </c>
      <c r="S60" s="17">
        <f>VLOOKUP(A:A,[1]TDSheet!$A:$S,15,0)</f>
        <v>60.2</v>
      </c>
      <c r="T60" s="17">
        <f>VLOOKUP(A:A,[1]TDSheet!$A:$T,20,0)</f>
        <v>53.25</v>
      </c>
      <c r="U60" s="17">
        <f>VLOOKUP(A:A,[1]TDSheet!$A:$U,21,0)</f>
        <v>54.2</v>
      </c>
      <c r="V60" s="17">
        <f>VLOOKUP(A:A,[1]TDSheet!$A:$V,22,0)</f>
        <v>48.2</v>
      </c>
      <c r="W60" s="17">
        <f>VLOOKUP(A:A,[3]TDSheet!$A:$D,4,0)</f>
        <v>40</v>
      </c>
      <c r="X60" s="17">
        <f>VLOOKUP(A:A,[1]TDSheet!$A:$X,24,0)</f>
        <v>0</v>
      </c>
      <c r="Y60" s="17">
        <f>VLOOKUP(A:A,[1]TDSheet!$A:$Y,25,0)</f>
        <v>140</v>
      </c>
      <c r="Z60" s="17">
        <f>VLOOKUP(A:A,[1]TDSheet!$A:$Z,26,0)</f>
        <v>14</v>
      </c>
      <c r="AA60" s="17">
        <f>VLOOKUP(A:A,[1]TDSheet!$A:$AA,27,0)</f>
        <v>6</v>
      </c>
      <c r="AB60" s="21">
        <f t="shared" si="18"/>
        <v>28</v>
      </c>
      <c r="AC60" s="17">
        <f t="shared" si="15"/>
        <v>160</v>
      </c>
      <c r="AD60" s="17">
        <f>VLOOKUP(A:A,[1]TDSheet!$A:$AD,30,0)</f>
        <v>0</v>
      </c>
      <c r="AE60" s="20">
        <f>AC60/6</f>
        <v>26.666666666666668</v>
      </c>
      <c r="AF60" s="22">
        <f>VLOOKUP(A:A,[1]TDSheet!$A:$AF,32,0)</f>
        <v>0.2</v>
      </c>
      <c r="AG60" s="17">
        <f t="shared" si="19"/>
        <v>33.6</v>
      </c>
      <c r="AH60" s="17"/>
      <c r="AI60" s="17"/>
      <c r="AJ60" s="17"/>
    </row>
    <row r="61" spans="1:36" s="1" customFormat="1" ht="11.1" customHeight="1" outlineLevel="1" x14ac:dyDescent="0.2">
      <c r="A61" s="7" t="s">
        <v>59</v>
      </c>
      <c r="B61" s="7" t="s">
        <v>8</v>
      </c>
      <c r="C61" s="8">
        <v>989</v>
      </c>
      <c r="D61" s="8">
        <v>1610</v>
      </c>
      <c r="E61" s="8">
        <v>1480</v>
      </c>
      <c r="F61" s="8">
        <v>1059</v>
      </c>
      <c r="G61" s="1">
        <f>VLOOKUP(A:A,[1]TDSheet!$A:$G,7,0)</f>
        <v>1</v>
      </c>
      <c r="H61" s="1" t="e">
        <f>VLOOKUP(A:A,[1]TDSheet!$A:$H,8,0)</f>
        <v>#N/A</v>
      </c>
      <c r="I61" s="17">
        <f>VLOOKUP(A:A,[2]TDSheet!$A:$F,6,0)</f>
        <v>1549</v>
      </c>
      <c r="J61" s="17">
        <f t="shared" si="11"/>
        <v>-69</v>
      </c>
      <c r="K61" s="17">
        <f>VLOOKUP(A:A,[1]TDSheet!$A:$P,16,0)</f>
        <v>600</v>
      </c>
      <c r="L61" s="17"/>
      <c r="M61" s="17"/>
      <c r="N61" s="17"/>
      <c r="O61" s="17">
        <f t="shared" si="12"/>
        <v>296</v>
      </c>
      <c r="P61" s="18">
        <v>1000</v>
      </c>
      <c r="Q61" s="19">
        <f t="shared" si="13"/>
        <v>8.9831081081081088</v>
      </c>
      <c r="R61" s="17">
        <f t="shared" si="14"/>
        <v>3.5777027027027026</v>
      </c>
      <c r="S61" s="17">
        <f>VLOOKUP(A:A,[1]TDSheet!$A:$S,15,0)</f>
        <v>303</v>
      </c>
      <c r="T61" s="17">
        <f>VLOOKUP(A:A,[1]TDSheet!$A:$T,20,0)</f>
        <v>203.75</v>
      </c>
      <c r="U61" s="17">
        <f>VLOOKUP(A:A,[1]TDSheet!$A:$U,21,0)</f>
        <v>273</v>
      </c>
      <c r="V61" s="17">
        <f>VLOOKUP(A:A,[1]TDSheet!$A:$V,22,0)</f>
        <v>264.2</v>
      </c>
      <c r="W61" s="17">
        <f>VLOOKUP(A:A,[3]TDSheet!$A:$D,4,0)</f>
        <v>330</v>
      </c>
      <c r="X61" s="17">
        <f>VLOOKUP(A:A,[1]TDSheet!$A:$X,24,0)</f>
        <v>0</v>
      </c>
      <c r="Y61" s="17">
        <f>VLOOKUP(A:A,[1]TDSheet!$A:$Y,25,0)</f>
        <v>84</v>
      </c>
      <c r="Z61" s="17">
        <f>VLOOKUP(A:A,[1]TDSheet!$A:$Z,26,0)</f>
        <v>12</v>
      </c>
      <c r="AA61" s="17">
        <f>VLOOKUP(A:A,[1]TDSheet!$A:$AA,27,0)</f>
        <v>5</v>
      </c>
      <c r="AB61" s="21">
        <f t="shared" si="18"/>
        <v>204</v>
      </c>
      <c r="AC61" s="17">
        <f t="shared" si="15"/>
        <v>1000</v>
      </c>
      <c r="AD61" s="17" t="str">
        <f>VLOOKUP(A:A,[1]TDSheet!$A:$AD,30,0)</f>
        <v>оконч жц</v>
      </c>
      <c r="AE61" s="20">
        <f>AC61/5</f>
        <v>200</v>
      </c>
      <c r="AF61" s="22">
        <f>VLOOKUP(A:A,[1]TDSheet!$A:$AF,32,0)</f>
        <v>1</v>
      </c>
      <c r="AG61" s="17">
        <f t="shared" si="19"/>
        <v>1020</v>
      </c>
      <c r="AH61" s="17"/>
      <c r="AI61" s="17"/>
      <c r="AJ61" s="17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2026-01-29T13:14:15Z</dcterms:modified>
</cp:coreProperties>
</file>