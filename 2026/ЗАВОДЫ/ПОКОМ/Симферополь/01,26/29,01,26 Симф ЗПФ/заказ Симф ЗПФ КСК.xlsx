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E86F9F7A-8F97-4227-9BA5-483FF94BBD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заказа'!$B$178:$B$178</definedName>
    <definedName name="ProductId62">'Бланк заказа'!$B$179:$B$179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заказа'!$B$216:$B$216</definedName>
    <definedName name="ProductId76">'Бланк заказа'!$B$217:$B$217</definedName>
    <definedName name="ProductId77">'Бланк заказа'!$B$223:$B$223</definedName>
    <definedName name="ProductId78">'Бланк заказа'!$B$229:$B$229</definedName>
    <definedName name="ProductId79">'Бланк заказа'!$B$235:$B$235</definedName>
    <definedName name="ProductId8">'Бланк заказа'!$B$33:$B$33</definedName>
    <definedName name="ProductId80">'Бланк заказа'!$B$239:$B$239</definedName>
    <definedName name="ProductId81">'Бланк заказа'!$B$245:$B$245</definedName>
    <definedName name="ProductId82">'Бланк заказа'!$B$246:$B$246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заказа'!$X$178:$X$178</definedName>
    <definedName name="SalesQty62">'Бланк заказа'!$X$179:$X$179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заказа'!$X$216:$X$216</definedName>
    <definedName name="SalesQty76">'Бланк заказа'!$X$217:$X$217</definedName>
    <definedName name="SalesQty77">'Бланк заказа'!$X$223:$X$223</definedName>
    <definedName name="SalesQty78">'Бланк заказа'!$X$229:$X$229</definedName>
    <definedName name="SalesQty79">'Бланк заказа'!$X$235:$X$235</definedName>
    <definedName name="SalesQty8">'Бланк заказа'!$X$33:$X$33</definedName>
    <definedName name="SalesQty80">'Бланк заказа'!$X$239:$X$239</definedName>
    <definedName name="SalesQty81">'Бланк заказа'!$X$245:$X$245</definedName>
    <definedName name="SalesQty82">'Бланк заказа'!$X$246:$X$246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заказа'!$Y$178:$Y$178</definedName>
    <definedName name="SalesRoundBox62">'Бланк заказа'!$Y$179:$Y$179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заказа'!$Y$216:$Y$216</definedName>
    <definedName name="SalesRoundBox76">'Бланк заказа'!$Y$217:$Y$217</definedName>
    <definedName name="SalesRoundBox77">'Бланк заказа'!$Y$223:$Y$223</definedName>
    <definedName name="SalesRoundBox78">'Бланк заказа'!$Y$229:$Y$229</definedName>
    <definedName name="SalesRoundBox79">'Бланк заказа'!$Y$235:$Y$235</definedName>
    <definedName name="SalesRoundBox8">'Бланк заказа'!$Y$33:$Y$33</definedName>
    <definedName name="SalesRoundBox80">'Бланк заказа'!$Y$239:$Y$239</definedName>
    <definedName name="SalesRoundBox81">'Бланк заказа'!$Y$245:$Y$245</definedName>
    <definedName name="SalesRoundBox82">'Бланк заказа'!$Y$246:$Y$246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заказа'!$W$178:$W$178</definedName>
    <definedName name="UnitOfMeasure62">'Бланк заказа'!$W$179:$W$179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заказа'!$W$216:$W$216</definedName>
    <definedName name="UnitOfMeasure76">'Бланк заказа'!$W$217:$W$217</definedName>
    <definedName name="UnitOfMeasure77">'Бланк заказа'!$W$223:$W$223</definedName>
    <definedName name="UnitOfMeasure78">'Бланк заказа'!$W$229:$W$229</definedName>
    <definedName name="UnitOfMeasure79">'Бланк заказа'!$W$235:$W$235</definedName>
    <definedName name="UnitOfMeasure8">'Бланк заказа'!$W$33:$W$33</definedName>
    <definedName name="UnitOfMeasure80">'Бланк заказа'!$W$239:$W$239</definedName>
    <definedName name="UnitOfMeasure81">'Бланк заказа'!$W$245:$W$245</definedName>
    <definedName name="UnitOfMeasure82">'Бланк заказа'!$W$246:$W$246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Y271" i="1" s="1"/>
  <c r="P261" i="1"/>
  <c r="BP260" i="1"/>
  <c r="BO260" i="1"/>
  <c r="BN260" i="1"/>
  <c r="BM260" i="1"/>
  <c r="Z260" i="1"/>
  <c r="Z270" i="1" s="1"/>
  <c r="Y260" i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BP254" i="1" s="1"/>
  <c r="P254" i="1"/>
  <c r="X252" i="1"/>
  <c r="X251" i="1"/>
  <c r="BO250" i="1"/>
  <c r="BM250" i="1"/>
  <c r="Z250" i="1"/>
  <c r="Z251" i="1" s="1"/>
  <c r="Y250" i="1"/>
  <c r="Y252" i="1" s="1"/>
  <c r="P250" i="1"/>
  <c r="X248" i="1"/>
  <c r="X247" i="1"/>
  <c r="BO246" i="1"/>
  <c r="BM246" i="1"/>
  <c r="Z246" i="1"/>
  <c r="Y246" i="1"/>
  <c r="BP246" i="1" s="1"/>
  <c r="P246" i="1"/>
  <c r="BO245" i="1"/>
  <c r="BM245" i="1"/>
  <c r="Z245" i="1"/>
  <c r="Y245" i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O217" i="1"/>
  <c r="BM217" i="1"/>
  <c r="Z217" i="1"/>
  <c r="Z218" i="1" s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Z212" i="1" s="1"/>
  <c r="Y211" i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BP204" i="1" s="1"/>
  <c r="P204" i="1"/>
  <c r="BO203" i="1"/>
  <c r="BM203" i="1"/>
  <c r="Z203" i="1"/>
  <c r="Y203" i="1"/>
  <c r="P203" i="1"/>
  <c r="BO202" i="1"/>
  <c r="BM202" i="1"/>
  <c r="Z202" i="1"/>
  <c r="Y202" i="1"/>
  <c r="BP202" i="1" s="1"/>
  <c r="P202" i="1"/>
  <c r="X200" i="1"/>
  <c r="X199" i="1"/>
  <c r="BO198" i="1"/>
  <c r="BM198" i="1"/>
  <c r="Z198" i="1"/>
  <c r="Z199" i="1" s="1"/>
  <c r="Y198" i="1"/>
  <c r="Y200" i="1" s="1"/>
  <c r="P198" i="1"/>
  <c r="X194" i="1"/>
  <c r="X193" i="1"/>
  <c r="BO192" i="1"/>
  <c r="BM192" i="1"/>
  <c r="Z192" i="1"/>
  <c r="Z193" i="1" s="1"/>
  <c r="Y192" i="1"/>
  <c r="Y194" i="1" s="1"/>
  <c r="X190" i="1"/>
  <c r="X189" i="1"/>
  <c r="BO188" i="1"/>
  <c r="BM188" i="1"/>
  <c r="Z188" i="1"/>
  <c r="Y188" i="1"/>
  <c r="P188" i="1"/>
  <c r="BO187" i="1"/>
  <c r="BM187" i="1"/>
  <c r="Z187" i="1"/>
  <c r="Y187" i="1"/>
  <c r="P187" i="1"/>
  <c r="BO186" i="1"/>
  <c r="BM186" i="1"/>
  <c r="Z186" i="1"/>
  <c r="Y186" i="1"/>
  <c r="P186" i="1"/>
  <c r="BO185" i="1"/>
  <c r="BM185" i="1"/>
  <c r="Z185" i="1"/>
  <c r="Y185" i="1"/>
  <c r="P185" i="1"/>
  <c r="X181" i="1"/>
  <c r="X180" i="1"/>
  <c r="BO179" i="1"/>
  <c r="BM179" i="1"/>
  <c r="Z179" i="1"/>
  <c r="Y179" i="1"/>
  <c r="BP179" i="1" s="1"/>
  <c r="P179" i="1"/>
  <c r="BO178" i="1"/>
  <c r="BM178" i="1"/>
  <c r="Z178" i="1"/>
  <c r="Y178" i="1"/>
  <c r="P178" i="1"/>
  <c r="X176" i="1"/>
  <c r="X175" i="1"/>
  <c r="BO174" i="1"/>
  <c r="BM174" i="1"/>
  <c r="Z174" i="1"/>
  <c r="Y174" i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P120" i="1"/>
  <c r="BO119" i="1"/>
  <c r="BM119" i="1"/>
  <c r="Z119" i="1"/>
  <c r="Y119" i="1"/>
  <c r="BP119" i="1" s="1"/>
  <c r="P119" i="1"/>
  <c r="BO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X105" i="1"/>
  <c r="X104" i="1"/>
  <c r="BO103" i="1"/>
  <c r="BM103" i="1"/>
  <c r="Z103" i="1"/>
  <c r="Y103" i="1"/>
  <c r="BP103" i="1" s="1"/>
  <c r="P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A9" i="1"/>
  <c r="F10" i="1" s="1"/>
  <c r="D7" i="1"/>
  <c r="Q6" i="1"/>
  <c r="P2" i="1"/>
  <c r="Z28" i="1" l="1"/>
  <c r="BN22" i="1"/>
  <c r="BN24" i="1"/>
  <c r="BN26" i="1"/>
  <c r="Z34" i="1"/>
  <c r="Z41" i="1"/>
  <c r="BN39" i="1"/>
  <c r="Y57" i="1"/>
  <c r="BN53" i="1"/>
  <c r="BN55" i="1"/>
  <c r="Y76" i="1"/>
  <c r="Z76" i="1"/>
  <c r="BN74" i="1"/>
  <c r="Z82" i="1"/>
  <c r="BN86" i="1"/>
  <c r="BP86" i="1"/>
  <c r="Y87" i="1"/>
  <c r="Z93" i="1"/>
  <c r="BN91" i="1"/>
  <c r="Z104" i="1"/>
  <c r="Y111" i="1"/>
  <c r="BN109" i="1"/>
  <c r="BN135" i="1"/>
  <c r="Z142" i="1"/>
  <c r="BN147" i="1"/>
  <c r="BN179" i="1"/>
  <c r="Z189" i="1"/>
  <c r="BN192" i="1"/>
  <c r="BP192" i="1"/>
  <c r="Y193" i="1"/>
  <c r="BN198" i="1"/>
  <c r="BP198" i="1"/>
  <c r="Y199" i="1"/>
  <c r="Z207" i="1"/>
  <c r="BN202" i="1"/>
  <c r="BN204" i="1"/>
  <c r="BN206" i="1"/>
  <c r="BN246" i="1"/>
  <c r="X276" i="1"/>
  <c r="BP33" i="1"/>
  <c r="BN33" i="1"/>
  <c r="BP46" i="1"/>
  <c r="BN46" i="1"/>
  <c r="Y62" i="1"/>
  <c r="Y61" i="1"/>
  <c r="BP60" i="1"/>
  <c r="BN60" i="1"/>
  <c r="Y70" i="1"/>
  <c r="BP68" i="1"/>
  <c r="BN68" i="1"/>
  <c r="BP81" i="1"/>
  <c r="BN81" i="1"/>
  <c r="BP98" i="1"/>
  <c r="BN98" i="1"/>
  <c r="BP100" i="1"/>
  <c r="BN100" i="1"/>
  <c r="BP102" i="1"/>
  <c r="BN102" i="1"/>
  <c r="Y122" i="1"/>
  <c r="BP114" i="1"/>
  <c r="BN114" i="1"/>
  <c r="BP116" i="1"/>
  <c r="BN116" i="1"/>
  <c r="BP118" i="1"/>
  <c r="BN118" i="1"/>
  <c r="BP120" i="1"/>
  <c r="BN120" i="1"/>
  <c r="Y142" i="1"/>
  <c r="BP140" i="1"/>
  <c r="BN140" i="1"/>
  <c r="Y143" i="1"/>
  <c r="Y154" i="1"/>
  <c r="Y153" i="1"/>
  <c r="BP152" i="1"/>
  <c r="BN152" i="1"/>
  <c r="Y164" i="1"/>
  <c r="Y163" i="1"/>
  <c r="BP162" i="1"/>
  <c r="BN162" i="1"/>
  <c r="BP173" i="1"/>
  <c r="BN173" i="1"/>
  <c r="Y189" i="1"/>
  <c r="BP185" i="1"/>
  <c r="BN185" i="1"/>
  <c r="BP187" i="1"/>
  <c r="BN187" i="1"/>
  <c r="Y190" i="1"/>
  <c r="Y213" i="1"/>
  <c r="Y212" i="1"/>
  <c r="BP211" i="1"/>
  <c r="BN211" i="1"/>
  <c r="Y66" i="1"/>
  <c r="Y65" i="1"/>
  <c r="BP64" i="1"/>
  <c r="BN64" i="1"/>
  <c r="Y159" i="1"/>
  <c r="Y158" i="1"/>
  <c r="BP157" i="1"/>
  <c r="BN157" i="1"/>
  <c r="Y169" i="1"/>
  <c r="Y168" i="1"/>
  <c r="BP167" i="1"/>
  <c r="BN167" i="1"/>
  <c r="Y218" i="1"/>
  <c r="BP216" i="1"/>
  <c r="BN216" i="1"/>
  <c r="Y219" i="1"/>
  <c r="Y41" i="1"/>
  <c r="Y48" i="1"/>
  <c r="Z48" i="1"/>
  <c r="Z56" i="1"/>
  <c r="Z70" i="1"/>
  <c r="Y83" i="1"/>
  <c r="Y93" i="1"/>
  <c r="Y104" i="1"/>
  <c r="Z110" i="1"/>
  <c r="Z122" i="1"/>
  <c r="Z136" i="1"/>
  <c r="Z175" i="1"/>
  <c r="Z180" i="1"/>
  <c r="Y208" i="1"/>
  <c r="BN250" i="1"/>
  <c r="BP250" i="1"/>
  <c r="Y251" i="1"/>
  <c r="Z257" i="1"/>
  <c r="BN254" i="1"/>
  <c r="BN256" i="1"/>
  <c r="Y270" i="1"/>
  <c r="H9" i="1"/>
  <c r="A10" i="1"/>
  <c r="Y28" i="1"/>
  <c r="X273" i="1"/>
  <c r="X274" i="1"/>
  <c r="BN23" i="1"/>
  <c r="BN25" i="1"/>
  <c r="BN27" i="1"/>
  <c r="Y29" i="1"/>
  <c r="Y35" i="1"/>
  <c r="BP32" i="1"/>
  <c r="BN32" i="1"/>
  <c r="Y34" i="1"/>
  <c r="BP40" i="1"/>
  <c r="BN40" i="1"/>
  <c r="Y42" i="1"/>
  <c r="F9" i="1"/>
  <c r="J9" i="1"/>
  <c r="Y49" i="1"/>
  <c r="Y56" i="1"/>
  <c r="Y71" i="1"/>
  <c r="Y77" i="1"/>
  <c r="Y82" i="1"/>
  <c r="Y94" i="1"/>
  <c r="Y105" i="1"/>
  <c r="Y110" i="1"/>
  <c r="Y123" i="1"/>
  <c r="Y127" i="1"/>
  <c r="Y131" i="1"/>
  <c r="Y137" i="1"/>
  <c r="BP134" i="1"/>
  <c r="Y149" i="1"/>
  <c r="BP146" i="1"/>
  <c r="BN146" i="1"/>
  <c r="Y148" i="1"/>
  <c r="BP174" i="1"/>
  <c r="BN174" i="1"/>
  <c r="BP203" i="1"/>
  <c r="BN203" i="1"/>
  <c r="BP205" i="1"/>
  <c r="BN205" i="1"/>
  <c r="Y207" i="1"/>
  <c r="BP217" i="1"/>
  <c r="BN217" i="1"/>
  <c r="Y230" i="1"/>
  <c r="BP229" i="1"/>
  <c r="BN229" i="1"/>
  <c r="Y240" i="1"/>
  <c r="BP239" i="1"/>
  <c r="BN239" i="1"/>
  <c r="Z247" i="1"/>
  <c r="Y258" i="1"/>
  <c r="X272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29" i="1"/>
  <c r="BP129" i="1"/>
  <c r="BN134" i="1"/>
  <c r="Y136" i="1"/>
  <c r="BP141" i="1"/>
  <c r="BN141" i="1"/>
  <c r="Z148" i="1"/>
  <c r="Z277" i="1" s="1"/>
  <c r="Y175" i="1"/>
  <c r="Y176" i="1"/>
  <c r="Y181" i="1"/>
  <c r="BP178" i="1"/>
  <c r="BN178" i="1"/>
  <c r="Y180" i="1"/>
  <c r="BP186" i="1"/>
  <c r="BN186" i="1"/>
  <c r="BP188" i="1"/>
  <c r="BN188" i="1"/>
  <c r="Y224" i="1"/>
  <c r="BP223" i="1"/>
  <c r="BN223" i="1"/>
  <c r="Y236" i="1"/>
  <c r="BP235" i="1"/>
  <c r="BN235" i="1"/>
  <c r="Y248" i="1"/>
  <c r="BP245" i="1"/>
  <c r="BN245" i="1"/>
  <c r="Y247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3" i="1" l="1"/>
  <c r="Y274" i="1"/>
  <c r="Y272" i="1"/>
  <c r="Y276" i="1"/>
  <c r="X275" i="1"/>
  <c r="B285" i="1" l="1"/>
  <c r="Y275" i="1"/>
  <c r="A285" i="1"/>
  <c r="C285" i="1"/>
</calcChain>
</file>

<file path=xl/sharedStrings.xml><?xml version="1.0" encoding="utf-8"?>
<sst xmlns="http://schemas.openxmlformats.org/spreadsheetml/2006/main" count="1239" uniqueCount="400">
  <si>
    <t xml:space="preserve">  БЛАНК ЗАКАЗА </t>
  </si>
  <si>
    <t>ЗПФ</t>
  </si>
  <si>
    <t>на отгрузку продукции с ООО Трейд-Сервис с</t>
  </si>
  <si>
    <t>29.01.2026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</si>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</sst>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2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6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4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18" t="s">
        <v>0</v>
      </c>
      <c r="E1" s="297"/>
      <c r="F1" s="297"/>
      <c r="G1" s="12" t="s">
        <v>1</v>
      </c>
      <c r="H1" s="31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51" t="s">
        <v>7</v>
      </c>
      <c r="B5" s="320"/>
      <c r="C5" s="321"/>
      <c r="D5" s="323"/>
      <c r="E5" s="324"/>
      <c r="F5" s="446" t="s">
        <v>8</v>
      </c>
      <c r="G5" s="321"/>
      <c r="H5" s="323"/>
      <c r="I5" s="420"/>
      <c r="J5" s="420"/>
      <c r="K5" s="420"/>
      <c r="L5" s="420"/>
      <c r="M5" s="324"/>
      <c r="N5" s="61"/>
      <c r="P5" s="24" t="s">
        <v>9</v>
      </c>
      <c r="Q5" s="452">
        <v>46054</v>
      </c>
      <c r="R5" s="349"/>
      <c r="T5" s="372" t="s">
        <v>10</v>
      </c>
      <c r="U5" s="373"/>
      <c r="V5" s="374" t="s">
        <v>11</v>
      </c>
      <c r="W5" s="349"/>
      <c r="AB5" s="51"/>
      <c r="AC5" s="51"/>
      <c r="AD5" s="51"/>
      <c r="AE5" s="51"/>
    </row>
    <row r="6" spans="1:32" s="269" customFormat="1" ht="24" customHeight="1" x14ac:dyDescent="0.2">
      <c r="A6" s="351" t="s">
        <v>12</v>
      </c>
      <c r="B6" s="320"/>
      <c r="C6" s="321"/>
      <c r="D6" s="422" t="s">
        <v>13</v>
      </c>
      <c r="E6" s="423"/>
      <c r="F6" s="423"/>
      <c r="G6" s="423"/>
      <c r="H6" s="423"/>
      <c r="I6" s="423"/>
      <c r="J6" s="423"/>
      <c r="K6" s="423"/>
      <c r="L6" s="423"/>
      <c r="M6" s="349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Воскресенье</v>
      </c>
      <c r="R6" s="277"/>
      <c r="T6" s="379" t="s">
        <v>15</v>
      </c>
      <c r="U6" s="373"/>
      <c r="V6" s="408" t="s">
        <v>16</v>
      </c>
      <c r="W6" s="303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89"/>
      <c r="U7" s="373"/>
      <c r="V7" s="409"/>
      <c r="W7" s="410"/>
      <c r="AB7" s="51"/>
      <c r="AC7" s="51"/>
      <c r="AD7" s="51"/>
      <c r="AE7" s="51"/>
    </row>
    <row r="8" spans="1:32" s="269" customFormat="1" ht="25.5" customHeight="1" x14ac:dyDescent="0.2">
      <c r="A8" s="462" t="s">
        <v>17</v>
      </c>
      <c r="B8" s="282"/>
      <c r="C8" s="283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6">
        <v>0.375</v>
      </c>
      <c r="R8" s="309"/>
      <c r="T8" s="289"/>
      <c r="U8" s="373"/>
      <c r="V8" s="409"/>
      <c r="W8" s="410"/>
      <c r="AB8" s="51"/>
      <c r="AC8" s="51"/>
      <c r="AD8" s="51"/>
      <c r="AE8" s="51"/>
    </row>
    <row r="9" spans="1:32" s="269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0"/>
      <c r="E9" s="285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20</v>
      </c>
      <c r="Q9" s="346"/>
      <c r="R9" s="347"/>
      <c r="T9" s="289"/>
      <c r="U9" s="373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0"/>
      <c r="E10" s="285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2" t="str">
        <f>IFERROR(VLOOKUP($D$10,Proxy,2,FALSE),"")</f>
        <v/>
      </c>
      <c r="I10" s="289"/>
      <c r="J10" s="289"/>
      <c r="K10" s="289"/>
      <c r="L10" s="289"/>
      <c r="M10" s="289"/>
      <c r="N10" s="268"/>
      <c r="P10" s="26" t="s">
        <v>21</v>
      </c>
      <c r="Q10" s="380"/>
      <c r="R10" s="381"/>
      <c r="U10" s="24" t="s">
        <v>22</v>
      </c>
      <c r="V10" s="302" t="s">
        <v>23</v>
      </c>
      <c r="W10" s="303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30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370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6"/>
      <c r="R12" s="309"/>
      <c r="S12" s="23"/>
      <c r="U12" s="24"/>
      <c r="V12" s="297"/>
      <c r="W12" s="289"/>
      <c r="AB12" s="51"/>
      <c r="AC12" s="51"/>
      <c r="AD12" s="51"/>
      <c r="AE12" s="51"/>
    </row>
    <row r="13" spans="1:32" s="269" customFormat="1" ht="23.25" customHeight="1" x14ac:dyDescent="0.2">
      <c r="A13" s="370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30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370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391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6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9" t="s">
        <v>35</v>
      </c>
      <c r="B17" s="299" t="s">
        <v>36</v>
      </c>
      <c r="C17" s="359" t="s">
        <v>37</v>
      </c>
      <c r="D17" s="299" t="s">
        <v>38</v>
      </c>
      <c r="E17" s="337"/>
      <c r="F17" s="299" t="s">
        <v>39</v>
      </c>
      <c r="G17" s="299" t="s">
        <v>40</v>
      </c>
      <c r="H17" s="299" t="s">
        <v>41</v>
      </c>
      <c r="I17" s="299" t="s">
        <v>42</v>
      </c>
      <c r="J17" s="299" t="s">
        <v>43</v>
      </c>
      <c r="K17" s="299" t="s">
        <v>44</v>
      </c>
      <c r="L17" s="299" t="s">
        <v>45</v>
      </c>
      <c r="M17" s="299" t="s">
        <v>46</v>
      </c>
      <c r="N17" s="299" t="s">
        <v>47</v>
      </c>
      <c r="O17" s="299" t="s">
        <v>48</v>
      </c>
      <c r="P17" s="299" t="s">
        <v>49</v>
      </c>
      <c r="Q17" s="336"/>
      <c r="R17" s="336"/>
      <c r="S17" s="336"/>
      <c r="T17" s="337"/>
      <c r="U17" s="459" t="s">
        <v>50</v>
      </c>
      <c r="V17" s="321"/>
      <c r="W17" s="299" t="s">
        <v>51</v>
      </c>
      <c r="X17" s="299" t="s">
        <v>52</v>
      </c>
      <c r="Y17" s="460" t="s">
        <v>53</v>
      </c>
      <c r="Z17" s="418" t="s">
        <v>54</v>
      </c>
      <c r="AA17" s="403" t="s">
        <v>55</v>
      </c>
      <c r="AB17" s="403" t="s">
        <v>56</v>
      </c>
      <c r="AC17" s="403" t="s">
        <v>57</v>
      </c>
      <c r="AD17" s="403" t="s">
        <v>58</v>
      </c>
      <c r="AE17" s="441"/>
      <c r="AF17" s="442"/>
      <c r="AG17" s="69"/>
      <c r="BD17" s="68" t="s">
        <v>59</v>
      </c>
    </row>
    <row r="18" spans="1:68" ht="14.25" customHeight="1" x14ac:dyDescent="0.2">
      <c r="A18" s="300"/>
      <c r="B18" s="300"/>
      <c r="C18" s="300"/>
      <c r="D18" s="338"/>
      <c r="E18" s="34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38"/>
      <c r="Q18" s="339"/>
      <c r="R18" s="339"/>
      <c r="S18" s="339"/>
      <c r="T18" s="340"/>
      <c r="U18" s="70" t="s">
        <v>60</v>
      </c>
      <c r="V18" s="70" t="s">
        <v>61</v>
      </c>
      <c r="W18" s="300"/>
      <c r="X18" s="300"/>
      <c r="Y18" s="461"/>
      <c r="Z18" s="419"/>
      <c r="AA18" s="404"/>
      <c r="AB18" s="404"/>
      <c r="AC18" s="404"/>
      <c r="AD18" s="443"/>
      <c r="AE18" s="444"/>
      <c r="AF18" s="445"/>
      <c r="AG18" s="69"/>
      <c r="BD18" s="68"/>
    </row>
    <row r="19" spans="1:68" ht="27.75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customHeight="1" x14ac:dyDescent="0.25">
      <c r="A20" s="288" t="s">
        <v>62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67"/>
      <c r="AB20" s="267"/>
      <c r="AC20" s="267"/>
    </row>
    <row r="21" spans="1:68" ht="14.25" customHeight="1" x14ac:dyDescent="0.25">
      <c r="A21" s="304" t="s">
        <v>63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48</v>
      </c>
      <c r="Y24" s="273">
        <f t="shared" si="0"/>
        <v>48</v>
      </c>
      <c r="Z24" s="36">
        <f t="shared" si="1"/>
        <v>0.74399999999999999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3"/>
      <c r="P28" s="281" t="s">
        <v>82</v>
      </c>
      <c r="Q28" s="282"/>
      <c r="R28" s="282"/>
      <c r="S28" s="282"/>
      <c r="T28" s="282"/>
      <c r="U28" s="282"/>
      <c r="V28" s="283"/>
      <c r="W28" s="37" t="s">
        <v>69</v>
      </c>
      <c r="X28" s="274">
        <f>IFERROR(SUM(X22:X27),"0")</f>
        <v>48</v>
      </c>
      <c r="Y28" s="274">
        <f>IFERROR(SUM(Y22:Y27),"0")</f>
        <v>48</v>
      </c>
      <c r="Z28" s="274">
        <f>IFERROR(IF(Z22="",0,Z22),"0")+IFERROR(IF(Z23="",0,Z23),"0")+IFERROR(IF(Z24="",0,Z24),"0")+IFERROR(IF(Z25="",0,Z25),"0")+IFERROR(IF(Z26="",0,Z26),"0")+IFERROR(IF(Z27="",0,Z27),"0")</f>
        <v>0.74399999999999999</v>
      </c>
      <c r="AA28" s="275"/>
      <c r="AB28" s="275"/>
      <c r="AC28" s="275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3"/>
      <c r="P29" s="281" t="s">
        <v>82</v>
      </c>
      <c r="Q29" s="282"/>
      <c r="R29" s="282"/>
      <c r="S29" s="282"/>
      <c r="T29" s="282"/>
      <c r="U29" s="282"/>
      <c r="V29" s="283"/>
      <c r="W29" s="37" t="s">
        <v>83</v>
      </c>
      <c r="X29" s="274">
        <f>IFERROR(SUMPRODUCT(X22:X27*H22:H27),"0")</f>
        <v>345.6</v>
      </c>
      <c r="Y29" s="274">
        <f>IFERROR(SUMPRODUCT(Y22:Y27*H22:H27),"0")</f>
        <v>345.6</v>
      </c>
      <c r="Z29" s="37"/>
      <c r="AA29" s="275"/>
      <c r="AB29" s="275"/>
      <c r="AC29" s="275"/>
    </row>
    <row r="30" spans="1:68" ht="16.5" customHeight="1" x14ac:dyDescent="0.25">
      <c r="A30" s="288" t="s">
        <v>84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67"/>
      <c r="AB30" s="267"/>
      <c r="AC30" s="267"/>
    </row>
    <row r="31" spans="1:68" ht="14.25" customHeight="1" x14ac:dyDescent="0.25">
      <c r="A31" s="304" t="s">
        <v>63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12</v>
      </c>
      <c r="Y33" s="273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92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3"/>
      <c r="P34" s="281" t="s">
        <v>82</v>
      </c>
      <c r="Q34" s="282"/>
      <c r="R34" s="282"/>
      <c r="S34" s="282"/>
      <c r="T34" s="282"/>
      <c r="U34" s="282"/>
      <c r="V34" s="283"/>
      <c r="W34" s="37" t="s">
        <v>69</v>
      </c>
      <c r="X34" s="274">
        <f>IFERROR(SUM(X32:X33),"0")</f>
        <v>12</v>
      </c>
      <c r="Y34" s="274">
        <f>IFERROR(SUM(Y32:Y33),"0")</f>
        <v>12</v>
      </c>
      <c r="Z34" s="274">
        <f>IFERROR(IF(Z32="",0,Z32),"0")+IFERROR(IF(Z33="",0,Z33),"0")</f>
        <v>0.186</v>
      </c>
      <c r="AA34" s="275"/>
      <c r="AB34" s="275"/>
      <c r="AC34" s="275"/>
    </row>
    <row r="35" spans="1:68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3"/>
      <c r="P35" s="281" t="s">
        <v>82</v>
      </c>
      <c r="Q35" s="282"/>
      <c r="R35" s="282"/>
      <c r="S35" s="282"/>
      <c r="T35" s="282"/>
      <c r="U35" s="282"/>
      <c r="V35" s="283"/>
      <c r="W35" s="37" t="s">
        <v>83</v>
      </c>
      <c r="X35" s="274">
        <f>IFERROR(SUMPRODUCT(X32:X33*H32:H33),"0")</f>
        <v>76.800000000000011</v>
      </c>
      <c r="Y35" s="274">
        <f>IFERROR(SUMPRODUCT(Y32:Y33*H32:H33),"0")</f>
        <v>76.800000000000011</v>
      </c>
      <c r="Z35" s="37"/>
      <c r="AA35" s="275"/>
      <c r="AB35" s="275"/>
      <c r="AC35" s="275"/>
    </row>
    <row r="36" spans="1:68" ht="27.75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customHeight="1" x14ac:dyDescent="0.25">
      <c r="A37" s="288" t="s">
        <v>91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67"/>
      <c r="AB37" s="267"/>
      <c r="AC37" s="267"/>
    </row>
    <row r="38" spans="1:68" ht="14.25" customHeight="1" x14ac:dyDescent="0.25">
      <c r="A38" s="304" t="s">
        <v>92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98</v>
      </c>
      <c r="Y39" s="273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2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3"/>
      <c r="P41" s="281" t="s">
        <v>82</v>
      </c>
      <c r="Q41" s="282"/>
      <c r="R41" s="282"/>
      <c r="S41" s="282"/>
      <c r="T41" s="282"/>
      <c r="U41" s="282"/>
      <c r="V41" s="283"/>
      <c r="W41" s="37" t="s">
        <v>69</v>
      </c>
      <c r="X41" s="274">
        <f>IFERROR(SUM(X39:X40),"0")</f>
        <v>98</v>
      </c>
      <c r="Y41" s="274">
        <f>IFERROR(SUM(Y39:Y40),"0")</f>
        <v>98</v>
      </c>
      <c r="Z41" s="274">
        <f>IFERROR(IF(Z39="",0,Z39),"0")+IFERROR(IF(Z40="",0,Z40),"0")</f>
        <v>0.92218</v>
      </c>
      <c r="AA41" s="275"/>
      <c r="AB41" s="275"/>
      <c r="AC41" s="275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3"/>
      <c r="P42" s="281" t="s">
        <v>82</v>
      </c>
      <c r="Q42" s="282"/>
      <c r="R42" s="282"/>
      <c r="S42" s="282"/>
      <c r="T42" s="282"/>
      <c r="U42" s="282"/>
      <c r="V42" s="283"/>
      <c r="W42" s="37" t="s">
        <v>83</v>
      </c>
      <c r="X42" s="274">
        <f>IFERROR(SUMPRODUCT(X39:X40*H39:H40),"0")</f>
        <v>147</v>
      </c>
      <c r="Y42" s="274">
        <f>IFERROR(SUMPRODUCT(Y39:Y40*H39:H40),"0")</f>
        <v>147</v>
      </c>
      <c r="Z42" s="37"/>
      <c r="AA42" s="275"/>
      <c r="AB42" s="275"/>
      <c r="AC42" s="275"/>
    </row>
    <row r="43" spans="1:68" ht="16.5" customHeight="1" x14ac:dyDescent="0.25">
      <c r="A43" s="288" t="s">
        <v>102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67"/>
      <c r="AB43" s="267"/>
      <c r="AC43" s="267"/>
    </row>
    <row r="44" spans="1:68" ht="14.25" customHeight="1" x14ac:dyDescent="0.25">
      <c r="A44" s="304" t="s">
        <v>63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12</v>
      </c>
      <c r="Y46" s="273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2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3"/>
      <c r="P48" s="281" t="s">
        <v>82</v>
      </c>
      <c r="Q48" s="282"/>
      <c r="R48" s="282"/>
      <c r="S48" s="282"/>
      <c r="T48" s="282"/>
      <c r="U48" s="282"/>
      <c r="V48" s="283"/>
      <c r="W48" s="37" t="s">
        <v>69</v>
      </c>
      <c r="X48" s="274">
        <f>IFERROR(SUM(X45:X47),"0")</f>
        <v>12</v>
      </c>
      <c r="Y48" s="274">
        <f>IFERROR(SUM(Y45:Y47),"0")</f>
        <v>12</v>
      </c>
      <c r="Z48" s="274">
        <f>IFERROR(IF(Z45="",0,Z45),"0")+IFERROR(IF(Z46="",0,Z46),"0")+IFERROR(IF(Z47="",0,Z47),"0")</f>
        <v>0.186</v>
      </c>
      <c r="AA48" s="275"/>
      <c r="AB48" s="275"/>
      <c r="AC48" s="275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3"/>
      <c r="P49" s="281" t="s">
        <v>82</v>
      </c>
      <c r="Q49" s="282"/>
      <c r="R49" s="282"/>
      <c r="S49" s="282"/>
      <c r="T49" s="282"/>
      <c r="U49" s="282"/>
      <c r="V49" s="283"/>
      <c r="W49" s="37" t="s">
        <v>83</v>
      </c>
      <c r="X49" s="274">
        <f>IFERROR(SUMPRODUCT(X45:X47*H45:H47),"0")</f>
        <v>67.199999999999989</v>
      </c>
      <c r="Y49" s="274">
        <f>IFERROR(SUMPRODUCT(Y45:Y47*H45:H47),"0")</f>
        <v>67.199999999999989</v>
      </c>
      <c r="Z49" s="37"/>
      <c r="AA49" s="275"/>
      <c r="AB49" s="275"/>
      <c r="AC49" s="275"/>
    </row>
    <row r="50" spans="1:68" ht="16.5" customHeight="1" x14ac:dyDescent="0.25">
      <c r="A50" s="288" t="s">
        <v>114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67"/>
      <c r="AB50" s="267"/>
      <c r="AC50" s="267"/>
    </row>
    <row r="51" spans="1:68" ht="14.25" customHeight="1" x14ac:dyDescent="0.25">
      <c r="A51" s="304" t="s">
        <v>63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36</v>
      </c>
      <c r="Y52" s="273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48</v>
      </c>
      <c r="Y53" s="273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12</v>
      </c>
      <c r="Y54" s="273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36</v>
      </c>
      <c r="Y55" s="273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92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3"/>
      <c r="P56" s="281" t="s">
        <v>82</v>
      </c>
      <c r="Q56" s="282"/>
      <c r="R56" s="282"/>
      <c r="S56" s="282"/>
      <c r="T56" s="282"/>
      <c r="U56" s="282"/>
      <c r="V56" s="283"/>
      <c r="W56" s="37" t="s">
        <v>69</v>
      </c>
      <c r="X56" s="274">
        <f>IFERROR(SUM(X52:X55),"0")</f>
        <v>132</v>
      </c>
      <c r="Y56" s="274">
        <f>IFERROR(SUM(Y52:Y55),"0")</f>
        <v>132</v>
      </c>
      <c r="Z56" s="274">
        <f>IFERROR(IF(Z52="",0,Z52),"0")+IFERROR(IF(Z53="",0,Z53),"0")+IFERROR(IF(Z54="",0,Z54),"0")+IFERROR(IF(Z55="",0,Z55),"0")</f>
        <v>2.0460000000000003</v>
      </c>
      <c r="AA56" s="275"/>
      <c r="AB56" s="275"/>
      <c r="AC56" s="275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3"/>
      <c r="P57" s="281" t="s">
        <v>82</v>
      </c>
      <c r="Q57" s="282"/>
      <c r="R57" s="282"/>
      <c r="S57" s="282"/>
      <c r="T57" s="282"/>
      <c r="U57" s="282"/>
      <c r="V57" s="283"/>
      <c r="W57" s="37" t="s">
        <v>83</v>
      </c>
      <c r="X57" s="274">
        <f>IFERROR(SUMPRODUCT(X52:X55*H52:H55),"0")</f>
        <v>916.8</v>
      </c>
      <c r="Y57" s="274">
        <f>IFERROR(SUMPRODUCT(Y52:Y55*H52:H55),"0")</f>
        <v>916.8</v>
      </c>
      <c r="Z57" s="37"/>
      <c r="AA57" s="275"/>
      <c r="AB57" s="275"/>
      <c r="AC57" s="275"/>
    </row>
    <row r="58" spans="1:68" ht="16.5" customHeight="1" x14ac:dyDescent="0.25">
      <c r="A58" s="288" t="s">
        <v>125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67"/>
      <c r="AB58" s="267"/>
      <c r="AC58" s="267"/>
    </row>
    <row r="59" spans="1:68" ht="14.25" customHeight="1" x14ac:dyDescent="0.25">
      <c r="A59" s="304" t="s">
        <v>63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2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3"/>
      <c r="P61" s="281" t="s">
        <v>82</v>
      </c>
      <c r="Q61" s="282"/>
      <c r="R61" s="282"/>
      <c r="S61" s="282"/>
      <c r="T61" s="282"/>
      <c r="U61" s="282"/>
      <c r="V61" s="283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3"/>
      <c r="P62" s="281" t="s">
        <v>82</v>
      </c>
      <c r="Q62" s="282"/>
      <c r="R62" s="282"/>
      <c r="S62" s="282"/>
      <c r="T62" s="282"/>
      <c r="U62" s="282"/>
      <c r="V62" s="283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304" t="s">
        <v>92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2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3"/>
      <c r="P65" s="281" t="s">
        <v>82</v>
      </c>
      <c r="Q65" s="282"/>
      <c r="R65" s="282"/>
      <c r="S65" s="282"/>
      <c r="T65" s="282"/>
      <c r="U65" s="282"/>
      <c r="V65" s="283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3"/>
      <c r="P66" s="281" t="s">
        <v>82</v>
      </c>
      <c r="Q66" s="282"/>
      <c r="R66" s="282"/>
      <c r="S66" s="282"/>
      <c r="T66" s="282"/>
      <c r="U66" s="282"/>
      <c r="V66" s="283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304" t="s">
        <v>132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2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3"/>
      <c r="P70" s="281" t="s">
        <v>82</v>
      </c>
      <c r="Q70" s="282"/>
      <c r="R70" s="282"/>
      <c r="S70" s="282"/>
      <c r="T70" s="282"/>
      <c r="U70" s="282"/>
      <c r="V70" s="283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3"/>
      <c r="P71" s="281" t="s">
        <v>82</v>
      </c>
      <c r="Q71" s="282"/>
      <c r="R71" s="282"/>
      <c r="S71" s="282"/>
      <c r="T71" s="282"/>
      <c r="U71" s="282"/>
      <c r="V71" s="283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304" t="s">
        <v>138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28</v>
      </c>
      <c r="Y75" s="273">
        <f>IFERROR(IF(X75="","",X75),"")</f>
        <v>28</v>
      </c>
      <c r="Z75" s="36">
        <f>IFERROR(IF(X75="","",X75*0.00941),"")</f>
        <v>0.26347999999999999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43.68</v>
      </c>
      <c r="BN75" s="67">
        <f>IFERROR(Y75*I75,"0")</f>
        <v>43.68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92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3"/>
      <c r="P76" s="281" t="s">
        <v>82</v>
      </c>
      <c r="Q76" s="282"/>
      <c r="R76" s="282"/>
      <c r="S76" s="282"/>
      <c r="T76" s="282"/>
      <c r="U76" s="282"/>
      <c r="V76" s="283"/>
      <c r="W76" s="37" t="s">
        <v>69</v>
      </c>
      <c r="X76" s="274">
        <f>IFERROR(SUM(X73:X75),"0")</f>
        <v>28</v>
      </c>
      <c r="Y76" s="274">
        <f>IFERROR(SUM(Y73:Y75),"0")</f>
        <v>28</v>
      </c>
      <c r="Z76" s="274">
        <f>IFERROR(IF(Z73="",0,Z73),"0")+IFERROR(IF(Z74="",0,Z74),"0")+IFERROR(IF(Z75="",0,Z75),"0")</f>
        <v>0.26347999999999999</v>
      </c>
      <c r="AA76" s="275"/>
      <c r="AB76" s="275"/>
      <c r="AC76" s="275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3"/>
      <c r="P77" s="281" t="s">
        <v>82</v>
      </c>
      <c r="Q77" s="282"/>
      <c r="R77" s="282"/>
      <c r="S77" s="282"/>
      <c r="T77" s="282"/>
      <c r="U77" s="282"/>
      <c r="V77" s="283"/>
      <c r="W77" s="37" t="s">
        <v>83</v>
      </c>
      <c r="X77" s="274">
        <f>IFERROR(SUMPRODUCT(X73:X75*H73:H75),"0")</f>
        <v>33.6</v>
      </c>
      <c r="Y77" s="274">
        <f>IFERROR(SUMPRODUCT(Y73:Y75*H73:H75),"0")</f>
        <v>33.6</v>
      </c>
      <c r="Z77" s="37"/>
      <c r="AA77" s="275"/>
      <c r="AB77" s="275"/>
      <c r="AC77" s="275"/>
    </row>
    <row r="78" spans="1:68" ht="16.5" customHeight="1" x14ac:dyDescent="0.25">
      <c r="A78" s="288" t="s">
        <v>146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67"/>
      <c r="AB78" s="267"/>
      <c r="AC78" s="267"/>
    </row>
    <row r="79" spans="1:68" ht="14.25" customHeight="1" x14ac:dyDescent="0.25">
      <c r="A79" s="304" t="s">
        <v>63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216</v>
      </c>
      <c r="Y81" s="273">
        <f>IFERROR(IF(X81="","",X81),"")</f>
        <v>216</v>
      </c>
      <c r="Z81" s="36">
        <f>IFERROR(IF(X81="","",X81*0.00866),"")</f>
        <v>1.8705599999999998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1126.0511999999999</v>
      </c>
      <c r="BN81" s="67">
        <f>IFERROR(Y81*I81,"0")</f>
        <v>1126.0511999999999</v>
      </c>
      <c r="BO81" s="67">
        <f>IFERROR(X81/J81,"0")</f>
        <v>1.5</v>
      </c>
      <c r="BP81" s="67">
        <f>IFERROR(Y81/J81,"0")</f>
        <v>1.5</v>
      </c>
    </row>
    <row r="82" spans="1:68" x14ac:dyDescent="0.2">
      <c r="A82" s="292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3"/>
      <c r="P82" s="281" t="s">
        <v>82</v>
      </c>
      <c r="Q82" s="282"/>
      <c r="R82" s="282"/>
      <c r="S82" s="282"/>
      <c r="T82" s="282"/>
      <c r="U82" s="282"/>
      <c r="V82" s="283"/>
      <c r="W82" s="37" t="s">
        <v>69</v>
      </c>
      <c r="X82" s="274">
        <f>IFERROR(SUM(X80:X81),"0")</f>
        <v>216</v>
      </c>
      <c r="Y82" s="274">
        <f>IFERROR(SUM(Y80:Y81),"0")</f>
        <v>216</v>
      </c>
      <c r="Z82" s="274">
        <f>IFERROR(IF(Z80="",0,Z80),"0")+IFERROR(IF(Z81="",0,Z81),"0")</f>
        <v>1.8705599999999998</v>
      </c>
      <c r="AA82" s="275"/>
      <c r="AB82" s="275"/>
      <c r="AC82" s="275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3"/>
      <c r="P83" s="281" t="s">
        <v>82</v>
      </c>
      <c r="Q83" s="282"/>
      <c r="R83" s="282"/>
      <c r="S83" s="282"/>
      <c r="T83" s="282"/>
      <c r="U83" s="282"/>
      <c r="V83" s="283"/>
      <c r="W83" s="37" t="s">
        <v>83</v>
      </c>
      <c r="X83" s="274">
        <f>IFERROR(SUMPRODUCT(X80:X81*H80:H81),"0")</f>
        <v>1080</v>
      </c>
      <c r="Y83" s="274">
        <f>IFERROR(SUMPRODUCT(Y80:Y81*H80:H81),"0")</f>
        <v>1080</v>
      </c>
      <c r="Z83" s="37"/>
      <c r="AA83" s="275"/>
      <c r="AB83" s="275"/>
      <c r="AC83" s="275"/>
    </row>
    <row r="84" spans="1:68" ht="16.5" customHeight="1" x14ac:dyDescent="0.25">
      <c r="A84" s="288" t="s">
        <v>153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67"/>
      <c r="AB84" s="267"/>
      <c r="AC84" s="267"/>
    </row>
    <row r="85" spans="1:68" ht="14.25" customHeight="1" x14ac:dyDescent="0.25">
      <c r="A85" s="304" t="s">
        <v>138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3"/>
      <c r="P87" s="281" t="s">
        <v>82</v>
      </c>
      <c r="Q87" s="282"/>
      <c r="R87" s="282"/>
      <c r="S87" s="282"/>
      <c r="T87" s="282"/>
      <c r="U87" s="282"/>
      <c r="V87" s="283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3"/>
      <c r="P88" s="281" t="s">
        <v>82</v>
      </c>
      <c r="Q88" s="282"/>
      <c r="R88" s="282"/>
      <c r="S88" s="282"/>
      <c r="T88" s="282"/>
      <c r="U88" s="282"/>
      <c r="V88" s="283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customHeight="1" x14ac:dyDescent="0.25">
      <c r="A89" s="288" t="s">
        <v>157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67"/>
      <c r="AB89" s="267"/>
      <c r="AC89" s="267"/>
    </row>
    <row r="90" spans="1:68" ht="14.25" customHeight="1" x14ac:dyDescent="0.25">
      <c r="A90" s="304" t="s">
        <v>158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40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14</v>
      </c>
      <c r="Y91" s="273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2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3"/>
      <c r="P93" s="281" t="s">
        <v>82</v>
      </c>
      <c r="Q93" s="282"/>
      <c r="R93" s="282"/>
      <c r="S93" s="282"/>
      <c r="T93" s="282"/>
      <c r="U93" s="282"/>
      <c r="V93" s="283"/>
      <c r="W93" s="37" t="s">
        <v>69</v>
      </c>
      <c r="X93" s="274">
        <f>IFERROR(SUM(X91:X92),"0")</f>
        <v>14</v>
      </c>
      <c r="Y93" s="274">
        <f>IFERROR(SUM(Y91:Y92),"0")</f>
        <v>14</v>
      </c>
      <c r="Z93" s="274">
        <f>IFERROR(IF(Z91="",0,Z91),"0")+IFERROR(IF(Z92="",0,Z92),"0")</f>
        <v>0.25031999999999999</v>
      </c>
      <c r="AA93" s="275"/>
      <c r="AB93" s="275"/>
      <c r="AC93" s="275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3"/>
      <c r="P94" s="281" t="s">
        <v>82</v>
      </c>
      <c r="Q94" s="282"/>
      <c r="R94" s="282"/>
      <c r="S94" s="282"/>
      <c r="T94" s="282"/>
      <c r="U94" s="282"/>
      <c r="V94" s="283"/>
      <c r="W94" s="37" t="s">
        <v>83</v>
      </c>
      <c r="X94" s="274">
        <f>IFERROR(SUMPRODUCT(X91:X92*H91:H92),"0")</f>
        <v>50.4</v>
      </c>
      <c r="Y94" s="274">
        <f>IFERROR(SUMPRODUCT(Y91:Y92*H91:H92),"0")</f>
        <v>50.4</v>
      </c>
      <c r="Z94" s="37"/>
      <c r="AA94" s="275"/>
      <c r="AB94" s="275"/>
      <c r="AC94" s="275"/>
    </row>
    <row r="95" spans="1:68" ht="16.5" customHeight="1" x14ac:dyDescent="0.25">
      <c r="A95" s="288" t="s">
        <v>165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67"/>
      <c r="AB95" s="267"/>
      <c r="AC95" s="267"/>
    </row>
    <row r="96" spans="1:68" ht="14.25" customHeight="1" x14ac:dyDescent="0.25">
      <c r="A96" s="304" t="s">
        <v>138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14</v>
      </c>
      <c r="Y97" s="273">
        <f t="shared" ref="Y97:Y103" si="6">IFERROR(IF(X97="","",X97),"")</f>
        <v>14</v>
      </c>
      <c r="Z97" s="36">
        <f t="shared" ref="Z97:Z103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3" si="8">IFERROR(X97*I97,"0")</f>
        <v>50.170400000000001</v>
      </c>
      <c r="BN97" s="67">
        <f t="shared" ref="BN97:BN103" si="9">IFERROR(Y97*I97,"0")</f>
        <v>50.170400000000001</v>
      </c>
      <c r="BO97" s="67">
        <f t="shared" ref="BO97:BO103" si="10">IFERROR(X97/J97,"0")</f>
        <v>0.2</v>
      </c>
      <c r="BP97" s="67">
        <f t="shared" ref="BP97:BP103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84</v>
      </c>
      <c r="Y98" s="273">
        <f t="shared" si="6"/>
        <v>84</v>
      </c>
      <c r="Z98" s="36">
        <f t="shared" si="7"/>
        <v>1.5019199999999999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84</v>
      </c>
      <c r="Y100" s="273">
        <f t="shared" si="6"/>
        <v>84</v>
      </c>
      <c r="Z100" s="36">
        <f t="shared" si="7"/>
        <v>1.5019199999999999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6">
        <v>4607111035028</v>
      </c>
      <c r="E101" s="277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6">
        <v>4607111036407</v>
      </c>
      <c r="E102" s="277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180</v>
      </c>
      <c r="B103" s="54" t="s">
        <v>181</v>
      </c>
      <c r="C103" s="31">
        <v>4301135849</v>
      </c>
      <c r="D103" s="276">
        <v>4620207491423</v>
      </c>
      <c r="E103" s="277"/>
      <c r="F103" s="271">
        <v>0.22</v>
      </c>
      <c r="G103" s="32">
        <v>12</v>
      </c>
      <c r="H103" s="271">
        <v>2.64</v>
      </c>
      <c r="I103" s="271">
        <v>3.34</v>
      </c>
      <c r="J103" s="32">
        <v>70</v>
      </c>
      <c r="K103" s="32" t="s">
        <v>95</v>
      </c>
      <c r="L103" s="32" t="s">
        <v>67</v>
      </c>
      <c r="M103" s="33" t="s">
        <v>68</v>
      </c>
      <c r="N103" s="33"/>
      <c r="O103" s="32">
        <v>180</v>
      </c>
      <c r="P103" s="330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56</v>
      </c>
      <c r="Y103" s="273">
        <f t="shared" si="6"/>
        <v>56</v>
      </c>
      <c r="Z103" s="36">
        <f t="shared" si="7"/>
        <v>1.0012799999999999</v>
      </c>
      <c r="AA103" s="56"/>
      <c r="AB103" s="57"/>
      <c r="AC103" s="142" t="s">
        <v>182</v>
      </c>
      <c r="AG103" s="67"/>
      <c r="AJ103" s="71" t="s">
        <v>71</v>
      </c>
      <c r="AK103" s="71">
        <v>1</v>
      </c>
      <c r="BB103" s="143" t="s">
        <v>99</v>
      </c>
      <c r="BM103" s="67">
        <f t="shared" si="8"/>
        <v>187.04</v>
      </c>
      <c r="BN103" s="67">
        <f t="shared" si="9"/>
        <v>187.04</v>
      </c>
      <c r="BO103" s="67">
        <f t="shared" si="10"/>
        <v>0.8</v>
      </c>
      <c r="BP103" s="67">
        <f t="shared" si="11"/>
        <v>0.8</v>
      </c>
    </row>
    <row r="104" spans="1:68" x14ac:dyDescent="0.2">
      <c r="A104" s="292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3"/>
      <c r="P104" s="281" t="s">
        <v>82</v>
      </c>
      <c r="Q104" s="282"/>
      <c r="R104" s="282"/>
      <c r="S104" s="282"/>
      <c r="T104" s="282"/>
      <c r="U104" s="282"/>
      <c r="V104" s="283"/>
      <c r="W104" s="37" t="s">
        <v>69</v>
      </c>
      <c r="X104" s="274">
        <f>IFERROR(SUM(X97:X103),"0")</f>
        <v>238</v>
      </c>
      <c r="Y104" s="274">
        <f>IFERROR(SUM(Y97:Y103),"0")</f>
        <v>238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4.2554400000000001</v>
      </c>
      <c r="AA104" s="275"/>
      <c r="AB104" s="275"/>
      <c r="AC104" s="275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3"/>
      <c r="P105" s="281" t="s">
        <v>82</v>
      </c>
      <c r="Q105" s="282"/>
      <c r="R105" s="282"/>
      <c r="S105" s="282"/>
      <c r="T105" s="282"/>
      <c r="U105" s="282"/>
      <c r="V105" s="283"/>
      <c r="W105" s="37" t="s">
        <v>83</v>
      </c>
      <c r="X105" s="274">
        <f>IFERROR(SUMPRODUCT(X97:X103*H97:H103),"0")</f>
        <v>672</v>
      </c>
      <c r="Y105" s="274">
        <f>IFERROR(SUMPRODUCT(Y97:Y103*H97:H103),"0")</f>
        <v>672</v>
      </c>
      <c r="Z105" s="37"/>
      <c r="AA105" s="275"/>
      <c r="AB105" s="275"/>
      <c r="AC105" s="275"/>
    </row>
    <row r="106" spans="1:68" ht="16.5" customHeight="1" x14ac:dyDescent="0.25">
      <c r="A106" s="288" t="s">
        <v>183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7"/>
      <c r="AB106" s="267"/>
      <c r="AC106" s="267"/>
    </row>
    <row r="107" spans="1:68" ht="14.25" customHeight="1" x14ac:dyDescent="0.25">
      <c r="A107" s="304" t="s">
        <v>132</v>
      </c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66"/>
      <c r="AB107" s="266"/>
      <c r="AC107" s="266"/>
    </row>
    <row r="108" spans="1:68" ht="27" customHeight="1" x14ac:dyDescent="0.25">
      <c r="A108" s="54" t="s">
        <v>184</v>
      </c>
      <c r="B108" s="54" t="s">
        <v>185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108</v>
      </c>
      <c r="M108" s="33" t="s">
        <v>68</v>
      </c>
      <c r="N108" s="33"/>
      <c r="O108" s="32">
        <v>180</v>
      </c>
      <c r="P108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28</v>
      </c>
      <c r="Y108" s="273">
        <f>IFERROR(IF(X108="","",X108),"")</f>
        <v>28</v>
      </c>
      <c r="Z108" s="36">
        <f>IFERROR(IF(X108="","",X108*0.00936),"")</f>
        <v>0.26207999999999998</v>
      </c>
      <c r="AA108" s="56"/>
      <c r="AB108" s="57"/>
      <c r="AC108" s="144" t="s">
        <v>186</v>
      </c>
      <c r="AG108" s="67"/>
      <c r="AJ108" s="71" t="s">
        <v>110</v>
      </c>
      <c r="AK108" s="71">
        <v>14</v>
      </c>
      <c r="BB108" s="145" t="s">
        <v>99</v>
      </c>
      <c r="BM108" s="67">
        <f>IFERROR(X108*I108,"0")</f>
        <v>69.753600000000006</v>
      </c>
      <c r="BN108" s="67">
        <f>IFERROR(Y108*I108,"0")</f>
        <v>69.753600000000006</v>
      </c>
      <c r="BO108" s="67">
        <f>IFERROR(X108/J108,"0")</f>
        <v>0.22222222222222221</v>
      </c>
      <c r="BP108" s="67">
        <f>IFERROR(Y108/J108,"0")</f>
        <v>0.22222222222222221</v>
      </c>
    </row>
    <row r="109" spans="1:68" ht="27" customHeight="1" x14ac:dyDescent="0.25">
      <c r="A109" s="54" t="s">
        <v>187</v>
      </c>
      <c r="B109" s="54" t="s">
        <v>188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67</v>
      </c>
      <c r="M109" s="33" t="s">
        <v>68</v>
      </c>
      <c r="N109" s="33"/>
      <c r="O109" s="32">
        <v>180</v>
      </c>
      <c r="P109" s="41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156</v>
      </c>
      <c r="AG109" s="67"/>
      <c r="AJ109" s="71" t="s">
        <v>71</v>
      </c>
      <c r="AK109" s="71">
        <v>1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x14ac:dyDescent="0.2">
      <c r="A110" s="292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3"/>
      <c r="P110" s="281" t="s">
        <v>82</v>
      </c>
      <c r="Q110" s="282"/>
      <c r="R110" s="282"/>
      <c r="S110" s="282"/>
      <c r="T110" s="282"/>
      <c r="U110" s="282"/>
      <c r="V110" s="283"/>
      <c r="W110" s="37" t="s">
        <v>69</v>
      </c>
      <c r="X110" s="274">
        <f>IFERROR(SUM(X108:X109),"0")</f>
        <v>28</v>
      </c>
      <c r="Y110" s="274">
        <f>IFERROR(SUM(Y108:Y109),"0")</f>
        <v>28</v>
      </c>
      <c r="Z110" s="274">
        <f>IFERROR(IF(Z108="",0,Z108),"0")+IFERROR(IF(Z109="",0,Z109),"0")</f>
        <v>0.26207999999999998</v>
      </c>
      <c r="AA110" s="275"/>
      <c r="AB110" s="275"/>
      <c r="AC110" s="275"/>
    </row>
    <row r="111" spans="1:68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3"/>
      <c r="P111" s="281" t="s">
        <v>82</v>
      </c>
      <c r="Q111" s="282"/>
      <c r="R111" s="282"/>
      <c r="S111" s="282"/>
      <c r="T111" s="282"/>
      <c r="U111" s="282"/>
      <c r="V111" s="283"/>
      <c r="W111" s="37" t="s">
        <v>83</v>
      </c>
      <c r="X111" s="274">
        <f>IFERROR(SUMPRODUCT(X108:X109*H108:H109),"0")</f>
        <v>60.480000000000004</v>
      </c>
      <c r="Y111" s="274">
        <f>IFERROR(SUMPRODUCT(Y108:Y109*H108:H109),"0")</f>
        <v>60.480000000000004</v>
      </c>
      <c r="Z111" s="37"/>
      <c r="AA111" s="275"/>
      <c r="AB111" s="275"/>
      <c r="AC111" s="275"/>
    </row>
    <row r="112" spans="1:68" ht="16.5" customHeight="1" x14ac:dyDescent="0.25">
      <c r="A112" s="288" t="s">
        <v>189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7"/>
      <c r="AB112" s="267"/>
      <c r="AC112" s="267"/>
    </row>
    <row r="113" spans="1:68" ht="14.25" customHeight="1" x14ac:dyDescent="0.25">
      <c r="A113" s="304" t="s">
        <v>63</v>
      </c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66"/>
      <c r="AB113" s="266"/>
      <c r="AC113" s="266"/>
    </row>
    <row r="114" spans="1:68" ht="27" customHeight="1" x14ac:dyDescent="0.25">
      <c r="A114" s="54" t="s">
        <v>190</v>
      </c>
      <c r="B114" s="54" t="s">
        <v>191</v>
      </c>
      <c r="C114" s="31">
        <v>4301071074</v>
      </c>
      <c r="D114" s="276">
        <v>4620207491157</v>
      </c>
      <c r="E114" s="277"/>
      <c r="F114" s="271">
        <v>0.7</v>
      </c>
      <c r="G114" s="32">
        <v>10</v>
      </c>
      <c r="H114" s="271">
        <v>7</v>
      </c>
      <c r="I114" s="271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120</v>
      </c>
      <c r="Y114" s="273">
        <f t="shared" ref="Y114:Y121" si="12">IFERROR(IF(X114="","",X114),"")</f>
        <v>120</v>
      </c>
      <c r="Z114" s="36">
        <f t="shared" ref="Z114:Z121" si="13">IFERROR(IF(X114="","",X114*0.0155),"")</f>
        <v>1.8599999999999999</v>
      </c>
      <c r="AA114" s="56"/>
      <c r="AB114" s="57"/>
      <c r="AC114" s="148" t="s">
        <v>192</v>
      </c>
      <c r="AG114" s="67"/>
      <c r="AJ114" s="71" t="s">
        <v>110</v>
      </c>
      <c r="AK114" s="71">
        <v>12</v>
      </c>
      <c r="BB114" s="149" t="s">
        <v>1</v>
      </c>
      <c r="BM114" s="67">
        <f t="shared" ref="BM114:BM121" si="14">IFERROR(X114*I114,"0")</f>
        <v>873.6</v>
      </c>
      <c r="BN114" s="67">
        <f t="shared" ref="BN114:BN121" si="15">IFERROR(Y114*I114,"0")</f>
        <v>873.6</v>
      </c>
      <c r="BO114" s="67">
        <f t="shared" ref="BO114:BO121" si="16">IFERROR(X114/J114,"0")</f>
        <v>1.4285714285714286</v>
      </c>
      <c r="BP114" s="67">
        <f t="shared" ref="BP114:BP121" si="17">IFERROR(Y114/J114,"0")</f>
        <v>1.4285714285714286</v>
      </c>
    </row>
    <row r="115" spans="1:68" ht="27" customHeight="1" x14ac:dyDescent="0.25">
      <c r="A115" s="54" t="s">
        <v>193</v>
      </c>
      <c r="B115" s="54" t="s">
        <v>194</v>
      </c>
      <c r="C115" s="31">
        <v>4301071121</v>
      </c>
      <c r="D115" s="276">
        <v>4620207491393</v>
      </c>
      <c r="E115" s="277"/>
      <c r="F115" s="271">
        <v>0.4</v>
      </c>
      <c r="G115" s="32">
        <v>16</v>
      </c>
      <c r="H115" s="271">
        <v>6.4</v>
      </c>
      <c r="I115" s="271">
        <v>6.71</v>
      </c>
      <c r="J115" s="32">
        <v>84</v>
      </c>
      <c r="K115" s="32" t="s">
        <v>66</v>
      </c>
      <c r="L115" s="32" t="s">
        <v>67</v>
      </c>
      <c r="M115" s="33" t="s">
        <v>68</v>
      </c>
      <c r="N115" s="33"/>
      <c r="O115" s="32">
        <v>180</v>
      </c>
      <c r="P115" s="39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195</v>
      </c>
      <c r="AG115" s="67"/>
      <c r="AJ115" s="71" t="s">
        <v>71</v>
      </c>
      <c r="AK115" s="71">
        <v>1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108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36</v>
      </c>
      <c r="Y116" s="273">
        <f t="shared" si="12"/>
        <v>36</v>
      </c>
      <c r="Z116" s="36">
        <f t="shared" si="13"/>
        <v>0.55800000000000005</v>
      </c>
      <c r="AA116" s="56"/>
      <c r="AB116" s="57"/>
      <c r="AC116" s="152" t="s">
        <v>150</v>
      </c>
      <c r="AG116" s="67"/>
      <c r="AJ116" s="71" t="s">
        <v>110</v>
      </c>
      <c r="AK116" s="71">
        <v>12</v>
      </c>
      <c r="BB116" s="153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198</v>
      </c>
      <c r="B117" s="54" t="s">
        <v>199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108</v>
      </c>
      <c r="Y117" s="273">
        <f t="shared" si="12"/>
        <v>108</v>
      </c>
      <c r="Z117" s="36">
        <f t="shared" si="13"/>
        <v>1.6739999999999999</v>
      </c>
      <c r="AA117" s="56"/>
      <c r="AB117" s="57"/>
      <c r="AC117" s="154" t="s">
        <v>150</v>
      </c>
      <c r="AG117" s="67"/>
      <c r="AJ117" s="71" t="s">
        <v>98</v>
      </c>
      <c r="AK117" s="71">
        <v>84</v>
      </c>
      <c r="BB117" s="155" t="s">
        <v>1</v>
      </c>
      <c r="BM117" s="67">
        <f t="shared" si="14"/>
        <v>788.4</v>
      </c>
      <c r="BN117" s="67">
        <f t="shared" si="15"/>
        <v>788.4</v>
      </c>
      <c r="BO117" s="67">
        <f t="shared" si="16"/>
        <v>1.2857142857142858</v>
      </c>
      <c r="BP117" s="67">
        <f t="shared" si="17"/>
        <v>1.2857142857142858</v>
      </c>
    </row>
    <row r="118" spans="1:68" ht="27" customHeight="1" x14ac:dyDescent="0.25">
      <c r="A118" s="54" t="s">
        <v>200</v>
      </c>
      <c r="B118" s="54" t="s">
        <v>201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202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108</v>
      </c>
      <c r="M119" s="33" t="s">
        <v>68</v>
      </c>
      <c r="N119" s="33"/>
      <c r="O119" s="32">
        <v>180</v>
      </c>
      <c r="P119" s="35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24</v>
      </c>
      <c r="Y119" s="273">
        <f t="shared" si="12"/>
        <v>24</v>
      </c>
      <c r="Z119" s="36">
        <f t="shared" si="13"/>
        <v>0.372</v>
      </c>
      <c r="AA119" s="56"/>
      <c r="AB119" s="57"/>
      <c r="AC119" s="158" t="s">
        <v>150</v>
      </c>
      <c r="AG119" s="67"/>
      <c r="AJ119" s="71" t="s">
        <v>110</v>
      </c>
      <c r="AK119" s="71">
        <v>12</v>
      </c>
      <c r="BB119" s="159" t="s">
        <v>1</v>
      </c>
      <c r="BM119" s="67">
        <f t="shared" si="14"/>
        <v>161.2704</v>
      </c>
      <c r="BN119" s="67">
        <f t="shared" si="15"/>
        <v>161.2704</v>
      </c>
      <c r="BO119" s="67">
        <f t="shared" si="16"/>
        <v>0.2857142857142857</v>
      </c>
      <c r="BP119" s="67">
        <f t="shared" si="17"/>
        <v>0.2857142857142857</v>
      </c>
    </row>
    <row r="120" spans="1:68" ht="27" customHeight="1" x14ac:dyDescent="0.25">
      <c r="A120" s="54" t="s">
        <v>205</v>
      </c>
      <c r="B120" s="54" t="s">
        <v>206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156</v>
      </c>
      <c r="Y120" s="273">
        <f t="shared" si="12"/>
        <v>156</v>
      </c>
      <c r="Z120" s="36">
        <f t="shared" si="13"/>
        <v>2.4180000000000001</v>
      </c>
      <c r="AA120" s="56"/>
      <c r="AB120" s="57"/>
      <c r="AC120" s="160" t="s">
        <v>150</v>
      </c>
      <c r="AG120" s="67"/>
      <c r="AJ120" s="71" t="s">
        <v>98</v>
      </c>
      <c r="AK120" s="71">
        <v>84</v>
      </c>
      <c r="BB120" s="161" t="s">
        <v>1</v>
      </c>
      <c r="BM120" s="67">
        <f t="shared" si="14"/>
        <v>1138.8</v>
      </c>
      <c r="BN120" s="67">
        <f t="shared" si="15"/>
        <v>1138.8</v>
      </c>
      <c r="BO120" s="67">
        <f t="shared" si="16"/>
        <v>1.8571428571428572</v>
      </c>
      <c r="BP120" s="67">
        <f t="shared" si="17"/>
        <v>1.8571428571428572</v>
      </c>
    </row>
    <row r="121" spans="1:68" ht="27" customHeight="1" x14ac:dyDescent="0.25">
      <c r="A121" s="54" t="s">
        <v>207</v>
      </c>
      <c r="B121" s="54" t="s">
        <v>208</v>
      </c>
      <c r="C121" s="31">
        <v>4301071075</v>
      </c>
      <c r="D121" s="276">
        <v>4620207491102</v>
      </c>
      <c r="E121" s="277"/>
      <c r="F121" s="271">
        <v>0.7</v>
      </c>
      <c r="G121" s="32">
        <v>10</v>
      </c>
      <c r="H121" s="271">
        <v>7</v>
      </c>
      <c r="I121" s="271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24</v>
      </c>
      <c r="Y121" s="273">
        <f t="shared" si="12"/>
        <v>24</v>
      </c>
      <c r="Z121" s="36">
        <f t="shared" si="13"/>
        <v>0.372</v>
      </c>
      <c r="AA121" s="56"/>
      <c r="AB121" s="57"/>
      <c r="AC121" s="162" t="s">
        <v>209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173.52</v>
      </c>
      <c r="BN121" s="67">
        <f t="shared" si="15"/>
        <v>173.52</v>
      </c>
      <c r="BO121" s="67">
        <f t="shared" si="16"/>
        <v>0.2857142857142857</v>
      </c>
      <c r="BP121" s="67">
        <f t="shared" si="17"/>
        <v>0.2857142857142857</v>
      </c>
    </row>
    <row r="122" spans="1:68" x14ac:dyDescent="0.2">
      <c r="A122" s="292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3"/>
      <c r="P122" s="281" t="s">
        <v>82</v>
      </c>
      <c r="Q122" s="282"/>
      <c r="R122" s="282"/>
      <c r="S122" s="282"/>
      <c r="T122" s="282"/>
      <c r="U122" s="282"/>
      <c r="V122" s="283"/>
      <c r="W122" s="37" t="s">
        <v>69</v>
      </c>
      <c r="X122" s="274">
        <f>IFERROR(SUM(X114:X121),"0")</f>
        <v>468</v>
      </c>
      <c r="Y122" s="274">
        <f>IFERROR(SUM(Y114:Y121),"0")</f>
        <v>468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7.2540000000000004</v>
      </c>
      <c r="AA122" s="275"/>
      <c r="AB122" s="275"/>
      <c r="AC122" s="275"/>
    </row>
    <row r="123" spans="1:68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3"/>
      <c r="P123" s="281" t="s">
        <v>82</v>
      </c>
      <c r="Q123" s="282"/>
      <c r="R123" s="282"/>
      <c r="S123" s="282"/>
      <c r="T123" s="282"/>
      <c r="U123" s="282"/>
      <c r="V123" s="283"/>
      <c r="W123" s="37" t="s">
        <v>83</v>
      </c>
      <c r="X123" s="274">
        <f>IFERROR(SUMPRODUCT(X114:X121*H114:H121),"0")</f>
        <v>3240</v>
      </c>
      <c r="Y123" s="274">
        <f>IFERROR(SUMPRODUCT(Y114:Y121*H114:H121),"0")</f>
        <v>3240</v>
      </c>
      <c r="Z123" s="37"/>
      <c r="AA123" s="275"/>
      <c r="AB123" s="275"/>
      <c r="AC123" s="275"/>
    </row>
    <row r="124" spans="1:68" ht="14.25" customHeight="1" x14ac:dyDescent="0.25">
      <c r="A124" s="304" t="s">
        <v>138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66"/>
      <c r="AB124" s="266"/>
      <c r="AC124" s="266"/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2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2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3"/>
      <c r="P126" s="281" t="s">
        <v>82</v>
      </c>
      <c r="Q126" s="282"/>
      <c r="R126" s="282"/>
      <c r="S126" s="282"/>
      <c r="T126" s="282"/>
      <c r="U126" s="282"/>
      <c r="V126" s="283"/>
      <c r="W126" s="37" t="s">
        <v>69</v>
      </c>
      <c r="X126" s="274">
        <f>IFERROR(SUM(X125:X125),"0")</f>
        <v>14</v>
      </c>
      <c r="Y126" s="274">
        <f>IFERROR(SUM(Y125:Y125),"0")</f>
        <v>14</v>
      </c>
      <c r="Z126" s="274">
        <f>IFERROR(IF(Z125="",0,Z125),"0")</f>
        <v>0.25031999999999999</v>
      </c>
      <c r="AA126" s="275"/>
      <c r="AB126" s="275"/>
      <c r="AC126" s="275"/>
    </row>
    <row r="127" spans="1:68" x14ac:dyDescent="0.2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3"/>
      <c r="P127" s="281" t="s">
        <v>82</v>
      </c>
      <c r="Q127" s="282"/>
      <c r="R127" s="282"/>
      <c r="S127" s="282"/>
      <c r="T127" s="282"/>
      <c r="U127" s="282"/>
      <c r="V127" s="283"/>
      <c r="W127" s="37" t="s">
        <v>83</v>
      </c>
      <c r="X127" s="274">
        <f>IFERROR(SUMPRODUCT(X125:X125*H125:H125),"0")</f>
        <v>36.96</v>
      </c>
      <c r="Y127" s="274">
        <f>IFERROR(SUMPRODUCT(Y125:Y125*H125:H125),"0")</f>
        <v>36.96</v>
      </c>
      <c r="Z127" s="37"/>
      <c r="AA127" s="275"/>
      <c r="AB127" s="275"/>
      <c r="AC127" s="275"/>
    </row>
    <row r="128" spans="1:68" ht="14.25" customHeight="1" x14ac:dyDescent="0.25">
      <c r="A128" s="304" t="s">
        <v>213</v>
      </c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66"/>
      <c r="AB128" s="266"/>
      <c r="AC128" s="266"/>
    </row>
    <row r="129" spans="1:68" ht="27" customHeight="1" x14ac:dyDescent="0.25">
      <c r="A129" s="54" t="s">
        <v>214</v>
      </c>
      <c r="B129" s="54" t="s">
        <v>215</v>
      </c>
      <c r="C129" s="31">
        <v>4301071094</v>
      </c>
      <c r="D129" s="276">
        <v>4620207491140</v>
      </c>
      <c r="E129" s="277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9"/>
      <c r="R129" s="279"/>
      <c r="S129" s="279"/>
      <c r="T129" s="280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2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3"/>
      <c r="P130" s="281" t="s">
        <v>82</v>
      </c>
      <c r="Q130" s="282"/>
      <c r="R130" s="282"/>
      <c r="S130" s="282"/>
      <c r="T130" s="282"/>
      <c r="U130" s="282"/>
      <c r="V130" s="283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3"/>
      <c r="P131" s="281" t="s">
        <v>82</v>
      </c>
      <c r="Q131" s="282"/>
      <c r="R131" s="282"/>
      <c r="S131" s="282"/>
      <c r="T131" s="282"/>
      <c r="U131" s="282"/>
      <c r="V131" s="283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customHeight="1" x14ac:dyDescent="0.25">
      <c r="A132" s="288" t="s">
        <v>217</v>
      </c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67"/>
      <c r="AB132" s="267"/>
      <c r="AC132" s="267"/>
    </row>
    <row r="133" spans="1:68" ht="14.25" customHeight="1" x14ac:dyDescent="0.25">
      <c r="A133" s="304" t="s">
        <v>138</v>
      </c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6">
        <v>4607111034014</v>
      </c>
      <c r="E134" s="277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9"/>
      <c r="R134" s="279"/>
      <c r="S134" s="279"/>
      <c r="T134" s="280"/>
      <c r="U134" s="34"/>
      <c r="V134" s="34"/>
      <c r="W134" s="35" t="s">
        <v>69</v>
      </c>
      <c r="X134" s="272">
        <v>56</v>
      </c>
      <c r="Y134" s="273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6">
        <v>4607111033994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4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140</v>
      </c>
      <c r="Y135" s="273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x14ac:dyDescent="0.2">
      <c r="A136" s="292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3"/>
      <c r="P136" s="281" t="s">
        <v>82</v>
      </c>
      <c r="Q136" s="282"/>
      <c r="R136" s="282"/>
      <c r="S136" s="282"/>
      <c r="T136" s="282"/>
      <c r="U136" s="282"/>
      <c r="V136" s="283"/>
      <c r="W136" s="37" t="s">
        <v>69</v>
      </c>
      <c r="X136" s="274">
        <f>IFERROR(SUM(X134:X135),"0")</f>
        <v>196</v>
      </c>
      <c r="Y136" s="274">
        <f>IFERROR(SUM(Y134:Y135),"0")</f>
        <v>196</v>
      </c>
      <c r="Z136" s="274">
        <f>IFERROR(IF(Z134="",0,Z134),"0")+IFERROR(IF(Z135="",0,Z135),"0")</f>
        <v>3.50448</v>
      </c>
      <c r="AA136" s="275"/>
      <c r="AB136" s="275"/>
      <c r="AC136" s="275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3"/>
      <c r="P137" s="281" t="s">
        <v>82</v>
      </c>
      <c r="Q137" s="282"/>
      <c r="R137" s="282"/>
      <c r="S137" s="282"/>
      <c r="T137" s="282"/>
      <c r="U137" s="282"/>
      <c r="V137" s="283"/>
      <c r="W137" s="37" t="s">
        <v>83</v>
      </c>
      <c r="X137" s="274">
        <f>IFERROR(SUMPRODUCT(X134:X135*H134:H135),"0")</f>
        <v>588</v>
      </c>
      <c r="Y137" s="274">
        <f>IFERROR(SUMPRODUCT(Y134:Y135*H134:H135),"0")</f>
        <v>588</v>
      </c>
      <c r="Z137" s="37"/>
      <c r="AA137" s="275"/>
      <c r="AB137" s="275"/>
      <c r="AC137" s="275"/>
    </row>
    <row r="138" spans="1:68" ht="16.5" customHeight="1" x14ac:dyDescent="0.25">
      <c r="A138" s="288" t="s">
        <v>223</v>
      </c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289"/>
      <c r="W138" s="289"/>
      <c r="X138" s="289"/>
      <c r="Y138" s="289"/>
      <c r="Z138" s="289"/>
      <c r="AA138" s="267"/>
      <c r="AB138" s="267"/>
      <c r="AC138" s="267"/>
    </row>
    <row r="139" spans="1:68" ht="14.25" customHeight="1" x14ac:dyDescent="0.25">
      <c r="A139" s="304" t="s">
        <v>138</v>
      </c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6">
        <v>4607111039095</v>
      </c>
      <c r="E140" s="277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9"/>
      <c r="R140" s="279"/>
      <c r="S140" s="279"/>
      <c r="T140" s="280"/>
      <c r="U140" s="34"/>
      <c r="V140" s="34"/>
      <c r="W140" s="35" t="s">
        <v>69</v>
      </c>
      <c r="X140" s="272">
        <v>28</v>
      </c>
      <c r="Y140" s="273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6">
        <v>4607111034199</v>
      </c>
      <c r="E141" s="277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70</v>
      </c>
      <c r="Y141" s="273">
        <f>IFERROR(IF(X141="","",X141),"")</f>
        <v>70</v>
      </c>
      <c r="Z141" s="36">
        <f>IFERROR(IF(X141="","",X141*0.01788),"")</f>
        <v>1.2516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259.25200000000001</v>
      </c>
      <c r="BN141" s="67">
        <f>IFERROR(Y141*I141,"0")</f>
        <v>259.25200000000001</v>
      </c>
      <c r="BO141" s="67">
        <f>IFERROR(X141/J141,"0")</f>
        <v>1</v>
      </c>
      <c r="BP141" s="67">
        <f>IFERROR(Y141/J141,"0")</f>
        <v>1</v>
      </c>
    </row>
    <row r="142" spans="1:68" x14ac:dyDescent="0.2">
      <c r="A142" s="292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3"/>
      <c r="P142" s="281" t="s">
        <v>82</v>
      </c>
      <c r="Q142" s="282"/>
      <c r="R142" s="282"/>
      <c r="S142" s="282"/>
      <c r="T142" s="282"/>
      <c r="U142" s="282"/>
      <c r="V142" s="283"/>
      <c r="W142" s="37" t="s">
        <v>69</v>
      </c>
      <c r="X142" s="274">
        <f>IFERROR(SUM(X140:X141),"0")</f>
        <v>98</v>
      </c>
      <c r="Y142" s="274">
        <f>IFERROR(SUM(Y140:Y141),"0")</f>
        <v>98</v>
      </c>
      <c r="Z142" s="274">
        <f>IFERROR(IF(Z140="",0,Z140),"0")+IFERROR(IF(Z141="",0,Z141),"0")</f>
        <v>1.75224</v>
      </c>
      <c r="AA142" s="275"/>
      <c r="AB142" s="275"/>
      <c r="AC142" s="275"/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3"/>
      <c r="P143" s="281" t="s">
        <v>82</v>
      </c>
      <c r="Q143" s="282"/>
      <c r="R143" s="282"/>
      <c r="S143" s="282"/>
      <c r="T143" s="282"/>
      <c r="U143" s="282"/>
      <c r="V143" s="283"/>
      <c r="W143" s="37" t="s">
        <v>83</v>
      </c>
      <c r="X143" s="274">
        <f>IFERROR(SUMPRODUCT(X140:X141*H140:H141),"0")</f>
        <v>294</v>
      </c>
      <c r="Y143" s="274">
        <f>IFERROR(SUMPRODUCT(Y140:Y141*H140:H141),"0")</f>
        <v>294</v>
      </c>
      <c r="Z143" s="37"/>
      <c r="AA143" s="275"/>
      <c r="AB143" s="275"/>
      <c r="AC143" s="275"/>
    </row>
    <row r="144" spans="1:68" ht="16.5" customHeight="1" x14ac:dyDescent="0.25">
      <c r="A144" s="288" t="s">
        <v>230</v>
      </c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67"/>
      <c r="AB144" s="267"/>
      <c r="AC144" s="267"/>
    </row>
    <row r="145" spans="1:68" ht="14.25" customHeight="1" x14ac:dyDescent="0.25">
      <c r="A145" s="304" t="s">
        <v>138</v>
      </c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6">
        <v>4620207490914</v>
      </c>
      <c r="E146" s="277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9"/>
      <c r="R146" s="279"/>
      <c r="S146" s="279"/>
      <c r="T146" s="280"/>
      <c r="U146" s="34"/>
      <c r="V146" s="34"/>
      <c r="W146" s="35" t="s">
        <v>69</v>
      </c>
      <c r="X146" s="272">
        <v>42</v>
      </c>
      <c r="Y146" s="273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6">
        <v>4620207490853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42</v>
      </c>
      <c r="Y147" s="273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x14ac:dyDescent="0.2">
      <c r="A148" s="292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93"/>
      <c r="P148" s="281" t="s">
        <v>82</v>
      </c>
      <c r="Q148" s="282"/>
      <c r="R148" s="282"/>
      <c r="S148" s="282"/>
      <c r="T148" s="282"/>
      <c r="U148" s="282"/>
      <c r="V148" s="283"/>
      <c r="W148" s="37" t="s">
        <v>69</v>
      </c>
      <c r="X148" s="274">
        <f>IFERROR(SUM(X146:X147),"0")</f>
        <v>84</v>
      </c>
      <c r="Y148" s="274">
        <f>IFERROR(SUM(Y146:Y147),"0")</f>
        <v>84</v>
      </c>
      <c r="Z148" s="274">
        <f>IFERROR(IF(Z146="",0,Z146),"0")+IFERROR(IF(Z147="",0,Z147),"0")</f>
        <v>1.5019199999999999</v>
      </c>
      <c r="AA148" s="275"/>
      <c r="AB148" s="275"/>
      <c r="AC148" s="275"/>
    </row>
    <row r="149" spans="1:68" x14ac:dyDescent="0.2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3"/>
      <c r="P149" s="281" t="s">
        <v>82</v>
      </c>
      <c r="Q149" s="282"/>
      <c r="R149" s="282"/>
      <c r="S149" s="282"/>
      <c r="T149" s="282"/>
      <c r="U149" s="282"/>
      <c r="V149" s="283"/>
      <c r="W149" s="37" t="s">
        <v>83</v>
      </c>
      <c r="X149" s="274">
        <f>IFERROR(SUMPRODUCT(X146:X147*H146:H147),"0")</f>
        <v>201.6</v>
      </c>
      <c r="Y149" s="274">
        <f>IFERROR(SUMPRODUCT(Y146:Y147*H146:H147),"0")</f>
        <v>201.6</v>
      </c>
      <c r="Z149" s="37"/>
      <c r="AA149" s="275"/>
      <c r="AB149" s="275"/>
      <c r="AC149" s="275"/>
    </row>
    <row r="150" spans="1:68" ht="16.5" customHeight="1" x14ac:dyDescent="0.25">
      <c r="A150" s="288" t="s">
        <v>235</v>
      </c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67"/>
      <c r="AB150" s="267"/>
      <c r="AC150" s="267"/>
    </row>
    <row r="151" spans="1:68" ht="14.25" customHeight="1" x14ac:dyDescent="0.25">
      <c r="A151" s="304" t="s">
        <v>138</v>
      </c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6">
        <v>4607111035806</v>
      </c>
      <c r="E152" s="277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2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9"/>
      <c r="R152" s="279"/>
      <c r="S152" s="279"/>
      <c r="T152" s="280"/>
      <c r="U152" s="34"/>
      <c r="V152" s="34"/>
      <c r="W152" s="35" t="s">
        <v>69</v>
      </c>
      <c r="X152" s="272">
        <v>14</v>
      </c>
      <c r="Y152" s="273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92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93"/>
      <c r="P153" s="281" t="s">
        <v>82</v>
      </c>
      <c r="Q153" s="282"/>
      <c r="R153" s="282"/>
      <c r="S153" s="282"/>
      <c r="T153" s="282"/>
      <c r="U153" s="282"/>
      <c r="V153" s="283"/>
      <c r="W153" s="37" t="s">
        <v>69</v>
      </c>
      <c r="X153" s="274">
        <f>IFERROR(SUM(X152:X152),"0")</f>
        <v>14</v>
      </c>
      <c r="Y153" s="274">
        <f>IFERROR(SUM(Y152:Y152),"0")</f>
        <v>14</v>
      </c>
      <c r="Z153" s="274">
        <f>IFERROR(IF(Z152="",0,Z152),"0")</f>
        <v>0.25031999999999999</v>
      </c>
      <c r="AA153" s="275"/>
      <c r="AB153" s="275"/>
      <c r="AC153" s="275"/>
    </row>
    <row r="154" spans="1:68" x14ac:dyDescent="0.2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93"/>
      <c r="P154" s="281" t="s">
        <v>82</v>
      </c>
      <c r="Q154" s="282"/>
      <c r="R154" s="282"/>
      <c r="S154" s="282"/>
      <c r="T154" s="282"/>
      <c r="U154" s="282"/>
      <c r="V154" s="283"/>
      <c r="W154" s="37" t="s">
        <v>83</v>
      </c>
      <c r="X154" s="274">
        <f>IFERROR(SUMPRODUCT(X152:X152*H152:H152),"0")</f>
        <v>42</v>
      </c>
      <c r="Y154" s="274">
        <f>IFERROR(SUMPRODUCT(Y152:Y152*H152:H152),"0")</f>
        <v>42</v>
      </c>
      <c r="Z154" s="37"/>
      <c r="AA154" s="275"/>
      <c r="AB154" s="275"/>
      <c r="AC154" s="275"/>
    </row>
    <row r="155" spans="1:68" ht="16.5" customHeight="1" x14ac:dyDescent="0.25">
      <c r="A155" s="288" t="s">
        <v>239</v>
      </c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67"/>
      <c r="AB155" s="267"/>
      <c r="AC155" s="267"/>
    </row>
    <row r="156" spans="1:68" ht="14.25" customHeight="1" x14ac:dyDescent="0.25">
      <c r="A156" s="304" t="s">
        <v>138</v>
      </c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6">
        <v>4607111039613</v>
      </c>
      <c r="E157" s="277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9"/>
      <c r="R157" s="279"/>
      <c r="S157" s="279"/>
      <c r="T157" s="280"/>
      <c r="U157" s="34"/>
      <c r="V157" s="34"/>
      <c r="W157" s="35" t="s">
        <v>69</v>
      </c>
      <c r="X157" s="272">
        <v>0</v>
      </c>
      <c r="Y157" s="273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2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93"/>
      <c r="P158" s="281" t="s">
        <v>82</v>
      </c>
      <c r="Q158" s="282"/>
      <c r="R158" s="282"/>
      <c r="S158" s="282"/>
      <c r="T158" s="282"/>
      <c r="U158" s="282"/>
      <c r="V158" s="283"/>
      <c r="W158" s="37" t="s">
        <v>69</v>
      </c>
      <c r="X158" s="274">
        <f>IFERROR(SUM(X157:X157),"0")</f>
        <v>0</v>
      </c>
      <c r="Y158" s="274">
        <f>IFERROR(SUM(Y157:Y157),"0")</f>
        <v>0</v>
      </c>
      <c r="Z158" s="274">
        <f>IFERROR(IF(Z157="",0,Z157),"0")</f>
        <v>0</v>
      </c>
      <c r="AA158" s="275"/>
      <c r="AB158" s="275"/>
      <c r="AC158" s="275"/>
    </row>
    <row r="159" spans="1:68" x14ac:dyDescent="0.2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93"/>
      <c r="P159" s="281" t="s">
        <v>82</v>
      </c>
      <c r="Q159" s="282"/>
      <c r="R159" s="282"/>
      <c r="S159" s="282"/>
      <c r="T159" s="282"/>
      <c r="U159" s="282"/>
      <c r="V159" s="283"/>
      <c r="W159" s="37" t="s">
        <v>83</v>
      </c>
      <c r="X159" s="274">
        <f>IFERROR(SUMPRODUCT(X157:X157*H157:H157),"0")</f>
        <v>0</v>
      </c>
      <c r="Y159" s="274">
        <f>IFERROR(SUMPRODUCT(Y157:Y157*H157:H157),"0")</f>
        <v>0</v>
      </c>
      <c r="Z159" s="37"/>
      <c r="AA159" s="275"/>
      <c r="AB159" s="275"/>
      <c r="AC159" s="275"/>
    </row>
    <row r="160" spans="1:68" ht="16.5" customHeight="1" x14ac:dyDescent="0.25">
      <c r="A160" s="288" t="s">
        <v>242</v>
      </c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67"/>
      <c r="AB160" s="267"/>
      <c r="AC160" s="267"/>
    </row>
    <row r="161" spans="1:68" ht="14.25" customHeight="1" x14ac:dyDescent="0.25">
      <c r="A161" s="304" t="s">
        <v>213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66"/>
      <c r="AB161" s="266"/>
      <c r="AC161" s="266"/>
    </row>
    <row r="162" spans="1:68" ht="27" customHeight="1" x14ac:dyDescent="0.25">
      <c r="A162" s="54" t="s">
        <v>243</v>
      </c>
      <c r="B162" s="54" t="s">
        <v>244</v>
      </c>
      <c r="C162" s="31">
        <v>4301135540</v>
      </c>
      <c r="D162" s="276">
        <v>4607111035646</v>
      </c>
      <c r="E162" s="277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2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9"/>
      <c r="R162" s="279"/>
      <c r="S162" s="279"/>
      <c r="T162" s="280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3"/>
      <c r="P163" s="281" t="s">
        <v>82</v>
      </c>
      <c r="Q163" s="282"/>
      <c r="R163" s="282"/>
      <c r="S163" s="282"/>
      <c r="T163" s="282"/>
      <c r="U163" s="282"/>
      <c r="V163" s="283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3"/>
      <c r="P164" s="281" t="s">
        <v>82</v>
      </c>
      <c r="Q164" s="282"/>
      <c r="R164" s="282"/>
      <c r="S164" s="282"/>
      <c r="T164" s="282"/>
      <c r="U164" s="282"/>
      <c r="V164" s="283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customHeight="1" x14ac:dyDescent="0.25">
      <c r="A165" s="288" t="s">
        <v>247</v>
      </c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67"/>
      <c r="AB165" s="267"/>
      <c r="AC165" s="267"/>
    </row>
    <row r="166" spans="1:68" ht="14.25" customHeight="1" x14ac:dyDescent="0.25">
      <c r="A166" s="304" t="s">
        <v>138</v>
      </c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66"/>
      <c r="AB166" s="266"/>
      <c r="AC166" s="266"/>
    </row>
    <row r="167" spans="1:68" ht="27" customHeight="1" x14ac:dyDescent="0.25">
      <c r="A167" s="54" t="s">
        <v>248</v>
      </c>
      <c r="B167" s="54" t="s">
        <v>249</v>
      </c>
      <c r="C167" s="31">
        <v>4301135591</v>
      </c>
      <c r="D167" s="276">
        <v>4607111036568</v>
      </c>
      <c r="E167" s="277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9"/>
      <c r="R167" s="279"/>
      <c r="S167" s="279"/>
      <c r="T167" s="280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2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93"/>
      <c r="P168" s="281" t="s">
        <v>82</v>
      </c>
      <c r="Q168" s="282"/>
      <c r="R168" s="282"/>
      <c r="S168" s="282"/>
      <c r="T168" s="282"/>
      <c r="U168" s="282"/>
      <c r="V168" s="283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x14ac:dyDescent="0.2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93"/>
      <c r="P169" s="281" t="s">
        <v>82</v>
      </c>
      <c r="Q169" s="282"/>
      <c r="R169" s="282"/>
      <c r="S169" s="282"/>
      <c r="T169" s="282"/>
      <c r="U169" s="282"/>
      <c r="V169" s="283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customHeight="1" x14ac:dyDescent="0.2">
      <c r="A170" s="286" t="s">
        <v>251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48"/>
      <c r="AB170" s="48"/>
      <c r="AC170" s="48"/>
    </row>
    <row r="171" spans="1:68" ht="16.5" customHeight="1" x14ac:dyDescent="0.25">
      <c r="A171" s="288" t="s">
        <v>252</v>
      </c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67"/>
      <c r="AB171" s="267"/>
      <c r="AC171" s="267"/>
    </row>
    <row r="172" spans="1:68" ht="14.25" customHeight="1" x14ac:dyDescent="0.25">
      <c r="A172" s="304" t="s">
        <v>63</v>
      </c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66"/>
      <c r="AB172" s="266"/>
      <c r="AC172" s="266"/>
    </row>
    <row r="173" spans="1:68" ht="16.5" customHeight="1" x14ac:dyDescent="0.25">
      <c r="A173" s="54" t="s">
        <v>253</v>
      </c>
      <c r="B173" s="54" t="s">
        <v>254</v>
      </c>
      <c r="C173" s="31">
        <v>4301071062</v>
      </c>
      <c r="D173" s="276">
        <v>4607111036384</v>
      </c>
      <c r="E173" s="277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9"/>
      <c r="R173" s="279"/>
      <c r="S173" s="279"/>
      <c r="T173" s="280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6">
        <v>4607111036216</v>
      </c>
      <c r="E174" s="277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84</v>
      </c>
      <c r="Y174" s="273">
        <f>IFERROR(IF(X174="","",X174),"")</f>
        <v>84</v>
      </c>
      <c r="Z174" s="36">
        <f>IFERROR(IF(X174="","",X174*0.00866),"")</f>
        <v>0.72743999999999998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437.90879999999999</v>
      </c>
      <c r="BN174" s="67">
        <f>IFERROR(Y174*I174,"0")</f>
        <v>437.90879999999999</v>
      </c>
      <c r="BO174" s="67">
        <f>IFERROR(X174/J174,"0")</f>
        <v>0.58333333333333337</v>
      </c>
      <c r="BP174" s="67">
        <f>IFERROR(Y174/J174,"0")</f>
        <v>0.58333333333333337</v>
      </c>
    </row>
    <row r="175" spans="1:68" x14ac:dyDescent="0.2">
      <c r="A175" s="292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3"/>
      <c r="P175" s="281" t="s">
        <v>82</v>
      </c>
      <c r="Q175" s="282"/>
      <c r="R175" s="282"/>
      <c r="S175" s="282"/>
      <c r="T175" s="282"/>
      <c r="U175" s="282"/>
      <c r="V175" s="283"/>
      <c r="W175" s="37" t="s">
        <v>69</v>
      </c>
      <c r="X175" s="274">
        <f>IFERROR(SUM(X173:X174),"0")</f>
        <v>84</v>
      </c>
      <c r="Y175" s="274">
        <f>IFERROR(SUM(Y173:Y174),"0")</f>
        <v>84</v>
      </c>
      <c r="Z175" s="274">
        <f>IFERROR(IF(Z173="",0,Z173),"0")+IFERROR(IF(Z174="",0,Z174),"0")</f>
        <v>0.72743999999999998</v>
      </c>
      <c r="AA175" s="275"/>
      <c r="AB175" s="275"/>
      <c r="AC175" s="275"/>
    </row>
    <row r="176" spans="1:68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3"/>
      <c r="P176" s="281" t="s">
        <v>82</v>
      </c>
      <c r="Q176" s="282"/>
      <c r="R176" s="282"/>
      <c r="S176" s="282"/>
      <c r="T176" s="282"/>
      <c r="U176" s="282"/>
      <c r="V176" s="283"/>
      <c r="W176" s="37" t="s">
        <v>83</v>
      </c>
      <c r="X176" s="274">
        <f>IFERROR(SUMPRODUCT(X173:X174*H173:H174),"0")</f>
        <v>420</v>
      </c>
      <c r="Y176" s="274">
        <f>IFERROR(SUMPRODUCT(Y173:Y174*H173:H174),"0")</f>
        <v>420</v>
      </c>
      <c r="Z176" s="37"/>
      <c r="AA176" s="275"/>
      <c r="AB176" s="275"/>
      <c r="AC176" s="275"/>
    </row>
    <row r="177" spans="1:68" ht="14.25" customHeight="1" x14ac:dyDescent="0.25">
      <c r="A177" s="304" t="s">
        <v>259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66"/>
      <c r="AB177" s="266"/>
      <c r="AC177" s="266"/>
    </row>
    <row r="178" spans="1:68" ht="27" customHeight="1" x14ac:dyDescent="0.25">
      <c r="A178" s="54" t="s">
        <v>260</v>
      </c>
      <c r="B178" s="54" t="s">
        <v>261</v>
      </c>
      <c r="C178" s="31">
        <v>4301080153</v>
      </c>
      <c r="D178" s="276">
        <v>4607111036827</v>
      </c>
      <c r="E178" s="277"/>
      <c r="F178" s="271">
        <v>1</v>
      </c>
      <c r="G178" s="32">
        <v>5</v>
      </c>
      <c r="H178" s="271">
        <v>5</v>
      </c>
      <c r="I178" s="271">
        <v>5.2</v>
      </c>
      <c r="J178" s="32">
        <v>144</v>
      </c>
      <c r="K178" s="32" t="s">
        <v>66</v>
      </c>
      <c r="L178" s="32" t="s">
        <v>67</v>
      </c>
      <c r="M178" s="33" t="s">
        <v>68</v>
      </c>
      <c r="N178" s="33"/>
      <c r="O178" s="32">
        <v>90</v>
      </c>
      <c r="P178" s="4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8" s="279"/>
      <c r="R178" s="279"/>
      <c r="S178" s="279"/>
      <c r="T178" s="280"/>
      <c r="U178" s="34"/>
      <c r="V178" s="34"/>
      <c r="W178" s="35" t="s">
        <v>69</v>
      </c>
      <c r="X178" s="272">
        <v>0</v>
      </c>
      <c r="Y178" s="273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262</v>
      </c>
      <c r="AG178" s="67"/>
      <c r="AJ178" s="71" t="s">
        <v>71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263</v>
      </c>
      <c r="B179" s="54" t="s">
        <v>264</v>
      </c>
      <c r="C179" s="31">
        <v>4301080154</v>
      </c>
      <c r="D179" s="276">
        <v>4607111036834</v>
      </c>
      <c r="E179" s="277"/>
      <c r="F179" s="271">
        <v>1</v>
      </c>
      <c r="G179" s="32">
        <v>5</v>
      </c>
      <c r="H179" s="271">
        <v>5</v>
      </c>
      <c r="I179" s="271">
        <v>5.2530000000000001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90</v>
      </c>
      <c r="P179" s="39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9" s="279"/>
      <c r="R179" s="279"/>
      <c r="S179" s="279"/>
      <c r="T179" s="280"/>
      <c r="U179" s="34"/>
      <c r="V179" s="34"/>
      <c r="W179" s="35" t="s">
        <v>69</v>
      </c>
      <c r="X179" s="272">
        <v>0</v>
      </c>
      <c r="Y179" s="273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262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92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93"/>
      <c r="P180" s="281" t="s">
        <v>82</v>
      </c>
      <c r="Q180" s="282"/>
      <c r="R180" s="282"/>
      <c r="S180" s="282"/>
      <c r="T180" s="282"/>
      <c r="U180" s="282"/>
      <c r="V180" s="283"/>
      <c r="W180" s="37" t="s">
        <v>69</v>
      </c>
      <c r="X180" s="274">
        <f>IFERROR(SUM(X178:X179),"0")</f>
        <v>0</v>
      </c>
      <c r="Y180" s="274">
        <f>IFERROR(SUM(Y178:Y179),"0")</f>
        <v>0</v>
      </c>
      <c r="Z180" s="274">
        <f>IFERROR(IF(Z178="",0,Z178),"0")+IFERROR(IF(Z179="",0,Z179),"0")</f>
        <v>0</v>
      </c>
      <c r="AA180" s="275"/>
      <c r="AB180" s="275"/>
      <c r="AC180" s="275"/>
    </row>
    <row r="181" spans="1:68" x14ac:dyDescent="0.2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93"/>
      <c r="P181" s="281" t="s">
        <v>82</v>
      </c>
      <c r="Q181" s="282"/>
      <c r="R181" s="282"/>
      <c r="S181" s="282"/>
      <c r="T181" s="282"/>
      <c r="U181" s="282"/>
      <c r="V181" s="283"/>
      <c r="W181" s="37" t="s">
        <v>83</v>
      </c>
      <c r="X181" s="274">
        <f>IFERROR(SUMPRODUCT(X178:X179*H178:H179),"0")</f>
        <v>0</v>
      </c>
      <c r="Y181" s="274">
        <f>IFERROR(SUMPRODUCT(Y178:Y179*H178:H179),"0")</f>
        <v>0</v>
      </c>
      <c r="Z181" s="37"/>
      <c r="AA181" s="275"/>
      <c r="AB181" s="275"/>
      <c r="AC181" s="275"/>
    </row>
    <row r="182" spans="1:68" ht="27.75" customHeight="1" x14ac:dyDescent="0.2">
      <c r="A182" s="286" t="s">
        <v>265</v>
      </c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  <c r="AA182" s="48"/>
      <c r="AB182" s="48"/>
      <c r="AC182" s="48"/>
    </row>
    <row r="183" spans="1:68" ht="16.5" customHeight="1" x14ac:dyDescent="0.25">
      <c r="A183" s="288" t="s">
        <v>266</v>
      </c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67"/>
      <c r="AB183" s="267"/>
      <c r="AC183" s="267"/>
    </row>
    <row r="184" spans="1:68" ht="14.25" customHeight="1" x14ac:dyDescent="0.25">
      <c r="A184" s="304" t="s">
        <v>92</v>
      </c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66"/>
      <c r="AB184" s="266"/>
      <c r="AC184" s="266"/>
    </row>
    <row r="185" spans="1:68" ht="16.5" customHeight="1" x14ac:dyDescent="0.25">
      <c r="A185" s="54" t="s">
        <v>267</v>
      </c>
      <c r="B185" s="54" t="s">
        <v>268</v>
      </c>
      <c r="C185" s="31">
        <v>4301132179</v>
      </c>
      <c r="D185" s="276">
        <v>4607111035691</v>
      </c>
      <c r="E185" s="277"/>
      <c r="F185" s="271">
        <v>0.25</v>
      </c>
      <c r="G185" s="32">
        <v>12</v>
      </c>
      <c r="H185" s="271">
        <v>3</v>
      </c>
      <c r="I185" s="271">
        <v>3.3879999999999999</v>
      </c>
      <c r="J185" s="32">
        <v>70</v>
      </c>
      <c r="K185" s="32" t="s">
        <v>95</v>
      </c>
      <c r="L185" s="32" t="s">
        <v>96</v>
      </c>
      <c r="M185" s="33" t="s">
        <v>68</v>
      </c>
      <c r="N185" s="33"/>
      <c r="O185" s="32">
        <v>365</v>
      </c>
      <c r="P185" s="36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279"/>
      <c r="R185" s="279"/>
      <c r="S185" s="279"/>
      <c r="T185" s="280"/>
      <c r="U185" s="34"/>
      <c r="V185" s="34"/>
      <c r="W185" s="35" t="s">
        <v>69</v>
      </c>
      <c r="X185" s="272">
        <v>70</v>
      </c>
      <c r="Y185" s="273">
        <f>IFERROR(IF(X185="","",X185),"")</f>
        <v>70</v>
      </c>
      <c r="Z185" s="36">
        <f>IFERROR(IF(X185="","",X185*0.01788),"")</f>
        <v>1.2516</v>
      </c>
      <c r="AA185" s="56"/>
      <c r="AB185" s="57"/>
      <c r="AC185" s="196" t="s">
        <v>269</v>
      </c>
      <c r="AG185" s="67"/>
      <c r="AJ185" s="71" t="s">
        <v>98</v>
      </c>
      <c r="AK185" s="71">
        <v>70</v>
      </c>
      <c r="BB185" s="197" t="s">
        <v>99</v>
      </c>
      <c r="BM185" s="67">
        <f>IFERROR(X185*I185,"0")</f>
        <v>237.16</v>
      </c>
      <c r="BN185" s="67">
        <f>IFERROR(Y185*I185,"0")</f>
        <v>237.16</v>
      </c>
      <c r="BO185" s="67">
        <f>IFERROR(X185/J185,"0")</f>
        <v>1</v>
      </c>
      <c r="BP185" s="67">
        <f>IFERROR(Y185/J185,"0")</f>
        <v>1</v>
      </c>
    </row>
    <row r="186" spans="1:68" ht="27" customHeight="1" x14ac:dyDescent="0.25">
      <c r="A186" s="54" t="s">
        <v>270</v>
      </c>
      <c r="B186" s="54" t="s">
        <v>271</v>
      </c>
      <c r="C186" s="31">
        <v>4301132182</v>
      </c>
      <c r="D186" s="276">
        <v>4607111035721</v>
      </c>
      <c r="E186" s="277"/>
      <c r="F186" s="271">
        <v>0.25</v>
      </c>
      <c r="G186" s="32">
        <v>12</v>
      </c>
      <c r="H186" s="271">
        <v>3</v>
      </c>
      <c r="I186" s="271">
        <v>3.3879999999999999</v>
      </c>
      <c r="J186" s="32">
        <v>70</v>
      </c>
      <c r="K186" s="32" t="s">
        <v>95</v>
      </c>
      <c r="L186" s="32" t="s">
        <v>96</v>
      </c>
      <c r="M186" s="33" t="s">
        <v>68</v>
      </c>
      <c r="N186" s="33"/>
      <c r="O186" s="32">
        <v>365</v>
      </c>
      <c r="P186" s="4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279"/>
      <c r="R186" s="279"/>
      <c r="S186" s="279"/>
      <c r="T186" s="280"/>
      <c r="U186" s="34"/>
      <c r="V186" s="34"/>
      <c r="W186" s="35" t="s">
        <v>69</v>
      </c>
      <c r="X186" s="272">
        <v>70</v>
      </c>
      <c r="Y186" s="273">
        <f>IFERROR(IF(X186="","",X186),"")</f>
        <v>70</v>
      </c>
      <c r="Z186" s="36">
        <f>IFERROR(IF(X186="","",X186*0.01788),"")</f>
        <v>1.2516</v>
      </c>
      <c r="AA186" s="56"/>
      <c r="AB186" s="57"/>
      <c r="AC186" s="198" t="s">
        <v>272</v>
      </c>
      <c r="AG186" s="67"/>
      <c r="AJ186" s="71" t="s">
        <v>98</v>
      </c>
      <c r="AK186" s="71">
        <v>70</v>
      </c>
      <c r="BB186" s="199" t="s">
        <v>99</v>
      </c>
      <c r="BM186" s="67">
        <f>IFERROR(X186*I186,"0")</f>
        <v>237.16</v>
      </c>
      <c r="BN186" s="67">
        <f>IFERROR(Y186*I186,"0")</f>
        <v>237.16</v>
      </c>
      <c r="BO186" s="67">
        <f>IFERROR(X186/J186,"0")</f>
        <v>1</v>
      </c>
      <c r="BP186" s="67">
        <f>IFERROR(Y186/J186,"0")</f>
        <v>1</v>
      </c>
    </row>
    <row r="187" spans="1:68" ht="27" customHeight="1" x14ac:dyDescent="0.25">
      <c r="A187" s="54" t="s">
        <v>273</v>
      </c>
      <c r="B187" s="54" t="s">
        <v>274</v>
      </c>
      <c r="C187" s="31">
        <v>4301132170</v>
      </c>
      <c r="D187" s="276">
        <v>4607111038487</v>
      </c>
      <c r="E187" s="277"/>
      <c r="F187" s="271">
        <v>0.25</v>
      </c>
      <c r="G187" s="32">
        <v>12</v>
      </c>
      <c r="H187" s="271">
        <v>3</v>
      </c>
      <c r="I187" s="271">
        <v>3.7360000000000002</v>
      </c>
      <c r="J187" s="32">
        <v>70</v>
      </c>
      <c r="K187" s="32" t="s">
        <v>95</v>
      </c>
      <c r="L187" s="32" t="s">
        <v>96</v>
      </c>
      <c r="M187" s="33" t="s">
        <v>68</v>
      </c>
      <c r="N187" s="33"/>
      <c r="O187" s="32">
        <v>180</v>
      </c>
      <c r="P187" s="3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70</v>
      </c>
      <c r="Y187" s="273">
        <f>IFERROR(IF(X187="","",X187),"")</f>
        <v>70</v>
      </c>
      <c r="Z187" s="36">
        <f>IFERROR(IF(X187="","",X187*0.01788),"")</f>
        <v>1.2516</v>
      </c>
      <c r="AA187" s="56"/>
      <c r="AB187" s="57"/>
      <c r="AC187" s="200" t="s">
        <v>275</v>
      </c>
      <c r="AG187" s="67"/>
      <c r="AJ187" s="71" t="s">
        <v>98</v>
      </c>
      <c r="AK187" s="71">
        <v>70</v>
      </c>
      <c r="BB187" s="201" t="s">
        <v>99</v>
      </c>
      <c r="BM187" s="67">
        <f>IFERROR(X187*I187,"0")</f>
        <v>261.52000000000004</v>
      </c>
      <c r="BN187" s="67">
        <f>IFERROR(Y187*I187,"0")</f>
        <v>261.52000000000004</v>
      </c>
      <c r="BO187" s="67">
        <f>IFERROR(X187/J187,"0")</f>
        <v>1</v>
      </c>
      <c r="BP187" s="67">
        <f>IFERROR(Y187/J187,"0")</f>
        <v>1</v>
      </c>
    </row>
    <row r="188" spans="1:68" ht="27" customHeight="1" x14ac:dyDescent="0.25">
      <c r="A188" s="54" t="s">
        <v>276</v>
      </c>
      <c r="B188" s="54" t="s">
        <v>277</v>
      </c>
      <c r="C188" s="31">
        <v>4301132243</v>
      </c>
      <c r="D188" s="276">
        <v>4620207491195</v>
      </c>
      <c r="E188" s="277"/>
      <c r="F188" s="271">
        <v>0.23</v>
      </c>
      <c r="G188" s="32">
        <v>12</v>
      </c>
      <c r="H188" s="271">
        <v>2.76</v>
      </c>
      <c r="I188" s="271">
        <v>3.1480000000000001</v>
      </c>
      <c r="J188" s="32">
        <v>70</v>
      </c>
      <c r="K188" s="32" t="s">
        <v>95</v>
      </c>
      <c r="L188" s="32" t="s">
        <v>67</v>
      </c>
      <c r="M188" s="33" t="s">
        <v>68</v>
      </c>
      <c r="N188" s="33"/>
      <c r="O188" s="32">
        <v>180</v>
      </c>
      <c r="P188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8" s="279"/>
      <c r="R188" s="279"/>
      <c r="S188" s="279"/>
      <c r="T188" s="280"/>
      <c r="U188" s="34"/>
      <c r="V188" s="34"/>
      <c r="W188" s="35" t="s">
        <v>69</v>
      </c>
      <c r="X188" s="272">
        <v>28</v>
      </c>
      <c r="Y188" s="273">
        <f>IFERROR(IF(X188="","",X188),"")</f>
        <v>28</v>
      </c>
      <c r="Z188" s="36">
        <f>IFERROR(IF(X188="","",X188*0.01788),"")</f>
        <v>0.50063999999999997</v>
      </c>
      <c r="AA188" s="56"/>
      <c r="AB188" s="57"/>
      <c r="AC188" s="202" t="s">
        <v>278</v>
      </c>
      <c r="AG188" s="67"/>
      <c r="AJ188" s="71" t="s">
        <v>71</v>
      </c>
      <c r="AK188" s="71">
        <v>1</v>
      </c>
      <c r="BB188" s="203" t="s">
        <v>99</v>
      </c>
      <c r="BM188" s="67">
        <f>IFERROR(X188*I188,"0")</f>
        <v>88.144000000000005</v>
      </c>
      <c r="BN188" s="67">
        <f>IFERROR(Y188*I188,"0")</f>
        <v>88.144000000000005</v>
      </c>
      <c r="BO188" s="67">
        <f>IFERROR(X188/J188,"0")</f>
        <v>0.4</v>
      </c>
      <c r="BP188" s="67">
        <f>IFERROR(Y188/J188,"0")</f>
        <v>0.4</v>
      </c>
    </row>
    <row r="189" spans="1:68" x14ac:dyDescent="0.2">
      <c r="A189" s="292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3"/>
      <c r="P189" s="281" t="s">
        <v>82</v>
      </c>
      <c r="Q189" s="282"/>
      <c r="R189" s="282"/>
      <c r="S189" s="282"/>
      <c r="T189" s="282"/>
      <c r="U189" s="282"/>
      <c r="V189" s="283"/>
      <c r="W189" s="37" t="s">
        <v>69</v>
      </c>
      <c r="X189" s="274">
        <f>IFERROR(SUM(X185:X188),"0")</f>
        <v>238</v>
      </c>
      <c r="Y189" s="274">
        <f>IFERROR(SUM(Y185:Y188),"0")</f>
        <v>238</v>
      </c>
      <c r="Z189" s="274">
        <f>IFERROR(IF(Z185="",0,Z185),"0")+IFERROR(IF(Z186="",0,Z186),"0")+IFERROR(IF(Z187="",0,Z187),"0")+IFERROR(IF(Z188="",0,Z188),"0")</f>
        <v>4.2554400000000001</v>
      </c>
      <c r="AA189" s="275"/>
      <c r="AB189" s="275"/>
      <c r="AC189" s="275"/>
    </row>
    <row r="190" spans="1:68" x14ac:dyDescent="0.2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93"/>
      <c r="P190" s="281" t="s">
        <v>82</v>
      </c>
      <c r="Q190" s="282"/>
      <c r="R190" s="282"/>
      <c r="S190" s="282"/>
      <c r="T190" s="282"/>
      <c r="U190" s="282"/>
      <c r="V190" s="283"/>
      <c r="W190" s="37" t="s">
        <v>83</v>
      </c>
      <c r="X190" s="274">
        <f>IFERROR(SUMPRODUCT(X185:X188*H185:H188),"0")</f>
        <v>707.28</v>
      </c>
      <c r="Y190" s="274">
        <f>IFERROR(SUMPRODUCT(Y185:Y188*H185:H188),"0")</f>
        <v>707.28</v>
      </c>
      <c r="Z190" s="37"/>
      <c r="AA190" s="275"/>
      <c r="AB190" s="275"/>
      <c r="AC190" s="275"/>
    </row>
    <row r="191" spans="1:68" ht="14.25" customHeight="1" x14ac:dyDescent="0.25">
      <c r="A191" s="304" t="s">
        <v>279</v>
      </c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4301051855</v>
      </c>
      <c r="D192" s="276">
        <v>4680115885875</v>
      </c>
      <c r="E192" s="277"/>
      <c r="F192" s="271">
        <v>1</v>
      </c>
      <c r="G192" s="32">
        <v>9</v>
      </c>
      <c r="H192" s="271">
        <v>9</v>
      </c>
      <c r="I192" s="271">
        <v>9.41</v>
      </c>
      <c r="J192" s="32">
        <v>64</v>
      </c>
      <c r="K192" s="32" t="s">
        <v>282</v>
      </c>
      <c r="L192" s="32" t="s">
        <v>67</v>
      </c>
      <c r="M192" s="33" t="s">
        <v>283</v>
      </c>
      <c r="N192" s="33"/>
      <c r="O192" s="32">
        <v>365</v>
      </c>
      <c r="P192" s="335" t="s">
        <v>284</v>
      </c>
      <c r="Q192" s="279"/>
      <c r="R192" s="279"/>
      <c r="S192" s="279"/>
      <c r="T192" s="280"/>
      <c r="U192" s="34"/>
      <c r="V192" s="34"/>
      <c r="W192" s="35" t="s">
        <v>69</v>
      </c>
      <c r="X192" s="272">
        <v>0</v>
      </c>
      <c r="Y192" s="273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285</v>
      </c>
      <c r="AG192" s="67"/>
      <c r="AJ192" s="71" t="s">
        <v>71</v>
      </c>
      <c r="AK192" s="71">
        <v>1</v>
      </c>
      <c r="BB192" s="205" t="s">
        <v>286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2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3"/>
      <c r="P193" s="281" t="s">
        <v>82</v>
      </c>
      <c r="Q193" s="282"/>
      <c r="R193" s="282"/>
      <c r="S193" s="282"/>
      <c r="T193" s="282"/>
      <c r="U193" s="282"/>
      <c r="V193" s="283"/>
      <c r="W193" s="37" t="s">
        <v>69</v>
      </c>
      <c r="X193" s="274">
        <f>IFERROR(SUM(X192:X192),"0")</f>
        <v>0</v>
      </c>
      <c r="Y193" s="274">
        <f>IFERROR(SUM(Y192:Y192),"0")</f>
        <v>0</v>
      </c>
      <c r="Z193" s="274">
        <f>IFERROR(IF(Z192="",0,Z192),"0")</f>
        <v>0</v>
      </c>
      <c r="AA193" s="275"/>
      <c r="AB193" s="275"/>
      <c r="AC193" s="275"/>
    </row>
    <row r="194" spans="1:68" x14ac:dyDescent="0.2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93"/>
      <c r="P194" s="281" t="s">
        <v>82</v>
      </c>
      <c r="Q194" s="282"/>
      <c r="R194" s="282"/>
      <c r="S194" s="282"/>
      <c r="T194" s="282"/>
      <c r="U194" s="282"/>
      <c r="V194" s="283"/>
      <c r="W194" s="37" t="s">
        <v>83</v>
      </c>
      <c r="X194" s="274">
        <f>IFERROR(SUMPRODUCT(X192:X192*H192:H192),"0")</f>
        <v>0</v>
      </c>
      <c r="Y194" s="274">
        <f>IFERROR(SUMPRODUCT(Y192:Y192*H192:H192),"0")</f>
        <v>0</v>
      </c>
      <c r="Z194" s="37"/>
      <c r="AA194" s="275"/>
      <c r="AB194" s="275"/>
      <c r="AC194" s="275"/>
    </row>
    <row r="195" spans="1:68" ht="27.75" customHeight="1" x14ac:dyDescent="0.2">
      <c r="A195" s="286" t="s">
        <v>287</v>
      </c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  <c r="AA195" s="48"/>
      <c r="AB195" s="48"/>
      <c r="AC195" s="48"/>
    </row>
    <row r="196" spans="1:68" ht="16.5" customHeight="1" x14ac:dyDescent="0.25">
      <c r="A196" s="288" t="s">
        <v>288</v>
      </c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67"/>
      <c r="AB196" s="267"/>
      <c r="AC196" s="267"/>
    </row>
    <row r="197" spans="1:68" ht="14.25" customHeight="1" x14ac:dyDescent="0.25">
      <c r="A197" s="304" t="s">
        <v>92</v>
      </c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66"/>
      <c r="AB197" s="266"/>
      <c r="AC197" s="266"/>
    </row>
    <row r="198" spans="1:68" ht="27" customHeight="1" x14ac:dyDescent="0.25">
      <c r="A198" s="54" t="s">
        <v>289</v>
      </c>
      <c r="B198" s="54" t="s">
        <v>290</v>
      </c>
      <c r="C198" s="31">
        <v>4301132227</v>
      </c>
      <c r="D198" s="276">
        <v>4620207491133</v>
      </c>
      <c r="E198" s="277"/>
      <c r="F198" s="271">
        <v>0.23</v>
      </c>
      <c r="G198" s="32">
        <v>12</v>
      </c>
      <c r="H198" s="271">
        <v>2.76</v>
      </c>
      <c r="I198" s="271">
        <v>2.98</v>
      </c>
      <c r="J198" s="32">
        <v>70</v>
      </c>
      <c r="K198" s="32" t="s">
        <v>95</v>
      </c>
      <c r="L198" s="32" t="s">
        <v>108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28</v>
      </c>
      <c r="Y198" s="273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06" t="s">
        <v>291</v>
      </c>
      <c r="AG198" s="67"/>
      <c r="AJ198" s="71" t="s">
        <v>110</v>
      </c>
      <c r="AK198" s="71">
        <v>14</v>
      </c>
      <c r="BB198" s="207" t="s">
        <v>99</v>
      </c>
      <c r="BM198" s="67">
        <f>IFERROR(X198*I198,"0")</f>
        <v>83.44</v>
      </c>
      <c r="BN198" s="67">
        <f>IFERROR(Y198*I198,"0")</f>
        <v>83.44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292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3"/>
      <c r="P199" s="281" t="s">
        <v>82</v>
      </c>
      <c r="Q199" s="282"/>
      <c r="R199" s="282"/>
      <c r="S199" s="282"/>
      <c r="T199" s="282"/>
      <c r="U199" s="282"/>
      <c r="V199" s="283"/>
      <c r="W199" s="37" t="s">
        <v>69</v>
      </c>
      <c r="X199" s="274">
        <f>IFERROR(SUM(X198:X198),"0")</f>
        <v>28</v>
      </c>
      <c r="Y199" s="274">
        <f>IFERROR(SUM(Y198:Y198),"0")</f>
        <v>28</v>
      </c>
      <c r="Z199" s="274">
        <f>IFERROR(IF(Z198="",0,Z198),"0")</f>
        <v>0.50063999999999997</v>
      </c>
      <c r="AA199" s="275"/>
      <c r="AB199" s="275"/>
      <c r="AC199" s="275"/>
    </row>
    <row r="200" spans="1:68" x14ac:dyDescent="0.2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3"/>
      <c r="P200" s="281" t="s">
        <v>82</v>
      </c>
      <c r="Q200" s="282"/>
      <c r="R200" s="282"/>
      <c r="S200" s="282"/>
      <c r="T200" s="282"/>
      <c r="U200" s="282"/>
      <c r="V200" s="283"/>
      <c r="W200" s="37" t="s">
        <v>83</v>
      </c>
      <c r="X200" s="274">
        <f>IFERROR(SUMPRODUCT(X198:X198*H198:H198),"0")</f>
        <v>77.28</v>
      </c>
      <c r="Y200" s="274">
        <f>IFERROR(SUMPRODUCT(Y198:Y198*H198:H198),"0")</f>
        <v>77.28</v>
      </c>
      <c r="Z200" s="37"/>
      <c r="AA200" s="275"/>
      <c r="AB200" s="275"/>
      <c r="AC200" s="275"/>
    </row>
    <row r="201" spans="1:68" ht="14.25" customHeight="1" x14ac:dyDescent="0.25">
      <c r="A201" s="304" t="s">
        <v>138</v>
      </c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66"/>
      <c r="AB201" s="266"/>
      <c r="AC201" s="266"/>
    </row>
    <row r="202" spans="1:68" ht="27" customHeight="1" x14ac:dyDescent="0.25">
      <c r="A202" s="54" t="s">
        <v>292</v>
      </c>
      <c r="B202" s="54" t="s">
        <v>293</v>
      </c>
      <c r="C202" s="31">
        <v>4301135834</v>
      </c>
      <c r="D202" s="276">
        <v>4620207491188</v>
      </c>
      <c r="E202" s="277"/>
      <c r="F202" s="271">
        <v>0.2</v>
      </c>
      <c r="G202" s="32">
        <v>12</v>
      </c>
      <c r="H202" s="271">
        <v>2.4</v>
      </c>
      <c r="I202" s="271">
        <v>3.1036000000000001</v>
      </c>
      <c r="J202" s="32">
        <v>70</v>
      </c>
      <c r="K202" s="32" t="s">
        <v>95</v>
      </c>
      <c r="L202" s="32" t="s">
        <v>67</v>
      </c>
      <c r="M202" s="33" t="s">
        <v>68</v>
      </c>
      <c r="N202" s="33"/>
      <c r="O202" s="32">
        <v>180</v>
      </c>
      <c r="P202" s="46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79"/>
      <c r="R202" s="279"/>
      <c r="S202" s="279"/>
      <c r="T202" s="280"/>
      <c r="U202" s="34"/>
      <c r="V202" s="34"/>
      <c r="W202" s="35" t="s">
        <v>69</v>
      </c>
      <c r="X202" s="272">
        <v>0</v>
      </c>
      <c r="Y202" s="273">
        <f>IFERROR(IF(X202="","",X202),"")</f>
        <v>0</v>
      </c>
      <c r="Z202" s="36">
        <f>IFERROR(IF(X202="","",X202*0.01788),"")</f>
        <v>0</v>
      </c>
      <c r="AA202" s="56"/>
      <c r="AB202" s="57"/>
      <c r="AC202" s="208" t="s">
        <v>294</v>
      </c>
      <c r="AG202" s="67"/>
      <c r="AJ202" s="71" t="s">
        <v>71</v>
      </c>
      <c r="AK202" s="71">
        <v>1</v>
      </c>
      <c r="BB202" s="209" t="s">
        <v>99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295</v>
      </c>
      <c r="B203" s="54" t="s">
        <v>296</v>
      </c>
      <c r="C203" s="31">
        <v>4301135707</v>
      </c>
      <c r="D203" s="276">
        <v>4620207490198</v>
      </c>
      <c r="E203" s="277"/>
      <c r="F203" s="271">
        <v>0.2</v>
      </c>
      <c r="G203" s="32">
        <v>12</v>
      </c>
      <c r="H203" s="271">
        <v>2.4</v>
      </c>
      <c r="I203" s="271">
        <v>3.1036000000000001</v>
      </c>
      <c r="J203" s="32">
        <v>70</v>
      </c>
      <c r="K203" s="32" t="s">
        <v>95</v>
      </c>
      <c r="L203" s="32" t="s">
        <v>108</v>
      </c>
      <c r="M203" s="33" t="s">
        <v>68</v>
      </c>
      <c r="N203" s="33"/>
      <c r="O203" s="32">
        <v>180</v>
      </c>
      <c r="P203" s="37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279"/>
      <c r="R203" s="279"/>
      <c r="S203" s="279"/>
      <c r="T203" s="280"/>
      <c r="U203" s="34"/>
      <c r="V203" s="34"/>
      <c r="W203" s="35" t="s">
        <v>69</v>
      </c>
      <c r="X203" s="272">
        <v>0</v>
      </c>
      <c r="Y203" s="273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297</v>
      </c>
      <c r="AG203" s="67"/>
      <c r="AJ203" s="71" t="s">
        <v>110</v>
      </c>
      <c r="AK203" s="71">
        <v>14</v>
      </c>
      <c r="BB203" s="211" t="s">
        <v>99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298</v>
      </c>
      <c r="B204" s="54" t="s">
        <v>299</v>
      </c>
      <c r="C204" s="31">
        <v>4301135829</v>
      </c>
      <c r="D204" s="276">
        <v>4620207490235</v>
      </c>
      <c r="E204" s="277"/>
      <c r="F204" s="271">
        <v>0.2</v>
      </c>
      <c r="G204" s="32">
        <v>12</v>
      </c>
      <c r="H204" s="271">
        <v>2.4</v>
      </c>
      <c r="I204" s="271">
        <v>3.1036000000000001</v>
      </c>
      <c r="J204" s="32">
        <v>70</v>
      </c>
      <c r="K204" s="32" t="s">
        <v>95</v>
      </c>
      <c r="L204" s="32" t="s">
        <v>67</v>
      </c>
      <c r="M204" s="33" t="s">
        <v>68</v>
      </c>
      <c r="N204" s="33"/>
      <c r="O204" s="32">
        <v>180</v>
      </c>
      <c r="P204" s="39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279"/>
      <c r="R204" s="279"/>
      <c r="S204" s="279"/>
      <c r="T204" s="280"/>
      <c r="U204" s="34"/>
      <c r="V204" s="34"/>
      <c r="W204" s="35" t="s">
        <v>69</v>
      </c>
      <c r="X204" s="272">
        <v>0</v>
      </c>
      <c r="Y204" s="273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300</v>
      </c>
      <c r="AG204" s="67"/>
      <c r="AJ204" s="71" t="s">
        <v>71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301</v>
      </c>
      <c r="B205" s="54" t="s">
        <v>302</v>
      </c>
      <c r="C205" s="31">
        <v>4301135697</v>
      </c>
      <c r="D205" s="276">
        <v>4620207490259</v>
      </c>
      <c r="E205" s="277"/>
      <c r="F205" s="271">
        <v>0.2</v>
      </c>
      <c r="G205" s="32">
        <v>12</v>
      </c>
      <c r="H205" s="271">
        <v>2.4</v>
      </c>
      <c r="I205" s="271">
        <v>3.1036000000000001</v>
      </c>
      <c r="J205" s="32">
        <v>70</v>
      </c>
      <c r="K205" s="32" t="s">
        <v>95</v>
      </c>
      <c r="L205" s="32" t="s">
        <v>108</v>
      </c>
      <c r="M205" s="33" t="s">
        <v>68</v>
      </c>
      <c r="N205" s="33"/>
      <c r="O205" s="32">
        <v>180</v>
      </c>
      <c r="P205" s="35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79"/>
      <c r="R205" s="279"/>
      <c r="S205" s="279"/>
      <c r="T205" s="280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297</v>
      </c>
      <c r="AG205" s="67"/>
      <c r="AJ205" s="71" t="s">
        <v>110</v>
      </c>
      <c r="AK205" s="71">
        <v>14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303</v>
      </c>
      <c r="B206" s="54" t="s">
        <v>304</v>
      </c>
      <c r="C206" s="31">
        <v>4301135681</v>
      </c>
      <c r="D206" s="276">
        <v>4620207490143</v>
      </c>
      <c r="E206" s="277"/>
      <c r="F206" s="271">
        <v>0.22</v>
      </c>
      <c r="G206" s="32">
        <v>12</v>
      </c>
      <c r="H206" s="271">
        <v>2.64</v>
      </c>
      <c r="I206" s="271">
        <v>3.3435999999999999</v>
      </c>
      <c r="J206" s="32">
        <v>70</v>
      </c>
      <c r="K206" s="32" t="s">
        <v>95</v>
      </c>
      <c r="L206" s="32" t="s">
        <v>67</v>
      </c>
      <c r="M206" s="33" t="s">
        <v>68</v>
      </c>
      <c r="N206" s="33"/>
      <c r="O206" s="32">
        <v>180</v>
      </c>
      <c r="P206" s="39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305</v>
      </c>
      <c r="AG206" s="67"/>
      <c r="AJ206" s="71" t="s">
        <v>71</v>
      </c>
      <c r="AK206" s="71">
        <v>1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2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93"/>
      <c r="P207" s="281" t="s">
        <v>82</v>
      </c>
      <c r="Q207" s="282"/>
      <c r="R207" s="282"/>
      <c r="S207" s="282"/>
      <c r="T207" s="282"/>
      <c r="U207" s="282"/>
      <c r="V207" s="283"/>
      <c r="W207" s="37" t="s">
        <v>69</v>
      </c>
      <c r="X207" s="274">
        <f>IFERROR(SUM(X202:X206),"0")</f>
        <v>0</v>
      </c>
      <c r="Y207" s="274">
        <f>IFERROR(SUM(Y202:Y206),"0")</f>
        <v>0</v>
      </c>
      <c r="Z207" s="274">
        <f>IFERROR(IF(Z202="",0,Z202),"0")+IFERROR(IF(Z203="",0,Z203),"0")+IFERROR(IF(Z204="",0,Z204),"0")+IFERROR(IF(Z205="",0,Z205),"0")+IFERROR(IF(Z206="",0,Z206),"0")</f>
        <v>0</v>
      </c>
      <c r="AA207" s="275"/>
      <c r="AB207" s="275"/>
      <c r="AC207" s="275"/>
    </row>
    <row r="208" spans="1:68" x14ac:dyDescent="0.2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93"/>
      <c r="P208" s="281" t="s">
        <v>82</v>
      </c>
      <c r="Q208" s="282"/>
      <c r="R208" s="282"/>
      <c r="S208" s="282"/>
      <c r="T208" s="282"/>
      <c r="U208" s="282"/>
      <c r="V208" s="283"/>
      <c r="W208" s="37" t="s">
        <v>83</v>
      </c>
      <c r="X208" s="274">
        <f>IFERROR(SUMPRODUCT(X202:X206*H202:H206),"0")</f>
        <v>0</v>
      </c>
      <c r="Y208" s="274">
        <f>IFERROR(SUMPRODUCT(Y202:Y206*H202:H206),"0")</f>
        <v>0</v>
      </c>
      <c r="Z208" s="37"/>
      <c r="AA208" s="275"/>
      <c r="AB208" s="275"/>
      <c r="AC208" s="275"/>
    </row>
    <row r="209" spans="1:68" ht="16.5" customHeight="1" x14ac:dyDescent="0.25">
      <c r="A209" s="288" t="s">
        <v>306</v>
      </c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67"/>
      <c r="AB209" s="267"/>
      <c r="AC209" s="267"/>
    </row>
    <row r="210" spans="1:68" ht="14.25" customHeight="1" x14ac:dyDescent="0.25">
      <c r="A210" s="304" t="s">
        <v>63</v>
      </c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66"/>
      <c r="AB210" s="266"/>
      <c r="AC210" s="266"/>
    </row>
    <row r="211" spans="1:68" ht="27" customHeight="1" x14ac:dyDescent="0.25">
      <c r="A211" s="54" t="s">
        <v>307</v>
      </c>
      <c r="B211" s="54" t="s">
        <v>308</v>
      </c>
      <c r="C211" s="31">
        <v>4301071097</v>
      </c>
      <c r="D211" s="276">
        <v>4620207491096</v>
      </c>
      <c r="E211" s="277"/>
      <c r="F211" s="271">
        <v>1</v>
      </c>
      <c r="G211" s="32">
        <v>5</v>
      </c>
      <c r="H211" s="271">
        <v>5</v>
      </c>
      <c r="I211" s="271">
        <v>5.23</v>
      </c>
      <c r="J211" s="32">
        <v>84</v>
      </c>
      <c r="K211" s="32" t="s">
        <v>66</v>
      </c>
      <c r="L211" s="32" t="s">
        <v>108</v>
      </c>
      <c r="M211" s="33" t="s">
        <v>68</v>
      </c>
      <c r="N211" s="33"/>
      <c r="O211" s="32">
        <v>180</v>
      </c>
      <c r="P211" s="38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36</v>
      </c>
      <c r="Y211" s="273">
        <f>IFERROR(IF(X211="","",X211),"")</f>
        <v>36</v>
      </c>
      <c r="Z211" s="36">
        <f>IFERROR(IF(X211="","",X211*0.0155),"")</f>
        <v>0.55800000000000005</v>
      </c>
      <c r="AA211" s="56"/>
      <c r="AB211" s="57"/>
      <c r="AC211" s="218" t="s">
        <v>309</v>
      </c>
      <c r="AG211" s="67"/>
      <c r="AJ211" s="71" t="s">
        <v>110</v>
      </c>
      <c r="AK211" s="71">
        <v>12</v>
      </c>
      <c r="BB211" s="219" t="s">
        <v>1</v>
      </c>
      <c r="BM211" s="67">
        <f>IFERROR(X211*I211,"0")</f>
        <v>188.28000000000003</v>
      </c>
      <c r="BN211" s="67">
        <f>IFERROR(Y211*I211,"0")</f>
        <v>188.28000000000003</v>
      </c>
      <c r="BO211" s="67">
        <f>IFERROR(X211/J211,"0")</f>
        <v>0.42857142857142855</v>
      </c>
      <c r="BP211" s="67">
        <f>IFERROR(Y211/J211,"0")</f>
        <v>0.42857142857142855</v>
      </c>
    </row>
    <row r="212" spans="1:68" x14ac:dyDescent="0.2">
      <c r="A212" s="292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3"/>
      <c r="P212" s="281" t="s">
        <v>82</v>
      </c>
      <c r="Q212" s="282"/>
      <c r="R212" s="282"/>
      <c r="S212" s="282"/>
      <c r="T212" s="282"/>
      <c r="U212" s="282"/>
      <c r="V212" s="283"/>
      <c r="W212" s="37" t="s">
        <v>69</v>
      </c>
      <c r="X212" s="274">
        <f>IFERROR(SUM(X211:X211),"0")</f>
        <v>36</v>
      </c>
      <c r="Y212" s="274">
        <f>IFERROR(SUM(Y211:Y211),"0")</f>
        <v>36</v>
      </c>
      <c r="Z212" s="274">
        <f>IFERROR(IF(Z211="",0,Z211),"0")</f>
        <v>0.55800000000000005</v>
      </c>
      <c r="AA212" s="275"/>
      <c r="AB212" s="275"/>
      <c r="AC212" s="275"/>
    </row>
    <row r="213" spans="1:68" x14ac:dyDescent="0.2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93"/>
      <c r="P213" s="281" t="s">
        <v>82</v>
      </c>
      <c r="Q213" s="282"/>
      <c r="R213" s="282"/>
      <c r="S213" s="282"/>
      <c r="T213" s="282"/>
      <c r="U213" s="282"/>
      <c r="V213" s="283"/>
      <c r="W213" s="37" t="s">
        <v>83</v>
      </c>
      <c r="X213" s="274">
        <f>IFERROR(SUMPRODUCT(X211:X211*H211:H211),"0")</f>
        <v>180</v>
      </c>
      <c r="Y213" s="274">
        <f>IFERROR(SUMPRODUCT(Y211:Y211*H211:H211),"0")</f>
        <v>180</v>
      </c>
      <c r="Z213" s="37"/>
      <c r="AA213" s="275"/>
      <c r="AB213" s="275"/>
      <c r="AC213" s="275"/>
    </row>
    <row r="214" spans="1:68" ht="16.5" customHeight="1" x14ac:dyDescent="0.25">
      <c r="A214" s="288" t="s">
        <v>310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67"/>
      <c r="AB214" s="267"/>
      <c r="AC214" s="267"/>
    </row>
    <row r="215" spans="1:68" ht="14.25" customHeight="1" x14ac:dyDescent="0.25">
      <c r="A215" s="304" t="s">
        <v>138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66"/>
      <c r="AB215" s="266"/>
      <c r="AC215" s="266"/>
    </row>
    <row r="216" spans="1:68" ht="27" customHeight="1" x14ac:dyDescent="0.25">
      <c r="A216" s="54" t="s">
        <v>311</v>
      </c>
      <c r="B216" s="54" t="s">
        <v>312</v>
      </c>
      <c r="C216" s="31">
        <v>4301135691</v>
      </c>
      <c r="D216" s="276">
        <v>4620207490549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313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customHeight="1" x14ac:dyDescent="0.25">
      <c r="A217" s="54" t="s">
        <v>314</v>
      </c>
      <c r="B217" s="54" t="s">
        <v>315</v>
      </c>
      <c r="C217" s="31">
        <v>4301135694</v>
      </c>
      <c r="D217" s="276">
        <v>4620207490501</v>
      </c>
      <c r="E217" s="277"/>
      <c r="F217" s="271">
        <v>0.2</v>
      </c>
      <c r="G217" s="32">
        <v>12</v>
      </c>
      <c r="H217" s="271">
        <v>2.4</v>
      </c>
      <c r="I217" s="271">
        <v>3.1036000000000001</v>
      </c>
      <c r="J217" s="32">
        <v>70</v>
      </c>
      <c r="K217" s="32" t="s">
        <v>95</v>
      </c>
      <c r="L217" s="32" t="s">
        <v>67</v>
      </c>
      <c r="M217" s="33" t="s">
        <v>68</v>
      </c>
      <c r="N217" s="33"/>
      <c r="O217" s="32">
        <v>180</v>
      </c>
      <c r="P217" s="3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7" s="279"/>
      <c r="R217" s="279"/>
      <c r="S217" s="279"/>
      <c r="T217" s="280"/>
      <c r="U217" s="34"/>
      <c r="V217" s="34"/>
      <c r="W217" s="35" t="s">
        <v>69</v>
      </c>
      <c r="X217" s="272">
        <v>0</v>
      </c>
      <c r="Y217" s="273">
        <f>IFERROR(IF(X217="","",X217),"")</f>
        <v>0</v>
      </c>
      <c r="Z217" s="36">
        <f>IFERROR(IF(X217="","",X217*0.01788),"")</f>
        <v>0</v>
      </c>
      <c r="AA217" s="56"/>
      <c r="AB217" s="57"/>
      <c r="AC217" s="222" t="s">
        <v>313</v>
      </c>
      <c r="AG217" s="67"/>
      <c r="AJ217" s="71" t="s">
        <v>71</v>
      </c>
      <c r="AK217" s="71">
        <v>1</v>
      </c>
      <c r="BB217" s="223" t="s">
        <v>99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92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3"/>
      <c r="P218" s="281" t="s">
        <v>82</v>
      </c>
      <c r="Q218" s="282"/>
      <c r="R218" s="282"/>
      <c r="S218" s="282"/>
      <c r="T218" s="282"/>
      <c r="U218" s="282"/>
      <c r="V218" s="283"/>
      <c r="W218" s="37" t="s">
        <v>69</v>
      </c>
      <c r="X218" s="274">
        <f>IFERROR(SUM(X216:X217),"0")</f>
        <v>0</v>
      </c>
      <c r="Y218" s="274">
        <f>IFERROR(SUM(Y216:Y217),"0")</f>
        <v>0</v>
      </c>
      <c r="Z218" s="274">
        <f>IFERROR(IF(Z216="",0,Z216),"0")+IFERROR(IF(Z217="",0,Z217),"0")</f>
        <v>0</v>
      </c>
      <c r="AA218" s="275"/>
      <c r="AB218" s="275"/>
      <c r="AC218" s="275"/>
    </row>
    <row r="219" spans="1:68" x14ac:dyDescent="0.2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93"/>
      <c r="P219" s="281" t="s">
        <v>82</v>
      </c>
      <c r="Q219" s="282"/>
      <c r="R219" s="282"/>
      <c r="S219" s="282"/>
      <c r="T219" s="282"/>
      <c r="U219" s="282"/>
      <c r="V219" s="283"/>
      <c r="W219" s="37" t="s">
        <v>83</v>
      </c>
      <c r="X219" s="274">
        <f>IFERROR(SUMPRODUCT(X216:X217*H216:H217),"0")</f>
        <v>0</v>
      </c>
      <c r="Y219" s="274">
        <f>IFERROR(SUMPRODUCT(Y216:Y217*H216:H217),"0")</f>
        <v>0</v>
      </c>
      <c r="Z219" s="37"/>
      <c r="AA219" s="275"/>
      <c r="AB219" s="275"/>
      <c r="AC219" s="275"/>
    </row>
    <row r="220" spans="1:68" ht="27.75" customHeight="1" x14ac:dyDescent="0.2">
      <c r="A220" s="286" t="s">
        <v>316</v>
      </c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48"/>
      <c r="AB220" s="48"/>
      <c r="AC220" s="48"/>
    </row>
    <row r="221" spans="1:68" ht="16.5" customHeight="1" x14ac:dyDescent="0.25">
      <c r="A221" s="288" t="s">
        <v>317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67"/>
      <c r="AB221" s="267"/>
      <c r="AC221" s="267"/>
    </row>
    <row r="222" spans="1:68" ht="14.25" customHeight="1" x14ac:dyDescent="0.25">
      <c r="A222" s="304" t="s">
        <v>63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66"/>
      <c r="AB222" s="266"/>
      <c r="AC222" s="266"/>
    </row>
    <row r="223" spans="1:68" ht="27" customHeight="1" x14ac:dyDescent="0.25">
      <c r="A223" s="54" t="s">
        <v>318</v>
      </c>
      <c r="B223" s="54" t="s">
        <v>319</v>
      </c>
      <c r="C223" s="31">
        <v>4301071036</v>
      </c>
      <c r="D223" s="276">
        <v>4607111036162</v>
      </c>
      <c r="E223" s="277"/>
      <c r="F223" s="271">
        <v>0.8</v>
      </c>
      <c r="G223" s="32">
        <v>8</v>
      </c>
      <c r="H223" s="271">
        <v>6.4</v>
      </c>
      <c r="I223" s="271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9"/>
      <c r="R223" s="279"/>
      <c r="S223" s="279"/>
      <c r="T223" s="280"/>
      <c r="U223" s="34"/>
      <c r="V223" s="34"/>
      <c r="W223" s="35" t="s">
        <v>69</v>
      </c>
      <c r="X223" s="272">
        <v>0</v>
      </c>
      <c r="Y223" s="273">
        <f>IFERROR(IF(X223="","",X223),"")</f>
        <v>0</v>
      </c>
      <c r="Z223" s="36">
        <f>IFERROR(IF(X223="","",X223*0.0155),"")</f>
        <v>0</v>
      </c>
      <c r="AA223" s="56"/>
      <c r="AB223" s="57"/>
      <c r="AC223" s="224" t="s">
        <v>320</v>
      </c>
      <c r="AG223" s="67"/>
      <c r="AJ223" s="71" t="s">
        <v>71</v>
      </c>
      <c r="AK223" s="71">
        <v>1</v>
      </c>
      <c r="BB223" s="225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92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3"/>
      <c r="P224" s="281" t="s">
        <v>82</v>
      </c>
      <c r="Q224" s="282"/>
      <c r="R224" s="282"/>
      <c r="S224" s="282"/>
      <c r="T224" s="282"/>
      <c r="U224" s="282"/>
      <c r="V224" s="283"/>
      <c r="W224" s="37" t="s">
        <v>69</v>
      </c>
      <c r="X224" s="274">
        <f>IFERROR(SUM(X223:X223),"0")</f>
        <v>0</v>
      </c>
      <c r="Y224" s="274">
        <f>IFERROR(SUM(Y223:Y223),"0")</f>
        <v>0</v>
      </c>
      <c r="Z224" s="274">
        <f>IFERROR(IF(Z223="",0,Z223),"0")</f>
        <v>0</v>
      </c>
      <c r="AA224" s="275"/>
      <c r="AB224" s="275"/>
      <c r="AC224" s="275"/>
    </row>
    <row r="225" spans="1:68" x14ac:dyDescent="0.2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3"/>
      <c r="P225" s="281" t="s">
        <v>82</v>
      </c>
      <c r="Q225" s="282"/>
      <c r="R225" s="282"/>
      <c r="S225" s="282"/>
      <c r="T225" s="282"/>
      <c r="U225" s="282"/>
      <c r="V225" s="283"/>
      <c r="W225" s="37" t="s">
        <v>83</v>
      </c>
      <c r="X225" s="274">
        <f>IFERROR(SUMPRODUCT(X223:X223*H223:H223),"0")</f>
        <v>0</v>
      </c>
      <c r="Y225" s="274">
        <f>IFERROR(SUMPRODUCT(Y223:Y223*H223:H223),"0")</f>
        <v>0</v>
      </c>
      <c r="Z225" s="37"/>
      <c r="AA225" s="275"/>
      <c r="AB225" s="275"/>
      <c r="AC225" s="275"/>
    </row>
    <row r="226" spans="1:68" ht="27.75" customHeight="1" x14ac:dyDescent="0.2">
      <c r="A226" s="286" t="s">
        <v>321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48"/>
      <c r="AB226" s="48"/>
      <c r="AC226" s="48"/>
    </row>
    <row r="227" spans="1:68" ht="16.5" customHeight="1" x14ac:dyDescent="0.25">
      <c r="A227" s="288" t="s">
        <v>322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67"/>
      <c r="AB227" s="267"/>
      <c r="AC227" s="267"/>
    </row>
    <row r="228" spans="1:68" ht="14.25" customHeight="1" x14ac:dyDescent="0.25">
      <c r="A228" s="304" t="s">
        <v>63</v>
      </c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66"/>
      <c r="AB228" s="266"/>
      <c r="AC228" s="266"/>
    </row>
    <row r="229" spans="1:68" ht="27" customHeight="1" x14ac:dyDescent="0.25">
      <c r="A229" s="54" t="s">
        <v>323</v>
      </c>
      <c r="B229" s="54" t="s">
        <v>324</v>
      </c>
      <c r="C229" s="31">
        <v>4301071029</v>
      </c>
      <c r="D229" s="276">
        <v>4607111035899</v>
      </c>
      <c r="E229" s="277"/>
      <c r="F229" s="271">
        <v>1</v>
      </c>
      <c r="G229" s="32">
        <v>5</v>
      </c>
      <c r="H229" s="271">
        <v>5</v>
      </c>
      <c r="I229" s="271">
        <v>5.2619999999999996</v>
      </c>
      <c r="J229" s="32">
        <v>84</v>
      </c>
      <c r="K229" s="32" t="s">
        <v>66</v>
      </c>
      <c r="L229" s="32" t="s">
        <v>96</v>
      </c>
      <c r="M229" s="33" t="s">
        <v>68</v>
      </c>
      <c r="N229" s="33"/>
      <c r="O229" s="32">
        <v>180</v>
      </c>
      <c r="P229" s="39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9"/>
      <c r="R229" s="279"/>
      <c r="S229" s="279"/>
      <c r="T229" s="280"/>
      <c r="U229" s="34"/>
      <c r="V229" s="34"/>
      <c r="W229" s="35" t="s">
        <v>69</v>
      </c>
      <c r="X229" s="272">
        <v>72</v>
      </c>
      <c r="Y229" s="273">
        <f>IFERROR(IF(X229="","",X229),"")</f>
        <v>72</v>
      </c>
      <c r="Z229" s="36">
        <f>IFERROR(IF(X229="","",X229*0.0155),"")</f>
        <v>1.1160000000000001</v>
      </c>
      <c r="AA229" s="56"/>
      <c r="AB229" s="57"/>
      <c r="AC229" s="226" t="s">
        <v>258</v>
      </c>
      <c r="AG229" s="67"/>
      <c r="AJ229" s="71" t="s">
        <v>98</v>
      </c>
      <c r="AK229" s="71">
        <v>84</v>
      </c>
      <c r="BB229" s="227" t="s">
        <v>1</v>
      </c>
      <c r="BM229" s="67">
        <f>IFERROR(X229*I229,"0")</f>
        <v>378.86399999999998</v>
      </c>
      <c r="BN229" s="67">
        <f>IFERROR(Y229*I229,"0")</f>
        <v>378.86399999999998</v>
      </c>
      <c r="BO229" s="67">
        <f>IFERROR(X229/J229,"0")</f>
        <v>0.8571428571428571</v>
      </c>
      <c r="BP229" s="67">
        <f>IFERROR(Y229/J229,"0")</f>
        <v>0.8571428571428571</v>
      </c>
    </row>
    <row r="230" spans="1:68" x14ac:dyDescent="0.2">
      <c r="A230" s="292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3"/>
      <c r="P230" s="281" t="s">
        <v>82</v>
      </c>
      <c r="Q230" s="282"/>
      <c r="R230" s="282"/>
      <c r="S230" s="282"/>
      <c r="T230" s="282"/>
      <c r="U230" s="282"/>
      <c r="V230" s="283"/>
      <c r="W230" s="37" t="s">
        <v>69</v>
      </c>
      <c r="X230" s="274">
        <f>IFERROR(SUM(X229:X229),"0")</f>
        <v>72</v>
      </c>
      <c r="Y230" s="274">
        <f>IFERROR(SUM(Y229:Y229),"0")</f>
        <v>72</v>
      </c>
      <c r="Z230" s="274">
        <f>IFERROR(IF(Z229="",0,Z229),"0")</f>
        <v>1.1160000000000001</v>
      </c>
      <c r="AA230" s="275"/>
      <c r="AB230" s="275"/>
      <c r="AC230" s="275"/>
    </row>
    <row r="231" spans="1:68" x14ac:dyDescent="0.2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3"/>
      <c r="P231" s="281" t="s">
        <v>82</v>
      </c>
      <c r="Q231" s="282"/>
      <c r="R231" s="282"/>
      <c r="S231" s="282"/>
      <c r="T231" s="282"/>
      <c r="U231" s="282"/>
      <c r="V231" s="283"/>
      <c r="W231" s="37" t="s">
        <v>83</v>
      </c>
      <c r="X231" s="274">
        <f>IFERROR(SUMPRODUCT(X229:X229*H229:H229),"0")</f>
        <v>360</v>
      </c>
      <c r="Y231" s="274">
        <f>IFERROR(SUMPRODUCT(Y229:Y229*H229:H229),"0")</f>
        <v>360</v>
      </c>
      <c r="Z231" s="37"/>
      <c r="AA231" s="275"/>
      <c r="AB231" s="275"/>
      <c r="AC231" s="275"/>
    </row>
    <row r="232" spans="1:68" ht="27.75" customHeight="1" x14ac:dyDescent="0.2">
      <c r="A232" s="286" t="s">
        <v>325</v>
      </c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  <c r="AA232" s="48"/>
      <c r="AB232" s="48"/>
      <c r="AC232" s="48"/>
    </row>
    <row r="233" spans="1:68" ht="16.5" customHeight="1" x14ac:dyDescent="0.25">
      <c r="A233" s="288" t="s">
        <v>326</v>
      </c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67"/>
      <c r="AB233" s="267"/>
      <c r="AC233" s="267"/>
    </row>
    <row r="234" spans="1:68" ht="14.25" customHeight="1" x14ac:dyDescent="0.25">
      <c r="A234" s="304" t="s">
        <v>327</v>
      </c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66"/>
      <c r="AB234" s="266"/>
      <c r="AC234" s="266"/>
    </row>
    <row r="235" spans="1:68" ht="27" customHeight="1" x14ac:dyDescent="0.25">
      <c r="A235" s="54" t="s">
        <v>328</v>
      </c>
      <c r="B235" s="54" t="s">
        <v>329</v>
      </c>
      <c r="C235" s="31">
        <v>4301133004</v>
      </c>
      <c r="D235" s="276">
        <v>4607111039774</v>
      </c>
      <c r="E235" s="277"/>
      <c r="F235" s="271">
        <v>0.25</v>
      </c>
      <c r="G235" s="32">
        <v>12</v>
      </c>
      <c r="H235" s="271">
        <v>3</v>
      </c>
      <c r="I235" s="271">
        <v>3.22</v>
      </c>
      <c r="J235" s="32">
        <v>70</v>
      </c>
      <c r="K235" s="32" t="s">
        <v>95</v>
      </c>
      <c r="L235" s="32" t="s">
        <v>67</v>
      </c>
      <c r="M235" s="33" t="s">
        <v>68</v>
      </c>
      <c r="N235" s="33"/>
      <c r="O235" s="32">
        <v>180</v>
      </c>
      <c r="P235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9"/>
      <c r="R235" s="279"/>
      <c r="S235" s="279"/>
      <c r="T235" s="280"/>
      <c r="U235" s="34"/>
      <c r="V235" s="34"/>
      <c r="W235" s="35" t="s">
        <v>69</v>
      </c>
      <c r="X235" s="272">
        <v>0</v>
      </c>
      <c r="Y235" s="273">
        <f>IFERROR(IF(X235="","",X235),"")</f>
        <v>0</v>
      </c>
      <c r="Z235" s="36">
        <f>IFERROR(IF(X235="","",X235*0.01788),"")</f>
        <v>0</v>
      </c>
      <c r="AA235" s="56"/>
      <c r="AB235" s="57"/>
      <c r="AC235" s="228" t="s">
        <v>330</v>
      </c>
      <c r="AG235" s="67"/>
      <c r="AJ235" s="71" t="s">
        <v>71</v>
      </c>
      <c r="AK235" s="71">
        <v>1</v>
      </c>
      <c r="BB235" s="229" t="s">
        <v>99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92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93"/>
      <c r="P236" s="281" t="s">
        <v>82</v>
      </c>
      <c r="Q236" s="282"/>
      <c r="R236" s="282"/>
      <c r="S236" s="282"/>
      <c r="T236" s="282"/>
      <c r="U236" s="282"/>
      <c r="V236" s="283"/>
      <c r="W236" s="37" t="s">
        <v>69</v>
      </c>
      <c r="X236" s="274">
        <f>IFERROR(SUM(X235:X235),"0")</f>
        <v>0</v>
      </c>
      <c r="Y236" s="274">
        <f>IFERROR(SUM(Y235:Y235),"0")</f>
        <v>0</v>
      </c>
      <c r="Z236" s="274">
        <f>IFERROR(IF(Z235="",0,Z235),"0")</f>
        <v>0</v>
      </c>
      <c r="AA236" s="275"/>
      <c r="AB236" s="275"/>
      <c r="AC236" s="275"/>
    </row>
    <row r="237" spans="1:68" x14ac:dyDescent="0.2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3"/>
      <c r="P237" s="281" t="s">
        <v>82</v>
      </c>
      <c r="Q237" s="282"/>
      <c r="R237" s="282"/>
      <c r="S237" s="282"/>
      <c r="T237" s="282"/>
      <c r="U237" s="282"/>
      <c r="V237" s="283"/>
      <c r="W237" s="37" t="s">
        <v>83</v>
      </c>
      <c r="X237" s="274">
        <f>IFERROR(SUMPRODUCT(X235:X235*H235:H235),"0")</f>
        <v>0</v>
      </c>
      <c r="Y237" s="274">
        <f>IFERROR(SUMPRODUCT(Y235:Y235*H235:H235),"0")</f>
        <v>0</v>
      </c>
      <c r="Z237" s="37"/>
      <c r="AA237" s="275"/>
      <c r="AB237" s="275"/>
      <c r="AC237" s="275"/>
    </row>
    <row r="238" spans="1:68" ht="14.25" customHeight="1" x14ac:dyDescent="0.25">
      <c r="A238" s="304" t="s">
        <v>138</v>
      </c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66"/>
      <c r="AB238" s="266"/>
      <c r="AC238" s="266"/>
    </row>
    <row r="239" spans="1:68" ht="37.5" customHeight="1" x14ac:dyDescent="0.25">
      <c r="A239" s="54" t="s">
        <v>331</v>
      </c>
      <c r="B239" s="54" t="s">
        <v>332</v>
      </c>
      <c r="C239" s="31">
        <v>4301135400</v>
      </c>
      <c r="D239" s="276">
        <v>4607111039361</v>
      </c>
      <c r="E239" s="277"/>
      <c r="F239" s="271">
        <v>0.25</v>
      </c>
      <c r="G239" s="32">
        <v>12</v>
      </c>
      <c r="H239" s="271">
        <v>3</v>
      </c>
      <c r="I239" s="271">
        <v>3.7035999999999998</v>
      </c>
      <c r="J239" s="32">
        <v>70</v>
      </c>
      <c r="K239" s="32" t="s">
        <v>95</v>
      </c>
      <c r="L239" s="32" t="s">
        <v>67</v>
      </c>
      <c r="M239" s="33" t="s">
        <v>68</v>
      </c>
      <c r="N239" s="33"/>
      <c r="O239" s="32">
        <v>180</v>
      </c>
      <c r="P239" s="36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9"/>
      <c r="R239" s="279"/>
      <c r="S239" s="279"/>
      <c r="T239" s="280"/>
      <c r="U239" s="34"/>
      <c r="V239" s="34"/>
      <c r="W239" s="35" t="s">
        <v>69</v>
      </c>
      <c r="X239" s="272">
        <v>0</v>
      </c>
      <c r="Y239" s="273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330</v>
      </c>
      <c r="AG239" s="67"/>
      <c r="AJ239" s="71" t="s">
        <v>71</v>
      </c>
      <c r="AK239" s="71">
        <v>1</v>
      </c>
      <c r="BB239" s="231" t="s">
        <v>99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92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3"/>
      <c r="P240" s="281" t="s">
        <v>82</v>
      </c>
      <c r="Q240" s="282"/>
      <c r="R240" s="282"/>
      <c r="S240" s="282"/>
      <c r="T240" s="282"/>
      <c r="U240" s="282"/>
      <c r="V240" s="283"/>
      <c r="W240" s="37" t="s">
        <v>69</v>
      </c>
      <c r="X240" s="274">
        <f>IFERROR(SUM(X239:X239),"0")</f>
        <v>0</v>
      </c>
      <c r="Y240" s="274">
        <f>IFERROR(SUM(Y239:Y239),"0")</f>
        <v>0</v>
      </c>
      <c r="Z240" s="274">
        <f>IFERROR(IF(Z239="",0,Z239),"0")</f>
        <v>0</v>
      </c>
      <c r="AA240" s="275"/>
      <c r="AB240" s="275"/>
      <c r="AC240" s="275"/>
    </row>
    <row r="241" spans="1:68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3"/>
      <c r="P241" s="281" t="s">
        <v>82</v>
      </c>
      <c r="Q241" s="282"/>
      <c r="R241" s="282"/>
      <c r="S241" s="282"/>
      <c r="T241" s="282"/>
      <c r="U241" s="282"/>
      <c r="V241" s="283"/>
      <c r="W241" s="37" t="s">
        <v>83</v>
      </c>
      <c r="X241" s="274">
        <f>IFERROR(SUMPRODUCT(X239:X239*H239:H239),"0")</f>
        <v>0</v>
      </c>
      <c r="Y241" s="274">
        <f>IFERROR(SUMPRODUCT(Y239:Y239*H239:H239),"0")</f>
        <v>0</v>
      </c>
      <c r="Z241" s="37"/>
      <c r="AA241" s="275"/>
      <c r="AB241" s="275"/>
      <c r="AC241" s="275"/>
    </row>
    <row r="242" spans="1:68" ht="27.75" customHeight="1" x14ac:dyDescent="0.2">
      <c r="A242" s="286" t="s">
        <v>333</v>
      </c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48"/>
      <c r="AB242" s="48"/>
      <c r="AC242" s="48"/>
    </row>
    <row r="243" spans="1:68" ht="16.5" customHeight="1" x14ac:dyDescent="0.25">
      <c r="A243" s="288" t="s">
        <v>333</v>
      </c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67"/>
      <c r="AB243" s="267"/>
      <c r="AC243" s="267"/>
    </row>
    <row r="244" spans="1:68" ht="14.25" customHeight="1" x14ac:dyDescent="0.25">
      <c r="A244" s="304" t="s">
        <v>63</v>
      </c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66"/>
      <c r="AB244" s="266"/>
      <c r="AC244" s="266"/>
    </row>
    <row r="245" spans="1:68" ht="27" customHeight="1" x14ac:dyDescent="0.25">
      <c r="A245" s="54" t="s">
        <v>334</v>
      </c>
      <c r="B245" s="54" t="s">
        <v>335</v>
      </c>
      <c r="C245" s="31">
        <v>4301071014</v>
      </c>
      <c r="D245" s="276">
        <v>4640242181264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336</v>
      </c>
      <c r="AG245" s="67"/>
      <c r="AJ245" s="71" t="s">
        <v>71</v>
      </c>
      <c r="AK245" s="71">
        <v>1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337</v>
      </c>
      <c r="B246" s="54" t="s">
        <v>338</v>
      </c>
      <c r="C246" s="31">
        <v>4301071021</v>
      </c>
      <c r="D246" s="276">
        <v>4640242181325</v>
      </c>
      <c r="E246" s="277"/>
      <c r="F246" s="271">
        <v>0.7</v>
      </c>
      <c r="G246" s="32">
        <v>10</v>
      </c>
      <c r="H246" s="271">
        <v>7</v>
      </c>
      <c r="I246" s="271">
        <v>7.28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9"/>
      <c r="R246" s="279"/>
      <c r="S246" s="279"/>
      <c r="T246" s="280"/>
      <c r="U246" s="34"/>
      <c r="V246" s="34"/>
      <c r="W246" s="35" t="s">
        <v>69</v>
      </c>
      <c r="X246" s="272">
        <v>0</v>
      </c>
      <c r="Y246" s="273">
        <f>IFERROR(IF(X246="","",X246),"")</f>
        <v>0</v>
      </c>
      <c r="Z246" s="36">
        <f>IFERROR(IF(X246="","",X246*0.0155),"")</f>
        <v>0</v>
      </c>
      <c r="AA246" s="56"/>
      <c r="AB246" s="57"/>
      <c r="AC246" s="234" t="s">
        <v>336</v>
      </c>
      <c r="AG246" s="67"/>
      <c r="AJ246" s="71" t="s">
        <v>71</v>
      </c>
      <c r="AK246" s="71">
        <v>1</v>
      </c>
      <c r="BB246" s="235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92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93"/>
      <c r="P247" s="281" t="s">
        <v>82</v>
      </c>
      <c r="Q247" s="282"/>
      <c r="R247" s="282"/>
      <c r="S247" s="282"/>
      <c r="T247" s="282"/>
      <c r="U247" s="282"/>
      <c r="V247" s="283"/>
      <c r="W247" s="37" t="s">
        <v>69</v>
      </c>
      <c r="X247" s="274">
        <f>IFERROR(SUM(X245:X246),"0")</f>
        <v>0</v>
      </c>
      <c r="Y247" s="274">
        <f>IFERROR(SUM(Y245:Y246),"0")</f>
        <v>0</v>
      </c>
      <c r="Z247" s="274">
        <f>IFERROR(IF(Z245="",0,Z245),"0")+IFERROR(IF(Z246="",0,Z246),"0")</f>
        <v>0</v>
      </c>
      <c r="AA247" s="275"/>
      <c r="AB247" s="275"/>
      <c r="AC247" s="275"/>
    </row>
    <row r="248" spans="1:68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3"/>
      <c r="P248" s="281" t="s">
        <v>82</v>
      </c>
      <c r="Q248" s="282"/>
      <c r="R248" s="282"/>
      <c r="S248" s="282"/>
      <c r="T248" s="282"/>
      <c r="U248" s="282"/>
      <c r="V248" s="283"/>
      <c r="W248" s="37" t="s">
        <v>83</v>
      </c>
      <c r="X248" s="274">
        <f>IFERROR(SUMPRODUCT(X245:X246*H245:H246),"0")</f>
        <v>0</v>
      </c>
      <c r="Y248" s="274">
        <f>IFERROR(SUMPRODUCT(Y245:Y246*H245:H246),"0")</f>
        <v>0</v>
      </c>
      <c r="Z248" s="37"/>
      <c r="AA248" s="275"/>
      <c r="AB248" s="275"/>
      <c r="AC248" s="275"/>
    </row>
    <row r="249" spans="1:68" ht="14.25" customHeight="1" x14ac:dyDescent="0.25">
      <c r="A249" s="304" t="s">
        <v>92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66"/>
      <c r="AB249" s="266"/>
      <c r="AC249" s="266"/>
    </row>
    <row r="250" spans="1:68" ht="27" customHeight="1" x14ac:dyDescent="0.25">
      <c r="A250" s="54" t="s">
        <v>339</v>
      </c>
      <c r="B250" s="54" t="s">
        <v>340</v>
      </c>
      <c r="C250" s="31">
        <v>4301132080</v>
      </c>
      <c r="D250" s="276">
        <v>4640242180397</v>
      </c>
      <c r="E250" s="277"/>
      <c r="F250" s="271">
        <v>1</v>
      </c>
      <c r="G250" s="32">
        <v>6</v>
      </c>
      <c r="H250" s="271">
        <v>6</v>
      </c>
      <c r="I250" s="271">
        <v>6.26</v>
      </c>
      <c r="J250" s="32">
        <v>84</v>
      </c>
      <c r="K250" s="32" t="s">
        <v>66</v>
      </c>
      <c r="L250" s="32" t="s">
        <v>96</v>
      </c>
      <c r="M250" s="33" t="s">
        <v>68</v>
      </c>
      <c r="N250" s="33"/>
      <c r="O250" s="32">
        <v>180</v>
      </c>
      <c r="P250" s="34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144</v>
      </c>
      <c r="Y250" s="273">
        <f>IFERROR(IF(X250="","",X250),"")</f>
        <v>144</v>
      </c>
      <c r="Z250" s="36">
        <f>IFERROR(IF(X250="","",X250*0.0155),"")</f>
        <v>2.2320000000000002</v>
      </c>
      <c r="AA250" s="56"/>
      <c r="AB250" s="57"/>
      <c r="AC250" s="236" t="s">
        <v>341</v>
      </c>
      <c r="AG250" s="67"/>
      <c r="AJ250" s="71" t="s">
        <v>98</v>
      </c>
      <c r="AK250" s="71">
        <v>84</v>
      </c>
      <c r="BB250" s="237" t="s">
        <v>99</v>
      </c>
      <c r="BM250" s="67">
        <f>IFERROR(X250*I250,"0")</f>
        <v>901.43999999999994</v>
      </c>
      <c r="BN250" s="67">
        <f>IFERROR(Y250*I250,"0")</f>
        <v>901.43999999999994</v>
      </c>
      <c r="BO250" s="67">
        <f>IFERROR(X250/J250,"0")</f>
        <v>1.7142857142857142</v>
      </c>
      <c r="BP250" s="67">
        <f>IFERROR(Y250/J250,"0")</f>
        <v>1.7142857142857142</v>
      </c>
    </row>
    <row r="251" spans="1:68" x14ac:dyDescent="0.2">
      <c r="A251" s="292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3"/>
      <c r="P251" s="281" t="s">
        <v>82</v>
      </c>
      <c r="Q251" s="282"/>
      <c r="R251" s="282"/>
      <c r="S251" s="282"/>
      <c r="T251" s="282"/>
      <c r="U251" s="282"/>
      <c r="V251" s="283"/>
      <c r="W251" s="37" t="s">
        <v>69</v>
      </c>
      <c r="X251" s="274">
        <f>IFERROR(SUM(X250:X250),"0")</f>
        <v>144</v>
      </c>
      <c r="Y251" s="274">
        <f>IFERROR(SUM(Y250:Y250),"0")</f>
        <v>144</v>
      </c>
      <c r="Z251" s="274">
        <f>IFERROR(IF(Z250="",0,Z250),"0")</f>
        <v>2.2320000000000002</v>
      </c>
      <c r="AA251" s="275"/>
      <c r="AB251" s="275"/>
      <c r="AC251" s="275"/>
    </row>
    <row r="252" spans="1:68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3"/>
      <c r="P252" s="281" t="s">
        <v>82</v>
      </c>
      <c r="Q252" s="282"/>
      <c r="R252" s="282"/>
      <c r="S252" s="282"/>
      <c r="T252" s="282"/>
      <c r="U252" s="282"/>
      <c r="V252" s="283"/>
      <c r="W252" s="37" t="s">
        <v>83</v>
      </c>
      <c r="X252" s="274">
        <f>IFERROR(SUMPRODUCT(X250:X250*H250:H250),"0")</f>
        <v>864</v>
      </c>
      <c r="Y252" s="274">
        <f>IFERROR(SUMPRODUCT(Y250:Y250*H250:H250),"0")</f>
        <v>864</v>
      </c>
      <c r="Z252" s="37"/>
      <c r="AA252" s="275"/>
      <c r="AB252" s="275"/>
      <c r="AC252" s="275"/>
    </row>
    <row r="253" spans="1:68" ht="14.25" customHeight="1" x14ac:dyDescent="0.25">
      <c r="A253" s="304" t="s">
        <v>132</v>
      </c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66"/>
      <c r="AB253" s="266"/>
      <c r="AC253" s="266"/>
    </row>
    <row r="254" spans="1:68" ht="27" customHeight="1" x14ac:dyDescent="0.25">
      <c r="A254" s="54" t="s">
        <v>342</v>
      </c>
      <c r="B254" s="54" t="s">
        <v>343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108</v>
      </c>
      <c r="M254" s="33" t="s">
        <v>68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344</v>
      </c>
      <c r="AG254" s="67"/>
      <c r="AJ254" s="71" t="s">
        <v>110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345</v>
      </c>
      <c r="B255" s="54" t="s">
        <v>346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204</v>
      </c>
      <c r="Y255" s="273">
        <f>IFERROR(IF(X255="","",X255),"")</f>
        <v>204</v>
      </c>
      <c r="Z255" s="36">
        <f>IFERROR(IF(X255="","",X255*0.0155),"")</f>
        <v>3.1619999999999999</v>
      </c>
      <c r="AA255" s="56"/>
      <c r="AB255" s="57"/>
      <c r="AC255" s="240" t="s">
        <v>344</v>
      </c>
      <c r="AG255" s="67"/>
      <c r="AJ255" s="71" t="s">
        <v>98</v>
      </c>
      <c r="AK255" s="71">
        <v>84</v>
      </c>
      <c r="BB255" s="241" t="s">
        <v>99</v>
      </c>
      <c r="BM255" s="67">
        <f>IFERROR(X255*I255,"0")</f>
        <v>1067.94</v>
      </c>
      <c r="BN255" s="67">
        <f>IFERROR(Y255*I255,"0")</f>
        <v>1067.94</v>
      </c>
      <c r="BO255" s="67">
        <f>IFERROR(X255/J255,"0")</f>
        <v>2.4285714285714284</v>
      </c>
      <c r="BP255" s="67">
        <f>IFERROR(Y255/J255,"0")</f>
        <v>2.4285714285714284</v>
      </c>
    </row>
    <row r="256" spans="1:68" ht="27" customHeight="1" x14ac:dyDescent="0.25">
      <c r="A256" s="54" t="s">
        <v>347</v>
      </c>
      <c r="B256" s="54" t="s">
        <v>348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108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14</v>
      </c>
      <c r="Y256" s="273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42" t="s">
        <v>344</v>
      </c>
      <c r="AG256" s="67"/>
      <c r="AJ256" s="71" t="s">
        <v>110</v>
      </c>
      <c r="AK256" s="71">
        <v>14</v>
      </c>
      <c r="BB256" s="243" t="s">
        <v>99</v>
      </c>
      <c r="BM256" s="67">
        <f>IFERROR(X256*I256,"0")</f>
        <v>34.048000000000002</v>
      </c>
      <c r="BN256" s="67">
        <f>IFERROR(Y256*I256,"0")</f>
        <v>34.048000000000002</v>
      </c>
      <c r="BO256" s="67">
        <f>IFERROR(X256/J256,"0")</f>
        <v>0.1111111111111111</v>
      </c>
      <c r="BP256" s="67">
        <f>IFERROR(Y256/J256,"0")</f>
        <v>0.1111111111111111</v>
      </c>
    </row>
    <row r="257" spans="1:68" x14ac:dyDescent="0.2">
      <c r="A257" s="292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93"/>
      <c r="P257" s="281" t="s">
        <v>82</v>
      </c>
      <c r="Q257" s="282"/>
      <c r="R257" s="282"/>
      <c r="S257" s="282"/>
      <c r="T257" s="282"/>
      <c r="U257" s="282"/>
      <c r="V257" s="283"/>
      <c r="W257" s="37" t="s">
        <v>69</v>
      </c>
      <c r="X257" s="274">
        <f>IFERROR(SUM(X254:X256),"0")</f>
        <v>218</v>
      </c>
      <c r="Y257" s="274">
        <f>IFERROR(SUM(Y254:Y256),"0")</f>
        <v>218</v>
      </c>
      <c r="Z257" s="274">
        <f>IFERROR(IF(Z254="",0,Z254),"0")+IFERROR(IF(Z255="",0,Z255),"0")+IFERROR(IF(Z256="",0,Z256),"0")</f>
        <v>3.29304</v>
      </c>
      <c r="AA257" s="275"/>
      <c r="AB257" s="275"/>
      <c r="AC257" s="275"/>
    </row>
    <row r="258" spans="1:68" x14ac:dyDescent="0.2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3"/>
      <c r="P258" s="281" t="s">
        <v>82</v>
      </c>
      <c r="Q258" s="282"/>
      <c r="R258" s="282"/>
      <c r="S258" s="282"/>
      <c r="T258" s="282"/>
      <c r="U258" s="282"/>
      <c r="V258" s="283"/>
      <c r="W258" s="37" t="s">
        <v>83</v>
      </c>
      <c r="X258" s="274">
        <f>IFERROR(SUMPRODUCT(X254:X256*H254:H256),"0")</f>
        <v>1051.3599999999999</v>
      </c>
      <c r="Y258" s="274">
        <f>IFERROR(SUMPRODUCT(Y254:Y256*H254:H256),"0")</f>
        <v>1051.3599999999999</v>
      </c>
      <c r="Z258" s="37"/>
      <c r="AA258" s="275"/>
      <c r="AB258" s="275"/>
      <c r="AC258" s="275"/>
    </row>
    <row r="259" spans="1:68" ht="14.25" customHeight="1" x14ac:dyDescent="0.25">
      <c r="A259" s="304" t="s">
        <v>138</v>
      </c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66"/>
      <c r="AB259" s="266"/>
      <c r="AC259" s="266"/>
    </row>
    <row r="260" spans="1:68" ht="37.5" customHeight="1" x14ac:dyDescent="0.25">
      <c r="A260" s="54" t="s">
        <v>349</v>
      </c>
      <c r="B260" s="54" t="s">
        <v>350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352</v>
      </c>
      <c r="B261" s="54" t="s">
        <v>353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108</v>
      </c>
      <c r="M261" s="33" t="s">
        <v>68</v>
      </c>
      <c r="N261" s="33"/>
      <c r="O261" s="32">
        <v>180</v>
      </c>
      <c r="P261" s="39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14</v>
      </c>
      <c r="Y261" s="273">
        <f t="shared" si="18"/>
        <v>14</v>
      </c>
      <c r="Z261" s="36">
        <f>IFERROR(IF(X261="","",X261*0.00936),"")</f>
        <v>0.13103999999999999</v>
      </c>
      <c r="AA261" s="56"/>
      <c r="AB261" s="57"/>
      <c r="AC261" s="246" t="s">
        <v>354</v>
      </c>
      <c r="AG261" s="67"/>
      <c r="AJ261" s="71" t="s">
        <v>110</v>
      </c>
      <c r="AK261" s="71">
        <v>14</v>
      </c>
      <c r="BB261" s="247" t="s">
        <v>99</v>
      </c>
      <c r="BM261" s="67">
        <f t="shared" si="19"/>
        <v>54.488</v>
      </c>
      <c r="BN261" s="67">
        <f t="shared" si="20"/>
        <v>54.488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355</v>
      </c>
      <c r="B262" s="54" t="s">
        <v>356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108</v>
      </c>
      <c r="M262" s="33" t="s">
        <v>68</v>
      </c>
      <c r="N262" s="33"/>
      <c r="O262" s="32">
        <v>180</v>
      </c>
      <c r="P262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12</v>
      </c>
      <c r="Y262" s="273">
        <f t="shared" si="18"/>
        <v>12</v>
      </c>
      <c r="Z262" s="36">
        <f>IFERROR(IF(X262="","",X262*0.0155),"")</f>
        <v>0.186</v>
      </c>
      <c r="AA262" s="56"/>
      <c r="AB262" s="57"/>
      <c r="AC262" s="248" t="s">
        <v>351</v>
      </c>
      <c r="AG262" s="67"/>
      <c r="AJ262" s="71" t="s">
        <v>110</v>
      </c>
      <c r="AK262" s="71">
        <v>12</v>
      </c>
      <c r="BB262" s="249" t="s">
        <v>99</v>
      </c>
      <c r="BM262" s="67">
        <f t="shared" si="19"/>
        <v>68.820000000000007</v>
      </c>
      <c r="BN262" s="67">
        <f t="shared" si="20"/>
        <v>68.820000000000007</v>
      </c>
      <c r="BO262" s="67">
        <f t="shared" si="21"/>
        <v>0.14285714285714285</v>
      </c>
      <c r="BP262" s="67">
        <f t="shared" si="22"/>
        <v>0.14285714285714285</v>
      </c>
    </row>
    <row r="263" spans="1:68" ht="27" customHeight="1" x14ac:dyDescent="0.25">
      <c r="A263" s="54" t="s">
        <v>357</v>
      </c>
      <c r="B263" s="54" t="s">
        <v>358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5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238</v>
      </c>
      <c r="Y263" s="273">
        <f t="shared" si="18"/>
        <v>238</v>
      </c>
      <c r="Z263" s="36">
        <f t="shared" ref="Z263:Z268" si="23">IFERROR(IF(X263="","",X263*0.00936),"")</f>
        <v>2.2276799999999999</v>
      </c>
      <c r="AA263" s="56"/>
      <c r="AB263" s="57"/>
      <c r="AC263" s="250" t="s">
        <v>354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759.69600000000003</v>
      </c>
      <c r="BN263" s="67">
        <f t="shared" si="20"/>
        <v>759.69600000000003</v>
      </c>
      <c r="BO263" s="67">
        <f t="shared" si="21"/>
        <v>1.8888888888888888</v>
      </c>
      <c r="BP263" s="67">
        <f t="shared" si="22"/>
        <v>1.8888888888888888</v>
      </c>
    </row>
    <row r="264" spans="1:68" ht="27" customHeight="1" x14ac:dyDescent="0.25">
      <c r="A264" s="54" t="s">
        <v>359</v>
      </c>
      <c r="B264" s="54" t="s">
        <v>360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108</v>
      </c>
      <c r="M264" s="33" t="s">
        <v>68</v>
      </c>
      <c r="N264" s="33"/>
      <c r="O264" s="32">
        <v>180</v>
      </c>
      <c r="P264" s="36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si="18"/>
        <v>0</v>
      </c>
      <c r="Z264" s="36">
        <f t="shared" si="23"/>
        <v>0</v>
      </c>
      <c r="AA264" s="56"/>
      <c r="AB264" s="57"/>
      <c r="AC264" s="252" t="s">
        <v>351</v>
      </c>
      <c r="AG264" s="67"/>
      <c r="AJ264" s="71" t="s">
        <v>110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361</v>
      </c>
      <c r="B265" s="54" t="s">
        <v>362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351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363</v>
      </c>
      <c r="B266" s="54" t="s">
        <v>364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351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365</v>
      </c>
      <c r="B267" s="54" t="s">
        <v>366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367</v>
      </c>
      <c r="B268" s="54" t="s">
        <v>368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354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369</v>
      </c>
      <c r="B269" s="54" t="s">
        <v>370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149</v>
      </c>
      <c r="L269" s="32" t="s">
        <v>67</v>
      </c>
      <c r="M269" s="33" t="s">
        <v>68</v>
      </c>
      <c r="N269" s="33"/>
      <c r="O269" s="32">
        <v>180</v>
      </c>
      <c r="P269" s="42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351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2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3"/>
      <c r="P270" s="281" t="s">
        <v>82</v>
      </c>
      <c r="Q270" s="282"/>
      <c r="R270" s="282"/>
      <c r="S270" s="282"/>
      <c r="T270" s="282"/>
      <c r="U270" s="282"/>
      <c r="V270" s="283"/>
      <c r="W270" s="37" t="s">
        <v>69</v>
      </c>
      <c r="X270" s="274">
        <f>IFERROR(SUM(X260:X269),"0")</f>
        <v>264</v>
      </c>
      <c r="Y270" s="274">
        <f>IFERROR(SUM(Y260:Y269),"0")</f>
        <v>264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2.5447199999999999</v>
      </c>
      <c r="AA270" s="275"/>
      <c r="AB270" s="275"/>
      <c r="AC270" s="275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3"/>
      <c r="P271" s="281" t="s">
        <v>82</v>
      </c>
      <c r="Q271" s="282"/>
      <c r="R271" s="282"/>
      <c r="S271" s="282"/>
      <c r="T271" s="282"/>
      <c r="U271" s="282"/>
      <c r="V271" s="283"/>
      <c r="W271" s="37" t="s">
        <v>83</v>
      </c>
      <c r="X271" s="274">
        <f>IFERROR(SUMPRODUCT(X260:X269*H260:H269),"0")</f>
        <v>831.8</v>
      </c>
      <c r="Y271" s="274">
        <f>IFERROR(SUMPRODUCT(Y260:Y269*H260:H269),"0")</f>
        <v>831.8</v>
      </c>
      <c r="Z271" s="37"/>
      <c r="AA271" s="275"/>
      <c r="AB271" s="275"/>
      <c r="AC271" s="275"/>
    </row>
    <row r="272" spans="1:68" ht="15" customHeight="1" x14ac:dyDescent="0.2">
      <c r="A272" s="438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373"/>
      <c r="P272" s="319" t="s">
        <v>371</v>
      </c>
      <c r="Q272" s="320"/>
      <c r="R272" s="320"/>
      <c r="S272" s="320"/>
      <c r="T272" s="320"/>
      <c r="U272" s="320"/>
      <c r="V272" s="321"/>
      <c r="W272" s="37" t="s">
        <v>83</v>
      </c>
      <c r="X272" s="274">
        <f>IFERROR(X29+X35+X42+X49+X57+X62+X66+X71+X77+X83+X88+X94+X105+X111+X123+X127+X131+X137+X143+X149+X154+X159+X164+X169+X176+X181+X190+X194+X200+X208+X213+X219+X225+X231+X237+X241+X248+X252+X258+X271,"0")</f>
        <v>12394.560000000001</v>
      </c>
      <c r="Y272" s="274">
        <f>IFERROR(Y29+Y35+Y42+Y49+Y57+Y62+Y66+Y71+Y77+Y83+Y88+Y94+Y105+Y111+Y123+Y127+Y131+Y137+Y143+Y149+Y154+Y159+Y164+Y169+Y176+Y181+Y190+Y194+Y200+Y208+Y213+Y219+Y225+Y231+Y237+Y241+Y248+Y252+Y258+Y271,"0")</f>
        <v>12394.560000000001</v>
      </c>
      <c r="Z272" s="37"/>
      <c r="AA272" s="275"/>
      <c r="AB272" s="275"/>
      <c r="AC272" s="275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373"/>
      <c r="P273" s="319" t="s">
        <v>372</v>
      </c>
      <c r="Q273" s="320"/>
      <c r="R273" s="320"/>
      <c r="S273" s="320"/>
      <c r="T273" s="320"/>
      <c r="U273" s="320"/>
      <c r="V273" s="321"/>
      <c r="W273" s="37" t="s">
        <v>83</v>
      </c>
      <c r="X273" s="274">
        <f>IFERROR(SUM(BM22:BM269),"0")</f>
        <v>13442.8676</v>
      </c>
      <c r="Y273" s="274">
        <f>IFERROR(SUM(BN22:BN269),"0")</f>
        <v>13442.8676</v>
      </c>
      <c r="Z273" s="37"/>
      <c r="AA273" s="275"/>
      <c r="AB273" s="275"/>
      <c r="AC273" s="275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373"/>
      <c r="P274" s="319" t="s">
        <v>373</v>
      </c>
      <c r="Q274" s="320"/>
      <c r="R274" s="320"/>
      <c r="S274" s="320"/>
      <c r="T274" s="320"/>
      <c r="U274" s="320"/>
      <c r="V274" s="321"/>
      <c r="W274" s="37" t="s">
        <v>374</v>
      </c>
      <c r="X274" s="38">
        <f>ROUNDUP(SUM(BO22:BO269),0)</f>
        <v>33</v>
      </c>
      <c r="Y274" s="38">
        <f>ROUNDUP(SUM(BP22:BP269),0)</f>
        <v>33</v>
      </c>
      <c r="Z274" s="37"/>
      <c r="AA274" s="275"/>
      <c r="AB274" s="275"/>
      <c r="AC274" s="275"/>
    </row>
    <row r="275" spans="1:32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373"/>
      <c r="P275" s="319" t="s">
        <v>375</v>
      </c>
      <c r="Q275" s="320"/>
      <c r="R275" s="320"/>
      <c r="S275" s="320"/>
      <c r="T275" s="320"/>
      <c r="U275" s="320"/>
      <c r="V275" s="321"/>
      <c r="W275" s="37" t="s">
        <v>83</v>
      </c>
      <c r="X275" s="274">
        <f>GrossWeightTotal+PalletQtyTotal*25</f>
        <v>14267.8676</v>
      </c>
      <c r="Y275" s="274">
        <f>GrossWeightTotalR+PalletQtyTotalR*25</f>
        <v>14267.8676</v>
      </c>
      <c r="Z275" s="37"/>
      <c r="AA275" s="275"/>
      <c r="AB275" s="275"/>
      <c r="AC275" s="275"/>
    </row>
    <row r="276" spans="1:32" x14ac:dyDescent="0.2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373"/>
      <c r="P276" s="319" t="s">
        <v>376</v>
      </c>
      <c r="Q276" s="320"/>
      <c r="R276" s="320"/>
      <c r="S276" s="320"/>
      <c r="T276" s="320"/>
      <c r="U276" s="320"/>
      <c r="V276" s="321"/>
      <c r="W276" s="37" t="s">
        <v>374</v>
      </c>
      <c r="X276" s="274">
        <f>IFERROR(X28+X34+X41+X48+X56+X61+X65+X70+X76+X82+X87+X93+X104+X110+X122+X126+X130+X136+X142+X148+X153+X158+X163+X168+X175+X180+X189+X193+X199+X207+X212+X218+X224+X230+X236+X240+X247+X251+X257+X270,"0")</f>
        <v>2798</v>
      </c>
      <c r="Y276" s="274">
        <f>IFERROR(Y28+Y34+Y41+Y48+Y56+Y61+Y65+Y70+Y76+Y82+Y87+Y93+Y104+Y110+Y122+Y126+Y130+Y136+Y142+Y148+Y153+Y158+Y163+Y168+Y175+Y180+Y189+Y193+Y199+Y207+Y212+Y218+Y224+Y230+Y236+Y240+Y247+Y251+Y257+Y270,"0")</f>
        <v>2798</v>
      </c>
      <c r="Z276" s="37"/>
      <c r="AA276" s="275"/>
      <c r="AB276" s="275"/>
      <c r="AC276" s="275"/>
    </row>
    <row r="277" spans="1:32" ht="14.25" customHeight="1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373"/>
      <c r="P277" s="319" t="s">
        <v>377</v>
      </c>
      <c r="Q277" s="320"/>
      <c r="R277" s="320"/>
      <c r="S277" s="320"/>
      <c r="T277" s="320"/>
      <c r="U277" s="320"/>
      <c r="V277" s="321"/>
      <c r="W277" s="39" t="s">
        <v>378</v>
      </c>
      <c r="X277" s="37"/>
      <c r="Y277" s="37"/>
      <c r="Z277" s="37">
        <f>IFERROR(Z28+Z34+Z41+Z48+Z56+Z61+Z65+Z70+Z76+Z82+Z87+Z93+Z104+Z110+Z122+Z126+Z130+Z136+Z142+Z148+Z153+Z158+Z163+Z168+Z175+Z180+Z189+Z193+Z199+Z207+Z212+Z218+Z224+Z230+Z236+Z240+Z247+Z251+Z257+Z270,"0")</f>
        <v>40.976939999999999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379</v>
      </c>
      <c r="B279" s="290" t="s">
        <v>62</v>
      </c>
      <c r="C279" s="326"/>
      <c r="D279" s="290" t="s">
        <v>90</v>
      </c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6"/>
      <c r="V279" s="264" t="s">
        <v>251</v>
      </c>
      <c r="W279" s="264" t="s">
        <v>265</v>
      </c>
      <c r="X279" s="290" t="s">
        <v>287</v>
      </c>
      <c r="Y279" s="325"/>
      <c r="Z279" s="326"/>
      <c r="AA279" s="264" t="s">
        <v>316</v>
      </c>
      <c r="AB279" s="264" t="s">
        <v>321</v>
      </c>
      <c r="AC279" s="264" t="s">
        <v>325</v>
      </c>
      <c r="AD279" s="264" t="s">
        <v>333</v>
      </c>
      <c r="AF279" s="265"/>
    </row>
    <row r="280" spans="1:32" ht="14.25" customHeight="1" thickTop="1" x14ac:dyDescent="0.2">
      <c r="A280" s="383" t="s">
        <v>380</v>
      </c>
      <c r="B280" s="290" t="s">
        <v>62</v>
      </c>
      <c r="C280" s="290" t="s">
        <v>84</v>
      </c>
      <c r="D280" s="290" t="s">
        <v>91</v>
      </c>
      <c r="E280" s="290" t="s">
        <v>102</v>
      </c>
      <c r="F280" s="290" t="s">
        <v>114</v>
      </c>
      <c r="G280" s="290" t="s">
        <v>125</v>
      </c>
      <c r="H280" s="290" t="s">
        <v>146</v>
      </c>
      <c r="I280" s="290" t="s">
        <v>153</v>
      </c>
      <c r="J280" s="290" t="s">
        <v>157</v>
      </c>
      <c r="K280" s="290" t="s">
        <v>165</v>
      </c>
      <c r="L280" s="290" t="s">
        <v>183</v>
      </c>
      <c r="M280" s="290" t="s">
        <v>189</v>
      </c>
      <c r="N280" s="265"/>
      <c r="O280" s="290" t="s">
        <v>217</v>
      </c>
      <c r="P280" s="290" t="s">
        <v>223</v>
      </c>
      <c r="Q280" s="290" t="s">
        <v>230</v>
      </c>
      <c r="R280" s="290" t="s">
        <v>235</v>
      </c>
      <c r="S280" s="290" t="s">
        <v>239</v>
      </c>
      <c r="T280" s="290" t="s">
        <v>242</v>
      </c>
      <c r="U280" s="290" t="s">
        <v>247</v>
      </c>
      <c r="V280" s="290" t="s">
        <v>252</v>
      </c>
      <c r="W280" s="290" t="s">
        <v>266</v>
      </c>
      <c r="X280" s="290" t="s">
        <v>288</v>
      </c>
      <c r="Y280" s="290" t="s">
        <v>306</v>
      </c>
      <c r="Z280" s="290" t="s">
        <v>310</v>
      </c>
      <c r="AA280" s="290" t="s">
        <v>317</v>
      </c>
      <c r="AB280" s="290" t="s">
        <v>322</v>
      </c>
      <c r="AC280" s="290" t="s">
        <v>326</v>
      </c>
      <c r="AD280" s="290" t="s">
        <v>333</v>
      </c>
      <c r="AF280" s="265"/>
    </row>
    <row r="281" spans="1:32" ht="13.5" customHeight="1" thickBot="1" x14ac:dyDescent="0.25">
      <c r="A281" s="384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65"/>
      <c r="O281" s="291"/>
      <c r="P281" s="291"/>
      <c r="Q281" s="291"/>
      <c r="R281" s="291"/>
      <c r="S281" s="291"/>
      <c r="T281" s="291"/>
      <c r="U281" s="291"/>
      <c r="V281" s="291"/>
      <c r="W281" s="291"/>
      <c r="X281" s="291"/>
      <c r="Y281" s="291"/>
      <c r="Z281" s="291"/>
      <c r="AA281" s="291"/>
      <c r="AB281" s="291"/>
      <c r="AC281" s="291"/>
      <c r="AD281" s="291"/>
      <c r="AF281" s="265"/>
    </row>
    <row r="282" spans="1:32" ht="18" customHeight="1" thickTop="1" thickBot="1" x14ac:dyDescent="0.25">
      <c r="A282" s="40" t="s">
        <v>381</v>
      </c>
      <c r="B282" s="46">
        <f>IFERROR(X22*H22,"0")+IFERROR(X23*H23,"0")+IFERROR(X24*H24,"0")+IFERROR(X25*H25,"0")+IFERROR(X26*H26,"0")+IFERROR(X27*H27,"0")</f>
        <v>345.6</v>
      </c>
      <c r="C282" s="46">
        <f>IFERROR(X32*H32,"0")+IFERROR(X33*H33,"0")</f>
        <v>76.800000000000011</v>
      </c>
      <c r="D282" s="46">
        <f>IFERROR(X39*H39,"0")+IFERROR(X40*H40,"0")</f>
        <v>147</v>
      </c>
      <c r="E282" s="46">
        <f>IFERROR(X45*H45,"0")+IFERROR(X46*H46,"0")+IFERROR(X47*H47,"0")</f>
        <v>67.199999999999989</v>
      </c>
      <c r="F282" s="46">
        <f>IFERROR(X52*H52,"0")+IFERROR(X53*H53,"0")+IFERROR(X54*H54,"0")+IFERROR(X55*H55,"0")</f>
        <v>916.8</v>
      </c>
      <c r="G282" s="46">
        <f>IFERROR(X60*H60,"0")+IFERROR(X64*H64,"0")+IFERROR(X68*H68,"0")+IFERROR(X69*H69,"0")+IFERROR(X73*H73,"0")+IFERROR(X74*H74,"0")+IFERROR(X75*H75,"0")</f>
        <v>33.6</v>
      </c>
      <c r="H282" s="46">
        <f>IFERROR(X80*H80,"0")+IFERROR(X81*H81,"0")</f>
        <v>1080</v>
      </c>
      <c r="I282" s="46">
        <f>IFERROR(X86*H86,"0")</f>
        <v>50.4</v>
      </c>
      <c r="J282" s="46">
        <f>IFERROR(X91*H91,"0")+IFERROR(X92*H92,"0")</f>
        <v>50.4</v>
      </c>
      <c r="K282" s="46">
        <f>IFERROR(X97*H97,"0")+IFERROR(X98*H98,"0")+IFERROR(X99*H99,"0")+IFERROR(X100*H100,"0")+IFERROR(X101*H101,"0")+IFERROR(X102*H102,"0")+IFERROR(X103*H103,"0")</f>
        <v>672</v>
      </c>
      <c r="L282" s="46">
        <f>IFERROR(X108*H108,"0")+IFERROR(X109*H109,"0")</f>
        <v>60.480000000000004</v>
      </c>
      <c r="M282" s="46">
        <f>IFERROR(X114*H114,"0")+IFERROR(X115*H115,"0")+IFERROR(X116*H116,"0")+IFERROR(X117*H117,"0")+IFERROR(X118*H118,"0")+IFERROR(X119*H119,"0")+IFERROR(X120*H120,"0")+IFERROR(X121*H121,"0")+IFERROR(X125*H125,"0")+IFERROR(X129*H129,"0")</f>
        <v>3276.96</v>
      </c>
      <c r="N282" s="265"/>
      <c r="O282" s="46">
        <f>IFERROR(X134*H134,"0")+IFERROR(X135*H135,"0")</f>
        <v>588</v>
      </c>
      <c r="P282" s="46">
        <f>IFERROR(X140*H140,"0")+IFERROR(X141*H141,"0")</f>
        <v>294</v>
      </c>
      <c r="Q282" s="46">
        <f>IFERROR(X146*H146,"0")+IFERROR(X147*H147,"0")</f>
        <v>201.6</v>
      </c>
      <c r="R282" s="46">
        <f>IFERROR(X152*H152,"0")</f>
        <v>42</v>
      </c>
      <c r="S282" s="46">
        <f>IFERROR(X157*H157,"0")</f>
        <v>0</v>
      </c>
      <c r="T282" s="46">
        <f>IFERROR(X162*H162,"0")</f>
        <v>0</v>
      </c>
      <c r="U282" s="46">
        <f>IFERROR(X167*H167,"0")</f>
        <v>0</v>
      </c>
      <c r="V282" s="46">
        <f>IFERROR(X173*H173,"0")+IFERROR(X174*H174,"0")+IFERROR(X178*H178,"0")+IFERROR(X179*H179,"0")</f>
        <v>420</v>
      </c>
      <c r="W282" s="46">
        <f>IFERROR(X185*H185,"0")+IFERROR(X186*H186,"0")+IFERROR(X187*H187,"0")+IFERROR(X188*H188,"0")+IFERROR(X192*H192,"0")</f>
        <v>707.28</v>
      </c>
      <c r="X282" s="46">
        <f>IFERROR(X198*H198,"0")+IFERROR(X202*H202,"0")+IFERROR(X203*H203,"0")+IFERROR(X204*H204,"0")+IFERROR(X205*H205,"0")+IFERROR(X206*H206,"0")</f>
        <v>77.28</v>
      </c>
      <c r="Y282" s="46">
        <f>IFERROR(X211*H211,"0")</f>
        <v>180</v>
      </c>
      <c r="Z282" s="46">
        <f>IFERROR(X216*H216,"0")+IFERROR(X217*H217,"0")</f>
        <v>0</v>
      </c>
      <c r="AA282" s="46">
        <f>IFERROR(X223*H223,"0")</f>
        <v>0</v>
      </c>
      <c r="AB282" s="46">
        <f>IFERROR(X229*H229,"0")</f>
        <v>360</v>
      </c>
      <c r="AC282" s="46">
        <f>IFERROR(X235*H235,"0")+IFERROR(X239*H239,"0")</f>
        <v>0</v>
      </c>
      <c r="AD282" s="46">
        <f>IFERROR(X245*H245,"0")+IFERROR(X246*H246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2747.16</v>
      </c>
      <c r="AF282" s="265"/>
    </row>
    <row r="283" spans="1:32" ht="13.5" customHeight="1" thickTop="1" x14ac:dyDescent="0.2">
      <c r="C283" s="265"/>
    </row>
    <row r="284" spans="1:32" ht="19.5" customHeight="1" x14ac:dyDescent="0.2">
      <c r="A284" s="58" t="s">
        <v>382</v>
      </c>
      <c r="B284" s="58" t="s">
        <v>383</v>
      </c>
      <c r="C284" s="58" t="s">
        <v>384</v>
      </c>
    </row>
    <row r="285" spans="1:32" x14ac:dyDescent="0.2">
      <c r="A285" s="59">
        <f>SUMPRODUCT(--(BB:BB="ЗПФ"),--(W:W="кор"),H:H,Y:Y)+SUMPRODUCT(--(BB:BB="ЗПФ"),--(W:W="кг"),Y:Y)</f>
        <v>6686.4</v>
      </c>
      <c r="B285" s="60">
        <f>SUMPRODUCT(--(BB:BB="ПГП"),--(W:W="кор"),H:H,Y:Y)+SUMPRODUCT(--(BB:BB="ПГП"),--(W:W="кг"),Y:Y)</f>
        <v>5708.16</v>
      </c>
      <c r="C285" s="60">
        <f>SUMPRODUCT(--(BB:BB="КИЗ"),--(W:W="кор"),H:H,Y:Y)+SUMPRODUCT(--(BB:BB="КИЗ"),--(W:W="кг"),Y:Y)</f>
        <v>0</v>
      </c>
    </row>
  </sheetData>
  <sheetProtection algorithmName="SHA-512" hashValue="ZTEPgukHX2U3BB8fpDqA1MZG+UhY9LCqyDMyWwIVIC9IKv0PeC2osCx3nEJB0XTLNySs0XC2bwSBka7DDzzScQ==" saltValue="uesdUzKDudrpp486EOXBdg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P163:V163"/>
    <mergeCell ref="D32:E32"/>
    <mergeCell ref="D97:E97"/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P202:T202"/>
    <mergeCell ref="A163:O164"/>
    <mergeCell ref="D250:E250"/>
    <mergeCell ref="V12:W12"/>
    <mergeCell ref="D262:E262"/>
    <mergeCell ref="P122:V122"/>
    <mergeCell ref="P25:T25"/>
    <mergeCell ref="A30:Z30"/>
    <mergeCell ref="A142:O143"/>
    <mergeCell ref="P60:T60"/>
    <mergeCell ref="D239:E239"/>
    <mergeCell ref="P174:T174"/>
    <mergeCell ref="U17:V17"/>
    <mergeCell ref="Y17:Y18"/>
    <mergeCell ref="AD17:AF18"/>
    <mergeCell ref="D101:E101"/>
    <mergeCell ref="P142:V142"/>
    <mergeCell ref="A132:Z132"/>
    <mergeCell ref="F5:G5"/>
    <mergeCell ref="A172:Z172"/>
    <mergeCell ref="P169:V169"/>
    <mergeCell ref="A221:Z221"/>
    <mergeCell ref="P186:T186"/>
    <mergeCell ref="V11:W11"/>
    <mergeCell ref="P75:T75"/>
    <mergeCell ref="P146:T146"/>
    <mergeCell ref="D152:E152"/>
    <mergeCell ref="A136:O137"/>
    <mergeCell ref="P121:T121"/>
    <mergeCell ref="D23:E23"/>
    <mergeCell ref="D216:E216"/>
    <mergeCell ref="A20:Z20"/>
    <mergeCell ref="A112:Z112"/>
    <mergeCell ref="P66:V66"/>
    <mergeCell ref="P137:V137"/>
    <mergeCell ref="A191:Z191"/>
    <mergeCell ref="A51:Z51"/>
    <mergeCell ref="A107:Z107"/>
    <mergeCell ref="P2:W3"/>
    <mergeCell ref="P198:T198"/>
    <mergeCell ref="A43:Z43"/>
    <mergeCell ref="P54:T54"/>
    <mergeCell ref="P218:V218"/>
    <mergeCell ref="A170:Z170"/>
    <mergeCell ref="A272:O277"/>
    <mergeCell ref="D10:E10"/>
    <mergeCell ref="P64:T64"/>
    <mergeCell ref="F10:G10"/>
    <mergeCell ref="P135:T135"/>
    <mergeCell ref="D99:E99"/>
    <mergeCell ref="A201:Z201"/>
    <mergeCell ref="D223:E223"/>
    <mergeCell ref="D265:E265"/>
    <mergeCell ref="A249:Z249"/>
    <mergeCell ref="P262:T262"/>
    <mergeCell ref="N17:N18"/>
    <mergeCell ref="Q5:R5"/>
    <mergeCell ref="F17:F18"/>
    <mergeCell ref="D120:E120"/>
    <mergeCell ref="P263:T263"/>
    <mergeCell ref="Q6:R6"/>
    <mergeCell ref="P134:T134"/>
    <mergeCell ref="O17:O18"/>
    <mergeCell ref="P131:V131"/>
    <mergeCell ref="P258:V258"/>
    <mergeCell ref="P102:T102"/>
    <mergeCell ref="V280:V281"/>
    <mergeCell ref="X280:X281"/>
    <mergeCell ref="P189:V189"/>
    <mergeCell ref="D33:E33"/>
    <mergeCell ref="A106:Z106"/>
    <mergeCell ref="E280:E281"/>
    <mergeCell ref="Z280:Z281"/>
    <mergeCell ref="W280:W281"/>
    <mergeCell ref="A251:O252"/>
    <mergeCell ref="A189:O190"/>
    <mergeCell ref="D102:E102"/>
    <mergeCell ref="P208:V208"/>
    <mergeCell ref="D25:E25"/>
    <mergeCell ref="A126:O127"/>
    <mergeCell ref="P219:V219"/>
    <mergeCell ref="B280:B281"/>
    <mergeCell ref="P272:V272"/>
    <mergeCell ref="D280:D281"/>
    <mergeCell ref="D54:E54"/>
    <mergeCell ref="D266:E266"/>
    <mergeCell ref="H5:M5"/>
    <mergeCell ref="P158:V158"/>
    <mergeCell ref="P98:T98"/>
    <mergeCell ref="A214:Z214"/>
    <mergeCell ref="D146:E146"/>
    <mergeCell ref="D6:M6"/>
    <mergeCell ref="A85:Z85"/>
    <mergeCell ref="P162:T162"/>
    <mergeCell ref="P33:T33"/>
    <mergeCell ref="G17:G18"/>
    <mergeCell ref="P57:V57"/>
    <mergeCell ref="D80:E80"/>
    <mergeCell ref="P188:T188"/>
    <mergeCell ref="A182:Z182"/>
    <mergeCell ref="P42:V42"/>
    <mergeCell ref="P148:V148"/>
    <mergeCell ref="P123:V123"/>
    <mergeCell ref="P46:T46"/>
    <mergeCell ref="A9:C9"/>
    <mergeCell ref="P125:T125"/>
    <mergeCell ref="D202:E202"/>
    <mergeCell ref="P70:V70"/>
    <mergeCell ref="A156:Z156"/>
    <mergeCell ref="Q13:R13"/>
    <mergeCell ref="F280:F281"/>
    <mergeCell ref="V6:W9"/>
    <mergeCell ref="P256:T256"/>
    <mergeCell ref="P109:T109"/>
    <mergeCell ref="A59:Z59"/>
    <mergeCell ref="D186:E186"/>
    <mergeCell ref="A93:O94"/>
    <mergeCell ref="D217:E217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P237:V237"/>
    <mergeCell ref="D279:U279"/>
    <mergeCell ref="D256:E256"/>
    <mergeCell ref="P269:T269"/>
    <mergeCell ref="P280:P281"/>
    <mergeCell ref="Y280:Y281"/>
    <mergeCell ref="H10:M10"/>
    <mergeCell ref="AA17:AA18"/>
    <mergeCell ref="AC17:AC18"/>
    <mergeCell ref="P108:T108"/>
    <mergeCell ref="A72:Z72"/>
    <mergeCell ref="P254:T254"/>
    <mergeCell ref="A104:O105"/>
    <mergeCell ref="A175:O176"/>
    <mergeCell ref="P45:T45"/>
    <mergeCell ref="AB17:AB18"/>
    <mergeCell ref="A232:Z232"/>
    <mergeCell ref="P240:V240"/>
    <mergeCell ref="A227:Z227"/>
    <mergeCell ref="A236:O237"/>
    <mergeCell ref="A155:Z155"/>
    <mergeCell ref="A220:Z220"/>
    <mergeCell ref="P114:T114"/>
    <mergeCell ref="D22:E22"/>
    <mergeCell ref="A222:Z222"/>
    <mergeCell ref="P178:T178"/>
    <mergeCell ref="D86:E86"/>
    <mergeCell ref="A110:O111"/>
    <mergeCell ref="P101:T101"/>
    <mergeCell ref="P194:V194"/>
    <mergeCell ref="H17:H18"/>
    <mergeCell ref="P261:T261"/>
    <mergeCell ref="D204:E204"/>
    <mergeCell ref="P217:T217"/>
    <mergeCell ref="D198:E198"/>
    <mergeCell ref="A207:O208"/>
    <mergeCell ref="D269:E269"/>
    <mergeCell ref="P104:V104"/>
    <mergeCell ref="P275:V275"/>
    <mergeCell ref="P27:T27"/>
    <mergeCell ref="D75:E75"/>
    <mergeCell ref="D206:E206"/>
    <mergeCell ref="P247:V247"/>
    <mergeCell ref="P241:V241"/>
    <mergeCell ref="P41:V41"/>
    <mergeCell ref="P91:T91"/>
    <mergeCell ref="P252:V252"/>
    <mergeCell ref="P56:V56"/>
    <mergeCell ref="P105:V105"/>
    <mergeCell ref="D39:E39"/>
    <mergeCell ref="A160:Z160"/>
    <mergeCell ref="P273:V273"/>
    <mergeCell ref="A233:Z233"/>
    <mergeCell ref="M17:M18"/>
    <mergeCell ref="P235:T235"/>
    <mergeCell ref="P213:V213"/>
    <mergeCell ref="A38:Z38"/>
    <mergeCell ref="A209:Z209"/>
    <mergeCell ref="P28:V28"/>
    <mergeCell ref="A67:Z67"/>
    <mergeCell ref="D203:E203"/>
    <mergeCell ref="D140:E140"/>
    <mergeCell ref="D267:E267"/>
    <mergeCell ref="A168:O169"/>
    <mergeCell ref="P260:T260"/>
    <mergeCell ref="A63:Z63"/>
    <mergeCell ref="D178:E178"/>
    <mergeCell ref="P225:V225"/>
    <mergeCell ref="P26:T26"/>
    <mergeCell ref="A199:O200"/>
    <mergeCell ref="A270:O271"/>
    <mergeCell ref="AB280:AB281"/>
    <mergeCell ref="P71:V71"/>
    <mergeCell ref="A138:Z138"/>
    <mergeCell ref="A230:O231"/>
    <mergeCell ref="O280:O281"/>
    <mergeCell ref="A196:Z196"/>
    <mergeCell ref="P115:T115"/>
    <mergeCell ref="D254:E254"/>
    <mergeCell ref="P231:V231"/>
    <mergeCell ref="A61:O62"/>
    <mergeCell ref="A183:Z183"/>
    <mergeCell ref="P229:T229"/>
    <mergeCell ref="A153:O154"/>
    <mergeCell ref="A133:Z133"/>
    <mergeCell ref="D125:E125"/>
    <mergeCell ref="P179:T179"/>
    <mergeCell ref="P204:T204"/>
    <mergeCell ref="R280:R281"/>
    <mergeCell ref="P267:T267"/>
    <mergeCell ref="A257:O258"/>
    <mergeCell ref="T280:T281"/>
    <mergeCell ref="P83:V83"/>
    <mergeCell ref="A79:Z79"/>
    <mergeCell ref="A82:O83"/>
    <mergeCell ref="T6:U9"/>
    <mergeCell ref="Q10:R10"/>
    <mergeCell ref="D185:E185"/>
    <mergeCell ref="A37:Z37"/>
    <mergeCell ref="P149:V149"/>
    <mergeCell ref="A145:Z145"/>
    <mergeCell ref="G280:G281"/>
    <mergeCell ref="I280:I281"/>
    <mergeCell ref="P216:T216"/>
    <mergeCell ref="A139:Z139"/>
    <mergeCell ref="A280:A281"/>
    <mergeCell ref="A210:Z210"/>
    <mergeCell ref="D74:E74"/>
    <mergeCell ref="D68:E68"/>
    <mergeCell ref="P245:T245"/>
    <mergeCell ref="P126:V126"/>
    <mergeCell ref="D188:E188"/>
    <mergeCell ref="A259:Z259"/>
    <mergeCell ref="A253:Z253"/>
    <mergeCell ref="A12:M12"/>
    <mergeCell ref="P200:V200"/>
    <mergeCell ref="P74:T74"/>
    <mergeCell ref="A19:Z19"/>
    <mergeCell ref="A14:M14"/>
    <mergeCell ref="D109:E109"/>
    <mergeCell ref="T5:U5"/>
    <mergeCell ref="D119:E119"/>
    <mergeCell ref="V5:W5"/>
    <mergeCell ref="P203:T203"/>
    <mergeCell ref="D46:E46"/>
    <mergeCell ref="D246:E246"/>
    <mergeCell ref="D40:E40"/>
    <mergeCell ref="A224:O225"/>
    <mergeCell ref="P212:V212"/>
    <mergeCell ref="A34:O35"/>
    <mergeCell ref="Q8:R8"/>
    <mergeCell ref="A28:O29"/>
    <mergeCell ref="P69:T69"/>
    <mergeCell ref="P140:T140"/>
    <mergeCell ref="P24:T24"/>
    <mergeCell ref="P211:T211"/>
    <mergeCell ref="A5:C5"/>
    <mergeCell ref="D179:E179"/>
    <mergeCell ref="AA280:AA281"/>
    <mergeCell ref="AC280:AC281"/>
    <mergeCell ref="A17:A18"/>
    <mergeCell ref="K17:K18"/>
    <mergeCell ref="C17:C18"/>
    <mergeCell ref="D103:E103"/>
    <mergeCell ref="A238:Z238"/>
    <mergeCell ref="B279:C279"/>
    <mergeCell ref="D9:E9"/>
    <mergeCell ref="D118:E118"/>
    <mergeCell ref="F9:G9"/>
    <mergeCell ref="P53:T53"/>
    <mergeCell ref="D167:E167"/>
    <mergeCell ref="P264:T264"/>
    <mergeCell ref="P68:T68"/>
    <mergeCell ref="P239:T239"/>
    <mergeCell ref="A247:O248"/>
    <mergeCell ref="H280:H281"/>
    <mergeCell ref="P82:V82"/>
    <mergeCell ref="A122:O123"/>
    <mergeCell ref="A44:Z44"/>
    <mergeCell ref="A31:Z31"/>
    <mergeCell ref="A6:C6"/>
    <mergeCell ref="M280:M281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D261:E261"/>
    <mergeCell ref="A130:O131"/>
    <mergeCell ref="P119:T119"/>
    <mergeCell ref="P246:T246"/>
    <mergeCell ref="P62:V62"/>
    <mergeCell ref="P127:V127"/>
    <mergeCell ref="P181:V181"/>
    <mergeCell ref="D52:E52"/>
    <mergeCell ref="P110:V110"/>
    <mergeCell ref="D27:E27"/>
    <mergeCell ref="P15:T16"/>
    <mergeCell ref="D116:E116"/>
    <mergeCell ref="A177:Z177"/>
    <mergeCell ref="J280:J281"/>
    <mergeCell ref="P34:V34"/>
    <mergeCell ref="D235:E235"/>
    <mergeCell ref="P276:V276"/>
    <mergeCell ref="P270:V270"/>
    <mergeCell ref="A95:Z95"/>
    <mergeCell ref="Q9:R9"/>
    <mergeCell ref="D255:E255"/>
    <mergeCell ref="P49:V49"/>
    <mergeCell ref="A113:Z113"/>
    <mergeCell ref="D24:E24"/>
    <mergeCell ref="Q11:R11"/>
    <mergeCell ref="P205:T205"/>
    <mergeCell ref="D260:E260"/>
    <mergeCell ref="D91:E91"/>
    <mergeCell ref="P23:T23"/>
    <mergeCell ref="D162:E162"/>
    <mergeCell ref="P185:T185"/>
    <mergeCell ref="A41:O42"/>
    <mergeCell ref="D264:E264"/>
    <mergeCell ref="P199:V199"/>
    <mergeCell ref="A195:Z195"/>
    <mergeCell ref="P65:V65"/>
    <mergeCell ref="D157:E157"/>
    <mergeCell ref="D1:F1"/>
    <mergeCell ref="P190:V190"/>
    <mergeCell ref="A242:Z242"/>
    <mergeCell ref="U280:U281"/>
    <mergeCell ref="P47:T47"/>
    <mergeCell ref="P111:V111"/>
    <mergeCell ref="A234:Z234"/>
    <mergeCell ref="J17:J18"/>
    <mergeCell ref="AD280:AD281"/>
    <mergeCell ref="L17:L18"/>
    <mergeCell ref="P61:V61"/>
    <mergeCell ref="A184:Z184"/>
    <mergeCell ref="P48:V48"/>
    <mergeCell ref="A244:Z244"/>
    <mergeCell ref="P255:T255"/>
    <mergeCell ref="A171:Z171"/>
    <mergeCell ref="A165:Z165"/>
    <mergeCell ref="P192:T192"/>
    <mergeCell ref="P277:V277"/>
    <mergeCell ref="D100:E100"/>
    <mergeCell ref="P17:T18"/>
    <mergeCell ref="P129:T129"/>
    <mergeCell ref="A180:O181"/>
    <mergeCell ref="P250:T250"/>
    <mergeCell ref="H1:Q1"/>
    <mergeCell ref="A243:Z243"/>
    <mergeCell ref="P274:V274"/>
    <mergeCell ref="P193:V193"/>
    <mergeCell ref="P120:T120"/>
    <mergeCell ref="P257:V257"/>
    <mergeCell ref="D117:E117"/>
    <mergeCell ref="D92:E92"/>
    <mergeCell ref="D55:E55"/>
    <mergeCell ref="D5:E5"/>
    <mergeCell ref="D69:E69"/>
    <mergeCell ref="P175:V175"/>
    <mergeCell ref="A240:O241"/>
    <mergeCell ref="P93:V93"/>
    <mergeCell ref="P164:V164"/>
    <mergeCell ref="P35:V35"/>
    <mergeCell ref="P39:T39"/>
    <mergeCell ref="A89:Z89"/>
    <mergeCell ref="D147:E147"/>
    <mergeCell ref="D245:E245"/>
    <mergeCell ref="P116:T116"/>
    <mergeCell ref="P32:T32"/>
    <mergeCell ref="P103:T103"/>
    <mergeCell ref="P97:T97"/>
    <mergeCell ref="P265:T265"/>
    <mergeCell ref="D8:M8"/>
    <mergeCell ref="C280:C281"/>
    <mergeCell ref="A226:Z226"/>
    <mergeCell ref="A148:O149"/>
    <mergeCell ref="P180:V180"/>
    <mergeCell ref="P251:V251"/>
    <mergeCell ref="A228:Z228"/>
    <mergeCell ref="P266:T266"/>
    <mergeCell ref="A212:O213"/>
    <mergeCell ref="S280:S281"/>
    <mergeCell ref="K280:K281"/>
    <mergeCell ref="X279:Z279"/>
    <mergeCell ref="P268:T268"/>
    <mergeCell ref="P130:V130"/>
    <mergeCell ref="D211:E211"/>
    <mergeCell ref="A166:Z166"/>
    <mergeCell ref="D229:E229"/>
    <mergeCell ref="D108:E108"/>
    <mergeCell ref="P187:T187"/>
    <mergeCell ref="P52:T52"/>
    <mergeCell ref="P223:T223"/>
    <mergeCell ref="I17:I18"/>
    <mergeCell ref="D141:E141"/>
    <mergeCell ref="A151:Z151"/>
    <mergeCell ref="P154:V154"/>
    <mergeCell ref="A150:Z150"/>
    <mergeCell ref="A144:Z144"/>
    <mergeCell ref="A215:Z215"/>
    <mergeCell ref="D7:M7"/>
    <mergeCell ref="D129:E129"/>
    <mergeCell ref="P92:T92"/>
    <mergeCell ref="P173:T173"/>
    <mergeCell ref="P100:T100"/>
    <mergeCell ref="D81:E81"/>
    <mergeCell ref="A48:O49"/>
    <mergeCell ref="D135:E135"/>
    <mergeCell ref="P176:V176"/>
    <mergeCell ref="P136:V136"/>
    <mergeCell ref="A13:M13"/>
    <mergeCell ref="A15:M15"/>
    <mergeCell ref="J9:M9"/>
    <mergeCell ref="P141:T141"/>
    <mergeCell ref="A65:O66"/>
    <mergeCell ref="P206:T206"/>
    <mergeCell ref="A56:O57"/>
    <mergeCell ref="D114:E114"/>
    <mergeCell ref="D64:E64"/>
    <mergeCell ref="L280:L281"/>
    <mergeCell ref="D263:E263"/>
    <mergeCell ref="A70:O71"/>
    <mergeCell ref="P86:T86"/>
    <mergeCell ref="P157:T157"/>
    <mergeCell ref="D134:E134"/>
    <mergeCell ref="D205:E205"/>
    <mergeCell ref="A87:O88"/>
    <mergeCell ref="R1:T1"/>
    <mergeCell ref="A158:O159"/>
    <mergeCell ref="A218:O219"/>
    <mergeCell ref="D98:E98"/>
    <mergeCell ref="D73:E73"/>
    <mergeCell ref="P77:V77"/>
    <mergeCell ref="P152:T152"/>
    <mergeCell ref="A76:O77"/>
    <mergeCell ref="A58:Z58"/>
    <mergeCell ref="P230:V230"/>
    <mergeCell ref="P168:V168"/>
    <mergeCell ref="B17:B18"/>
    <mergeCell ref="P143:V143"/>
    <mergeCell ref="P248:V248"/>
    <mergeCell ref="P207:V207"/>
    <mergeCell ref="P81:T81"/>
    <mergeCell ref="D60:E60"/>
    <mergeCell ref="P73:T73"/>
    <mergeCell ref="D187:E187"/>
    <mergeCell ref="D174:E174"/>
    <mergeCell ref="P87:V87"/>
    <mergeCell ref="D45:E45"/>
    <mergeCell ref="H9:I9"/>
    <mergeCell ref="P224:V224"/>
    <mergeCell ref="A36:Z36"/>
    <mergeCell ref="P88:V88"/>
    <mergeCell ref="A78:Z78"/>
    <mergeCell ref="P153:V153"/>
    <mergeCell ref="V10:W10"/>
    <mergeCell ref="A197:Z197"/>
    <mergeCell ref="A124:Z124"/>
    <mergeCell ref="P99:T99"/>
    <mergeCell ref="D53:E53"/>
    <mergeCell ref="D47:E47"/>
    <mergeCell ref="A84:Z84"/>
    <mergeCell ref="P159:V159"/>
    <mergeCell ref="P147:T147"/>
    <mergeCell ref="A193:O194"/>
    <mergeCell ref="W17:W18"/>
    <mergeCell ref="A50:Z5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:X269 X260 X245:X246 X239 X235 X223 X216:X217 X206 X204 X202 X192 X188 X178:X179 X167 X162 X146 X140 X129 X125 X121 X118 X115 X109 X103 X101 X99 X73 X68:X69 X64 X60 X47 X45 X40 X32:X33 X22:X2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5 X250 X229 X185:X187 X141 X134:X135 X120 X117 X100 X98 X81 X55" xr:uid="{00000000-0002-0000-0000-000019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61:X264 X256 X254 X211 X205 X203 X198 X173:X174 X157 X152 X147 X119 X116 X114 X108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387</v>
      </c>
      <c r="D6" s="47" t="s">
        <v>388</v>
      </c>
      <c r="E6" s="47"/>
    </row>
    <row r="8" spans="2:8" x14ac:dyDescent="0.2">
      <c r="B8" s="47" t="s">
        <v>18</v>
      </c>
      <c r="C8" s="47" t="s">
        <v>387</v>
      </c>
      <c r="D8" s="47"/>
      <c r="E8" s="47"/>
    </row>
    <row r="10" spans="2:8" x14ac:dyDescent="0.2">
      <c r="B10" s="47" t="s">
        <v>389</v>
      </c>
      <c r="C10" s="47"/>
      <c r="D10" s="47"/>
      <c r="E10" s="47"/>
    </row>
    <row r="11" spans="2:8" x14ac:dyDescent="0.2">
      <c r="B11" s="47" t="s">
        <v>390</v>
      </c>
      <c r="C11" s="47"/>
      <c r="D11" s="47"/>
      <c r="E11" s="47"/>
    </row>
    <row r="12" spans="2:8" x14ac:dyDescent="0.2">
      <c r="B12" s="47" t="s">
        <v>391</v>
      </c>
      <c r="C12" s="47"/>
      <c r="D12" s="47"/>
      <c r="E12" s="47"/>
    </row>
    <row r="13" spans="2:8" x14ac:dyDescent="0.2">
      <c r="B13" s="47" t="s">
        <v>392</v>
      </c>
      <c r="C13" s="47"/>
      <c r="D13" s="47"/>
      <c r="E13" s="47"/>
    </row>
    <row r="14" spans="2:8" x14ac:dyDescent="0.2">
      <c r="B14" s="47" t="s">
        <v>393</v>
      </c>
      <c r="C14" s="47"/>
      <c r="D14" s="47"/>
      <c r="E14" s="47"/>
    </row>
    <row r="15" spans="2:8" x14ac:dyDescent="0.2">
      <c r="B15" s="47" t="s">
        <v>394</v>
      </c>
      <c r="C15" s="47"/>
      <c r="D15" s="47"/>
      <c r="E15" s="47"/>
    </row>
    <row r="16" spans="2:8" x14ac:dyDescent="0.2">
      <c r="B16" s="47" t="s">
        <v>395</v>
      </c>
      <c r="C16" s="47"/>
      <c r="D16" s="47"/>
      <c r="E16" s="47"/>
    </row>
    <row r="17" spans="2:5" x14ac:dyDescent="0.2">
      <c r="B17" s="47" t="s">
        <v>396</v>
      </c>
      <c r="C17" s="47"/>
      <c r="D17" s="47"/>
      <c r="E17" s="47"/>
    </row>
    <row r="18" spans="2:5" x14ac:dyDescent="0.2">
      <c r="B18" s="47" t="s">
        <v>397</v>
      </c>
      <c r="C18" s="47"/>
      <c r="D18" s="47"/>
      <c r="E18" s="47"/>
    </row>
    <row r="19" spans="2:5" x14ac:dyDescent="0.2">
      <c r="B19" s="47" t="s">
        <v>398</v>
      </c>
      <c r="C19" s="47"/>
      <c r="D19" s="47"/>
      <c r="E19" s="47"/>
    </row>
    <row r="20" spans="2:5" x14ac:dyDescent="0.2">
      <c r="B20" s="47" t="s">
        <v>399</v>
      </c>
      <c r="C20" s="47"/>
      <c r="D20" s="47"/>
      <c r="E20" s="47"/>
    </row>
  </sheetData>
  <sheetProtection algorithmName="SHA-512" hashValue="gYwf2Ildro9/QiGhFw3W8DI/DS1g+UcZ6Ni5VfyL8XNaSV2gxbiDfqjgY3f38GYxEp0xyPDqXY8pQmyyHP0oPg==" saltValue="7Ho3EQWLlFhhKhwBCXAAo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2026-01-29T13:21:48Z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