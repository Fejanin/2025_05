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B821EFA5-A66D-4A84-A662-739601375D4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H503" i="1" s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4" i="1"/>
  <c r="BN54" i="1"/>
  <c r="Y58" i="1"/>
  <c r="BP102" i="1"/>
  <c r="BN102" i="1"/>
  <c r="Z102" i="1"/>
  <c r="BP110" i="1"/>
  <c r="BN110" i="1"/>
  <c r="Z110" i="1"/>
  <c r="Y119" i="1"/>
  <c r="BP114" i="1"/>
  <c r="BN114" i="1"/>
  <c r="Z114" i="1"/>
  <c r="Y118" i="1"/>
  <c r="Y157" i="1"/>
  <c r="BP156" i="1"/>
  <c r="BN156" i="1"/>
  <c r="Z156" i="1"/>
  <c r="Z157" i="1" s="1"/>
  <c r="I503" i="1"/>
  <c r="Y163" i="1"/>
  <c r="BP162" i="1"/>
  <c r="BN162" i="1"/>
  <c r="Z162" i="1"/>
  <c r="Z163" i="1" s="1"/>
  <c r="Y164" i="1"/>
  <c r="BP170" i="1"/>
  <c r="BN170" i="1"/>
  <c r="Z170" i="1"/>
  <c r="BP195" i="1"/>
  <c r="BN195" i="1"/>
  <c r="Z195" i="1"/>
  <c r="Z196" i="1" s="1"/>
  <c r="Y197" i="1"/>
  <c r="BP298" i="1"/>
  <c r="BN298" i="1"/>
  <c r="Z298" i="1"/>
  <c r="Z302" i="1" s="1"/>
  <c r="Q503" i="1"/>
  <c r="Y302" i="1"/>
  <c r="BP306" i="1"/>
  <c r="BN306" i="1"/>
  <c r="Z306" i="1"/>
  <c r="Z311" i="1" s="1"/>
  <c r="Y312" i="1"/>
  <c r="Y319" i="1"/>
  <c r="BP314" i="1"/>
  <c r="BN314" i="1"/>
  <c r="Z314" i="1"/>
  <c r="Y318" i="1"/>
  <c r="Z324" i="1"/>
  <c r="BP322" i="1"/>
  <c r="BN322" i="1"/>
  <c r="Z322" i="1"/>
  <c r="Y324" i="1"/>
  <c r="BP56" i="1"/>
  <c r="BN56" i="1"/>
  <c r="Z56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Y112" i="1"/>
  <c r="BP127" i="1"/>
  <c r="BN127" i="1"/>
  <c r="Z127" i="1"/>
  <c r="Z128" i="1" s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8" i="1"/>
  <c r="Y181" i="1"/>
  <c r="BP166" i="1"/>
  <c r="BN166" i="1"/>
  <c r="Z166" i="1"/>
  <c r="BP174" i="1"/>
  <c r="BN174" i="1"/>
  <c r="Z174" i="1"/>
  <c r="BP178" i="1"/>
  <c r="BN178" i="1"/>
  <c r="Z178" i="1"/>
  <c r="Y202" i="1"/>
  <c r="BP199" i="1"/>
  <c r="BN199" i="1"/>
  <c r="Z199" i="1"/>
  <c r="Z201" i="1" s="1"/>
  <c r="BP310" i="1"/>
  <c r="BN310" i="1"/>
  <c r="Z310" i="1"/>
  <c r="H9" i="1"/>
  <c r="B503" i="1"/>
  <c r="X494" i="1"/>
  <c r="X496" i="1" s="1"/>
  <c r="X495" i="1"/>
  <c r="Z23" i="1"/>
  <c r="Z24" i="1" s="1"/>
  <c r="BN23" i="1"/>
  <c r="Y494" i="1" s="1"/>
  <c r="Y496" i="1" s="1"/>
  <c r="Y24" i="1"/>
  <c r="X493" i="1"/>
  <c r="Z27" i="1"/>
  <c r="BN27" i="1"/>
  <c r="BP27" i="1"/>
  <c r="Y495" i="1" s="1"/>
  <c r="Z29" i="1"/>
  <c r="BN29" i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275" i="1" l="1"/>
  <c r="Z258" i="1"/>
  <c r="Z63" i="1"/>
  <c r="Z318" i="1"/>
  <c r="Z118" i="1"/>
  <c r="Z455" i="1"/>
  <c r="Z418" i="1"/>
  <c r="Z337" i="1"/>
  <c r="Z267" i="1"/>
  <c r="Z242" i="1"/>
  <c r="Z31" i="1"/>
  <c r="Z498" i="1" s="1"/>
  <c r="Y497" i="1"/>
  <c r="Z180" i="1"/>
  <c r="Y493" i="1"/>
</calcChain>
</file>

<file path=xl/sharedStrings.xml><?xml version="1.0" encoding="utf-8"?>
<sst xmlns="http://schemas.openxmlformats.org/spreadsheetml/2006/main" count="2300" uniqueCount="773">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</sst>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2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4" t="s">
        <v>8</v>
      </c>
      <c r="B5" s="675"/>
      <c r="C5" s="676"/>
      <c r="D5" s="632"/>
      <c r="E5" s="633"/>
      <c r="F5" s="836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7">
        <v>46040</v>
      </c>
      <c r="R5" s="672"/>
      <c r="T5" s="718" t="s">
        <v>11</v>
      </c>
      <c r="U5" s="719"/>
      <c r="V5" s="720" t="s">
        <v>12</v>
      </c>
      <c r="W5" s="672"/>
      <c r="AB5" s="51"/>
      <c r="AC5" s="51"/>
      <c r="AD5" s="51"/>
      <c r="AE5" s="51"/>
    </row>
    <row r="6" spans="1:32" s="546" customFormat="1" ht="24" customHeight="1" x14ac:dyDescent="0.2">
      <c r="A6" s="674" t="s">
        <v>13</v>
      </c>
      <c r="B6" s="675"/>
      <c r="C6" s="67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2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Воскресенье</v>
      </c>
      <c r="R6" s="557"/>
      <c r="T6" s="723" t="s">
        <v>16</v>
      </c>
      <c r="U6" s="719"/>
      <c r="V6" s="767" t="s">
        <v>17</v>
      </c>
      <c r="W6" s="597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8"/>
      <c r="W7" s="769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8"/>
      <c r="C8" s="569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83">
        <v>0.375</v>
      </c>
      <c r="R8" s="609"/>
      <c r="T8" s="562"/>
      <c r="U8" s="719"/>
      <c r="V8" s="768"/>
      <c r="W8" s="769"/>
      <c r="AB8" s="51"/>
      <c r="AC8" s="51"/>
      <c r="AD8" s="51"/>
      <c r="AE8" s="51"/>
    </row>
    <row r="9" spans="1:32" s="546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2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7"/>
      <c r="P9" s="26" t="s">
        <v>21</v>
      </c>
      <c r="Q9" s="666"/>
      <c r="R9" s="667"/>
      <c r="T9" s="562"/>
      <c r="U9" s="71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2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58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4"/>
      <c r="R10" s="725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3"/>
      <c r="R12" s="609"/>
      <c r="S12" s="23"/>
      <c r="U12" s="24"/>
      <c r="V12" s="578"/>
      <c r="W12" s="562"/>
      <c r="AB12" s="51"/>
      <c r="AC12" s="51"/>
      <c r="AD12" s="51"/>
      <c r="AE12" s="51"/>
    </row>
    <row r="13" spans="1:32" s="546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36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3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8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6" t="s">
        <v>51</v>
      </c>
      <c r="V17" s="676"/>
      <c r="W17" s="592" t="s">
        <v>52</v>
      </c>
      <c r="X17" s="592" t="s">
        <v>53</v>
      </c>
      <c r="Y17" s="867" t="s">
        <v>54</v>
      </c>
      <c r="Z17" s="781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68"/>
      <c r="Z18" s="782"/>
      <c r="AA18" s="760"/>
      <c r="AB18" s="760"/>
      <c r="AC18" s="760"/>
      <c r="AD18" s="833"/>
      <c r="AE18" s="834"/>
      <c r="AF18" s="835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3"/>
      <c r="AB33" s="543"/>
      <c r="AC33" s="543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320</v>
      </c>
      <c r="Y41" s="550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89.259259259259267</v>
      </c>
      <c r="Y43" s="551">
        <f>IFERROR(Y40/H40,"0")+IFERROR(Y41/H41,"0")+IFERROR(Y42/H42,"0")</f>
        <v>90</v>
      </c>
      <c r="Z43" s="551">
        <f>IFERROR(IF(Z40="",0,Z40),"0")+IFERROR(IF(Z41="",0,Z41),"0")+IFERROR(IF(Z42="",0,Z42),"0")</f>
        <v>0.91139999999999999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420</v>
      </c>
      <c r="Y44" s="551">
        <f>IFERROR(SUM(Y40:Y42),"0")</f>
        <v>428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3"/>
      <c r="AB45" s="543"/>
      <c r="AC45" s="543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200</v>
      </c>
      <c r="Y52" s="55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360</v>
      </c>
      <c r="Y56" s="550">
        <f t="shared" si="0"/>
        <v>360</v>
      </c>
      <c r="Z56" s="36">
        <f>IFERROR(IF(Y56=0,"",ROUNDUP(Y56/H56,0)*0.00902),"")</f>
        <v>0.72160000000000002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375.20000000000005</v>
      </c>
      <c r="BN56" s="64">
        <f t="shared" si="2"/>
        <v>375.20000000000005</v>
      </c>
      <c r="BO56" s="64">
        <f t="shared" si="3"/>
        <v>0.60606060606060608</v>
      </c>
      <c r="BP56" s="64">
        <f t="shared" si="4"/>
        <v>0.60606060606060608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98.518518518518519</v>
      </c>
      <c r="Y57" s="551">
        <f>IFERROR(Y51/H51,"0")+IFERROR(Y52/H52,"0")+IFERROR(Y53/H53,"0")+IFERROR(Y54/H54,"0")+IFERROR(Y55/H55,"0")+IFERROR(Y56/H56,"0")</f>
        <v>99</v>
      </c>
      <c r="Z57" s="551">
        <f>IFERROR(IF(Z51="",0,Z51),"0")+IFERROR(IF(Z52="",0,Z52),"0")+IFERROR(IF(Z53="",0,Z53),"0")+IFERROR(IF(Z54="",0,Z54),"0")+IFERROR(IF(Z55="",0,Z55),"0")+IFERROR(IF(Z56="",0,Z56),"0")</f>
        <v>1.08222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560</v>
      </c>
      <c r="Y58" s="551">
        <f>IFERROR(SUM(Y51:Y56),"0")</f>
        <v>565.20000000000005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3"/>
      <c r="AB59" s="543"/>
      <c r="AC59" s="543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250</v>
      </c>
      <c r="Y60" s="550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259.4907407407407</v>
      </c>
      <c r="BN60" s="64">
        <f>IFERROR(Y60*I60/H60,"0")</f>
        <v>269.04000000000002</v>
      </c>
      <c r="BO60" s="64">
        <f>IFERROR(1/J60*(X60/H60),"0")</f>
        <v>0.36168981481481477</v>
      </c>
      <c r="BP60" s="64">
        <f>IFERROR(1/J60*(Y60/H60),"0")</f>
        <v>0.37500000000000006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45</v>
      </c>
      <c r="Y62" s="550">
        <f>IFERROR(IF(X62="",0,CEILING((X62/$H62),1)*$H62),"")</f>
        <v>45.900000000000006</v>
      </c>
      <c r="Z62" s="36">
        <f>IFERROR(IF(Y62=0,"",ROUNDUP(Y62/H62,0)*0.00651),"")</f>
        <v>0.11067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47.999999999999993</v>
      </c>
      <c r="BN62" s="64">
        <f>IFERROR(Y62*I62/H62,"0")</f>
        <v>48.96</v>
      </c>
      <c r="BO62" s="64">
        <f>IFERROR(1/J62*(X62/H62),"0")</f>
        <v>9.1575091575091569E-2</v>
      </c>
      <c r="BP62" s="64">
        <f>IFERROR(1/J62*(Y62/H62),"0")</f>
        <v>9.3406593406593408E-2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39.81481481481481</v>
      </c>
      <c r="Y63" s="551">
        <f>IFERROR(Y60/H60,"0")+IFERROR(Y61/H61,"0")+IFERROR(Y62/H62,"0")</f>
        <v>41</v>
      </c>
      <c r="Z63" s="551">
        <f>IFERROR(IF(Z60="",0,Z60),"0")+IFERROR(IF(Z61="",0,Z61),"0")+IFERROR(IF(Z62="",0,Z62),"0")</f>
        <v>0.56619000000000008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295</v>
      </c>
      <c r="Y64" s="551">
        <f>IFERROR(SUM(Y60:Y62),"0")</f>
        <v>305.10000000000002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3"/>
      <c r="AB65" s="543"/>
      <c r="AC65" s="543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3"/>
      <c r="AB70" s="543"/>
      <c r="AC70" s="543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3"/>
      <c r="AB77" s="543"/>
      <c r="AC77" s="543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50</v>
      </c>
      <c r="Y78" s="550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6.4102564102564106</v>
      </c>
      <c r="Y80" s="551">
        <f>IFERROR(Y78/H78,"0")+IFERROR(Y79/H79,"0")</f>
        <v>7</v>
      </c>
      <c r="Z80" s="551">
        <f>IFERROR(IF(Z78="",0,Z78),"0")+IFERROR(IF(Z79="",0,Z79),"0")</f>
        <v>0.13286000000000001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50</v>
      </c>
      <c r="Y81" s="551">
        <f>IFERROR(SUM(Y78:Y79),"0")</f>
        <v>54.6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220</v>
      </c>
      <c r="Y84" s="550">
        <f>IFERROR(IF(X84="",0,CEILING((X84/$H84),1)*$H84),"")</f>
        <v>226.8</v>
      </c>
      <c r="Z84" s="36">
        <f>IFERROR(IF(Y84=0,"",ROUNDUP(Y84/H84,0)*0.01898),"")</f>
        <v>0.39857999999999999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228.35185185185188</v>
      </c>
      <c r="BN84" s="64">
        <f>IFERROR(Y84*I84/H84,"0")</f>
        <v>235.41000000000003</v>
      </c>
      <c r="BO84" s="64">
        <f>IFERROR(1/J84*(X84/H84),"0")</f>
        <v>0.31828703703703703</v>
      </c>
      <c r="BP84" s="64">
        <f>IFERROR(1/J84*(Y84/H84),"0")</f>
        <v>0.328125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405</v>
      </c>
      <c r="Y87" s="550">
        <f>IFERROR(IF(X87="",0,CEILING((X87/$H87),1)*$H87),"")</f>
        <v>405</v>
      </c>
      <c r="Z87" s="36">
        <f>IFERROR(IF(Y87=0,"",ROUNDUP(Y87/H87,0)*0.00902),"")</f>
        <v>0.81180000000000008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422.1</v>
      </c>
      <c r="BN87" s="64">
        <f>IFERROR(Y87*I87/H87,"0")</f>
        <v>422.1</v>
      </c>
      <c r="BO87" s="64">
        <f>IFERROR(1/J87*(X87/H87),"0")</f>
        <v>0.68181818181818188</v>
      </c>
      <c r="BP87" s="64">
        <f>IFERROR(1/J87*(Y87/H87),"0")</f>
        <v>0.68181818181818188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110.37037037037037</v>
      </c>
      <c r="Y88" s="551">
        <f>IFERROR(Y84/H84,"0")+IFERROR(Y85/H85,"0")+IFERROR(Y86/H86,"0")+IFERROR(Y87/H87,"0")</f>
        <v>111</v>
      </c>
      <c r="Z88" s="551">
        <f>IFERROR(IF(Z84="",0,Z84),"0")+IFERROR(IF(Z85="",0,Z85),"0")+IFERROR(IF(Z86="",0,Z86),"0")+IFERROR(IF(Z87="",0,Z87),"0")</f>
        <v>1.21038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625</v>
      </c>
      <c r="Y89" s="551">
        <f>IFERROR(SUM(Y84:Y87),"0")</f>
        <v>631.79999999999995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3"/>
      <c r="AB90" s="543"/>
      <c r="AC90" s="543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400</v>
      </c>
      <c r="Y91" s="550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360</v>
      </c>
      <c r="Y93" s="55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182.71604938271602</v>
      </c>
      <c r="Y95" s="551">
        <f>IFERROR(Y91/H91,"0")+IFERROR(Y92/H92,"0")+IFERROR(Y93/H93,"0")+IFERROR(Y94/H94,"0")</f>
        <v>184</v>
      </c>
      <c r="Z95" s="551">
        <f>IFERROR(IF(Z91="",0,Z91),"0")+IFERROR(IF(Z92="",0,Z92),"0")+IFERROR(IF(Z93="",0,Z93),"0")+IFERROR(IF(Z94="",0,Z94),"0")</f>
        <v>1.8213400000000002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760</v>
      </c>
      <c r="Y96" s="551">
        <f>IFERROR(SUM(Y91:Y94),"0")</f>
        <v>766.8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2.2000000000000002</v>
      </c>
      <c r="Y100" s="550">
        <f>IFERROR(IF(X100="",0,CEILING((X100/$H100),1)*$H100),"")</f>
        <v>2.2000000000000002</v>
      </c>
      <c r="Z100" s="36">
        <f>IFERROR(IF(Y100=0,"",ROUNDUP(Y100/H100,0)*0.00726),"")</f>
        <v>1.452E-2</v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2.62</v>
      </c>
      <c r="BN100" s="64">
        <f>IFERROR(Y100*I100/H100,"0")</f>
        <v>2.62</v>
      </c>
      <c r="BO100" s="64">
        <f>IFERROR(1/J100*(X100/H100),"0")</f>
        <v>1.0416666666666666E-2</v>
      </c>
      <c r="BP100" s="64">
        <f>IFERROR(1/J100*(Y100/H100),"0")</f>
        <v>1.0416666666666666E-2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270</v>
      </c>
      <c r="Y102" s="550">
        <f>IFERROR(IF(X102="",0,CEILING((X102/$H102),1)*$H102),"")</f>
        <v>270</v>
      </c>
      <c r="Z102" s="36">
        <f>IFERROR(IF(Y102=0,"",ROUNDUP(Y102/H102,0)*0.00902),"")</f>
        <v>0.54120000000000001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281.40000000000003</v>
      </c>
      <c r="BN102" s="64">
        <f>IFERROR(Y102*I102/H102,"0")</f>
        <v>281.40000000000003</v>
      </c>
      <c r="BO102" s="64">
        <f>IFERROR(1/J102*(X102/H102),"0")</f>
        <v>0.45454545454545459</v>
      </c>
      <c r="BP102" s="64">
        <f>IFERROR(1/J102*(Y102/H102),"0")</f>
        <v>0.45454545454545459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67.555555555555557</v>
      </c>
      <c r="Y104" s="551">
        <f>IFERROR(Y99/H99,"0")+IFERROR(Y100/H100,"0")+IFERROR(Y101/H101,"0")+IFERROR(Y102/H102,"0")+IFERROR(Y103/H103,"0")</f>
        <v>68</v>
      </c>
      <c r="Z104" s="551">
        <f>IFERROR(IF(Z99="",0,Z99),"0")+IFERROR(IF(Z100="",0,Z100),"0")+IFERROR(IF(Z101="",0,Z101),"0")+IFERROR(IF(Z102="",0,Z102),"0")+IFERROR(IF(Z103="",0,Z103),"0")</f>
        <v>0.66959999999999997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332.2</v>
      </c>
      <c r="Y105" s="551">
        <f>IFERROR(SUM(Y99:Y103),"0")</f>
        <v>337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3"/>
      <c r="AB106" s="543"/>
      <c r="AC106" s="543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5</v>
      </c>
      <c r="Y108" s="550">
        <f>IFERROR(IF(X108="",0,CEILING((X108/$H108),1)*$H108),"")</f>
        <v>5</v>
      </c>
      <c r="Z108" s="36">
        <f>IFERROR(IF(Y108=0,"",ROUNDUP(Y108/H108,0)*0.00358),"")</f>
        <v>1.7899999999999999E-2</v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6.05</v>
      </c>
      <c r="BN108" s="64">
        <f>IFERROR(Y108*I108/H108,"0")</f>
        <v>6.05</v>
      </c>
      <c r="BO108" s="64">
        <f>IFERROR(1/J108*(X108/H108),"0")</f>
        <v>1.2755102040816325E-2</v>
      </c>
      <c r="BP108" s="64">
        <f>IFERROR(1/J108*(Y108/H108),"0")</f>
        <v>1.2755102040816325E-2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5</v>
      </c>
      <c r="Y111" s="551">
        <f>IFERROR(Y107/H107,"0")+IFERROR(Y108/H108,"0")+IFERROR(Y109/H109,"0")+IFERROR(Y110/H110,"0")</f>
        <v>5</v>
      </c>
      <c r="Z111" s="551">
        <f>IFERROR(IF(Z107="",0,Z107),"0")+IFERROR(IF(Z108="",0,Z108),"0")+IFERROR(IF(Z109="",0,Z109),"0")+IFERROR(IF(Z110="",0,Z110),"0")</f>
        <v>1.7899999999999999E-2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5</v>
      </c>
      <c r="Y112" s="551">
        <f>IFERROR(SUM(Y107:Y110),"0")</f>
        <v>5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3"/>
      <c r="AB113" s="543"/>
      <c r="AC113" s="543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500</v>
      </c>
      <c r="Y114" s="550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360</v>
      </c>
      <c r="Y116" s="550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27</v>
      </c>
      <c r="Y117" s="550">
        <f>IFERROR(IF(X117="",0,CEILING((X117/$H117),1)*$H117),"")</f>
        <v>27</v>
      </c>
      <c r="Z117" s="36">
        <f>IFERROR(IF(Y117=0,"",ROUNDUP(Y117/H117,0)*0.00651),"")</f>
        <v>9.7650000000000001E-2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29.7</v>
      </c>
      <c r="BN117" s="64">
        <f>IFERROR(Y117*I117/H117,"0")</f>
        <v>29.7</v>
      </c>
      <c r="BO117" s="64">
        <f>IFERROR(1/J117*(X117/H117),"0")</f>
        <v>8.241758241758243E-2</v>
      </c>
      <c r="BP117" s="64">
        <f>IFERROR(1/J117*(Y117/H117),"0")</f>
        <v>8.241758241758243E-2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210.06172839506172</v>
      </c>
      <c r="Y118" s="551">
        <f>IFERROR(Y114/H114,"0")+IFERROR(Y115/H115,"0")+IFERROR(Y116/H116,"0")+IFERROR(Y117/H117,"0")</f>
        <v>211</v>
      </c>
      <c r="Z118" s="551">
        <f>IFERROR(IF(Z114="",0,Z114),"0")+IFERROR(IF(Z115="",0,Z115),"0")+IFERROR(IF(Z116="",0,Z116),"0")+IFERROR(IF(Z117="",0,Z117),"0")</f>
        <v>2.1467499999999999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887</v>
      </c>
      <c r="Y119" s="551">
        <f>IFERROR(SUM(Y114:Y117),"0")</f>
        <v>891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82.5</v>
      </c>
      <c r="Y121" s="550">
        <f>IFERROR(IF(X121="",0,CEILING((X121/$H121),1)*$H121),"")</f>
        <v>83.16</v>
      </c>
      <c r="Z121" s="36">
        <f>IFERROR(IF(Y121=0,"",ROUNDUP(Y121/H121,0)*0.00651),"")</f>
        <v>0.27342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93.25</v>
      </c>
      <c r="BN121" s="64">
        <f>IFERROR(Y121*I121/H121,"0")</f>
        <v>93.995999999999995</v>
      </c>
      <c r="BO121" s="64">
        <f>IFERROR(1/J121*(X121/H121),"0")</f>
        <v>0.22893772893772893</v>
      </c>
      <c r="BP121" s="64">
        <f>IFERROR(1/J121*(Y121/H121),"0")</f>
        <v>0.23076923076923078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41.666666666666664</v>
      </c>
      <c r="Y122" s="551">
        <f>IFERROR(Y121/H121,"0")</f>
        <v>42</v>
      </c>
      <c r="Z122" s="551">
        <f>IFERROR(IF(Z121="",0,Z121),"0")</f>
        <v>0.27342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82.5</v>
      </c>
      <c r="Y123" s="551">
        <f>IFERROR(SUM(Y121:Y121),"0")</f>
        <v>83.16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220</v>
      </c>
      <c r="M126" s="33" t="s">
        <v>94</v>
      </c>
      <c r="N126" s="33"/>
      <c r="O126" s="32">
        <v>90</v>
      </c>
      <c r="P126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100</v>
      </c>
      <c r="Y126" s="550">
        <f>IFERROR(IF(X126="",0,CEILING((X126/$H126),1)*$H126),"")</f>
        <v>102.4</v>
      </c>
      <c r="Z126" s="36">
        <f>IFERROR(IF(Y126=0,"",ROUNDUP(Y126/H126,0)*0.00651),"")</f>
        <v>0.20832000000000001</v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105.625</v>
      </c>
      <c r="BN126" s="64">
        <f>IFERROR(Y126*I126/H126,"0")</f>
        <v>108.16</v>
      </c>
      <c r="BO126" s="64">
        <f>IFERROR(1/J126*(X126/H126),"0")</f>
        <v>0.1717032967032967</v>
      </c>
      <c r="BP126" s="64">
        <f>IFERROR(1/J126*(Y126/H126),"0")</f>
        <v>0.17582417582417584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31.25</v>
      </c>
      <c r="Y128" s="551">
        <f>IFERROR(Y126/H126,"0")+IFERROR(Y127/H127,"0")</f>
        <v>32</v>
      </c>
      <c r="Z128" s="551">
        <f>IFERROR(IF(Z126="",0,Z126),"0")+IFERROR(IF(Z127="",0,Z127),"0")</f>
        <v>0.20832000000000001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100</v>
      </c>
      <c r="Y129" s="551">
        <f>IFERROR(SUM(Y126:Y127),"0")</f>
        <v>102.4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220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70</v>
      </c>
      <c r="Y132" s="550">
        <f>IFERROR(IF(X132="",0,CEILING((X132/$H132),1)*$H132),"")</f>
        <v>70</v>
      </c>
      <c r="Z132" s="36">
        <f>IFERROR(IF(Y132=0,"",ROUNDUP(Y132/H132,0)*0.00651),"")</f>
        <v>0.16275000000000001</v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76.7</v>
      </c>
      <c r="BN132" s="64">
        <f>IFERROR(Y132*I132/H132,"0")</f>
        <v>76.7</v>
      </c>
      <c r="BO132" s="64">
        <f>IFERROR(1/J132*(X132/H132),"0")</f>
        <v>0.13736263736263737</v>
      </c>
      <c r="BP132" s="64">
        <f>IFERROR(1/J132*(Y132/H132),"0")</f>
        <v>0.13736263736263737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25</v>
      </c>
      <c r="Y133" s="551">
        <f>IFERROR(Y131/H131,"0")+IFERROR(Y132/H132,"0")</f>
        <v>25</v>
      </c>
      <c r="Z133" s="551">
        <f>IFERROR(IF(Z131="",0,Z131),"0")+IFERROR(IF(Z132="",0,Z132),"0")</f>
        <v>0.16275000000000001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70</v>
      </c>
      <c r="Y134" s="551">
        <f>IFERROR(SUM(Y131:Y132),"0")</f>
        <v>70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59.400000000000013</v>
      </c>
      <c r="Y137" s="550">
        <f>IFERROR(IF(X137="",0,CEILING((X137/$H137),1)*$H137),"")</f>
        <v>60.720000000000006</v>
      </c>
      <c r="Z137" s="36">
        <f>IFERROR(IF(Y137=0,"",ROUNDUP(Y137/H137,0)*0.00651),"")</f>
        <v>0.14973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65.430000000000007</v>
      </c>
      <c r="BN137" s="64">
        <f>IFERROR(Y137*I137/H137,"0")</f>
        <v>66.884</v>
      </c>
      <c r="BO137" s="64">
        <f>IFERROR(1/J137*(X137/H137),"0")</f>
        <v>0.12362637362637366</v>
      </c>
      <c r="BP137" s="64">
        <f>IFERROR(1/J137*(Y137/H137),"0")</f>
        <v>0.1263736263736264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22.500000000000004</v>
      </c>
      <c r="Y138" s="551">
        <f>IFERROR(Y136/H136,"0")+IFERROR(Y137/H137,"0")</f>
        <v>23</v>
      </c>
      <c r="Z138" s="551">
        <f>IFERROR(IF(Z136="",0,Z136),"0")+IFERROR(IF(Z137="",0,Z137),"0")</f>
        <v>0.14973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59.400000000000013</v>
      </c>
      <c r="Y139" s="551">
        <f>IFERROR(SUM(Y136:Y137),"0")</f>
        <v>60.720000000000006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20</v>
      </c>
      <c r="Y148" s="550">
        <f t="shared" si="5"/>
        <v>21</v>
      </c>
      <c r="Z148" s="36">
        <f>IFERROR(IF(Y148=0,"",ROUNDUP(Y148/H148,0)*0.00902),"")</f>
        <v>4.5100000000000001E-2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20.904761904761902</v>
      </c>
      <c r="BN148" s="64">
        <f t="shared" si="7"/>
        <v>21.95</v>
      </c>
      <c r="BO148" s="64">
        <f t="shared" si="8"/>
        <v>3.6075036075036072E-2</v>
      </c>
      <c r="BP148" s="64">
        <f t="shared" si="9"/>
        <v>3.787878787878788E-2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80</v>
      </c>
      <c r="Y150" s="550">
        <f t="shared" si="5"/>
        <v>84</v>
      </c>
      <c r="Z150" s="36">
        <f>IFERROR(IF(Y150=0,"",ROUNDUP(Y150/H150,0)*0.00902),"")</f>
        <v>0.1804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83.619047619047606</v>
      </c>
      <c r="BN150" s="64">
        <f t="shared" si="7"/>
        <v>87.8</v>
      </c>
      <c r="BO150" s="64">
        <f t="shared" si="8"/>
        <v>0.14430014430014429</v>
      </c>
      <c r="BP150" s="64">
        <f t="shared" si="9"/>
        <v>0.15151515151515152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70</v>
      </c>
      <c r="Y152" s="550">
        <f t="shared" si="5"/>
        <v>71.400000000000006</v>
      </c>
      <c r="Z152" s="36">
        <f>IFERROR(IF(Y152=0,"",ROUNDUP(Y152/H152,0)*0.00902),"")</f>
        <v>0.15334</v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73.166666666666657</v>
      </c>
      <c r="BN152" s="64">
        <f t="shared" si="7"/>
        <v>74.63000000000001</v>
      </c>
      <c r="BO152" s="64">
        <f t="shared" si="8"/>
        <v>0.12626262626262624</v>
      </c>
      <c r="BP152" s="64">
        <f t="shared" si="9"/>
        <v>0.12878787878787878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40.476190476190474</v>
      </c>
      <c r="Y153" s="551">
        <f>IFERROR(Y147/H147,"0")+IFERROR(Y148/H148,"0")+IFERROR(Y149/H149,"0")+IFERROR(Y150/H150,"0")+IFERROR(Y151/H151,"0")+IFERROR(Y152/H152,"0")</f>
        <v>42</v>
      </c>
      <c r="Z153" s="551">
        <f>IFERROR(IF(Z147="",0,Z147),"0")+IFERROR(IF(Z148="",0,Z148),"0")+IFERROR(IF(Z149="",0,Z149),"0")+IFERROR(IF(Z150="",0,Z150),"0")+IFERROR(IF(Z151="",0,Z151),"0")+IFERROR(IF(Z152="",0,Z152),"0")</f>
        <v>0.37884000000000001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170</v>
      </c>
      <c r="Y154" s="551">
        <f>IFERROR(SUM(Y147:Y152),"0")</f>
        <v>176.4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3"/>
      <c r="AB155" s="543"/>
      <c r="AC155" s="543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3"/>
      <c r="AB165" s="543"/>
      <c r="AC165" s="543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60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63.571428571428569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0.10822510822510822</v>
      </c>
      <c r="BP166" s="64">
        <f t="shared" ref="BP166:BP179" si="14">IFERROR(1/J166*(Y166/H166),"0")</f>
        <v>0.11363636363636365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40</v>
      </c>
      <c r="Y167" s="550">
        <f t="shared" si="10"/>
        <v>42</v>
      </c>
      <c r="Z167" s="36">
        <f>IFERROR(IF(Y167=0,"",ROUNDUP(Y167/H167,0)*0.00902),"")</f>
        <v>9.0200000000000002E-2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11"/>
        <v>42.38095238095238</v>
      </c>
      <c r="BN167" s="64">
        <f t="shared" si="12"/>
        <v>44.5</v>
      </c>
      <c r="BO167" s="64">
        <f t="shared" si="13"/>
        <v>7.2150072150072145E-2</v>
      </c>
      <c r="BP167" s="64">
        <f t="shared" si="14"/>
        <v>7.575757575757576E-2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1.6</v>
      </c>
      <c r="Y169" s="550">
        <f t="shared" si="10"/>
        <v>1.6</v>
      </c>
      <c r="Z169" s="36">
        <f>IFERROR(IF(Y169=0,"",ROUNDUP(Y169/H169,0)*0.00556),"")</f>
        <v>1.112E-2</v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1.86</v>
      </c>
      <c r="BN169" s="64">
        <f t="shared" si="12"/>
        <v>1.86</v>
      </c>
      <c r="BO169" s="64">
        <f t="shared" si="13"/>
        <v>9.2592592592592587E-3</v>
      </c>
      <c r="BP169" s="64">
        <f t="shared" si="14"/>
        <v>9.2592592592592587E-3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6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122.5</v>
      </c>
      <c r="Y170" s="550">
        <f t="shared" si="10"/>
        <v>123.9</v>
      </c>
      <c r="Z170" s="36">
        <f>IFERROR(IF(Y170=0,"",ROUNDUP(Y170/H170,0)*0.00502),"")</f>
        <v>0.29618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130.08333333333334</v>
      </c>
      <c r="BN170" s="64">
        <f t="shared" si="12"/>
        <v>131.57</v>
      </c>
      <c r="BO170" s="64">
        <f t="shared" si="13"/>
        <v>0.2492877492877493</v>
      </c>
      <c r="BP170" s="64">
        <f t="shared" si="14"/>
        <v>0.25213675213675218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122.5</v>
      </c>
      <c r="Y172" s="550">
        <f t="shared" si="10"/>
        <v>123.9</v>
      </c>
      <c r="Z172" s="36">
        <f>IFERROR(IF(Y172=0,"",ROUNDUP(Y172/H172,0)*0.00502),"")</f>
        <v>0.29618</v>
      </c>
      <c r="AA172" s="56"/>
      <c r="AB172" s="57"/>
      <c r="AC172" s="213" t="s">
        <v>276</v>
      </c>
      <c r="AG172" s="64"/>
      <c r="AJ172" s="68" t="s">
        <v>106</v>
      </c>
      <c r="AK172" s="68">
        <v>37.799999999999997</v>
      </c>
      <c r="BB172" s="214" t="s">
        <v>1</v>
      </c>
      <c r="BM172" s="64">
        <f t="shared" si="11"/>
        <v>130.08333333333334</v>
      </c>
      <c r="BN172" s="64">
        <f t="shared" si="12"/>
        <v>131.57</v>
      </c>
      <c r="BO172" s="64">
        <f t="shared" si="13"/>
        <v>0.2492877492877493</v>
      </c>
      <c r="BP172" s="64">
        <f t="shared" si="14"/>
        <v>0.25213675213675218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1.6</v>
      </c>
      <c r="Y176" s="550">
        <f t="shared" si="10"/>
        <v>1.6</v>
      </c>
      <c r="Z176" s="36">
        <f>IFERROR(IF(Y176=0,"",ROUNDUP(Y176/H176,0)*0.00417),"")</f>
        <v>8.3400000000000002E-3</v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2.02</v>
      </c>
      <c r="BN176" s="64">
        <f t="shared" si="12"/>
        <v>2.02</v>
      </c>
      <c r="BO176" s="64">
        <f t="shared" si="13"/>
        <v>5.9523809523809521E-3</v>
      </c>
      <c r="BP176" s="64">
        <f t="shared" si="14"/>
        <v>5.9523809523809521E-3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210</v>
      </c>
      <c r="Y177" s="550">
        <f t="shared" si="10"/>
        <v>210</v>
      </c>
      <c r="Z177" s="36">
        <f>IFERROR(IF(Y177=0,"",ROUNDUP(Y177/H177,0)*0.00502),"")</f>
        <v>0.502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220.00000000000003</v>
      </c>
      <c r="BN177" s="64">
        <f t="shared" si="12"/>
        <v>220.00000000000003</v>
      </c>
      <c r="BO177" s="64">
        <f t="shared" si="13"/>
        <v>0.42735042735042739</v>
      </c>
      <c r="BP177" s="64">
        <f t="shared" si="14"/>
        <v>0.42735042735042739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256.38095238095235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259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1.4475600000000002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608.20000000000005</v>
      </c>
      <c r="Y181" s="551">
        <f>IFERROR(SUM(Y166:Y179),"0")</f>
        <v>616.4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3"/>
      <c r="AB182" s="543"/>
      <c r="AC182" s="543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7.0000000000000009</v>
      </c>
      <c r="Y184" s="550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13.888888888888889</v>
      </c>
      <c r="Y186" s="551">
        <f>IFERROR(Y183/H183,"0")+IFERROR(Y184/H184,"0")+IFERROR(Y185/H185,"0")</f>
        <v>15</v>
      </c>
      <c r="Z186" s="551">
        <f>IFERROR(IF(Z183="",0,Z183),"0")+IFERROR(IF(Z184="",0,Z184),"0")+IFERROR(IF(Z185="",0,Z185),"0")</f>
        <v>8.8499999999999995E-2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17.5</v>
      </c>
      <c r="Y187" s="551">
        <f>IFERROR(SUM(Y183:Y185),"0")</f>
        <v>18.899999999999999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3"/>
      <c r="AB188" s="543"/>
      <c r="AC188" s="543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7.0000000000000009</v>
      </c>
      <c r="Y189" s="550">
        <f>IFERROR(IF(X189="",0,CEILING((X189/$H189),1)*$H189),"")</f>
        <v>7.5600000000000005</v>
      </c>
      <c r="Z189" s="36">
        <f>IFERROR(IF(Y189=0,"",ROUNDUP(Y189/H189,0)*0.0059),"")</f>
        <v>3.5400000000000001E-2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8.0555555555555554</v>
      </c>
      <c r="BN189" s="64">
        <f>IFERROR(Y189*I189/H189,"0")</f>
        <v>8.6999999999999993</v>
      </c>
      <c r="BO189" s="64">
        <f>IFERROR(1/J189*(X189/H189),"0")</f>
        <v>2.5720164609053499E-2</v>
      </c>
      <c r="BP189" s="64">
        <f>IFERROR(1/J189*(Y189/H189),"0")</f>
        <v>2.7777777777777776E-2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5.5555555555555562</v>
      </c>
      <c r="Y190" s="551">
        <f>IFERROR(Y189/H189,"0")</f>
        <v>6</v>
      </c>
      <c r="Z190" s="551">
        <f>IFERROR(IF(Z189="",0,Z189),"0")</f>
        <v>3.5400000000000001E-2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7.0000000000000009</v>
      </c>
      <c r="Y191" s="551">
        <f>IFERROR(SUM(Y189:Y189),"0")</f>
        <v>7.5600000000000005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3"/>
      <c r="AB193" s="543"/>
      <c r="AC193" s="543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3"/>
      <c r="AB198" s="543"/>
      <c r="AC198" s="543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3"/>
      <c r="AB203" s="543"/>
      <c r="AC203" s="543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150</v>
      </c>
      <c r="Y204" s="550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155.27777777777777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0.21043771043771042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50</v>
      </c>
      <c r="Y205" s="550">
        <f t="shared" si="15"/>
        <v>54</v>
      </c>
      <c r="Z205" s="36">
        <f>IFERROR(IF(Y205=0,"",ROUNDUP(Y205/H205,0)*0.00902),"")</f>
        <v>9.0200000000000002E-2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51.759259259259252</v>
      </c>
      <c r="BN205" s="64">
        <f t="shared" si="17"/>
        <v>55.9</v>
      </c>
      <c r="BO205" s="64">
        <f t="shared" si="18"/>
        <v>7.0145903479236812E-2</v>
      </c>
      <c r="BP205" s="64">
        <f t="shared" si="19"/>
        <v>7.575757575757576E-2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500</v>
      </c>
      <c r="Y206" s="550">
        <f t="shared" si="15"/>
        <v>502.20000000000005</v>
      </c>
      <c r="Z206" s="36">
        <f>IFERROR(IF(Y206=0,"",ROUNDUP(Y206/H206,0)*0.00902),"")</f>
        <v>0.83886000000000005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517.59259259259261</v>
      </c>
      <c r="BN206" s="64">
        <f t="shared" si="17"/>
        <v>519.87</v>
      </c>
      <c r="BO206" s="64">
        <f t="shared" si="18"/>
        <v>0.70145903479236804</v>
      </c>
      <c r="BP206" s="64">
        <f t="shared" si="19"/>
        <v>0.70454545454545459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70</v>
      </c>
      <c r="Y207" s="550">
        <f t="shared" si="15"/>
        <v>70.2</v>
      </c>
      <c r="Z207" s="36">
        <f>IFERROR(IF(Y207=0,"",ROUNDUP(Y207/H207,0)*0.00902),"")</f>
        <v>0.11726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72.462962962962962</v>
      </c>
      <c r="BN207" s="64">
        <f t="shared" si="17"/>
        <v>72.67</v>
      </c>
      <c r="BO207" s="64">
        <f t="shared" si="18"/>
        <v>9.8204264870931535E-2</v>
      </c>
      <c r="BP207" s="64">
        <f t="shared" si="19"/>
        <v>9.8484848484848481E-2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150</v>
      </c>
      <c r="Y208" s="550">
        <f t="shared" si="15"/>
        <v>151.20000000000002</v>
      </c>
      <c r="Z208" s="36">
        <f>IFERROR(IF(Y208=0,"",ROUNDUP(Y208/H208,0)*0.00502),"")</f>
        <v>0.42168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160.83333333333334</v>
      </c>
      <c r="BN208" s="64">
        <f t="shared" si="17"/>
        <v>162.12</v>
      </c>
      <c r="BO208" s="64">
        <f t="shared" si="18"/>
        <v>0.35612535612535612</v>
      </c>
      <c r="BP208" s="64">
        <f t="shared" si="19"/>
        <v>0.35897435897435909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285</v>
      </c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75</v>
      </c>
      <c r="Y210" s="550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60</v>
      </c>
      <c r="Y211" s="550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325.92592592592592</v>
      </c>
      <c r="Y212" s="551">
        <f>IFERROR(Y204/H204,"0")+IFERROR(Y205/H205,"0")+IFERROR(Y206/H206,"0")+IFERROR(Y207/H207,"0")+IFERROR(Y208/H208,"0")+IFERROR(Y209/H209,"0")+IFERROR(Y210/H210,"0")+IFERROR(Y211/H211,"0")</f>
        <v>329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2.2275800000000001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1100</v>
      </c>
      <c r="Y213" s="551">
        <f>IFERROR(SUM(Y204:Y211),"0")</f>
        <v>1110.6000000000001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3"/>
      <c r="AB214" s="543"/>
      <c r="AC214" s="543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150</v>
      </c>
      <c r="Y217" s="550">
        <f t="shared" si="20"/>
        <v>156.6</v>
      </c>
      <c r="Z217" s="36">
        <f>IFERROR(IF(Y217=0,"",ROUNDUP(Y217/H217,0)*0.01898),"")</f>
        <v>0.34164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158.51724137931038</v>
      </c>
      <c r="BN217" s="64">
        <f t="shared" si="22"/>
        <v>165.49200000000002</v>
      </c>
      <c r="BO217" s="64">
        <f t="shared" si="23"/>
        <v>0.26939655172413796</v>
      </c>
      <c r="BP217" s="64">
        <f t="shared" si="24"/>
        <v>0.28125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360</v>
      </c>
      <c r="Y218" s="550">
        <f t="shared" si="20"/>
        <v>360</v>
      </c>
      <c r="Z218" s="36">
        <f t="shared" ref="Z218:Z223" si="25">IFERROR(IF(Y218=0,"",ROUNDUP(Y218/H218,0)*0.00651),"")</f>
        <v>0.97650000000000003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400.5</v>
      </c>
      <c r="BN218" s="64">
        <f t="shared" si="22"/>
        <v>400.5</v>
      </c>
      <c r="BO218" s="64">
        <f t="shared" si="23"/>
        <v>0.82417582417582425</v>
      </c>
      <c r="BP218" s="64">
        <f t="shared" si="24"/>
        <v>0.82417582417582425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240</v>
      </c>
      <c r="Y220" s="550">
        <f t="shared" si="20"/>
        <v>240</v>
      </c>
      <c r="Z220" s="36">
        <f t="shared" si="25"/>
        <v>0.65100000000000002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265.20000000000005</v>
      </c>
      <c r="BN220" s="64">
        <f t="shared" si="22"/>
        <v>265.20000000000005</v>
      </c>
      <c r="BO220" s="64">
        <f t="shared" si="23"/>
        <v>0.5494505494505495</v>
      </c>
      <c r="BP220" s="64">
        <f t="shared" si="24"/>
        <v>0.5494505494505495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120</v>
      </c>
      <c r="Y222" s="550">
        <f t="shared" si="20"/>
        <v>120</v>
      </c>
      <c r="Z222" s="36">
        <f t="shared" si="25"/>
        <v>0.32550000000000001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132.60000000000002</v>
      </c>
      <c r="BN222" s="64">
        <f t="shared" si="22"/>
        <v>132.60000000000002</v>
      </c>
      <c r="BO222" s="64">
        <f t="shared" si="23"/>
        <v>0.27472527472527475</v>
      </c>
      <c r="BP222" s="64">
        <f t="shared" si="24"/>
        <v>0.27472527472527475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6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240</v>
      </c>
      <c r="Y223" s="550">
        <f t="shared" si="20"/>
        <v>240</v>
      </c>
      <c r="Z223" s="36">
        <f t="shared" si="25"/>
        <v>0.65100000000000002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265.8</v>
      </c>
      <c r="BN223" s="64">
        <f t="shared" si="22"/>
        <v>265.8</v>
      </c>
      <c r="BO223" s="64">
        <f t="shared" si="23"/>
        <v>0.5494505494505495</v>
      </c>
      <c r="BP223" s="64">
        <f t="shared" si="24"/>
        <v>0.5494505494505495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417.24137931034483</v>
      </c>
      <c r="Y224" s="551">
        <f>IFERROR(Y215/H215,"0")+IFERROR(Y216/H216,"0")+IFERROR(Y217/H217,"0")+IFERROR(Y218/H218,"0")+IFERROR(Y219/H219,"0")+IFERROR(Y220/H220,"0")+IFERROR(Y221/H221,"0")+IFERROR(Y222/H222,"0")+IFERROR(Y223/H223,"0")</f>
        <v>418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2.94564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1110</v>
      </c>
      <c r="Y225" s="551">
        <f>IFERROR(SUM(Y215:Y223),"0")</f>
        <v>1116.5999999999999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3"/>
      <c r="AB226" s="543"/>
      <c r="AC226" s="543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220</v>
      </c>
      <c r="M227" s="33" t="s">
        <v>86</v>
      </c>
      <c r="N227" s="33"/>
      <c r="O227" s="32">
        <v>40</v>
      </c>
      <c r="P227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44</v>
      </c>
      <c r="Y227" s="550">
        <f>IFERROR(IF(X227="",0,CEILING((X227/$H227),1)*$H227),"")</f>
        <v>45.6</v>
      </c>
      <c r="Z227" s="36">
        <f>IFERROR(IF(Y227=0,"",ROUNDUP(Y227/H227,0)*0.00651),"")</f>
        <v>0.12369000000000001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48.620000000000005</v>
      </c>
      <c r="BN227" s="64">
        <f>IFERROR(Y227*I227/H227,"0")</f>
        <v>50.388000000000005</v>
      </c>
      <c r="BO227" s="64">
        <f>IFERROR(1/J227*(X227/H227),"0")</f>
        <v>0.10073260073260075</v>
      </c>
      <c r="BP227" s="64">
        <f>IFERROR(1/J227*(Y227/H227),"0")</f>
        <v>0.1043956043956044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220</v>
      </c>
      <c r="M228" s="33" t="s">
        <v>80</v>
      </c>
      <c r="N228" s="33"/>
      <c r="O228" s="32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32</v>
      </c>
      <c r="Y228" s="550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31.666666666666671</v>
      </c>
      <c r="Y229" s="551">
        <f>IFERROR(Y227/H227,"0")+IFERROR(Y228/H228,"0")</f>
        <v>33</v>
      </c>
      <c r="Z229" s="551">
        <f>IFERROR(IF(Z227="",0,Z227),"0")+IFERROR(IF(Z228="",0,Z228),"0")</f>
        <v>0.21483000000000002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76</v>
      </c>
      <c r="Y230" s="551">
        <f>IFERROR(SUM(Y227:Y228),"0")</f>
        <v>79.2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3"/>
      <c r="AB232" s="543"/>
      <c r="AC232" s="543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20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20.706896551724139</v>
      </c>
      <c r="BN233" s="64">
        <f t="shared" ref="BN233:BN241" si="28">IFERROR(Y233*I233/H233,"0")</f>
        <v>24.02</v>
      </c>
      <c r="BO233" s="64">
        <f t="shared" ref="BO233:BO241" si="29">IFERROR(1/J233*(X233/H233),"0")</f>
        <v>2.6939655172413795E-2</v>
      </c>
      <c r="BP233" s="64">
        <f t="shared" ref="BP233:BP241" si="30">IFERROR(1/J233*(Y233/H233),"0")</f>
        <v>3.125E-2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 t="s">
        <v>103</v>
      </c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30</v>
      </c>
      <c r="Y235" s="550">
        <f t="shared" si="26"/>
        <v>34.799999999999997</v>
      </c>
      <c r="Z235" s="36">
        <f>IFERROR(IF(Y235=0,"",ROUNDUP(Y235/H235,0)*0.01898),"")</f>
        <v>5.6940000000000004E-2</v>
      </c>
      <c r="AA235" s="56"/>
      <c r="AB235" s="57"/>
      <c r="AC235" s="287" t="s">
        <v>391</v>
      </c>
      <c r="AG235" s="64"/>
      <c r="AJ235" s="68" t="s">
        <v>106</v>
      </c>
      <c r="AK235" s="68">
        <v>92.8</v>
      </c>
      <c r="BB235" s="288" t="s">
        <v>1</v>
      </c>
      <c r="BM235" s="64">
        <f t="shared" si="27"/>
        <v>31.06034482758621</v>
      </c>
      <c r="BN235" s="64">
        <f t="shared" si="28"/>
        <v>36.03</v>
      </c>
      <c r="BO235" s="64">
        <f t="shared" si="29"/>
        <v>4.0409482758620691E-2</v>
      </c>
      <c r="BP235" s="64">
        <f t="shared" si="30"/>
        <v>4.6875E-2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 t="s">
        <v>110</v>
      </c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20</v>
      </c>
      <c r="Y236" s="550">
        <f t="shared" si="26"/>
        <v>20</v>
      </c>
      <c r="Z236" s="36">
        <f>IFERROR(IF(Y236=0,"",ROUNDUP(Y236/H236,0)*0.00902),"")</f>
        <v>4.5100000000000001E-2</v>
      </c>
      <c r="AA236" s="56"/>
      <c r="AB236" s="57"/>
      <c r="AC236" s="289" t="s">
        <v>385</v>
      </c>
      <c r="AG236" s="64"/>
      <c r="AJ236" s="68" t="s">
        <v>106</v>
      </c>
      <c r="AK236" s="68">
        <v>48</v>
      </c>
      <c r="BB236" s="290" t="s">
        <v>1</v>
      </c>
      <c r="BM236" s="64">
        <f t="shared" si="27"/>
        <v>20.950000000000003</v>
      </c>
      <c r="BN236" s="64">
        <f t="shared" si="28"/>
        <v>20.950000000000003</v>
      </c>
      <c r="BO236" s="64">
        <f t="shared" si="29"/>
        <v>3.787878787878788E-2</v>
      </c>
      <c r="BP236" s="64">
        <f t="shared" si="30"/>
        <v>3.787878787878788E-2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40</v>
      </c>
      <c r="Y240" s="550">
        <f t="shared" si="26"/>
        <v>40</v>
      </c>
      <c r="Z240" s="36">
        <f>IFERROR(IF(Y240=0,"",ROUNDUP(Y240/H240,0)*0.00902),"")</f>
        <v>9.0200000000000002E-2</v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41.900000000000006</v>
      </c>
      <c r="BN240" s="64">
        <f t="shared" si="28"/>
        <v>41.900000000000006</v>
      </c>
      <c r="BO240" s="64">
        <f t="shared" si="29"/>
        <v>7.575757575757576E-2</v>
      </c>
      <c r="BP240" s="64">
        <f t="shared" si="30"/>
        <v>7.575757575757576E-2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19.310344827586206</v>
      </c>
      <c r="Y242" s="551">
        <f>IFERROR(Y233/H233,"0")+IFERROR(Y234/H234,"0")+IFERROR(Y235/H235,"0")+IFERROR(Y236/H236,"0")+IFERROR(Y237/H237,"0")+IFERROR(Y238/H238,"0")+IFERROR(Y239/H239,"0")+IFERROR(Y240/H240,"0")+IFERROR(Y241/H241,"0")</f>
        <v>20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0.23020000000000002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110</v>
      </c>
      <c r="Y243" s="551">
        <f>IFERROR(SUM(Y233:Y241),"0")</f>
        <v>118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3"/>
      <c r="AB244" s="543"/>
      <c r="AC244" s="543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3"/>
      <c r="AB248" s="543"/>
      <c r="AC248" s="543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12</v>
      </c>
      <c r="Y249" s="550">
        <f>IFERROR(IF(X249="",0,CEILING((X249/$H249),1)*$H249),"")</f>
        <v>12.6</v>
      </c>
      <c r="Z249" s="36">
        <f>IFERROR(IF(Y249=0,"",ROUNDUP(Y249/H249,0)*0.0059),"")</f>
        <v>4.1299999999999996E-2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13.166666666666668</v>
      </c>
      <c r="BN249" s="64">
        <f>IFERROR(Y249*I249/H249,"0")</f>
        <v>13.825000000000001</v>
      </c>
      <c r="BO249" s="64">
        <f>IFERROR(1/J249*(X249/H249),"0")</f>
        <v>3.0864197530864192E-2</v>
      </c>
      <c r="BP249" s="64">
        <f>IFERROR(1/J249*(Y249/H249),"0")</f>
        <v>3.2407407407407406E-2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6.6666666666666661</v>
      </c>
      <c r="Y250" s="551">
        <f>IFERROR(Y249/H249,"0")</f>
        <v>7</v>
      </c>
      <c r="Z250" s="551">
        <f>IFERROR(IF(Z249="",0,Z249),"0")</f>
        <v>4.1299999999999996E-2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12</v>
      </c>
      <c r="Y251" s="551">
        <f>IFERROR(SUM(Y249:Y249),"0")</f>
        <v>12.6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3"/>
      <c r="AB252" s="543"/>
      <c r="AC252" s="543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12</v>
      </c>
      <c r="Y254" s="550">
        <f>IFERROR(IF(X254="",0,CEILING((X254/$H254),1)*$H254),"")</f>
        <v>12.6</v>
      </c>
      <c r="Z254" s="36">
        <f>IFERROR(IF(Y254=0,"",ROUNDUP(Y254/H254,0)*0.0059),"")</f>
        <v>4.1299999999999996E-2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13.166666666666668</v>
      </c>
      <c r="BN254" s="64">
        <f>IFERROR(Y254*I254/H254,"0")</f>
        <v>13.825000000000001</v>
      </c>
      <c r="BO254" s="64">
        <f>IFERROR(1/J254*(X254/H254),"0")</f>
        <v>3.0864197530864192E-2</v>
      </c>
      <c r="BP254" s="64">
        <f>IFERROR(1/J254*(Y254/H254),"0")</f>
        <v>3.2407407407407406E-2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2.5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3.0277777777777777</v>
      </c>
      <c r="BN255" s="64">
        <f>IFERROR(Y255*I255/H255,"0")</f>
        <v>3.2700000000000005</v>
      </c>
      <c r="BO255" s="64">
        <f>IFERROR(1/J255*(X255/H255),"0")</f>
        <v>1.2860082304526748E-2</v>
      </c>
      <c r="BP255" s="64">
        <f>IFERROR(1/J255*(Y255/H255),"0")</f>
        <v>1.3888888888888888E-2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9.4444444444444429</v>
      </c>
      <c r="Y258" s="551">
        <f>IFERROR(Y253/H253,"0")+IFERROR(Y254/H254,"0")+IFERROR(Y255/H255,"0")+IFERROR(Y256/H256,"0")+IFERROR(Y257/H257,"0")</f>
        <v>10</v>
      </c>
      <c r="Z258" s="551">
        <f>IFERROR(IF(Z253="",0,Z253),"0")+IFERROR(IF(Z254="",0,Z254),"0")+IFERROR(IF(Z255="",0,Z255),"0")+IFERROR(IF(Z256="",0,Z256),"0")+IFERROR(IF(Z257="",0,Z257),"0")</f>
        <v>5.8999999999999997E-2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14.5</v>
      </c>
      <c r="Y259" s="551">
        <f>IFERROR(SUM(Y253:Y257),"0")</f>
        <v>15.3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3"/>
      <c r="AB261" s="543"/>
      <c r="AC261" s="543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3"/>
      <c r="AB270" s="543"/>
      <c r="AC270" s="543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3"/>
      <c r="AB278" s="543"/>
      <c r="AC278" s="543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40</v>
      </c>
      <c r="Y280" s="550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44.20000000000001</v>
      </c>
      <c r="BN280" s="64">
        <f>IFERROR(Y280*I280/H280,"0")</f>
        <v>45.084000000000003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160</v>
      </c>
      <c r="Y281" s="550">
        <f>IFERROR(IF(X281="",0,CEILING((X281/$H281),1)*$H281),"")</f>
        <v>160.79999999999998</v>
      </c>
      <c r="Z281" s="36">
        <f>IFERROR(IF(Y281=0,"",ROUNDUP(Y281/H281,0)*0.00651),"")</f>
        <v>0.43617</v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172</v>
      </c>
      <c r="BN281" s="64">
        <f>IFERROR(Y281*I281/H281,"0")</f>
        <v>172.85999999999999</v>
      </c>
      <c r="BO281" s="64">
        <f>IFERROR(1/J281*(X281/H281),"0")</f>
        <v>0.36630036630036633</v>
      </c>
      <c r="BP281" s="64">
        <f>IFERROR(1/J281*(Y281/H281),"0")</f>
        <v>0.36813186813186816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83.333333333333343</v>
      </c>
      <c r="Y282" s="551">
        <f>IFERROR(Y279/H279,"0")+IFERROR(Y280/H280,"0")+IFERROR(Y281/H281,"0")</f>
        <v>84</v>
      </c>
      <c r="Z282" s="551">
        <f>IFERROR(IF(Z279="",0,Z279),"0")+IFERROR(IF(Z280="",0,Z280),"0")+IFERROR(IF(Z281="",0,Z281),"0")</f>
        <v>0.54683999999999999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200</v>
      </c>
      <c r="Y283" s="551">
        <f>IFERROR(SUM(Y279:Y281),"0")</f>
        <v>201.59999999999997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3"/>
      <c r="AB285" s="543"/>
      <c r="AC285" s="543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3"/>
      <c r="AB290" s="543"/>
      <c r="AC290" s="543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3"/>
      <c r="AB296" s="543"/>
      <c r="AC296" s="543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285</v>
      </c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210</v>
      </c>
      <c r="Y309" s="550">
        <f t="shared" si="31"/>
        <v>210</v>
      </c>
      <c r="Z309" s="36">
        <f>IFERROR(IF(Y309=0,"",ROUNDUP(Y309/H309,0)*0.00502),"")</f>
        <v>0.502</v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220.00000000000003</v>
      </c>
      <c r="BN309" s="64">
        <f t="shared" si="33"/>
        <v>220.00000000000003</v>
      </c>
      <c r="BO309" s="64">
        <f t="shared" si="34"/>
        <v>0.42735042735042739</v>
      </c>
      <c r="BP309" s="64">
        <f t="shared" si="35"/>
        <v>0.42735042735042739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220</v>
      </c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36</v>
      </c>
      <c r="Y310" s="550">
        <f t="shared" si="31"/>
        <v>36</v>
      </c>
      <c r="Z310" s="36">
        <f>IFERROR(IF(Y310=0,"",ROUNDUP(Y310/H310,0)*0.00651),"")</f>
        <v>0.13020000000000001</v>
      </c>
      <c r="AA310" s="56"/>
      <c r="AB310" s="57"/>
      <c r="AC310" s="367" t="s">
        <v>503</v>
      </c>
      <c r="AG310" s="64"/>
      <c r="AJ310" s="68" t="s">
        <v>106</v>
      </c>
      <c r="AK310" s="68">
        <v>25.2</v>
      </c>
      <c r="BB310" s="368" t="s">
        <v>1</v>
      </c>
      <c r="BM310" s="64">
        <f t="shared" si="32"/>
        <v>40.559999999999995</v>
      </c>
      <c r="BN310" s="64">
        <f t="shared" si="33"/>
        <v>40.559999999999995</v>
      </c>
      <c r="BO310" s="64">
        <f t="shared" si="34"/>
        <v>0.1098901098901099</v>
      </c>
      <c r="BP310" s="64">
        <f t="shared" si="35"/>
        <v>0.1098901098901099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120</v>
      </c>
      <c r="Y311" s="551">
        <f>IFERROR(Y305/H305,"0")+IFERROR(Y306/H306,"0")+IFERROR(Y307/H307,"0")+IFERROR(Y308/H308,"0")+IFERROR(Y309/H309,"0")+IFERROR(Y310/H310,"0")</f>
        <v>120</v>
      </c>
      <c r="Z311" s="551">
        <f>IFERROR(IF(Z305="",0,Z305),"0")+IFERROR(IF(Z306="",0,Z306),"0")+IFERROR(IF(Z307="",0,Z307),"0")+IFERROR(IF(Z308="",0,Z308),"0")+IFERROR(IF(Z309="",0,Z309),"0")+IFERROR(IF(Z310="",0,Z310),"0")</f>
        <v>0.63219999999999998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246</v>
      </c>
      <c r="Y312" s="551">
        <f>IFERROR(SUM(Y305:Y310),"0")</f>
        <v>246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30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31.764285714285712</v>
      </c>
      <c r="BN321" s="64">
        <f>IFERROR(Y321*I321/H321,"0")</f>
        <v>35.576000000000001</v>
      </c>
      <c r="BO321" s="64">
        <f>IFERROR(1/J321*(X321/H321),"0")</f>
        <v>5.5803571428571425E-2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550</v>
      </c>
      <c r="Y322" s="550">
        <f>IFERROR(IF(X322="",0,CEILING((X322/$H322),1)*$H322),"")</f>
        <v>553.79999999999995</v>
      </c>
      <c r="Z322" s="36">
        <f>IFERROR(IF(Y322=0,"",ROUNDUP(Y322/H322,0)*0.01898),"")</f>
        <v>1.34758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584.83333333333337</v>
      </c>
      <c r="BN322" s="64">
        <f>IFERROR(Y322*I322/H322,"0")</f>
        <v>588.87400000000002</v>
      </c>
      <c r="BO322" s="64">
        <f>IFERROR(1/J322*(X322/H322),"0")</f>
        <v>1.1017628205128205</v>
      </c>
      <c r="BP322" s="64">
        <f>IFERROR(1/J322*(Y322/H322),"0")</f>
        <v>1.109375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300</v>
      </c>
      <c r="Y323" s="550">
        <f>IFERROR(IF(X323="",0,CEILING((X323/$H323),1)*$H323),"")</f>
        <v>302.40000000000003</v>
      </c>
      <c r="Z323" s="36">
        <f>IFERROR(IF(Y323=0,"",ROUNDUP(Y323/H323,0)*0.01898),"")</f>
        <v>0.68328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317.64285714285711</v>
      </c>
      <c r="BN323" s="64">
        <f>IFERROR(Y323*I323/H323,"0")</f>
        <v>320.18400000000003</v>
      </c>
      <c r="BO323" s="64">
        <f>IFERROR(1/J323*(X323/H323),"0")</f>
        <v>0.5580357142857143</v>
      </c>
      <c r="BP323" s="64">
        <f>IFERROR(1/J323*(Y323/H323),"0")</f>
        <v>0.5625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109.7985347985348</v>
      </c>
      <c r="Y324" s="551">
        <f>IFERROR(Y321/H321,"0")+IFERROR(Y322/H322,"0")+IFERROR(Y323/H323,"0")</f>
        <v>111</v>
      </c>
      <c r="Z324" s="551">
        <f>IFERROR(IF(Z321="",0,Z321),"0")+IFERROR(IF(Z322="",0,Z322),"0")+IFERROR(IF(Z323="",0,Z323),"0")</f>
        <v>2.1067800000000001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880</v>
      </c>
      <c r="Y325" s="551">
        <f>IFERROR(SUM(Y321:Y323),"0")</f>
        <v>889.8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17</v>
      </c>
      <c r="Y329" s="550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19.700000000000003</v>
      </c>
      <c r="BN329" s="64">
        <f>IFERROR(Y329*I329/H329,"0")</f>
        <v>20.684999999999999</v>
      </c>
      <c r="BO329" s="64">
        <f>IFERROR(1/J329*(X329/H329),"0")</f>
        <v>3.6630036630036632E-2</v>
      </c>
      <c r="BP329" s="64">
        <f>IFERROR(1/J329*(Y329/H329),"0")</f>
        <v>3.8461538461538464E-2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220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85</v>
      </c>
      <c r="Y330" s="550">
        <f>IFERROR(IF(X330="",0,CEILING((X330/$H330),1)*$H330),"")</f>
        <v>86.699999999999989</v>
      </c>
      <c r="Z330" s="36">
        <f>IFERROR(IF(Y330=0,"",ROUNDUP(Y330/H330,0)*0.00651),"")</f>
        <v>0.22134000000000001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96</v>
      </c>
      <c r="BN330" s="64">
        <f>IFERROR(Y330*I330/H330,"0")</f>
        <v>97.92</v>
      </c>
      <c r="BO330" s="64">
        <f>IFERROR(1/J330*(X330/H330),"0")</f>
        <v>0.18315018315018317</v>
      </c>
      <c r="BP330" s="64">
        <f>IFERROR(1/J330*(Y330/H330),"0")</f>
        <v>0.18681318681318682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40</v>
      </c>
      <c r="Y331" s="551">
        <f>IFERROR(Y327/H327,"0")+IFERROR(Y328/H328,"0")+IFERROR(Y329/H329,"0")+IFERROR(Y330/H330,"0")</f>
        <v>41</v>
      </c>
      <c r="Z331" s="551">
        <f>IFERROR(IF(Z327="",0,Z327),"0")+IFERROR(IF(Z328="",0,Z328),"0")+IFERROR(IF(Z329="",0,Z329),"0")+IFERROR(IF(Z330="",0,Z330),"0")</f>
        <v>0.26690999999999998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102</v>
      </c>
      <c r="Y332" s="551">
        <f>IFERROR(SUM(Y327:Y330),"0")</f>
        <v>104.54999999999998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220</v>
      </c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220</v>
      </c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220</v>
      </c>
      <c r="M342" s="33" t="s">
        <v>80</v>
      </c>
      <c r="N342" s="33"/>
      <c r="O342" s="32">
        <v>45</v>
      </c>
      <c r="P342" s="8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770</v>
      </c>
      <c r="Y342" s="550">
        <f>IFERROR(IF(X342="",0,CEILING((X342/$H342),1)*$H342),"")</f>
        <v>770.7</v>
      </c>
      <c r="Z342" s="36">
        <f>IFERROR(IF(Y342=0,"",ROUNDUP(Y342/H342,0)*0.00651),"")</f>
        <v>2.38917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862.4</v>
      </c>
      <c r="BN342" s="64">
        <f>IFERROR(Y342*I342/H342,"0")</f>
        <v>863.18399999999997</v>
      </c>
      <c r="BO342" s="64">
        <f>IFERROR(1/J342*(X342/H342),"0")</f>
        <v>2.0146520146520146</v>
      </c>
      <c r="BP342" s="64">
        <f>IFERROR(1/J342*(Y342/H342),"0")</f>
        <v>2.0164835164835164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220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875</v>
      </c>
      <c r="Y343" s="550">
        <f>IFERROR(IF(X343="",0,CEILING((X343/$H343),1)*$H343),"")</f>
        <v>875.7</v>
      </c>
      <c r="Z343" s="36">
        <f>IFERROR(IF(Y343=0,"",ROUNDUP(Y343/H343,0)*0.00651),"")</f>
        <v>2.7146699999999999</v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974.99999999999989</v>
      </c>
      <c r="BN343" s="64">
        <f>IFERROR(Y343*I343/H343,"0")</f>
        <v>975.78</v>
      </c>
      <c r="BO343" s="64">
        <f>IFERROR(1/J343*(X343/H343),"0")</f>
        <v>2.2893772893772892</v>
      </c>
      <c r="BP343" s="64">
        <f>IFERROR(1/J343*(Y343/H343),"0")</f>
        <v>2.2912087912087915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783.33333333333326</v>
      </c>
      <c r="Y344" s="551">
        <f>IFERROR(Y341/H341,"0")+IFERROR(Y342/H342,"0")+IFERROR(Y343/H343,"0")</f>
        <v>784</v>
      </c>
      <c r="Z344" s="551">
        <f>IFERROR(IF(Z341="",0,Z341),"0")+IFERROR(IF(Z342="",0,Z342),"0")+IFERROR(IF(Z343="",0,Z343),"0")</f>
        <v>5.1038399999999999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1645</v>
      </c>
      <c r="Y345" s="551">
        <f>IFERROR(SUM(Y341:Y343),"0")</f>
        <v>1646.4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1200</v>
      </c>
      <c r="Y349" s="550">
        <f t="shared" ref="Y349:Y355" si="36">IFERROR(IF(X349="",0,CEILING((X349/$H349),1)*$H349),"")</f>
        <v>1200</v>
      </c>
      <c r="Z349" s="36">
        <f>IFERROR(IF(Y349=0,"",ROUNDUP(Y349/H349,0)*0.02175),"")</f>
        <v>1.7399999999999998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1237.5999999999999</v>
      </c>
      <c r="BN349" s="64">
        <f t="shared" ref="BN349:BN355" si="38">IFERROR(Y349*I349/H349,"0")</f>
        <v>1237.5999999999999</v>
      </c>
      <c r="BO349" s="64">
        <f t="shared" ref="BO349:BO355" si="39">IFERROR(1/J349*(X349/H349),"0")</f>
        <v>1.6666666666666665</v>
      </c>
      <c r="BP349" s="64">
        <f t="shared" ref="BP349:BP355" si="40">IFERROR(1/J349*(Y349/H349),"0")</f>
        <v>1.6666666666666665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800</v>
      </c>
      <c r="Y350" s="550">
        <f t="shared" si="36"/>
        <v>810</v>
      </c>
      <c r="Z350" s="36">
        <f>IFERROR(IF(Y350=0,"",ROUNDUP(Y350/H350,0)*0.02175),"")</f>
        <v>1.1744999999999999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825.06666666666672</v>
      </c>
      <c r="BN350" s="64">
        <f t="shared" si="38"/>
        <v>835.38</v>
      </c>
      <c r="BO350" s="64">
        <f t="shared" si="39"/>
        <v>1.1111111111111112</v>
      </c>
      <c r="BP350" s="64">
        <f t="shared" si="40"/>
        <v>1.125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1100</v>
      </c>
      <c r="Y351" s="550">
        <f t="shared" si="36"/>
        <v>1110</v>
      </c>
      <c r="Z351" s="36">
        <f>IFERROR(IF(Y351=0,"",ROUNDUP(Y351/H351,0)*0.02175),"")</f>
        <v>1.6094999999999999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1134.4666666666667</v>
      </c>
      <c r="BN351" s="64">
        <f t="shared" si="38"/>
        <v>1144.78</v>
      </c>
      <c r="BO351" s="64">
        <f t="shared" si="39"/>
        <v>1.5277777777777777</v>
      </c>
      <c r="BP351" s="64">
        <f t="shared" si="40"/>
        <v>1.5416666666666665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700</v>
      </c>
      <c r="Y352" s="550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253.33333333333334</v>
      </c>
      <c r="Y356" s="551">
        <f>IFERROR(Y349/H349,"0")+IFERROR(Y350/H350,"0")+IFERROR(Y351/H351,"0")+IFERROR(Y352/H352,"0")+IFERROR(Y353/H353,"0")+IFERROR(Y354/H354,"0")+IFERROR(Y355/H355,"0")</f>
        <v>255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5.5462499999999988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3800</v>
      </c>
      <c r="Y357" s="551">
        <f>IFERROR(SUM(Y349:Y355),"0")</f>
        <v>3825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12</v>
      </c>
      <c r="Y360" s="550">
        <f>IFERROR(IF(X360="",0,CEILING((X360/$H360),1)*$H360),"")</f>
        <v>12</v>
      </c>
      <c r="Z360" s="36">
        <f>IFERROR(IF(Y360=0,"",ROUNDUP(Y360/H360,0)*0.00902),"")</f>
        <v>2.7060000000000001E-2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12.57</v>
      </c>
      <c r="BN360" s="64">
        <f>IFERROR(Y360*I360/H360,"0")</f>
        <v>12.57</v>
      </c>
      <c r="BO360" s="64">
        <f>IFERROR(1/J360*(X360/H360),"0")</f>
        <v>2.2727272727272728E-2</v>
      </c>
      <c r="BP360" s="64">
        <f>IFERROR(1/J360*(Y360/H360),"0")</f>
        <v>2.2727272727272728E-2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36.333333333333336</v>
      </c>
      <c r="Y361" s="551">
        <f>IFERROR(Y359/H359,"0")+IFERROR(Y360/H360,"0")</f>
        <v>37</v>
      </c>
      <c r="Z361" s="551">
        <f>IFERROR(IF(Z359="",0,Z359),"0")+IFERROR(IF(Z360="",0,Z360),"0")</f>
        <v>0.76655999999999991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512</v>
      </c>
      <c r="Y362" s="551">
        <f>IFERROR(SUM(Y359:Y360),"0")</f>
        <v>522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20</v>
      </c>
      <c r="Y365" s="550">
        <f>IFERROR(IF(X365="",0,CEILING((X365/$H365),1)*$H365),"")</f>
        <v>27</v>
      </c>
      <c r="Z365" s="36">
        <f>IFERROR(IF(Y365=0,"",ROUNDUP(Y365/H365,0)*0.01898),"")</f>
        <v>5.6940000000000004E-2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21.097777777777779</v>
      </c>
      <c r="BN365" s="64">
        <f>IFERROR(Y365*I365/H365,"0")</f>
        <v>28.481999999999996</v>
      </c>
      <c r="BO365" s="64">
        <f>IFERROR(1/J365*(X365/H365),"0")</f>
        <v>3.4722222222222224E-2</v>
      </c>
      <c r="BP365" s="64">
        <f>IFERROR(1/J365*(Y365/H365),"0")</f>
        <v>4.6875E-2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2.2222222222222223</v>
      </c>
      <c r="Y366" s="551">
        <f>IFERROR(Y364/H364,"0")+IFERROR(Y365/H365,"0")</f>
        <v>3</v>
      </c>
      <c r="Z366" s="551">
        <f>IFERROR(IF(Z364="",0,Z364),"0")+IFERROR(IF(Z365="",0,Z365),"0")</f>
        <v>5.6940000000000004E-2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20</v>
      </c>
      <c r="Y367" s="551">
        <f>IFERROR(SUM(Y364:Y365),"0")</f>
        <v>27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60</v>
      </c>
      <c r="Y369" s="550">
        <f>IFERROR(IF(X369="",0,CEILING((X369/$H369),1)*$H369),"")</f>
        <v>63</v>
      </c>
      <c r="Z369" s="36">
        <f>IFERROR(IF(Y369=0,"",ROUNDUP(Y369/H369,0)*0.01898),"")</f>
        <v>0.13286000000000001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63.293333333333329</v>
      </c>
      <c r="BN369" s="64">
        <f>IFERROR(Y369*I369/H369,"0")</f>
        <v>66.457999999999998</v>
      </c>
      <c r="BO369" s="64">
        <f>IFERROR(1/J369*(X369/H369),"0")</f>
        <v>0.10416666666666667</v>
      </c>
      <c r="BP369" s="64">
        <f>IFERROR(1/J369*(Y369/H369),"0")</f>
        <v>0.109375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6.666666666666667</v>
      </c>
      <c r="Y370" s="551">
        <f>IFERROR(Y369/H369,"0")</f>
        <v>7</v>
      </c>
      <c r="Z370" s="551">
        <f>IFERROR(IF(Z369="",0,Z369),"0")</f>
        <v>0.13286000000000001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60</v>
      </c>
      <c r="Y371" s="551">
        <f>IFERROR(SUM(Y369:Y369),"0")</f>
        <v>63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60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62.050000000000004</v>
      </c>
      <c r="BN374" s="64">
        <f>IFERROR(Y374*I374/H374,"0")</f>
        <v>62.050000000000004</v>
      </c>
      <c r="BO374" s="64">
        <f>IFERROR(1/J374*(X374/H374),"0")</f>
        <v>7.8125E-2</v>
      </c>
      <c r="BP374" s="64">
        <f>IFERROR(1/J374*(Y374/H374),"0")</f>
        <v>7.8125E-2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4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5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60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35</v>
      </c>
      <c r="P379" s="59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285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28</v>
      </c>
      <c r="Y396" s="550">
        <f t="shared" si="41"/>
        <v>29.400000000000002</v>
      </c>
      <c r="Z396" s="36">
        <f t="shared" si="46"/>
        <v>7.0280000000000009E-2</v>
      </c>
      <c r="AA396" s="56"/>
      <c r="AB396" s="57"/>
      <c r="AC396" s="449" t="s">
        <v>611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42"/>
        <v>29.733333333333331</v>
      </c>
      <c r="BN396" s="64">
        <f t="shared" si="43"/>
        <v>31.22</v>
      </c>
      <c r="BO396" s="64">
        <f t="shared" si="44"/>
        <v>5.6980056980056981E-2</v>
      </c>
      <c r="BP396" s="64">
        <f t="shared" si="45"/>
        <v>5.9829059829059839E-2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 t="s">
        <v>285</v>
      </c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 t="s">
        <v>106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52.5</v>
      </c>
      <c r="Y399" s="550">
        <f t="shared" si="41"/>
        <v>52.5</v>
      </c>
      <c r="Z399" s="36">
        <f t="shared" si="46"/>
        <v>0.1255</v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55.75</v>
      </c>
      <c r="BN399" s="64">
        <f t="shared" si="43"/>
        <v>55.75</v>
      </c>
      <c r="BO399" s="64">
        <f t="shared" si="44"/>
        <v>0.10683760683760685</v>
      </c>
      <c r="BP399" s="64">
        <f t="shared" si="45"/>
        <v>0.10683760683760685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38.333333333333329</v>
      </c>
      <c r="Y401" s="551">
        <f>IFERROR(Y392/H392,"0")+IFERROR(Y393/H393,"0")+IFERROR(Y394/H394,"0")+IFERROR(Y395/H395,"0")+IFERROR(Y396/H396,"0")+IFERROR(Y397/H397,"0")+IFERROR(Y398/H398,"0")+IFERROR(Y399/H399,"0")+IFERROR(Y400/H400,"0")</f>
        <v>39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0.19578000000000001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80.5</v>
      </c>
      <c r="Y402" s="551">
        <f>IFERROR(SUM(Y392:Y400),"0")</f>
        <v>81.900000000000006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7</v>
      </c>
      <c r="Y417" s="550">
        <f>IFERROR(IF(X417="",0,CEILING((X417/$H417),1)*$H417),"")</f>
        <v>8.4</v>
      </c>
      <c r="Z417" s="36">
        <f>IFERROR(IF(Y417=0,"",ROUNDUP(Y417/H417,0)*0.00502),"")</f>
        <v>2.0080000000000001E-2</v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7.4333333333333327</v>
      </c>
      <c r="BN417" s="64">
        <f>IFERROR(Y417*I417/H417,"0")</f>
        <v>8.92</v>
      </c>
      <c r="BO417" s="64">
        <f>IFERROR(1/J417*(X417/H417),"0")</f>
        <v>1.4245014245014245E-2</v>
      </c>
      <c r="BP417" s="64">
        <f>IFERROR(1/J417*(Y417/H417),"0")</f>
        <v>1.7094017094017096E-2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3.333333333333333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7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 t="s">
        <v>220</v>
      </c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30</v>
      </c>
      <c r="Y422" s="550">
        <f>IFERROR(IF(X422="",0,CEILING((X422/$H422),1)*$H422),"")</f>
        <v>30</v>
      </c>
      <c r="Z422" s="36">
        <f>IFERROR(IF(Y422=0,"",ROUNDUP(Y422/H422,0)*0.00651),"")</f>
        <v>0.16275000000000001</v>
      </c>
      <c r="AA422" s="56"/>
      <c r="AB422" s="57"/>
      <c r="AC422" s="473" t="s">
        <v>657</v>
      </c>
      <c r="AG422" s="64"/>
      <c r="AJ422" s="68" t="s">
        <v>106</v>
      </c>
      <c r="AK422" s="68">
        <v>16.8</v>
      </c>
      <c r="BB422" s="474" t="s">
        <v>1</v>
      </c>
      <c r="BM422" s="64">
        <f>IFERROR(X422*I422/H422,"0")</f>
        <v>52.5</v>
      </c>
      <c r="BN422" s="64">
        <f>IFERROR(Y422*I422/H422,"0")</f>
        <v>52.5</v>
      </c>
      <c r="BO422" s="64">
        <f>IFERROR(1/J422*(X422/H422),"0")</f>
        <v>0.13736263736263737</v>
      </c>
      <c r="BP422" s="64">
        <f>IFERROR(1/J422*(Y422/H422),"0")</f>
        <v>0.13736263736263737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25</v>
      </c>
      <c r="Y423" s="551">
        <f>IFERROR(Y422/H422,"0")</f>
        <v>25</v>
      </c>
      <c r="Z423" s="551">
        <f>IFERROR(IF(Z422="",0,Z422),"0")</f>
        <v>0.16275000000000001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30</v>
      </c>
      <c r="Y424" s="551">
        <f>IFERROR(SUM(Y422:Y422),"0")</f>
        <v>30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200</v>
      </c>
      <c r="Y432" s="550">
        <f t="shared" si="47"/>
        <v>200.64000000000001</v>
      </c>
      <c r="Z432" s="36">
        <f t="shared" si="48"/>
        <v>0.45448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213.25757575757575</v>
      </c>
      <c r="BN432" s="64">
        <f t="shared" si="50"/>
        <v>213.94</v>
      </c>
      <c r="BO432" s="64">
        <f t="shared" si="51"/>
        <v>0.36421911421911418</v>
      </c>
      <c r="BP432" s="64">
        <f t="shared" si="52"/>
        <v>0.36538461538461542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100</v>
      </c>
      <c r="Y434" s="550">
        <f t="shared" si="47"/>
        <v>100.32000000000001</v>
      </c>
      <c r="Z434" s="36">
        <f t="shared" si="48"/>
        <v>0.22724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106.62878787878788</v>
      </c>
      <c r="BN434" s="64">
        <f t="shared" si="50"/>
        <v>106.97</v>
      </c>
      <c r="BO434" s="64">
        <f t="shared" si="51"/>
        <v>0.18210955710955709</v>
      </c>
      <c r="BP434" s="64">
        <f t="shared" si="52"/>
        <v>0.18269230769230771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72</v>
      </c>
      <c r="Y436" s="550">
        <f t="shared" si="47"/>
        <v>72</v>
      </c>
      <c r="Z436" s="36">
        <f>IFERROR(IF(Y436=0,"",ROUNDUP(Y436/H436,0)*0.00902),"")</f>
        <v>0.1353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103.65</v>
      </c>
      <c r="BN436" s="64">
        <f t="shared" si="50"/>
        <v>103.65</v>
      </c>
      <c r="BO436" s="64">
        <f t="shared" si="51"/>
        <v>0.11363636363636365</v>
      </c>
      <c r="BP436" s="64">
        <f t="shared" si="52"/>
        <v>0.11363636363636365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120</v>
      </c>
      <c r="Y439" s="550">
        <f t="shared" si="47"/>
        <v>120</v>
      </c>
      <c r="Z439" s="36">
        <f>IFERROR(IF(Y439=0,"",ROUNDUP(Y439/H439,0)*0.00902),"")</f>
        <v>0.22550000000000001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172.75000000000003</v>
      </c>
      <c r="BN439" s="64">
        <f t="shared" si="50"/>
        <v>172.75000000000003</v>
      </c>
      <c r="BO439" s="64">
        <f t="shared" si="51"/>
        <v>0.18939393939393939</v>
      </c>
      <c r="BP439" s="64">
        <f t="shared" si="52"/>
        <v>0.18939393939393939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96.818181818181813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1.0425199999999999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492</v>
      </c>
      <c r="Y441" s="551">
        <f>IFERROR(SUM(Y428:Y439),"0")</f>
        <v>492.96000000000004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200</v>
      </c>
      <c r="Y443" s="550">
        <f>IFERROR(IF(X443="",0,CEILING((X443/$H443),1)*$H443),"")</f>
        <v>200.64000000000001</v>
      </c>
      <c r="Z443" s="36">
        <f>IFERROR(IF(Y443=0,"",ROUNDUP(Y443/H443,0)*0.01196),"")</f>
        <v>0.45448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213.25757575757575</v>
      </c>
      <c r="BN443" s="64">
        <f>IFERROR(Y443*I443/H443,"0")</f>
        <v>213.94</v>
      </c>
      <c r="BO443" s="64">
        <f>IFERROR(1/J443*(X443/H443),"0")</f>
        <v>0.36421911421911418</v>
      </c>
      <c r="BP443" s="64">
        <f>IFERROR(1/J443*(Y443/H443),"0")</f>
        <v>0.36538461538461542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37.878787878787875</v>
      </c>
      <c r="Y446" s="551">
        <f>IFERROR(Y443/H443,"0")+IFERROR(Y444/H444,"0")+IFERROR(Y445/H445,"0")</f>
        <v>38</v>
      </c>
      <c r="Z446" s="551">
        <f>IFERROR(IF(Z443="",0,Z443),"0")+IFERROR(IF(Z444="",0,Z444),"0")+IFERROR(IF(Z445="",0,Z445),"0")</f>
        <v>0.45448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200</v>
      </c>
      <c r="Y447" s="551">
        <f>IFERROR(SUM(Y443:Y445),"0")</f>
        <v>200.64000000000001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30</v>
      </c>
      <c r="Y449" s="550">
        <f t="shared" ref="Y449:Y454" si="53">IFERROR(IF(X449="",0,CEILING((X449/$H449),1)*$H449),"")</f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31.988636363636363</v>
      </c>
      <c r="BN449" s="64">
        <f t="shared" ref="BN449:BN454" si="55">IFERROR(Y449*I449/H449,"0")</f>
        <v>33.779999999999994</v>
      </c>
      <c r="BO449" s="64">
        <f t="shared" ref="BO449:BO454" si="56">IFERROR(1/J449*(X449/H449),"0")</f>
        <v>5.4632867132867136E-2</v>
      </c>
      <c r="BP449" s="64">
        <f t="shared" ref="BP449:BP454" si="57">IFERROR(1/J449*(Y449/H449),"0")</f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80</v>
      </c>
      <c r="Y450" s="550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85.303030303030297</v>
      </c>
      <c r="BN450" s="64">
        <f t="shared" si="55"/>
        <v>90.08</v>
      </c>
      <c r="BO450" s="64">
        <f t="shared" si="56"/>
        <v>0.14568764568764569</v>
      </c>
      <c r="BP450" s="64">
        <f t="shared" si="57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110</v>
      </c>
      <c r="Y451" s="550">
        <f t="shared" si="53"/>
        <v>110.88000000000001</v>
      </c>
      <c r="Z451" s="36">
        <f>IFERROR(IF(Y451=0,"",ROUNDUP(Y451/H451,0)*0.01196),"")</f>
        <v>0.25115999999999999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117.29166666666666</v>
      </c>
      <c r="BN451" s="64">
        <f t="shared" si="55"/>
        <v>118.23</v>
      </c>
      <c r="BO451" s="64">
        <f t="shared" si="56"/>
        <v>0.20032051282051283</v>
      </c>
      <c r="BP451" s="64">
        <f t="shared" si="57"/>
        <v>0.20192307692307693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 t="s">
        <v>110</v>
      </c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78</v>
      </c>
      <c r="Y452" s="550">
        <f t="shared" si="53"/>
        <v>81.599999999999994</v>
      </c>
      <c r="Z452" s="36">
        <f>IFERROR(IF(Y452=0,"",ROUNDUP(Y452/H452,0)*0.00902),"")</f>
        <v>0.15334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54"/>
        <v>112.28750000000001</v>
      </c>
      <c r="BN452" s="64">
        <f t="shared" si="55"/>
        <v>117.47</v>
      </c>
      <c r="BO452" s="64">
        <f t="shared" si="56"/>
        <v>0.12310606060606061</v>
      </c>
      <c r="BP452" s="64">
        <f t="shared" si="57"/>
        <v>0.12878787878787878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18</v>
      </c>
      <c r="Y453" s="550">
        <f t="shared" si="53"/>
        <v>19.2</v>
      </c>
      <c r="Z453" s="36">
        <f>IFERROR(IF(Y453=0,"",ROUNDUP(Y453/H453,0)*0.00902),"")</f>
        <v>3.6080000000000001E-2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54"/>
        <v>25.012500000000003</v>
      </c>
      <c r="BN453" s="64">
        <f t="shared" si="55"/>
        <v>26.68</v>
      </c>
      <c r="BO453" s="64">
        <f t="shared" si="56"/>
        <v>2.8409090909090912E-2</v>
      </c>
      <c r="BP453" s="64">
        <f t="shared" si="57"/>
        <v>3.0303030303030304E-2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 t="s">
        <v>110</v>
      </c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84</v>
      </c>
      <c r="Y454" s="550">
        <f t="shared" si="53"/>
        <v>86.399999999999991</v>
      </c>
      <c r="Z454" s="36">
        <f>IFERROR(IF(Y454=0,"",ROUNDUP(Y454/H454,0)*0.00902),"")</f>
        <v>0.16236</v>
      </c>
      <c r="AA454" s="56"/>
      <c r="AB454" s="57"/>
      <c r="AC454" s="515" t="s">
        <v>703</v>
      </c>
      <c r="AG454" s="64"/>
      <c r="AJ454" s="68" t="s">
        <v>106</v>
      </c>
      <c r="AK454" s="68">
        <v>57.6</v>
      </c>
      <c r="BB454" s="516" t="s">
        <v>1</v>
      </c>
      <c r="BM454" s="64">
        <f t="shared" si="54"/>
        <v>116.72499999999999</v>
      </c>
      <c r="BN454" s="64">
        <f t="shared" si="55"/>
        <v>120.05999999999999</v>
      </c>
      <c r="BO454" s="64">
        <f t="shared" si="56"/>
        <v>0.13257575757575757</v>
      </c>
      <c r="BP454" s="64">
        <f t="shared" si="57"/>
        <v>0.13636363636363635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79.166666666666657</v>
      </c>
      <c r="Y455" s="551">
        <f>IFERROR(Y449/H449,"0")+IFERROR(Y450/H450,"0")+IFERROR(Y451/H451,"0")+IFERROR(Y452/H452,"0")+IFERROR(Y453/H453,"0")+IFERROR(Y454/H454,"0")</f>
        <v>82</v>
      </c>
      <c r="Z455" s="551">
        <f>IFERROR(IF(Z449="",0,Z449),"0")+IFERROR(IF(Z450="",0,Z450),"0")+IFERROR(IF(Z451="",0,Z451),"0")+IFERROR(IF(Z452="",0,Z452),"0")+IFERROR(IF(Z453="",0,Z453),"0")+IFERROR(IF(Z454="",0,Z454),"0")</f>
        <v>0.86606000000000005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400</v>
      </c>
      <c r="Y456" s="551">
        <f>IFERROR(SUM(Y449:Y454),"0")</f>
        <v>414.23999999999995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3"/>
      <c r="AB457" s="543"/>
      <c r="AC457" s="543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3"/>
      <c r="AB463" s="543"/>
      <c r="AC463" s="543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3"/>
      <c r="AB470" s="543"/>
      <c r="AC470" s="543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1300</v>
      </c>
      <c r="Y480" s="550">
        <f>IFERROR(IF(X480="",0,CEILING((X480/$H480),1)*$H480),"")</f>
        <v>1305</v>
      </c>
      <c r="Z480" s="36">
        <f>IFERROR(IF(Y480=0,"",ROUNDUP(Y480/H480,0)*0.01898),"")</f>
        <v>2.7521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1371.3555555555554</v>
      </c>
      <c r="BN480" s="64">
        <f>IFERROR(Y480*I480/H480,"0")</f>
        <v>1376.63</v>
      </c>
      <c r="BO480" s="64">
        <f>IFERROR(1/J480*(X480/H480),"0")</f>
        <v>2.2569444444444446</v>
      </c>
      <c r="BP480" s="64">
        <f>IFERROR(1/J480*(Y480/H480),"0")</f>
        <v>2.265625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144.44444444444446</v>
      </c>
      <c r="Y481" s="551">
        <f>IFERROR(Y480/H480,"0")</f>
        <v>145</v>
      </c>
      <c r="Z481" s="551">
        <f>IFERROR(IF(Z480="",0,Z480),"0")</f>
        <v>2.7521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1300</v>
      </c>
      <c r="Y482" s="551">
        <f>IFERROR(SUM(Y480:Y480),"0")</f>
        <v>1305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3"/>
      <c r="AB483" s="543"/>
      <c r="AC483" s="543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3"/>
      <c r="AB489" s="543"/>
      <c r="AC489" s="543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17525.8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17714.829999999998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18737.231124635258</v>
      </c>
      <c r="Y494" s="551">
        <f>IFERROR(SUM(BN22:BN490),"0")</f>
        <v>18938.707000000002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33</v>
      </c>
      <c r="Y495" s="38">
        <f>ROUNDUP(SUM(BP22:BP490),0)</f>
        <v>33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19562.231124635258</v>
      </c>
      <c r="Y496" s="551">
        <f>GrossWeightTotalR+PalletQtyTotalR*25</f>
        <v>19763.707000000002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3923.3424056786134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3956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37.807519999999997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1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1" t="s">
        <v>658</v>
      </c>
      <c r="Y500" s="589" t="s">
        <v>713</v>
      </c>
      <c r="Z500" s="742"/>
      <c r="AB500" s="52"/>
      <c r="AC500" s="52"/>
      <c r="AF500" s="542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2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2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2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2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428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924.90000000000009</v>
      </c>
      <c r="E503" s="46">
        <f>IFERROR(Y84*1,"0")+IFERROR(Y85*1,"0")+IFERROR(Y86*1,"0")+IFERROR(Y87*1,"0")+IFERROR(Y91*1,"0")+IFERROR(Y92*1,"0")+IFERROR(Y93*1,"0")+IFERROR(Y94*1,"0")</f>
        <v>1398.6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1316.16</v>
      </c>
      <c r="G503" s="46">
        <f>IFERROR(Y126*1,"0")+IFERROR(Y127*1,"0")+IFERROR(Y131*1,"0")+IFERROR(Y132*1,"0")+IFERROR(Y136*1,"0")+IFERROR(Y137*1,"0")</f>
        <v>233.12</v>
      </c>
      <c r="H503" s="46">
        <f>IFERROR(Y142*1,"0")+IFERROR(Y143*1,"0")+IFERROR(Y147*1,"0")+IFERROR(Y148*1,"0")+IFERROR(Y149*1,"0")+IFERROR(Y150*1,"0")+IFERROR(Y151*1,"0")+IFERROR(Y152*1,"0")+IFERROR(Y156*1,"0")</f>
        <v>176.4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642.8599999999999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2306.3999999999996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145.89999999999998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2"/>
      <c r="O503" s="46">
        <f>IFERROR(Y279*1,"0")+IFERROR(Y280*1,"0")+IFERROR(Y281*1,"0")</f>
        <v>201.59999999999997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1240.3499999999999</v>
      </c>
      <c r="R503" s="46">
        <f>IFERROR(Y341*1,"0")+IFERROR(Y342*1,"0")+IFERROR(Y343*1,"0")</f>
        <v>1646.4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4437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81.900000000000006</v>
      </c>
      <c r="V503" s="46">
        <f>IFERROR(Y410*1,"0")+IFERROR(Y414*1,"0")+IFERROR(Y415*1,"0")+IFERROR(Y416*1,"0")+IFERROR(Y417*1,"0")</f>
        <v>8.4</v>
      </c>
      <c r="W503" s="46">
        <f>IFERROR(Y422*1,"0")</f>
        <v>30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1107.8400000000001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1329</v>
      </c>
      <c r="Z503" s="46">
        <f>IFERROR(Y490*1,"0")</f>
        <v>0</v>
      </c>
      <c r="AB503" s="52"/>
      <c r="AC503" s="52"/>
      <c r="AF503" s="542"/>
    </row>
  </sheetData>
  <sheetProtection algorithmName="SHA-512" hashValue="3c4cUvZozU7TVPA1SdM19GCshhOvAsQB1EPtzWTv4zqEzxrVeIkc+Xmit+bi0X46iNC9C9PuwH+pK/tXCuxK6Q==" saltValue="EawbfKbxb5/y1jAmRhEHQ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A163:O164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P126:T126"/>
    <mergeCell ref="D501:D502"/>
    <mergeCell ref="P361:V361"/>
    <mergeCell ref="L501:L502"/>
    <mergeCell ref="A413:Z413"/>
    <mergeCell ref="P218:T218"/>
    <mergeCell ref="P69:V69"/>
    <mergeCell ref="P311:V311"/>
    <mergeCell ref="A21:Z21"/>
    <mergeCell ref="A192:Z192"/>
    <mergeCell ref="D184:E184"/>
    <mergeCell ref="D121:E121"/>
    <mergeCell ref="A366:O367"/>
    <mergeCell ref="D42:E42"/>
    <mergeCell ref="P356:V356"/>
    <mergeCell ref="A468:O469"/>
    <mergeCell ref="D17:E18"/>
    <mergeCell ref="D173:E173"/>
    <mergeCell ref="A479:Z479"/>
    <mergeCell ref="D471:E471"/>
    <mergeCell ref="Y17:Y18"/>
    <mergeCell ref="P385:T385"/>
    <mergeCell ref="P410:T410"/>
    <mergeCell ref="A8:C8"/>
    <mergeCell ref="D355:E355"/>
    <mergeCell ref="P163:V163"/>
    <mergeCell ref="P360:T360"/>
    <mergeCell ref="A477:O478"/>
    <mergeCell ref="P138:V138"/>
    <mergeCell ref="P151:T151"/>
    <mergeCell ref="P76:V76"/>
    <mergeCell ref="D395:E395"/>
    <mergeCell ref="P449:T449"/>
    <mergeCell ref="P71:T71"/>
    <mergeCell ref="D458:E458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A339:Z339"/>
    <mergeCell ref="P484:T484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P436:T436"/>
    <mergeCell ref="A118:O119"/>
    <mergeCell ref="P292:T292"/>
    <mergeCell ref="A425:Z425"/>
    <mergeCell ref="D102:E102"/>
    <mergeCell ref="P81:V81"/>
    <mergeCell ref="A33:Z33"/>
    <mergeCell ref="A269:Z269"/>
    <mergeCell ref="P419:V419"/>
    <mergeCell ref="P145:V145"/>
    <mergeCell ref="A231:Z231"/>
    <mergeCell ref="P381:V381"/>
    <mergeCell ref="A333:Z333"/>
    <mergeCell ref="N17:N18"/>
    <mergeCell ref="P72:T72"/>
    <mergeCell ref="Q5:R5"/>
    <mergeCell ref="F17:F18"/>
    <mergeCell ref="P199:T199"/>
    <mergeCell ref="P303:V303"/>
    <mergeCell ref="P297:T297"/>
    <mergeCell ref="P435:T435"/>
    <mergeCell ref="D107:E107"/>
    <mergeCell ref="P291:T291"/>
    <mergeCell ref="D234:E234"/>
    <mergeCell ref="D405:E405"/>
    <mergeCell ref="Q6:R6"/>
    <mergeCell ref="D54:E54"/>
    <mergeCell ref="P283:V283"/>
    <mergeCell ref="D271:E271"/>
    <mergeCell ref="V12:W12"/>
    <mergeCell ref="U17:V17"/>
    <mergeCell ref="I501:I502"/>
    <mergeCell ref="K501:K502"/>
    <mergeCell ref="P342:T342"/>
    <mergeCell ref="P317:T317"/>
    <mergeCell ref="D152:E152"/>
    <mergeCell ref="D323:E323"/>
    <mergeCell ref="D223:E223"/>
    <mergeCell ref="D279:E279"/>
    <mergeCell ref="D394:E394"/>
    <mergeCell ref="P406:V406"/>
    <mergeCell ref="D450:E450"/>
    <mergeCell ref="D216:E216"/>
    <mergeCell ref="D265:E265"/>
    <mergeCell ref="P371:V371"/>
    <mergeCell ref="D452:E452"/>
    <mergeCell ref="P493:V493"/>
    <mergeCell ref="A411:O412"/>
    <mergeCell ref="A348:Z348"/>
    <mergeCell ref="D218:E218"/>
    <mergeCell ref="P197:V197"/>
    <mergeCell ref="A258:O259"/>
    <mergeCell ref="P495:V495"/>
    <mergeCell ref="A320:Z320"/>
    <mergeCell ref="A347:Z34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221:E221"/>
    <mergeCell ref="V11:W11"/>
    <mergeCell ref="D392:E392"/>
    <mergeCell ref="P469:V469"/>
    <mergeCell ref="A370:O371"/>
    <mergeCell ref="P121:T121"/>
    <mergeCell ref="D29:E29"/>
    <mergeCell ref="D23:E23"/>
    <mergeCell ref="A20:Z20"/>
    <mergeCell ref="A125:Z125"/>
    <mergeCell ref="P2:W3"/>
    <mergeCell ref="P498:V498"/>
    <mergeCell ref="A57:O58"/>
    <mergeCell ref="P127:T127"/>
    <mergeCell ref="D241:E241"/>
    <mergeCell ref="P298:T298"/>
    <mergeCell ref="P54:T54"/>
    <mergeCell ref="P369:T369"/>
    <mergeCell ref="D437:E437"/>
    <mergeCell ref="D228:E228"/>
    <mergeCell ref="P312:V312"/>
    <mergeCell ref="D404:E404"/>
    <mergeCell ref="D10:E10"/>
    <mergeCell ref="F10:G10"/>
    <mergeCell ref="D34:E34"/>
    <mergeCell ref="D305:E305"/>
    <mergeCell ref="D99:E99"/>
    <mergeCell ref="P349:T349"/>
    <mergeCell ref="D397:E397"/>
    <mergeCell ref="A130:Z130"/>
    <mergeCell ref="A344:O345"/>
    <mergeCell ref="P376:V376"/>
    <mergeCell ref="D310:E310"/>
    <mergeCell ref="P364:T364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430:T430"/>
    <mergeCell ref="P102:T102"/>
    <mergeCell ref="P417:T417"/>
    <mergeCell ref="D177:E177"/>
    <mergeCell ref="A106:Z106"/>
    <mergeCell ref="P183:T183"/>
    <mergeCell ref="P354:T354"/>
    <mergeCell ref="P62:T62"/>
    <mergeCell ref="P110:T110"/>
    <mergeCell ref="P289:V289"/>
    <mergeCell ref="P68:V68"/>
    <mergeCell ref="D249:E249"/>
    <mergeCell ref="P262:T262"/>
    <mergeCell ref="D170:E170"/>
    <mergeCell ref="D341:E341"/>
    <mergeCell ref="A31:O32"/>
    <mergeCell ref="P34:T34"/>
    <mergeCell ref="D86:E86"/>
    <mergeCell ref="D257:E257"/>
    <mergeCell ref="P341:T341"/>
    <mergeCell ref="D384:E384"/>
    <mergeCell ref="D151:E151"/>
    <mergeCell ref="A387:O388"/>
    <mergeCell ref="A457:Z457"/>
    <mergeCell ref="D449:E449"/>
    <mergeCell ref="P107:T107"/>
    <mergeCell ref="D150:E150"/>
    <mergeCell ref="P129:V129"/>
    <mergeCell ref="P63:V63"/>
    <mergeCell ref="P101:T101"/>
    <mergeCell ref="A128:O129"/>
    <mergeCell ref="D215:E215"/>
    <mergeCell ref="D321:E321"/>
    <mergeCell ref="P250:V250"/>
    <mergeCell ref="D386:E386"/>
    <mergeCell ref="P415:T415"/>
    <mergeCell ref="P456:V456"/>
    <mergeCell ref="P439:T439"/>
    <mergeCell ref="P433:T433"/>
    <mergeCell ref="A9:C9"/>
    <mergeCell ref="P321:T321"/>
    <mergeCell ref="A242:O243"/>
    <mergeCell ref="P323:T323"/>
    <mergeCell ref="P337:V337"/>
    <mergeCell ref="A389:Z389"/>
    <mergeCell ref="P32:V32"/>
    <mergeCell ref="P474:V474"/>
    <mergeCell ref="Q13:R13"/>
    <mergeCell ref="P134:V134"/>
    <mergeCell ref="A155:Z155"/>
    <mergeCell ref="P268:V268"/>
    <mergeCell ref="P401:V401"/>
    <mergeCell ref="A391:Z391"/>
    <mergeCell ref="A318:O319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P61:T61"/>
    <mergeCell ref="D200:E200"/>
    <mergeCell ref="P359:T359"/>
    <mergeCell ref="V501:V502"/>
    <mergeCell ref="D436:E436"/>
    <mergeCell ref="P490:T490"/>
    <mergeCell ref="D292:E292"/>
    <mergeCell ref="X501:X502"/>
    <mergeCell ref="D227:E227"/>
    <mergeCell ref="I500:R500"/>
    <mergeCell ref="A493:O498"/>
    <mergeCell ref="A284:Z284"/>
    <mergeCell ref="Y500:Z500"/>
    <mergeCell ref="P301:T301"/>
    <mergeCell ref="D385:E385"/>
    <mergeCell ref="P178:T178"/>
    <mergeCell ref="P465:T465"/>
    <mergeCell ref="P492:V492"/>
    <mergeCell ref="P494:V494"/>
    <mergeCell ref="P481:V481"/>
    <mergeCell ref="B501:B502"/>
    <mergeCell ref="A483:Z483"/>
    <mergeCell ref="U500:W500"/>
    <mergeCell ref="H5:M5"/>
    <mergeCell ref="P31:V31"/>
    <mergeCell ref="P473:V473"/>
    <mergeCell ref="P158:V158"/>
    <mergeCell ref="A214:Z214"/>
    <mergeCell ref="D317:E317"/>
    <mergeCell ref="A285:Z285"/>
    <mergeCell ref="A390:Z390"/>
    <mergeCell ref="D6:M6"/>
    <mergeCell ref="A75:O76"/>
    <mergeCell ref="P396:T396"/>
    <mergeCell ref="D439:E439"/>
    <mergeCell ref="P175:T175"/>
    <mergeCell ref="P95:V95"/>
    <mergeCell ref="P162:T162"/>
    <mergeCell ref="P331:V331"/>
    <mergeCell ref="D143:E143"/>
    <mergeCell ref="A278:Z278"/>
    <mergeCell ref="P227:T227"/>
    <mergeCell ref="P398:T398"/>
    <mergeCell ref="P177:T177"/>
    <mergeCell ref="P93:T93"/>
    <mergeCell ref="D85:E85"/>
    <mergeCell ref="D207:E207"/>
    <mergeCell ref="V6:W9"/>
    <mergeCell ref="P256:T256"/>
    <mergeCell ref="D199:E199"/>
    <mergeCell ref="P109:T109"/>
    <mergeCell ref="A59:Z59"/>
    <mergeCell ref="D364:E364"/>
    <mergeCell ref="P274:T274"/>
    <mergeCell ref="D435:E435"/>
    <mergeCell ref="D217:E217"/>
    <mergeCell ref="P84:T84"/>
    <mergeCell ref="P222:T222"/>
    <mergeCell ref="P22:T22"/>
    <mergeCell ref="P314:T314"/>
    <mergeCell ref="P40:T40"/>
    <mergeCell ref="D428:E428"/>
    <mergeCell ref="D415:E415"/>
    <mergeCell ref="P257:T257"/>
    <mergeCell ref="A346:Z346"/>
    <mergeCell ref="D194:E194"/>
    <mergeCell ref="Z17:Z18"/>
    <mergeCell ref="A90:Z90"/>
    <mergeCell ref="A277:Z277"/>
    <mergeCell ref="P44:V44"/>
    <mergeCell ref="D256:E256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D484:E484"/>
    <mergeCell ref="A455:O456"/>
    <mergeCell ref="AB17:AB18"/>
    <mergeCell ref="A448:Z448"/>
    <mergeCell ref="P335:T335"/>
    <mergeCell ref="D299:E299"/>
    <mergeCell ref="D222:E222"/>
    <mergeCell ref="G17:G18"/>
    <mergeCell ref="P57:V57"/>
    <mergeCell ref="A295:Z295"/>
    <mergeCell ref="D314:E314"/>
    <mergeCell ref="P399:T399"/>
    <mergeCell ref="P242:V242"/>
    <mergeCell ref="P407:V407"/>
    <mergeCell ref="P468:V468"/>
    <mergeCell ref="A160:Z160"/>
    <mergeCell ref="A489:Z489"/>
    <mergeCell ref="A141:Z141"/>
    <mergeCell ref="A144:O145"/>
    <mergeCell ref="W501:W502"/>
    <mergeCell ref="H10:M10"/>
    <mergeCell ref="AA17:AA18"/>
    <mergeCell ref="A135:Z135"/>
    <mergeCell ref="F501:F502"/>
    <mergeCell ref="H501:H502"/>
    <mergeCell ref="S500:T500"/>
    <mergeCell ref="Y501:Y502"/>
    <mergeCell ref="A501:A502"/>
    <mergeCell ref="A232:Z232"/>
    <mergeCell ref="A403:Z403"/>
    <mergeCell ref="P382:V382"/>
    <mergeCell ref="P357:V357"/>
    <mergeCell ref="A182:Z182"/>
    <mergeCell ref="A296:Z296"/>
    <mergeCell ref="A461:Z461"/>
    <mergeCell ref="P123:V123"/>
    <mergeCell ref="D136:E136"/>
    <mergeCell ref="P46:T46"/>
    <mergeCell ref="D438:E438"/>
    <mergeCell ref="A340:Z340"/>
    <mergeCell ref="D359:E359"/>
    <mergeCell ref="H17:H18"/>
    <mergeCell ref="A146:Z146"/>
    <mergeCell ref="D204:E204"/>
    <mergeCell ref="P217:T217"/>
    <mergeCell ref="D465:E465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P156:T156"/>
    <mergeCell ref="P327:T327"/>
    <mergeCell ref="A80:O81"/>
    <mergeCell ref="P105:V105"/>
    <mergeCell ref="P366:V366"/>
    <mergeCell ref="D434:E434"/>
    <mergeCell ref="J9:M9"/>
    <mergeCell ref="D62:E62"/>
    <mergeCell ref="C500:H500"/>
    <mergeCell ref="D56:E56"/>
    <mergeCell ref="D127:E127"/>
    <mergeCell ref="P206:T206"/>
    <mergeCell ref="P233:T233"/>
    <mergeCell ref="D176:E176"/>
    <mergeCell ref="D114:E114"/>
    <mergeCell ref="P143:T143"/>
    <mergeCell ref="D51:E51"/>
    <mergeCell ref="P235:T235"/>
    <mergeCell ref="P306:T306"/>
    <mergeCell ref="D349:E349"/>
    <mergeCell ref="P157:V157"/>
    <mergeCell ref="P213:V213"/>
    <mergeCell ref="A38:Z38"/>
    <mergeCell ref="P455:V455"/>
    <mergeCell ref="D476:E476"/>
    <mergeCell ref="P207:T207"/>
    <mergeCell ref="A302:O303"/>
    <mergeCell ref="A372:Z372"/>
    <mergeCell ref="P299:T299"/>
    <mergeCell ref="P393:T393"/>
    <mergeCell ref="M501:M502"/>
    <mergeCell ref="P202:V2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A88:O89"/>
    <mergeCell ref="A153:O154"/>
    <mergeCell ref="A193:Z193"/>
    <mergeCell ref="P204:T204"/>
    <mergeCell ref="P179:T179"/>
    <mergeCell ref="A198:Z198"/>
    <mergeCell ref="P375:T375"/>
    <mergeCell ref="D374:E374"/>
    <mergeCell ref="A82:Z82"/>
    <mergeCell ref="T5:U5"/>
    <mergeCell ref="V5:W5"/>
    <mergeCell ref="P374:T374"/>
    <mergeCell ref="D46:E46"/>
    <mergeCell ref="P294:V294"/>
    <mergeCell ref="D40:E40"/>
    <mergeCell ref="A224:O225"/>
    <mergeCell ref="D233:E233"/>
    <mergeCell ref="A491:O492"/>
    <mergeCell ref="P212:V212"/>
    <mergeCell ref="Q8:R8"/>
    <mergeCell ref="D183:E183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A14:M14"/>
    <mergeCell ref="D109:E109"/>
    <mergeCell ref="D280:E280"/>
    <mergeCell ref="D480:E480"/>
    <mergeCell ref="D467:E467"/>
    <mergeCell ref="P25:V25"/>
    <mergeCell ref="P318:V318"/>
    <mergeCell ref="A37:Z37"/>
    <mergeCell ref="D485:E485"/>
    <mergeCell ref="P447:V447"/>
    <mergeCell ref="D137:E13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A138:O139"/>
    <mergeCell ref="P208:T208"/>
    <mergeCell ref="D396:E396"/>
    <mergeCell ref="P450:T450"/>
    <mergeCell ref="D116:E116"/>
    <mergeCell ref="D414:E414"/>
    <mergeCell ref="D352:E352"/>
    <mergeCell ref="D91:E91"/>
    <mergeCell ref="D162:E162"/>
    <mergeCell ref="P501:P502"/>
    <mergeCell ref="P219:T219"/>
    <mergeCell ref="P272:T272"/>
    <mergeCell ref="E501:E502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P186:V186"/>
    <mergeCell ref="A418:O419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191:V191"/>
    <mergeCell ref="P362:V362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A122:O123"/>
    <mergeCell ref="P367:V367"/>
    <mergeCell ref="D52:E52"/>
    <mergeCell ref="D27:E27"/>
    <mergeCell ref="P15:T16"/>
    <mergeCell ref="P23:T23"/>
    <mergeCell ref="D156:E156"/>
    <mergeCell ref="P210:T210"/>
    <mergeCell ref="P480:T480"/>
    <mergeCell ref="Q12:R12"/>
    <mergeCell ref="P280:T280"/>
    <mergeCell ref="P169:T169"/>
    <mergeCell ref="P467:T467"/>
    <mergeCell ref="A68:O69"/>
    <mergeCell ref="P196:V196"/>
    <mergeCell ref="A43:O44"/>
    <mergeCell ref="P133:V133"/>
    <mergeCell ref="A196:O197"/>
    <mergeCell ref="A275:O276"/>
    <mergeCell ref="A267:O268"/>
    <mergeCell ref="P308:T308"/>
    <mergeCell ref="D327:E327"/>
    <mergeCell ref="D398:E398"/>
    <mergeCell ref="D454:E454"/>
    <mergeCell ref="P185:T185"/>
    <mergeCell ref="D416:E416"/>
    <mergeCell ref="D93:E93"/>
    <mergeCell ref="D264:E264"/>
    <mergeCell ref="A133:O134"/>
    <mergeCell ref="D220:E220"/>
    <mergeCell ref="P370:V370"/>
    <mergeCell ref="P216:T216"/>
    <mergeCell ref="A6:C6"/>
    <mergeCell ref="D309:E309"/>
    <mergeCell ref="P416:T416"/>
    <mergeCell ref="P167:T167"/>
    <mergeCell ref="P142:T142"/>
    <mergeCell ref="D148:E148"/>
    <mergeCell ref="A161:Z161"/>
    <mergeCell ref="P117:T117"/>
    <mergeCell ref="P55:T55"/>
    <mergeCell ref="D115:E115"/>
    <mergeCell ref="A324:O325"/>
    <mergeCell ref="P80:V80"/>
    <mergeCell ref="D74:E74"/>
    <mergeCell ref="P87:T87"/>
    <mergeCell ref="A203:Z203"/>
    <mergeCell ref="D335:E335"/>
    <mergeCell ref="P245:T245"/>
    <mergeCell ref="D286:E286"/>
    <mergeCell ref="P322:T322"/>
    <mergeCell ref="D132:E132"/>
    <mergeCell ref="P211:T211"/>
    <mergeCell ref="D399:E399"/>
    <mergeCell ref="P309:T309"/>
    <mergeCell ref="D178:E178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D453:E453"/>
    <mergeCell ref="D422:E422"/>
    <mergeCell ref="P451:T451"/>
    <mergeCell ref="A470:Z470"/>
    <mergeCell ref="A440:O441"/>
    <mergeCell ref="P225:V225"/>
    <mergeCell ref="D172:E172"/>
    <mergeCell ref="P51:T51"/>
    <mergeCell ref="A261:Z261"/>
    <mergeCell ref="P338:V338"/>
    <mergeCell ref="A246:O247"/>
    <mergeCell ref="P287:T287"/>
    <mergeCell ref="P281:T281"/>
    <mergeCell ref="P414:T414"/>
    <mergeCell ref="P352:T352"/>
    <mergeCell ref="D72:E72"/>
    <mergeCell ref="A326:Z326"/>
    <mergeCell ref="A120:Z120"/>
    <mergeCell ref="D235:E235"/>
    <mergeCell ref="P276:V276"/>
    <mergeCell ref="P330:T330"/>
    <mergeCell ref="P395:T395"/>
    <mergeCell ref="P466:T466"/>
    <mergeCell ref="A313:Z313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D334:E334"/>
    <mergeCell ref="A165:Z165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P286:T286"/>
    <mergeCell ref="D329:E329"/>
    <mergeCell ref="D400:E400"/>
    <mergeCell ref="P131:T131"/>
    <mergeCell ref="D445:E445"/>
    <mergeCell ref="P116:T116"/>
    <mergeCell ref="A423:O424"/>
    <mergeCell ref="P464:T464"/>
    <mergeCell ref="A26:Z26"/>
    <mergeCell ref="P103:T103"/>
    <mergeCell ref="P168:T168"/>
    <mergeCell ref="D211:E211"/>
    <mergeCell ref="D1:F1"/>
    <mergeCell ref="P190:V190"/>
    <mergeCell ref="D108:E108"/>
    <mergeCell ref="D375:E375"/>
    <mergeCell ref="P429:T429"/>
    <mergeCell ref="A111:O112"/>
    <mergeCell ref="D369:E369"/>
    <mergeCell ref="P52:T52"/>
    <mergeCell ref="P223:T223"/>
    <mergeCell ref="P350:T350"/>
    <mergeCell ref="P201:V201"/>
    <mergeCell ref="P139:V139"/>
    <mergeCell ref="I17:I18"/>
    <mergeCell ref="D306:E306"/>
    <mergeCell ref="P189:T189"/>
    <mergeCell ref="P424:V424"/>
    <mergeCell ref="U501:U502"/>
    <mergeCell ref="D67:E67"/>
    <mergeCell ref="D5:E5"/>
    <mergeCell ref="A140:Z140"/>
    <mergeCell ref="P453:T453"/>
    <mergeCell ref="P42:T42"/>
    <mergeCell ref="D94:E94"/>
    <mergeCell ref="D417:E417"/>
    <mergeCell ref="A401:O402"/>
    <mergeCell ref="P471:T471"/>
    <mergeCell ref="P148:T148"/>
    <mergeCell ref="A47:O48"/>
    <mergeCell ref="P240:T240"/>
    <mergeCell ref="D354:E354"/>
    <mergeCell ref="A475:Z475"/>
    <mergeCell ref="P460:V460"/>
    <mergeCell ref="P164:V164"/>
    <mergeCell ref="A45:Z45"/>
    <mergeCell ref="P35:V35"/>
    <mergeCell ref="P273:T273"/>
    <mergeCell ref="D316:E316"/>
    <mergeCell ref="D272:E272"/>
    <mergeCell ref="P400:T400"/>
    <mergeCell ref="D210:E210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443:E443"/>
    <mergeCell ref="A250:O251"/>
    <mergeCell ref="D308:E308"/>
    <mergeCell ref="D87:E87"/>
    <mergeCell ref="P166:T166"/>
    <mergeCell ref="D7:M7"/>
    <mergeCell ref="A373:Z373"/>
    <mergeCell ref="D365:E365"/>
    <mergeCell ref="P236:T236"/>
    <mergeCell ref="D79:E79"/>
    <mergeCell ref="P92:T92"/>
    <mergeCell ref="P334:T334"/>
    <mergeCell ref="D315:E315"/>
    <mergeCell ref="P394:T394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A226:Z226"/>
    <mergeCell ref="P329:T329"/>
    <mergeCell ref="P180:V180"/>
    <mergeCell ref="P118:V118"/>
    <mergeCell ref="A473:O474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331:O332"/>
    <mergeCell ref="P459:V459"/>
    <mergeCell ref="A376:O377"/>
    <mergeCell ref="P234:T234"/>
    <mergeCell ref="P154:V154"/>
    <mergeCell ref="P325:V325"/>
    <mergeCell ref="D142:E142"/>
    <mergeCell ref="D429:E429"/>
    <mergeCell ref="P458:T458"/>
    <mergeCell ref="A459:O460"/>
    <mergeCell ref="A462:Z462"/>
    <mergeCell ref="P251:V251"/>
    <mergeCell ref="A446:O447"/>
    <mergeCell ref="A70:Z70"/>
    <mergeCell ref="D147:E147"/>
    <mergeCell ref="R501:R502"/>
    <mergeCell ref="P452:T452"/>
    <mergeCell ref="P377:V377"/>
    <mergeCell ref="T501:T502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189:E189"/>
    <mergeCell ref="A124:Z124"/>
    <mergeCell ref="A229:O230"/>
    <mergeCell ref="P99:T99"/>
    <mergeCell ref="D287:E287"/>
    <mergeCell ref="P170:T170"/>
    <mergeCell ref="D360:E360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229:V229"/>
    <mergeCell ref="A282:O283"/>
    <mergeCell ref="P30:T30"/>
    <mergeCell ref="D73:E73"/>
    <mergeCell ref="P152:T152"/>
    <mergeCell ref="A311:O312"/>
    <mergeCell ref="V10:W10"/>
    <mergeCell ref="D66:E66"/>
    <mergeCell ref="P316:T316"/>
    <mergeCell ref="D126:E126"/>
    <mergeCell ref="D253:E253"/>
    <mergeCell ref="D53:E53"/>
    <mergeCell ref="D351:E351"/>
    <mergeCell ref="H9:I9"/>
    <mergeCell ref="P224:V224"/>
    <mergeCell ref="A49:Z49"/>
    <mergeCell ref="P24:V24"/>
    <mergeCell ref="D281:E281"/>
    <mergeCell ref="P89:V89"/>
    <mergeCell ref="A383:Z383"/>
    <mergeCell ref="P454:T454"/>
    <mergeCell ref="D297:E297"/>
    <mergeCell ref="P88:V88"/>
    <mergeCell ref="P259:V259"/>
    <mergeCell ref="P153:V153"/>
    <mergeCell ref="P324:V324"/>
    <mergeCell ref="P220:T220"/>
    <mergeCell ref="A65:Z65"/>
    <mergeCell ref="D263:E263"/>
    <mergeCell ref="A363:Z363"/>
    <mergeCell ref="D238:E238"/>
    <mergeCell ref="P86:T86"/>
    <mergeCell ref="D78:E78"/>
    <mergeCell ref="P328:T328"/>
    <mergeCell ref="P384:T384"/>
    <mergeCell ref="D205:E205"/>
    <mergeCell ref="A378:Z378"/>
    <mergeCell ref="P79:T79"/>
    <mergeCell ref="D60:E60"/>
    <mergeCell ref="P73:T73"/>
    <mergeCell ref="P315:T315"/>
    <mergeCell ref="P437:T437"/>
    <mergeCell ref="A190:O191"/>
    <mergeCell ref="A361:O362"/>
    <mergeCell ref="D174:E174"/>
    <mergeCell ref="D472:E472"/>
    <mergeCell ref="A83:Z83"/>
    <mergeCell ref="D410:E410"/>
    <mergeCell ref="A270:Z270"/>
    <mergeCell ref="A368:Z368"/>
    <mergeCell ref="P249:T249"/>
    <mergeCell ref="P432:T432"/>
    <mergeCell ref="P446:V446"/>
    <mergeCell ref="P402:V402"/>
    <mergeCell ref="D431:E431"/>
    <mergeCell ref="P443:T443"/>
    <mergeCell ref="D209:E209"/>
    <mergeCell ref="D380:E380"/>
    <mergeCell ref="D274:E274"/>
    <mergeCell ref="D245:E245"/>
    <mergeCell ref="D301:E30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6 X132 X137 X166:X168 X170 X172 X177 X204:X211 X217:X218 X220 X222:X223 X227:X228 X233 X235:X236 X240 X280 X308:X310 X321:X323 X329:X330 X334 X336 X342:X343 X365 X374 X384 X396:X397 X399 X422 X428 X432 X434 X443 X449:X454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TuA5dqvBPoxXiwBi31f/kj29OwRxJi+2epTUa89xPKQDtC2Hm7HqMt7XCkY13e84yhmWqNgkEm0NEeYHjEvidA==" saltValue="ueXSHp+Ulw04OMAuBYwm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