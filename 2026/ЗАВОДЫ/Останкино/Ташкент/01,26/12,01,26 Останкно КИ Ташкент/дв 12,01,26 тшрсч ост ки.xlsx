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анкно КИ Ташкент\"/>
    </mc:Choice>
  </mc:AlternateContent>
  <xr:revisionPtr revIDLastSave="0" documentId="13_ncr:1_{86455FE0-BB9D-4365-B145-1B8FE73DC3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6" i="1" l="1"/>
  <c r="AF42" i="1"/>
  <c r="AF40" i="1"/>
  <c r="AF36" i="1"/>
  <c r="AF15" i="1"/>
  <c r="AF9" i="1"/>
  <c r="AF7" i="1"/>
  <c r="Q47" i="1"/>
  <c r="L47" i="1"/>
  <c r="Q46" i="1"/>
  <c r="V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L41" i="1"/>
  <c r="U40" i="1"/>
  <c r="Q40" i="1"/>
  <c r="V40" i="1" s="1"/>
  <c r="L40" i="1"/>
  <c r="Q39" i="1"/>
  <c r="L39" i="1"/>
  <c r="Q38" i="1"/>
  <c r="V38" i="1" s="1"/>
  <c r="L38" i="1"/>
  <c r="Q37" i="1"/>
  <c r="V37" i="1" s="1"/>
  <c r="L37" i="1"/>
  <c r="Q36" i="1"/>
  <c r="L36" i="1"/>
  <c r="F36" i="1"/>
  <c r="Q35" i="1"/>
  <c r="L35" i="1"/>
  <c r="Q34" i="1"/>
  <c r="V34" i="1" s="1"/>
  <c r="L34" i="1"/>
  <c r="Q33" i="1"/>
  <c r="L33" i="1"/>
  <c r="Q32" i="1"/>
  <c r="L32" i="1"/>
  <c r="F32" i="1"/>
  <c r="V32" i="1" s="1"/>
  <c r="Q31" i="1"/>
  <c r="V31" i="1" s="1"/>
  <c r="L31" i="1"/>
  <c r="Q30" i="1"/>
  <c r="V30" i="1" s="1"/>
  <c r="L30" i="1"/>
  <c r="AF29" i="1"/>
  <c r="Q29" i="1"/>
  <c r="L29" i="1"/>
  <c r="Q28" i="1"/>
  <c r="AF28" i="1" s="1"/>
  <c r="L28" i="1"/>
  <c r="F28" i="1"/>
  <c r="V28" i="1" s="1"/>
  <c r="Q27" i="1"/>
  <c r="U27" i="1" s="1"/>
  <c r="L27" i="1"/>
  <c r="Q26" i="1"/>
  <c r="V26" i="1" s="1"/>
  <c r="L26" i="1"/>
  <c r="Q25" i="1"/>
  <c r="L25" i="1"/>
  <c r="Q24" i="1"/>
  <c r="V24" i="1" s="1"/>
  <c r="L24" i="1"/>
  <c r="Q23" i="1"/>
  <c r="L23" i="1"/>
  <c r="Q22" i="1"/>
  <c r="V22" i="1" s="1"/>
  <c r="L22" i="1"/>
  <c r="Q21" i="1"/>
  <c r="L21" i="1"/>
  <c r="Q20" i="1"/>
  <c r="V20" i="1" s="1"/>
  <c r="L20" i="1"/>
  <c r="Q19" i="1"/>
  <c r="L19" i="1"/>
  <c r="Q18" i="1"/>
  <c r="U18" i="1" s="1"/>
  <c r="L18" i="1"/>
  <c r="Q17" i="1"/>
  <c r="V17" i="1" s="1"/>
  <c r="L17" i="1"/>
  <c r="Q16" i="1"/>
  <c r="L16" i="1"/>
  <c r="Q15" i="1"/>
  <c r="V15" i="1" s="1"/>
  <c r="L15" i="1"/>
  <c r="Q14" i="1"/>
  <c r="L14" i="1"/>
  <c r="Q13" i="1"/>
  <c r="U13" i="1" s="1"/>
  <c r="L13" i="1"/>
  <c r="Q12" i="1"/>
  <c r="V12" i="1" s="1"/>
  <c r="L12" i="1"/>
  <c r="Q11" i="1"/>
  <c r="L11" i="1"/>
  <c r="Q10" i="1"/>
  <c r="U10" i="1" s="1"/>
  <c r="L10" i="1"/>
  <c r="Q9" i="1"/>
  <c r="V9" i="1" s="1"/>
  <c r="L9" i="1"/>
  <c r="Q8" i="1"/>
  <c r="L8" i="1"/>
  <c r="Q7" i="1"/>
  <c r="V7" i="1" s="1"/>
  <c r="L7" i="1"/>
  <c r="Q6" i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E5" i="1"/>
  <c r="R34" i="1" l="1"/>
  <c r="AF34" i="1" s="1"/>
  <c r="U7" i="1"/>
  <c r="L5" i="1"/>
  <c r="R38" i="1"/>
  <c r="AF38" i="1" s="1"/>
  <c r="U32" i="1"/>
  <c r="AF32" i="1"/>
  <c r="U45" i="1"/>
  <c r="AF12" i="1"/>
  <c r="AF20" i="1"/>
  <c r="AF22" i="1"/>
  <c r="AF24" i="1"/>
  <c r="AF44" i="1"/>
  <c r="U16" i="1"/>
  <c r="U21" i="1"/>
  <c r="U25" i="1"/>
  <c r="U36" i="1"/>
  <c r="AF8" i="1"/>
  <c r="AF11" i="1"/>
  <c r="AF14" i="1"/>
  <c r="AF16" i="1"/>
  <c r="AF19" i="1"/>
  <c r="AF21" i="1"/>
  <c r="AF23" i="1"/>
  <c r="AF25" i="1"/>
  <c r="AF31" i="1"/>
  <c r="AF33" i="1"/>
  <c r="AF35" i="1"/>
  <c r="R37" i="1"/>
  <c r="R39" i="1"/>
  <c r="AF39" i="1" s="1"/>
  <c r="AF41" i="1"/>
  <c r="AF43" i="1"/>
  <c r="AF45" i="1"/>
  <c r="AF47" i="1"/>
  <c r="U29" i="1"/>
  <c r="U6" i="1"/>
  <c r="U12" i="1"/>
  <c r="U22" i="1"/>
  <c r="U30" i="1"/>
  <c r="F5" i="1"/>
  <c r="U9" i="1"/>
  <c r="U15" i="1"/>
  <c r="U20" i="1"/>
  <c r="U24" i="1"/>
  <c r="U28" i="1"/>
  <c r="U31" i="1"/>
  <c r="U34" i="1"/>
  <c r="U42" i="1"/>
  <c r="U46" i="1"/>
  <c r="V6" i="1"/>
  <c r="V8" i="1"/>
  <c r="V10" i="1"/>
  <c r="V11" i="1"/>
  <c r="V13" i="1"/>
  <c r="V14" i="1"/>
  <c r="V16" i="1"/>
  <c r="V18" i="1"/>
  <c r="V19" i="1"/>
  <c r="V21" i="1"/>
  <c r="V23" i="1"/>
  <c r="V25" i="1"/>
  <c r="V27" i="1"/>
  <c r="V29" i="1"/>
  <c r="V33" i="1"/>
  <c r="V35" i="1"/>
  <c r="V36" i="1"/>
  <c r="V39" i="1"/>
  <c r="V41" i="1"/>
  <c r="V43" i="1"/>
  <c r="V45" i="1"/>
  <c r="V47" i="1"/>
  <c r="Q5" i="1"/>
  <c r="U38" i="1" l="1"/>
  <c r="U37" i="1"/>
  <c r="AF37" i="1"/>
  <c r="U43" i="1"/>
  <c r="U35" i="1"/>
  <c r="AF26" i="1"/>
  <c r="U26" i="1"/>
  <c r="U17" i="1"/>
  <c r="AF17" i="1"/>
  <c r="U39" i="1"/>
  <c r="U8" i="1"/>
  <c r="U44" i="1"/>
  <c r="R5" i="1"/>
  <c r="U47" i="1"/>
  <c r="U33" i="1"/>
  <c r="U23" i="1"/>
  <c r="U19" i="1"/>
  <c r="U11" i="1"/>
  <c r="U41" i="1"/>
  <c r="U14" i="1"/>
  <c r="AF5" i="1" l="1"/>
</calcChain>
</file>

<file path=xl/sharedStrings.xml><?xml version="1.0" encoding="utf-8"?>
<sst xmlns="http://schemas.openxmlformats.org/spreadsheetml/2006/main" count="184" uniqueCount="87">
  <si>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</si>
  <si>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</si>
  <si>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</si>
  <si>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</si>
  <si>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</si>
  <si>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</si>
  <si>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</si>
  <si>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</si>
  <si>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</si>
  <si>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</si>
  <si>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</si>
  <si>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</si>
  <si>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</si>
  <si>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</si>
  <si>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</si>
  <si>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</si>
  <si>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</si>
  <si>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</si>
  <si>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</si>
  <si>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</si>
  <si>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</si>
  <si>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</si>
  <si>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</si>
  <si>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</si>
  <si>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</si>
  <si>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</si>
  <si>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29,12,</t>
  </si>
  <si>
    <t>15,12,</t>
  </si>
  <si>
    <t>08,12,</t>
  </si>
  <si>
    <t>01,12,</t>
  </si>
  <si>
    <t>24,11,</t>
  </si>
  <si>
    <t>17,11,</t>
  </si>
  <si>
    <t>10,11,</t>
  </si>
  <si>
    <t>03,11,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</si>
  <si>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</si>
  <si>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</si>
  <si>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</si>
  <si>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</si>
  <si>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</si>
  <si>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</si>
  <si>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</si>
  <si>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</si>
  <si>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</si>
  <si>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</si>
  <si>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</si>
  <si>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</si>
  <si>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</si>
  <si>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6071 ЭКСТРА Папа может вар п/о_UZ</t>
  </si>
  <si>
    <t>вывод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</si>
  <si>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</si>
  <si>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</si>
  <si>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</si>
  <si>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</si>
  <si>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</si>
  <si>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</si>
  <si>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</si>
  <si>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</si>
  <si>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</si>
  <si>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</si>
  <si>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</si>
  <si>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</si>
  <si>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</si>
  <si>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</si>
  <si>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</si>
  <si>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</si>
  <si>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</si>
  <si>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</si>
  <si>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</si>
  <si>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</si>
  <si>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</si>
  <si>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</si>
  <si>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</si>
  <si>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</si>
  <si>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</si>
  <si>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</si>
  <si>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</si>
  <si>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</si>
  <si>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</si>
  <si>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</si>
  <si>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</si>
  <si>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</si>
  <si>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МЯСНЫЕ Папа может сар б/о мгс 1*3_Х5_45с</t>
  </si>
  <si>
    <t>новинка / завод не отгрузил</t>
  </si>
  <si>
    <t>ШПИКАЧКИ СОЧНЫЕ сар б/о мгс 1*3_Ашан_45с</t>
  </si>
  <si>
    <t>продукция оприходована как 0,4!!!</t>
  </si>
  <si>
    <t>нужно увеличить продажи!!!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</si>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</sst>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5" fillId="0" borderId="1" xfId="1" applyNumberFormat="1" applyFont="1"/>
    <xf numFmtId="164" fontId="4" fillId="5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4" fillId="8" borderId="1" xfId="1" applyNumberFormat="1" applyFont="1" applyFill="1"/>
    <xf numFmtId="164" fontId="7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4.85546875" customWidth="1"/>
    <col min="10" max="10" width="1" customWidth="1"/>
    <col min="11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6.140625" customWidth="1"/>
    <col min="32" max="32" width="7" customWidth="1"/>
    <col min="33" max="50" width="8" customWidth="1"/>
  </cols>
  <sheetData>
    <row r="1" spans="1:50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24</v>
      </c>
      <c r="R4" s="9"/>
      <c r="S4" s="9"/>
      <c r="T4" s="9"/>
      <c r="U4" s="9"/>
      <c r="V4" s="9"/>
      <c r="W4" s="9" t="s">
        <v>26</v>
      </c>
      <c r="X4" s="9" t="s">
        <v>27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x14ac:dyDescent="0.25">
      <c r="A5" s="9"/>
      <c r="B5" s="9"/>
      <c r="C5" s="9"/>
      <c r="D5" s="9"/>
      <c r="E5" s="3">
        <f>SUM(E6:E491)</f>
        <v>3744.7560000000003</v>
      </c>
      <c r="F5" s="3">
        <f>SUM(F6:F491)</f>
        <v>8624.3679999999986</v>
      </c>
      <c r="G5" s="7"/>
      <c r="H5" s="9"/>
      <c r="I5" s="9"/>
      <c r="J5" s="9"/>
      <c r="K5" s="3">
        <f t="shared" ref="K5:S5" si="0">SUM(K6:K491)</f>
        <v>0</v>
      </c>
      <c r="L5" s="3">
        <f t="shared" si="0"/>
        <v>3744.7560000000003</v>
      </c>
      <c r="M5" s="3">
        <f t="shared" si="0"/>
        <v>0</v>
      </c>
      <c r="N5" s="3">
        <f t="shared" si="0"/>
        <v>0</v>
      </c>
      <c r="O5" s="3">
        <f t="shared" si="0"/>
        <v>11240</v>
      </c>
      <c r="P5" s="3">
        <f t="shared" si="0"/>
        <v>5120</v>
      </c>
      <c r="Q5" s="3">
        <f t="shared" si="0"/>
        <v>748.95119999999997</v>
      </c>
      <c r="R5" s="3">
        <f t="shared" si="0"/>
        <v>665.72100000000012</v>
      </c>
      <c r="S5" s="3">
        <f t="shared" si="0"/>
        <v>0</v>
      </c>
      <c r="T5" s="9"/>
      <c r="U5" s="9"/>
      <c r="V5" s="9"/>
      <c r="W5" s="3">
        <f t="shared" ref="W5:AD5" si="1">SUM(W6:W491)</f>
        <v>2669.4738000000002</v>
      </c>
      <c r="X5" s="3">
        <f t="shared" si="1"/>
        <v>1402.623</v>
      </c>
      <c r="Y5" s="3">
        <f t="shared" si="1"/>
        <v>896.62240000000008</v>
      </c>
      <c r="Z5" s="3">
        <f t="shared" si="1"/>
        <v>1462.8229999999999</v>
      </c>
      <c r="AA5" s="3">
        <f t="shared" si="1"/>
        <v>1237.3054000000002</v>
      </c>
      <c r="AB5" s="3">
        <f t="shared" si="1"/>
        <v>1450.5596</v>
      </c>
      <c r="AC5" s="3">
        <f t="shared" si="1"/>
        <v>1498.3048000000001</v>
      </c>
      <c r="AD5" s="3">
        <f t="shared" si="1"/>
        <v>1367.0848000000001</v>
      </c>
      <c r="AE5" s="9"/>
      <c r="AF5" s="3">
        <f>SUM(AF6:AF491)</f>
        <v>635.72100000000012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x14ac:dyDescent="0.25">
      <c r="A6" s="9" t="s">
        <v>34</v>
      </c>
      <c r="B6" s="9" t="s">
        <v>35</v>
      </c>
      <c r="C6" s="9">
        <v>-0.72099999999999997</v>
      </c>
      <c r="D6" s="9">
        <v>145.88800000000001</v>
      </c>
      <c r="E6" s="9">
        <v>34.485999999999997</v>
      </c>
      <c r="F6" s="9">
        <v>108.55800000000001</v>
      </c>
      <c r="G6" s="7">
        <v>1</v>
      </c>
      <c r="H6" s="9">
        <v>45</v>
      </c>
      <c r="I6" s="9" t="s">
        <v>36</v>
      </c>
      <c r="J6" s="9"/>
      <c r="K6" s="9"/>
      <c r="L6" s="9">
        <f t="shared" ref="L6:L47" si="2">E6-K6</f>
        <v>34.485999999999997</v>
      </c>
      <c r="M6" s="9"/>
      <c r="N6" s="9"/>
      <c r="O6" s="9">
        <v>200</v>
      </c>
      <c r="P6" s="9">
        <v>50</v>
      </c>
      <c r="Q6" s="9">
        <f t="shared" ref="Q6:Q47" si="3">E6/5</f>
        <v>6.8971999999999998</v>
      </c>
      <c r="R6" s="4"/>
      <c r="S6" s="4"/>
      <c r="T6" s="9"/>
      <c r="U6" s="9">
        <f t="shared" ref="U6:U47" si="4">(F6+O6+P6+R6)/Q6</f>
        <v>51.986023313808502</v>
      </c>
      <c r="V6" s="9">
        <f t="shared" ref="V6:V47" si="5">(F6+O6+P6)/Q6</f>
        <v>51.986023313808502</v>
      </c>
      <c r="W6" s="9">
        <v>47.304199999999987</v>
      </c>
      <c r="X6" s="9">
        <v>22.1328</v>
      </c>
      <c r="Y6" s="9">
        <v>11.405799999999999</v>
      </c>
      <c r="Z6" s="9">
        <v>22.1328</v>
      </c>
      <c r="AA6" s="9">
        <v>23.523</v>
      </c>
      <c r="AB6" s="9">
        <v>24.957999999999998</v>
      </c>
      <c r="AC6" s="9">
        <v>37.103200000000001</v>
      </c>
      <c r="AD6" s="9">
        <v>16.863600000000002</v>
      </c>
      <c r="AE6" s="9"/>
      <c r="AF6" s="9">
        <f>G6*R6</f>
        <v>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</row>
    <row r="7" spans="1:50" x14ac:dyDescent="0.25">
      <c r="A7" s="9" t="s">
        <v>37</v>
      </c>
      <c r="B7" s="9" t="s">
        <v>38</v>
      </c>
      <c r="C7" s="9">
        <v>23.811</v>
      </c>
      <c r="D7" s="9">
        <v>496</v>
      </c>
      <c r="E7" s="9">
        <v>131</v>
      </c>
      <c r="F7" s="9">
        <v>374.81099999999998</v>
      </c>
      <c r="G7" s="7">
        <v>0.35</v>
      </c>
      <c r="H7" s="9">
        <v>45</v>
      </c>
      <c r="I7" s="9" t="s">
        <v>36</v>
      </c>
      <c r="J7" s="9"/>
      <c r="K7" s="9"/>
      <c r="L7" s="9">
        <f t="shared" si="2"/>
        <v>131</v>
      </c>
      <c r="M7" s="9"/>
      <c r="N7" s="9"/>
      <c r="O7" s="9">
        <v>800</v>
      </c>
      <c r="P7" s="9">
        <v>300</v>
      </c>
      <c r="Q7" s="9">
        <f t="shared" si="3"/>
        <v>26.2</v>
      </c>
      <c r="R7" s="4"/>
      <c r="S7" s="4"/>
      <c r="T7" s="9"/>
      <c r="U7" s="9">
        <f t="shared" si="4"/>
        <v>56.290496183206102</v>
      </c>
      <c r="V7" s="9">
        <f t="shared" si="5"/>
        <v>56.290496183206102</v>
      </c>
      <c r="W7" s="9">
        <v>224.2</v>
      </c>
      <c r="X7" s="9">
        <v>103.2</v>
      </c>
      <c r="Y7" s="9">
        <v>58.6</v>
      </c>
      <c r="Z7" s="9">
        <v>103.2</v>
      </c>
      <c r="AA7" s="9">
        <v>82</v>
      </c>
      <c r="AB7" s="9">
        <v>113</v>
      </c>
      <c r="AC7" s="9">
        <v>115.2</v>
      </c>
      <c r="AD7" s="9">
        <v>83.2</v>
      </c>
      <c r="AE7" s="9"/>
      <c r="AF7" s="9">
        <f>G7*R7</f>
        <v>0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spans="1:50" x14ac:dyDescent="0.25">
      <c r="A8" s="9" t="s">
        <v>39</v>
      </c>
      <c r="B8" s="9" t="s">
        <v>35</v>
      </c>
      <c r="C8" s="9">
        <v>6.1379999999999999</v>
      </c>
      <c r="D8" s="9">
        <v>96.917000000000002</v>
      </c>
      <c r="E8" s="9">
        <v>41.615000000000002</v>
      </c>
      <c r="F8" s="9">
        <v>59.704999999999998</v>
      </c>
      <c r="G8" s="7">
        <v>1</v>
      </c>
      <c r="H8" s="9">
        <v>45</v>
      </c>
      <c r="I8" s="9" t="s">
        <v>36</v>
      </c>
      <c r="J8" s="9"/>
      <c r="K8" s="9"/>
      <c r="L8" s="9">
        <f t="shared" si="2"/>
        <v>41.615000000000002</v>
      </c>
      <c r="M8" s="9"/>
      <c r="N8" s="9"/>
      <c r="O8" s="9">
        <v>150</v>
      </c>
      <c r="P8" s="9">
        <v>50</v>
      </c>
      <c r="Q8" s="9">
        <f t="shared" si="3"/>
        <v>8.3230000000000004</v>
      </c>
      <c r="R8" s="4"/>
      <c r="S8" s="4"/>
      <c r="T8" s="9"/>
      <c r="U8" s="9">
        <f t="shared" si="4"/>
        <v>31.203292082181903</v>
      </c>
      <c r="V8" s="9">
        <f t="shared" si="5"/>
        <v>31.203292082181903</v>
      </c>
      <c r="W8" s="9">
        <v>25.483599999999999</v>
      </c>
      <c r="X8" s="9">
        <v>14.5526</v>
      </c>
      <c r="Y8" s="9">
        <v>1.5815999999999999</v>
      </c>
      <c r="Z8" s="9">
        <v>14.5526</v>
      </c>
      <c r="AA8" s="9">
        <v>18.255800000000001</v>
      </c>
      <c r="AB8" s="9">
        <v>18.2606</v>
      </c>
      <c r="AC8" s="9">
        <v>18.8154</v>
      </c>
      <c r="AD8" s="9">
        <v>14.9602</v>
      </c>
      <c r="AE8" s="9"/>
      <c r="AF8" s="9">
        <f>G8*R8</f>
        <v>0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:50" x14ac:dyDescent="0.25">
      <c r="A9" s="9" t="s">
        <v>40</v>
      </c>
      <c r="B9" s="10" t="s">
        <v>38</v>
      </c>
      <c r="C9" s="9"/>
      <c r="D9" s="9">
        <v>50</v>
      </c>
      <c r="E9" s="9"/>
      <c r="F9" s="9">
        <v>50</v>
      </c>
      <c r="G9" s="7">
        <v>0.1</v>
      </c>
      <c r="H9" s="9">
        <v>60</v>
      </c>
      <c r="I9" s="9">
        <v>1001191975179</v>
      </c>
      <c r="J9" s="9"/>
      <c r="K9" s="9"/>
      <c r="L9" s="9">
        <f t="shared" si="2"/>
        <v>0</v>
      </c>
      <c r="M9" s="9"/>
      <c r="N9" s="9"/>
      <c r="O9" s="9">
        <v>150</v>
      </c>
      <c r="P9" s="9">
        <v>100</v>
      </c>
      <c r="Q9" s="9">
        <f t="shared" si="3"/>
        <v>0</v>
      </c>
      <c r="R9" s="4"/>
      <c r="S9" s="4"/>
      <c r="T9" s="9"/>
      <c r="U9" s="9" t="e">
        <f t="shared" si="4"/>
        <v>#DIV/0!</v>
      </c>
      <c r="V9" s="9" t="e">
        <f t="shared" si="5"/>
        <v>#DIV/0!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 t="s">
        <v>41</v>
      </c>
      <c r="AF9" s="9">
        <f>G9*R9</f>
        <v>0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50" x14ac:dyDescent="0.25">
      <c r="A10" s="15" t="s">
        <v>42</v>
      </c>
      <c r="B10" s="15" t="s">
        <v>38</v>
      </c>
      <c r="C10" s="15">
        <v>-2</v>
      </c>
      <c r="D10" s="15"/>
      <c r="E10" s="15"/>
      <c r="F10" s="18">
        <v>-2</v>
      </c>
      <c r="G10" s="16">
        <v>0</v>
      </c>
      <c r="H10" s="15"/>
      <c r="I10" s="15" t="s">
        <v>43</v>
      </c>
      <c r="J10" s="15" t="s">
        <v>44</v>
      </c>
      <c r="K10" s="15"/>
      <c r="L10" s="15">
        <f t="shared" si="2"/>
        <v>0</v>
      </c>
      <c r="M10" s="15"/>
      <c r="N10" s="15"/>
      <c r="O10" s="15">
        <v>0</v>
      </c>
      <c r="P10" s="15">
        <v>0</v>
      </c>
      <c r="Q10" s="15">
        <f t="shared" si="3"/>
        <v>0</v>
      </c>
      <c r="R10" s="17"/>
      <c r="S10" s="17"/>
      <c r="T10" s="15"/>
      <c r="U10" s="15" t="e">
        <f t="shared" si="4"/>
        <v>#DIV/0!</v>
      </c>
      <c r="V10" s="15" t="e">
        <f t="shared" si="5"/>
        <v>#DIV/0!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/>
      <c r="AF10" s="15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  <row r="11" spans="1:50" x14ac:dyDescent="0.25">
      <c r="A11" s="9" t="s">
        <v>45</v>
      </c>
      <c r="B11" s="9" t="s">
        <v>38</v>
      </c>
      <c r="C11" s="9">
        <v>191</v>
      </c>
      <c r="D11" s="9">
        <v>296</v>
      </c>
      <c r="E11" s="9">
        <v>182</v>
      </c>
      <c r="F11" s="9">
        <v>296</v>
      </c>
      <c r="G11" s="7">
        <v>0.35</v>
      </c>
      <c r="H11" s="9">
        <v>45</v>
      </c>
      <c r="I11" s="9" t="s">
        <v>36</v>
      </c>
      <c r="J11" s="9"/>
      <c r="K11" s="9"/>
      <c r="L11" s="9">
        <f t="shared" si="2"/>
        <v>182</v>
      </c>
      <c r="M11" s="9"/>
      <c r="N11" s="9"/>
      <c r="O11" s="9">
        <v>600</v>
      </c>
      <c r="P11" s="9">
        <v>300</v>
      </c>
      <c r="Q11" s="9">
        <f t="shared" si="3"/>
        <v>36.4</v>
      </c>
      <c r="R11" s="4"/>
      <c r="S11" s="4"/>
      <c r="T11" s="9"/>
      <c r="U11" s="9">
        <f t="shared" si="4"/>
        <v>32.857142857142861</v>
      </c>
      <c r="V11" s="9">
        <f t="shared" si="5"/>
        <v>32.857142857142861</v>
      </c>
      <c r="W11" s="9">
        <v>187.6</v>
      </c>
      <c r="X11" s="9">
        <v>81.2</v>
      </c>
      <c r="Y11" s="9">
        <v>32.200000000000003</v>
      </c>
      <c r="Z11" s="9">
        <v>81.2</v>
      </c>
      <c r="AA11" s="9">
        <v>47.6</v>
      </c>
      <c r="AB11" s="9">
        <v>66.8</v>
      </c>
      <c r="AC11" s="9">
        <v>76</v>
      </c>
      <c r="AD11" s="9">
        <v>51.8</v>
      </c>
      <c r="AE11" s="9"/>
      <c r="AF11" s="9">
        <f>G11*R11</f>
        <v>0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50" x14ac:dyDescent="0.25">
      <c r="A12" s="10" t="s">
        <v>46</v>
      </c>
      <c r="B12" s="10" t="s">
        <v>38</v>
      </c>
      <c r="C12" s="9"/>
      <c r="D12" s="9">
        <v>48</v>
      </c>
      <c r="E12" s="9"/>
      <c r="F12" s="9">
        <v>48</v>
      </c>
      <c r="G12" s="7">
        <v>0.15</v>
      </c>
      <c r="H12" s="9">
        <v>60</v>
      </c>
      <c r="I12" s="9">
        <v>1001190765681</v>
      </c>
      <c r="J12" s="9"/>
      <c r="K12" s="9"/>
      <c r="L12" s="9">
        <f t="shared" si="2"/>
        <v>0</v>
      </c>
      <c r="M12" s="9"/>
      <c r="N12" s="9"/>
      <c r="O12" s="9">
        <v>150</v>
      </c>
      <c r="P12" s="9">
        <v>100</v>
      </c>
      <c r="Q12" s="9">
        <f t="shared" si="3"/>
        <v>0</v>
      </c>
      <c r="R12" s="4"/>
      <c r="S12" s="4"/>
      <c r="T12" s="9"/>
      <c r="U12" s="9" t="e">
        <f t="shared" si="4"/>
        <v>#DIV/0!</v>
      </c>
      <c r="V12" s="9" t="e">
        <f t="shared" si="5"/>
        <v>#DIV/0!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 t="s">
        <v>41</v>
      </c>
      <c r="AF12" s="9">
        <f>G12*R12</f>
        <v>0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1:50" x14ac:dyDescent="0.25">
      <c r="A13" s="15" t="s">
        <v>47</v>
      </c>
      <c r="B13" s="15" t="s">
        <v>35</v>
      </c>
      <c r="C13" s="15">
        <v>0.32100000000000001</v>
      </c>
      <c r="D13" s="15"/>
      <c r="E13" s="15"/>
      <c r="F13" s="15">
        <v>0.32100000000000001</v>
      </c>
      <c r="G13" s="16">
        <v>0</v>
      </c>
      <c r="H13" s="15">
        <v>60</v>
      </c>
      <c r="I13" s="15" t="s">
        <v>48</v>
      </c>
      <c r="J13" s="15"/>
      <c r="K13" s="15"/>
      <c r="L13" s="15">
        <f t="shared" si="2"/>
        <v>0</v>
      </c>
      <c r="M13" s="15"/>
      <c r="N13" s="15"/>
      <c r="O13" s="15">
        <v>0</v>
      </c>
      <c r="P13" s="15">
        <v>0</v>
      </c>
      <c r="Q13" s="15">
        <f t="shared" si="3"/>
        <v>0</v>
      </c>
      <c r="R13" s="17"/>
      <c r="S13" s="17"/>
      <c r="T13" s="15"/>
      <c r="U13" s="15" t="e">
        <f t="shared" si="4"/>
        <v>#DIV/0!</v>
      </c>
      <c r="V13" s="15" t="e">
        <f t="shared" si="5"/>
        <v>#DIV/0!</v>
      </c>
      <c r="W13" s="15">
        <v>0</v>
      </c>
      <c r="X13" s="15">
        <v>3.0992000000000002</v>
      </c>
      <c r="Y13" s="15">
        <v>1.4414</v>
      </c>
      <c r="Z13" s="15">
        <v>3.0992000000000002</v>
      </c>
      <c r="AA13" s="15">
        <v>1.8802000000000001</v>
      </c>
      <c r="AB13" s="15">
        <v>1.3458000000000001</v>
      </c>
      <c r="AC13" s="15">
        <v>0</v>
      </c>
      <c r="AD13" s="15">
        <v>1.3475999999999999</v>
      </c>
      <c r="AE13" s="15"/>
      <c r="AF13" s="15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</row>
    <row r="14" spans="1:50" x14ac:dyDescent="0.25">
      <c r="A14" s="9" t="s">
        <v>49</v>
      </c>
      <c r="B14" s="9" t="s">
        <v>38</v>
      </c>
      <c r="C14" s="9">
        <v>972</v>
      </c>
      <c r="D14" s="9"/>
      <c r="E14" s="9">
        <v>209</v>
      </c>
      <c r="F14" s="9">
        <v>758</v>
      </c>
      <c r="G14" s="7">
        <v>0.4</v>
      </c>
      <c r="H14" s="9">
        <v>60</v>
      </c>
      <c r="I14" s="9" t="s">
        <v>36</v>
      </c>
      <c r="J14" s="9"/>
      <c r="K14" s="9"/>
      <c r="L14" s="9">
        <f t="shared" si="2"/>
        <v>209</v>
      </c>
      <c r="M14" s="9"/>
      <c r="N14" s="9"/>
      <c r="O14" s="9">
        <v>400</v>
      </c>
      <c r="P14" s="9">
        <v>200</v>
      </c>
      <c r="Q14" s="9">
        <f t="shared" si="3"/>
        <v>41.8</v>
      </c>
      <c r="R14" s="4"/>
      <c r="S14" s="4"/>
      <c r="T14" s="9"/>
      <c r="U14" s="9">
        <f t="shared" si="4"/>
        <v>32.488038277511961</v>
      </c>
      <c r="V14" s="9">
        <f t="shared" si="5"/>
        <v>32.488038277511961</v>
      </c>
      <c r="W14" s="9">
        <v>123</v>
      </c>
      <c r="X14" s="9">
        <v>80</v>
      </c>
      <c r="Y14" s="9">
        <v>72.8</v>
      </c>
      <c r="Z14" s="9">
        <v>140.19999999999999</v>
      </c>
      <c r="AA14" s="9">
        <v>55.2</v>
      </c>
      <c r="AB14" s="9">
        <v>68.400000000000006</v>
      </c>
      <c r="AC14" s="9">
        <v>154.19999999999999</v>
      </c>
      <c r="AD14" s="9">
        <v>117.4</v>
      </c>
      <c r="AE14" s="20" t="s">
        <v>85</v>
      </c>
      <c r="AF14" s="9">
        <f>G14*R14</f>
        <v>0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1:50" x14ac:dyDescent="0.25">
      <c r="A15" s="9" t="s">
        <v>50</v>
      </c>
      <c r="B15" s="9" t="s">
        <v>35</v>
      </c>
      <c r="C15" s="9">
        <v>45.561</v>
      </c>
      <c r="D15" s="9"/>
      <c r="E15" s="9">
        <v>36.344000000000001</v>
      </c>
      <c r="F15" s="9">
        <v>9.2170000000000005</v>
      </c>
      <c r="G15" s="7">
        <v>1</v>
      </c>
      <c r="H15" s="9">
        <v>60</v>
      </c>
      <c r="I15" s="9" t="s">
        <v>36</v>
      </c>
      <c r="J15" s="9"/>
      <c r="K15" s="9"/>
      <c r="L15" s="9">
        <f t="shared" si="2"/>
        <v>36.344000000000001</v>
      </c>
      <c r="M15" s="9"/>
      <c r="N15" s="9"/>
      <c r="O15" s="9">
        <v>100</v>
      </c>
      <c r="P15" s="9">
        <v>50</v>
      </c>
      <c r="Q15" s="9">
        <f t="shared" si="3"/>
        <v>7.2688000000000006</v>
      </c>
      <c r="R15" s="4"/>
      <c r="S15" s="4"/>
      <c r="T15" s="9"/>
      <c r="U15" s="9">
        <f t="shared" si="4"/>
        <v>21.904165749504728</v>
      </c>
      <c r="V15" s="9">
        <f t="shared" si="5"/>
        <v>21.904165749504728</v>
      </c>
      <c r="W15" s="9">
        <v>15.963800000000001</v>
      </c>
      <c r="X15" s="9">
        <v>7.7178000000000004</v>
      </c>
      <c r="Y15" s="9">
        <v>4.7084000000000001</v>
      </c>
      <c r="Z15" s="9">
        <v>7.7178000000000004</v>
      </c>
      <c r="AA15" s="9">
        <v>7.7827999999999999</v>
      </c>
      <c r="AB15" s="9">
        <v>5.1351999999999993</v>
      </c>
      <c r="AC15" s="9">
        <v>8.2263999999999999</v>
      </c>
      <c r="AD15" s="9">
        <v>7.3245999999999993</v>
      </c>
      <c r="AE15" s="10"/>
      <c r="AF15" s="9">
        <f>G15*R15</f>
        <v>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25">
      <c r="A16" s="9" t="s">
        <v>51</v>
      </c>
      <c r="B16" s="9" t="s">
        <v>38</v>
      </c>
      <c r="C16" s="9">
        <v>293</v>
      </c>
      <c r="D16" s="9">
        <v>200</v>
      </c>
      <c r="E16" s="9">
        <v>218</v>
      </c>
      <c r="F16" s="9">
        <v>275</v>
      </c>
      <c r="G16" s="7">
        <v>0.4</v>
      </c>
      <c r="H16" s="9">
        <v>60</v>
      </c>
      <c r="I16" s="9" t="s">
        <v>36</v>
      </c>
      <c r="J16" s="9"/>
      <c r="K16" s="9"/>
      <c r="L16" s="9">
        <f t="shared" si="2"/>
        <v>218</v>
      </c>
      <c r="M16" s="9"/>
      <c r="N16" s="9"/>
      <c r="O16" s="9">
        <v>700</v>
      </c>
      <c r="P16" s="9">
        <v>200</v>
      </c>
      <c r="Q16" s="9">
        <f t="shared" si="3"/>
        <v>43.6</v>
      </c>
      <c r="R16" s="4"/>
      <c r="S16" s="4"/>
      <c r="T16" s="9"/>
      <c r="U16" s="9">
        <f t="shared" si="4"/>
        <v>26.949541284403669</v>
      </c>
      <c r="V16" s="9">
        <f t="shared" si="5"/>
        <v>26.949541284403669</v>
      </c>
      <c r="W16" s="9">
        <v>134.19999999999999</v>
      </c>
      <c r="X16" s="9">
        <v>57</v>
      </c>
      <c r="Y16" s="9">
        <v>51.2</v>
      </c>
      <c r="Z16" s="9">
        <v>57</v>
      </c>
      <c r="AA16" s="9">
        <v>57.2</v>
      </c>
      <c r="AB16" s="9">
        <v>64.400000000000006</v>
      </c>
      <c r="AC16" s="9">
        <v>60</v>
      </c>
      <c r="AD16" s="9">
        <v>64.8</v>
      </c>
      <c r="AE16" s="19" t="s">
        <v>86</v>
      </c>
      <c r="AF16" s="9">
        <f>G16*R16</f>
        <v>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1:50" x14ac:dyDescent="0.25">
      <c r="A17" s="9" t="s">
        <v>52</v>
      </c>
      <c r="B17" s="9" t="s">
        <v>35</v>
      </c>
      <c r="C17" s="9">
        <v>55.055999999999997</v>
      </c>
      <c r="D17" s="9">
        <v>39.841999999999999</v>
      </c>
      <c r="E17" s="9">
        <v>35.031999999999996</v>
      </c>
      <c r="F17" s="9">
        <v>57.866</v>
      </c>
      <c r="G17" s="7">
        <v>1</v>
      </c>
      <c r="H17" s="9">
        <v>60</v>
      </c>
      <c r="I17" s="9" t="s">
        <v>36</v>
      </c>
      <c r="J17" s="9"/>
      <c r="K17" s="9"/>
      <c r="L17" s="9">
        <f t="shared" si="2"/>
        <v>35.031999999999996</v>
      </c>
      <c r="M17" s="9"/>
      <c r="N17" s="9"/>
      <c r="O17" s="9">
        <v>80</v>
      </c>
      <c r="P17" s="9">
        <v>50</v>
      </c>
      <c r="Q17" s="9">
        <f t="shared" si="3"/>
        <v>7.0063999999999993</v>
      </c>
      <c r="R17" s="4"/>
      <c r="S17" s="4"/>
      <c r="T17" s="9"/>
      <c r="U17" s="9">
        <f t="shared" si="4"/>
        <v>26.81348481388445</v>
      </c>
      <c r="V17" s="9">
        <f t="shared" si="5"/>
        <v>26.81348481388445</v>
      </c>
      <c r="W17" s="9">
        <v>13.821999999999999</v>
      </c>
      <c r="X17" s="9">
        <v>10.1762</v>
      </c>
      <c r="Y17" s="9">
        <v>-0.82479999999999998</v>
      </c>
      <c r="Z17" s="9">
        <v>10.1762</v>
      </c>
      <c r="AA17" s="9">
        <v>11.0776</v>
      </c>
      <c r="AB17" s="9">
        <v>6.9219999999999997</v>
      </c>
      <c r="AC17" s="9">
        <v>2.5983999999999998</v>
      </c>
      <c r="AD17" s="9">
        <v>3.9805999999999999</v>
      </c>
      <c r="AE17" s="19" t="s">
        <v>86</v>
      </c>
      <c r="AF17" s="9">
        <f>G17*R17</f>
        <v>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1:50" x14ac:dyDescent="0.25">
      <c r="A18" s="15" t="s">
        <v>53</v>
      </c>
      <c r="B18" s="15" t="s">
        <v>38</v>
      </c>
      <c r="C18" s="15">
        <v>-3</v>
      </c>
      <c r="D18" s="15"/>
      <c r="E18" s="15"/>
      <c r="F18" s="18">
        <v>-3</v>
      </c>
      <c r="G18" s="16">
        <v>0</v>
      </c>
      <c r="H18" s="15"/>
      <c r="I18" s="15" t="s">
        <v>43</v>
      </c>
      <c r="J18" s="15" t="s">
        <v>54</v>
      </c>
      <c r="K18" s="15"/>
      <c r="L18" s="15">
        <f t="shared" si="2"/>
        <v>0</v>
      </c>
      <c r="M18" s="15"/>
      <c r="N18" s="15"/>
      <c r="O18" s="15">
        <v>0</v>
      </c>
      <c r="P18" s="15">
        <v>0</v>
      </c>
      <c r="Q18" s="15">
        <f t="shared" si="3"/>
        <v>0</v>
      </c>
      <c r="R18" s="17"/>
      <c r="S18" s="17"/>
      <c r="T18" s="15"/>
      <c r="U18" s="15" t="e">
        <f t="shared" si="4"/>
        <v>#DIV/0!</v>
      </c>
      <c r="V18" s="15" t="e">
        <f t="shared" si="5"/>
        <v>#DIV/0!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/>
      <c r="AF18" s="15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1:50" x14ac:dyDescent="0.25">
      <c r="A19" s="9" t="s">
        <v>55</v>
      </c>
      <c r="B19" s="9" t="s">
        <v>35</v>
      </c>
      <c r="C19" s="9">
        <v>10.329000000000001</v>
      </c>
      <c r="D19" s="9">
        <v>47.456000000000003</v>
      </c>
      <c r="E19" s="9">
        <v>-0.441</v>
      </c>
      <c r="F19" s="9">
        <v>49.363</v>
      </c>
      <c r="G19" s="7">
        <v>1</v>
      </c>
      <c r="H19" s="9">
        <v>120</v>
      </c>
      <c r="I19" s="9" t="s">
        <v>36</v>
      </c>
      <c r="J19" s="9"/>
      <c r="K19" s="9"/>
      <c r="L19" s="9">
        <f t="shared" si="2"/>
        <v>-0.441</v>
      </c>
      <c r="M19" s="9"/>
      <c r="N19" s="9"/>
      <c r="O19" s="9">
        <v>100</v>
      </c>
      <c r="P19" s="9">
        <v>200</v>
      </c>
      <c r="Q19" s="9">
        <f t="shared" si="3"/>
        <v>-8.8200000000000001E-2</v>
      </c>
      <c r="R19" s="4"/>
      <c r="S19" s="4"/>
      <c r="T19" s="9"/>
      <c r="U19" s="9">
        <f t="shared" si="4"/>
        <v>-3961.031746031746</v>
      </c>
      <c r="V19" s="9">
        <f t="shared" si="5"/>
        <v>-3961.031746031746</v>
      </c>
      <c r="W19" s="9">
        <v>10.9802</v>
      </c>
      <c r="X19" s="9">
        <v>11.061</v>
      </c>
      <c r="Y19" s="9">
        <v>3.4205999999999999</v>
      </c>
      <c r="Z19" s="9">
        <v>11.061</v>
      </c>
      <c r="AA19" s="9">
        <v>5.2569999999999997</v>
      </c>
      <c r="AB19" s="9">
        <v>10.797800000000001</v>
      </c>
      <c r="AC19" s="9">
        <v>7.4238</v>
      </c>
      <c r="AD19" s="9">
        <v>2.2747999999999999</v>
      </c>
      <c r="AE19" s="9"/>
      <c r="AF19" s="9">
        <f t="shared" ref="AF19:AF26" si="6">G19*R19</f>
        <v>0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1:50" x14ac:dyDescent="0.25">
      <c r="A20" s="9" t="s">
        <v>56</v>
      </c>
      <c r="B20" s="9" t="s">
        <v>38</v>
      </c>
      <c r="C20" s="9">
        <v>395</v>
      </c>
      <c r="D20" s="9">
        <v>96</v>
      </c>
      <c r="E20" s="9">
        <v>121</v>
      </c>
      <c r="F20" s="9">
        <v>366</v>
      </c>
      <c r="G20" s="7">
        <v>0.25</v>
      </c>
      <c r="H20" s="9">
        <v>120</v>
      </c>
      <c r="I20" s="9" t="s">
        <v>36</v>
      </c>
      <c r="J20" s="9"/>
      <c r="K20" s="9"/>
      <c r="L20" s="9">
        <f t="shared" si="2"/>
        <v>121</v>
      </c>
      <c r="M20" s="9"/>
      <c r="N20" s="9"/>
      <c r="O20" s="9">
        <v>400</v>
      </c>
      <c r="P20" s="9">
        <v>400</v>
      </c>
      <c r="Q20" s="9">
        <f t="shared" si="3"/>
        <v>24.2</v>
      </c>
      <c r="R20" s="4"/>
      <c r="S20" s="4"/>
      <c r="T20" s="9"/>
      <c r="U20" s="9">
        <f t="shared" si="4"/>
        <v>48.18181818181818</v>
      </c>
      <c r="V20" s="9">
        <f t="shared" si="5"/>
        <v>48.18181818181818</v>
      </c>
      <c r="W20" s="9">
        <v>114.8</v>
      </c>
      <c r="X20" s="9">
        <v>37.4</v>
      </c>
      <c r="Y20" s="9">
        <v>25.4</v>
      </c>
      <c r="Z20" s="9">
        <v>37.4</v>
      </c>
      <c r="AA20" s="9">
        <v>27.2</v>
      </c>
      <c r="AB20" s="9">
        <v>40</v>
      </c>
      <c r="AC20" s="9">
        <v>34</v>
      </c>
      <c r="AD20" s="9">
        <v>41.4</v>
      </c>
      <c r="AE20" s="20" t="s">
        <v>85</v>
      </c>
      <c r="AF20" s="9">
        <f t="shared" si="6"/>
        <v>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1:50" x14ac:dyDescent="0.25">
      <c r="A21" s="9" t="s">
        <v>57</v>
      </c>
      <c r="B21" s="9" t="s">
        <v>38</v>
      </c>
      <c r="C21" s="9">
        <v>422</v>
      </c>
      <c r="D21" s="9">
        <v>200</v>
      </c>
      <c r="E21" s="9">
        <v>199</v>
      </c>
      <c r="F21" s="9">
        <v>417</v>
      </c>
      <c r="G21" s="7">
        <v>0.25</v>
      </c>
      <c r="H21" s="9">
        <v>120</v>
      </c>
      <c r="I21" s="9" t="s">
        <v>36</v>
      </c>
      <c r="J21" s="9"/>
      <c r="K21" s="9"/>
      <c r="L21" s="9">
        <f t="shared" si="2"/>
        <v>199</v>
      </c>
      <c r="M21" s="9"/>
      <c r="N21" s="9"/>
      <c r="O21" s="9">
        <v>500</v>
      </c>
      <c r="P21" s="9">
        <v>500</v>
      </c>
      <c r="Q21" s="9">
        <f t="shared" si="3"/>
        <v>39.799999999999997</v>
      </c>
      <c r="R21" s="4"/>
      <c r="S21" s="4"/>
      <c r="T21" s="9"/>
      <c r="U21" s="9">
        <f t="shared" si="4"/>
        <v>35.603015075376888</v>
      </c>
      <c r="V21" s="9">
        <f t="shared" si="5"/>
        <v>35.603015075376888</v>
      </c>
      <c r="W21" s="9">
        <v>154.4</v>
      </c>
      <c r="X21" s="9">
        <v>68.8</v>
      </c>
      <c r="Y21" s="9">
        <v>42.4</v>
      </c>
      <c r="Z21" s="9">
        <v>68.8</v>
      </c>
      <c r="AA21" s="9">
        <v>56.2</v>
      </c>
      <c r="AB21" s="9">
        <v>65.8</v>
      </c>
      <c r="AC21" s="9">
        <v>52.4</v>
      </c>
      <c r="AD21" s="9">
        <v>68.599999999999994</v>
      </c>
      <c r="AE21" s="19" t="s">
        <v>86</v>
      </c>
      <c r="AF21" s="9">
        <f t="shared" si="6"/>
        <v>0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1:50" x14ac:dyDescent="0.25">
      <c r="A22" s="9" t="s">
        <v>58</v>
      </c>
      <c r="B22" s="9" t="s">
        <v>35</v>
      </c>
      <c r="C22" s="9">
        <v>-1.0649999999999999</v>
      </c>
      <c r="D22" s="9">
        <v>46.871000000000002</v>
      </c>
      <c r="E22" s="9">
        <v>11.179</v>
      </c>
      <c r="F22" s="9">
        <v>33.622</v>
      </c>
      <c r="G22" s="7">
        <v>1</v>
      </c>
      <c r="H22" s="9">
        <v>120</v>
      </c>
      <c r="I22" s="9" t="s">
        <v>36</v>
      </c>
      <c r="J22" s="9"/>
      <c r="K22" s="9"/>
      <c r="L22" s="9">
        <f t="shared" si="2"/>
        <v>11.179</v>
      </c>
      <c r="M22" s="9"/>
      <c r="N22" s="9"/>
      <c r="O22" s="9">
        <v>100</v>
      </c>
      <c r="P22" s="9">
        <v>200</v>
      </c>
      <c r="Q22" s="9">
        <f t="shared" si="3"/>
        <v>2.2358000000000002</v>
      </c>
      <c r="R22" s="4"/>
      <c r="S22" s="4"/>
      <c r="T22" s="9"/>
      <c r="U22" s="9">
        <f t="shared" si="4"/>
        <v>149.2181769389033</v>
      </c>
      <c r="V22" s="9">
        <f t="shared" si="5"/>
        <v>149.2181769389033</v>
      </c>
      <c r="W22" s="9">
        <v>8.5774000000000008</v>
      </c>
      <c r="X22" s="9">
        <v>9.9432000000000009</v>
      </c>
      <c r="Y22" s="9">
        <v>5.8616000000000001</v>
      </c>
      <c r="Z22" s="9">
        <v>9.9432000000000009</v>
      </c>
      <c r="AA22" s="9">
        <v>6.5418000000000003</v>
      </c>
      <c r="AB22" s="9">
        <v>5.2915999999999999</v>
      </c>
      <c r="AC22" s="9">
        <v>13.229799999999999</v>
      </c>
      <c r="AD22" s="9">
        <v>4.0868000000000002</v>
      </c>
      <c r="AE22" s="9"/>
      <c r="AF22" s="9">
        <f t="shared" si="6"/>
        <v>0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1:50" x14ac:dyDescent="0.25">
      <c r="A23" s="9" t="s">
        <v>59</v>
      </c>
      <c r="B23" s="9" t="s">
        <v>38</v>
      </c>
      <c r="C23" s="9">
        <v>453</v>
      </c>
      <c r="D23" s="9">
        <v>96</v>
      </c>
      <c r="E23" s="9">
        <v>93</v>
      </c>
      <c r="F23" s="9">
        <v>455</v>
      </c>
      <c r="G23" s="7">
        <v>0.25</v>
      </c>
      <c r="H23" s="9">
        <v>120</v>
      </c>
      <c r="I23" s="9" t="s">
        <v>36</v>
      </c>
      <c r="J23" s="9"/>
      <c r="K23" s="9"/>
      <c r="L23" s="9">
        <f t="shared" si="2"/>
        <v>93</v>
      </c>
      <c r="M23" s="9"/>
      <c r="N23" s="9"/>
      <c r="O23" s="9">
        <v>400</v>
      </c>
      <c r="P23" s="9">
        <v>400</v>
      </c>
      <c r="Q23" s="9">
        <f t="shared" si="3"/>
        <v>18.600000000000001</v>
      </c>
      <c r="R23" s="4"/>
      <c r="S23" s="4"/>
      <c r="T23" s="9"/>
      <c r="U23" s="9">
        <f t="shared" si="4"/>
        <v>67.473118279569889</v>
      </c>
      <c r="V23" s="9">
        <f t="shared" si="5"/>
        <v>67.473118279569889</v>
      </c>
      <c r="W23" s="9">
        <v>126.4</v>
      </c>
      <c r="X23" s="9">
        <v>44.2</v>
      </c>
      <c r="Y23" s="9">
        <v>23.4</v>
      </c>
      <c r="Z23" s="9">
        <v>44.2</v>
      </c>
      <c r="AA23" s="9">
        <v>27.2</v>
      </c>
      <c r="AB23" s="9">
        <v>47.4</v>
      </c>
      <c r="AC23" s="9">
        <v>44.4</v>
      </c>
      <c r="AD23" s="9">
        <v>38.200000000000003</v>
      </c>
      <c r="AE23" s="20" t="s">
        <v>85</v>
      </c>
      <c r="AF23" s="9">
        <f t="shared" si="6"/>
        <v>0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25">
      <c r="A24" s="10" t="s">
        <v>60</v>
      </c>
      <c r="B24" s="10" t="s">
        <v>38</v>
      </c>
      <c r="C24" s="9"/>
      <c r="D24" s="9">
        <v>96</v>
      </c>
      <c r="E24" s="9"/>
      <c r="F24" s="9">
        <v>96</v>
      </c>
      <c r="G24" s="7">
        <v>0.3</v>
      </c>
      <c r="H24" s="9">
        <v>45</v>
      </c>
      <c r="I24" s="9">
        <v>1001083446207</v>
      </c>
      <c r="J24" s="9"/>
      <c r="K24" s="9"/>
      <c r="L24" s="9">
        <f t="shared" si="2"/>
        <v>0</v>
      </c>
      <c r="M24" s="9"/>
      <c r="N24" s="9"/>
      <c r="O24" s="9">
        <v>200</v>
      </c>
      <c r="P24" s="9">
        <v>200</v>
      </c>
      <c r="Q24" s="9">
        <f t="shared" si="3"/>
        <v>0</v>
      </c>
      <c r="R24" s="4"/>
      <c r="S24" s="4"/>
      <c r="T24" s="9"/>
      <c r="U24" s="9" t="e">
        <f t="shared" si="4"/>
        <v>#DIV/0!</v>
      </c>
      <c r="V24" s="9" t="e">
        <f t="shared" si="5"/>
        <v>#DIV/0!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 t="s">
        <v>41</v>
      </c>
      <c r="AF24" s="9">
        <f t="shared" si="6"/>
        <v>0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1:50" x14ac:dyDescent="0.25">
      <c r="A25" s="9" t="s">
        <v>61</v>
      </c>
      <c r="B25" s="9" t="s">
        <v>35</v>
      </c>
      <c r="C25" s="9">
        <v>91.649000000000001</v>
      </c>
      <c r="D25" s="9">
        <v>48.295000000000002</v>
      </c>
      <c r="E25" s="9">
        <v>25.885999999999999</v>
      </c>
      <c r="F25" s="9">
        <v>114.05800000000001</v>
      </c>
      <c r="G25" s="7">
        <v>1</v>
      </c>
      <c r="H25" s="9">
        <v>60</v>
      </c>
      <c r="I25" s="9" t="s">
        <v>36</v>
      </c>
      <c r="J25" s="9"/>
      <c r="K25" s="9"/>
      <c r="L25" s="9">
        <f t="shared" si="2"/>
        <v>25.885999999999999</v>
      </c>
      <c r="M25" s="9"/>
      <c r="N25" s="9"/>
      <c r="O25" s="9">
        <v>50</v>
      </c>
      <c r="P25" s="9">
        <v>50</v>
      </c>
      <c r="Q25" s="9">
        <f t="shared" si="3"/>
        <v>5.1772</v>
      </c>
      <c r="R25" s="4"/>
      <c r="S25" s="4"/>
      <c r="T25" s="9"/>
      <c r="U25" s="9">
        <f t="shared" si="4"/>
        <v>41.346287568569885</v>
      </c>
      <c r="V25" s="9">
        <f t="shared" si="5"/>
        <v>41.346287568569885</v>
      </c>
      <c r="W25" s="9">
        <v>17.4148</v>
      </c>
      <c r="X25" s="9">
        <v>8.007200000000001</v>
      </c>
      <c r="Y25" s="9">
        <v>6.4287999999999998</v>
      </c>
      <c r="Z25" s="9">
        <v>8.007200000000001</v>
      </c>
      <c r="AA25" s="9">
        <v>3.8077999999999999</v>
      </c>
      <c r="AB25" s="9">
        <v>4.3731999999999998</v>
      </c>
      <c r="AC25" s="9">
        <v>11.28</v>
      </c>
      <c r="AD25" s="9">
        <v>8.0076000000000001</v>
      </c>
      <c r="AE25" s="20" t="s">
        <v>85</v>
      </c>
      <c r="AF25" s="9">
        <f t="shared" si="6"/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1:50" x14ac:dyDescent="0.25">
      <c r="A26" s="9" t="s">
        <v>62</v>
      </c>
      <c r="B26" s="9" t="s">
        <v>38</v>
      </c>
      <c r="C26" s="9">
        <v>1134</v>
      </c>
      <c r="D26" s="9"/>
      <c r="E26" s="9">
        <v>209</v>
      </c>
      <c r="F26" s="9">
        <v>925</v>
      </c>
      <c r="G26" s="7">
        <v>0.4</v>
      </c>
      <c r="H26" s="9">
        <v>60</v>
      </c>
      <c r="I26" s="9" t="s">
        <v>36</v>
      </c>
      <c r="J26" s="9"/>
      <c r="K26" s="9"/>
      <c r="L26" s="9">
        <f t="shared" si="2"/>
        <v>209</v>
      </c>
      <c r="M26" s="9"/>
      <c r="N26" s="9"/>
      <c r="O26" s="9">
        <v>0</v>
      </c>
      <c r="P26" s="9">
        <v>0</v>
      </c>
      <c r="Q26" s="9">
        <f t="shared" si="3"/>
        <v>41.8</v>
      </c>
      <c r="R26" s="4"/>
      <c r="S26" s="4"/>
      <c r="T26" s="9"/>
      <c r="U26" s="9">
        <f t="shared" si="4"/>
        <v>22.129186602870814</v>
      </c>
      <c r="V26" s="9">
        <f t="shared" si="5"/>
        <v>22.129186602870814</v>
      </c>
      <c r="W26" s="9">
        <v>101.8</v>
      </c>
      <c r="X26" s="9">
        <v>41.8</v>
      </c>
      <c r="Y26" s="9">
        <v>27.8</v>
      </c>
      <c r="Z26" s="9">
        <v>41.8</v>
      </c>
      <c r="AA26" s="9">
        <v>26.4</v>
      </c>
      <c r="AB26" s="9">
        <v>17.2</v>
      </c>
      <c r="AC26" s="9">
        <v>45.4</v>
      </c>
      <c r="AD26" s="9">
        <v>58.8</v>
      </c>
      <c r="AE26" s="9"/>
      <c r="AF26" s="9">
        <f t="shared" si="6"/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1:50" x14ac:dyDescent="0.25">
      <c r="A27" s="15" t="s">
        <v>63</v>
      </c>
      <c r="B27" s="15" t="s">
        <v>38</v>
      </c>
      <c r="C27" s="15">
        <v>-3</v>
      </c>
      <c r="D27" s="15">
        <v>200</v>
      </c>
      <c r="E27" s="15"/>
      <c r="F27" s="18">
        <v>197</v>
      </c>
      <c r="G27" s="16">
        <v>0</v>
      </c>
      <c r="H27" s="15"/>
      <c r="I27" s="15" t="s">
        <v>43</v>
      </c>
      <c r="J27" s="15" t="s">
        <v>64</v>
      </c>
      <c r="K27" s="15"/>
      <c r="L27" s="15">
        <f t="shared" si="2"/>
        <v>0</v>
      </c>
      <c r="M27" s="15"/>
      <c r="N27" s="15"/>
      <c r="O27" s="15">
        <v>0</v>
      </c>
      <c r="P27" s="15">
        <v>0</v>
      </c>
      <c r="Q27" s="15">
        <f t="shared" si="3"/>
        <v>0</v>
      </c>
      <c r="R27" s="17"/>
      <c r="S27" s="17"/>
      <c r="T27" s="15"/>
      <c r="U27" s="15" t="e">
        <f t="shared" si="4"/>
        <v>#DIV/0!</v>
      </c>
      <c r="V27" s="15" t="e">
        <f t="shared" si="5"/>
        <v>#DIV/0!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4" t="s">
        <v>65</v>
      </c>
      <c r="AF27" s="15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25">
      <c r="A28" s="9" t="s">
        <v>64</v>
      </c>
      <c r="B28" s="9" t="s">
        <v>38</v>
      </c>
      <c r="C28" s="9">
        <v>107</v>
      </c>
      <c r="D28" s="9"/>
      <c r="E28" s="9">
        <v>177</v>
      </c>
      <c r="F28" s="18">
        <f>-73+F27</f>
        <v>124</v>
      </c>
      <c r="G28" s="7">
        <v>0.5</v>
      </c>
      <c r="H28" s="9">
        <v>60</v>
      </c>
      <c r="I28" s="9" t="s">
        <v>36</v>
      </c>
      <c r="J28" s="9"/>
      <c r="K28" s="9"/>
      <c r="L28" s="9">
        <f t="shared" si="2"/>
        <v>177</v>
      </c>
      <c r="M28" s="9"/>
      <c r="N28" s="9"/>
      <c r="O28" s="9">
        <v>500</v>
      </c>
      <c r="P28" s="9">
        <v>400</v>
      </c>
      <c r="Q28" s="9">
        <f t="shared" si="3"/>
        <v>35.4</v>
      </c>
      <c r="R28" s="4"/>
      <c r="S28" s="4"/>
      <c r="T28" s="9"/>
      <c r="U28" s="9">
        <f t="shared" si="4"/>
        <v>28.926553672316384</v>
      </c>
      <c r="V28" s="9">
        <f t="shared" si="5"/>
        <v>28.926553672316384</v>
      </c>
      <c r="W28" s="9">
        <v>133.4</v>
      </c>
      <c r="X28" s="9">
        <v>128.80000000000001</v>
      </c>
      <c r="Y28" s="9">
        <v>29.4</v>
      </c>
      <c r="Z28" s="9">
        <v>128.80000000000001</v>
      </c>
      <c r="AA28" s="9">
        <v>64.8</v>
      </c>
      <c r="AB28" s="9">
        <v>88.2</v>
      </c>
      <c r="AC28" s="9">
        <v>83</v>
      </c>
      <c r="AD28" s="9">
        <v>82.6</v>
      </c>
      <c r="AE28" s="14" t="s">
        <v>84</v>
      </c>
      <c r="AF28" s="9">
        <f>G28*R28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0" x14ac:dyDescent="0.25">
      <c r="A29" s="10" t="s">
        <v>66</v>
      </c>
      <c r="B29" s="10" t="s">
        <v>38</v>
      </c>
      <c r="C29" s="9"/>
      <c r="D29" s="9">
        <v>56</v>
      </c>
      <c r="E29" s="9"/>
      <c r="F29" s="9">
        <v>56</v>
      </c>
      <c r="G29" s="7">
        <v>0.3</v>
      </c>
      <c r="H29" s="9">
        <v>45</v>
      </c>
      <c r="I29" s="9">
        <v>1001024976616</v>
      </c>
      <c r="J29" s="9"/>
      <c r="K29" s="9"/>
      <c r="L29" s="9">
        <f t="shared" si="2"/>
        <v>0</v>
      </c>
      <c r="M29" s="9"/>
      <c r="N29" s="9"/>
      <c r="O29" s="9">
        <v>150</v>
      </c>
      <c r="P29" s="9">
        <v>0</v>
      </c>
      <c r="Q29" s="9">
        <f t="shared" si="3"/>
        <v>0</v>
      </c>
      <c r="R29" s="4"/>
      <c r="S29" s="4"/>
      <c r="T29" s="9"/>
      <c r="U29" s="9" t="e">
        <f t="shared" si="4"/>
        <v>#DIV/0!</v>
      </c>
      <c r="V29" s="9" t="e">
        <f t="shared" si="5"/>
        <v>#DIV/0!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 t="s">
        <v>41</v>
      </c>
      <c r="AF29" s="9">
        <f>G29*R29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 x14ac:dyDescent="0.25">
      <c r="A30" s="15" t="s">
        <v>67</v>
      </c>
      <c r="B30" s="15" t="s">
        <v>38</v>
      </c>
      <c r="C30" s="15">
        <v>190</v>
      </c>
      <c r="D30" s="15"/>
      <c r="E30" s="15">
        <v>109</v>
      </c>
      <c r="F30" s="15">
        <v>76</v>
      </c>
      <c r="G30" s="16">
        <v>0</v>
      </c>
      <c r="H30" s="15">
        <v>45</v>
      </c>
      <c r="I30" s="15" t="s">
        <v>48</v>
      </c>
      <c r="J30" s="15"/>
      <c r="K30" s="15"/>
      <c r="L30" s="15">
        <f t="shared" si="2"/>
        <v>109</v>
      </c>
      <c r="M30" s="15"/>
      <c r="N30" s="15"/>
      <c r="O30" s="15">
        <v>0</v>
      </c>
      <c r="P30" s="15">
        <v>0</v>
      </c>
      <c r="Q30" s="15">
        <f t="shared" si="3"/>
        <v>21.8</v>
      </c>
      <c r="R30" s="17"/>
      <c r="S30" s="17"/>
      <c r="T30" s="15"/>
      <c r="U30" s="15">
        <f t="shared" si="4"/>
        <v>3.4862385321100917</v>
      </c>
      <c r="V30" s="15">
        <f t="shared" si="5"/>
        <v>3.4862385321100917</v>
      </c>
      <c r="W30" s="15">
        <v>23.8</v>
      </c>
      <c r="X30" s="15">
        <v>22</v>
      </c>
      <c r="Y30" s="15">
        <v>21.2</v>
      </c>
      <c r="Z30" s="15">
        <v>22</v>
      </c>
      <c r="AA30" s="15">
        <v>20.6</v>
      </c>
      <c r="AB30" s="15">
        <v>32.6</v>
      </c>
      <c r="AC30" s="15">
        <v>31.2</v>
      </c>
      <c r="AD30" s="15">
        <v>33.799999999999997</v>
      </c>
      <c r="AE30" s="15" t="s">
        <v>48</v>
      </c>
      <c r="AF30" s="15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 x14ac:dyDescent="0.25">
      <c r="A31" s="10" t="s">
        <v>68</v>
      </c>
      <c r="B31" s="10" t="s">
        <v>38</v>
      </c>
      <c r="C31" s="9"/>
      <c r="D31" s="9">
        <v>120</v>
      </c>
      <c r="E31" s="9"/>
      <c r="F31" s="9">
        <v>120</v>
      </c>
      <c r="G31" s="7">
        <v>0.28000000000000003</v>
      </c>
      <c r="H31" s="9">
        <v>45</v>
      </c>
      <c r="I31" s="11">
        <v>1001303107241</v>
      </c>
      <c r="J31" s="9"/>
      <c r="K31" s="9"/>
      <c r="L31" s="9">
        <f t="shared" si="2"/>
        <v>0</v>
      </c>
      <c r="M31" s="9"/>
      <c r="N31" s="9"/>
      <c r="O31" s="9">
        <v>250</v>
      </c>
      <c r="P31" s="9">
        <v>0</v>
      </c>
      <c r="Q31" s="9">
        <f t="shared" si="3"/>
        <v>0</v>
      </c>
      <c r="R31" s="4"/>
      <c r="S31" s="4"/>
      <c r="T31" s="9"/>
      <c r="U31" s="9" t="e">
        <f t="shared" si="4"/>
        <v>#DIV/0!</v>
      </c>
      <c r="V31" s="9" t="e">
        <f t="shared" si="5"/>
        <v>#DIV/0!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 t="s">
        <v>41</v>
      </c>
      <c r="AF31" s="9">
        <f t="shared" ref="AF31:AF37" si="7">G31*R31</f>
        <v>0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1:50" x14ac:dyDescent="0.25">
      <c r="A32" s="9" t="s">
        <v>44</v>
      </c>
      <c r="B32" s="9" t="s">
        <v>38</v>
      </c>
      <c r="C32" s="9">
        <v>64</v>
      </c>
      <c r="D32" s="9">
        <v>200</v>
      </c>
      <c r="E32" s="9">
        <v>127</v>
      </c>
      <c r="F32" s="18">
        <f>131+F10</f>
        <v>129</v>
      </c>
      <c r="G32" s="7">
        <v>0.33</v>
      </c>
      <c r="H32" s="9">
        <v>45</v>
      </c>
      <c r="I32" s="9" t="s">
        <v>36</v>
      </c>
      <c r="J32" s="9"/>
      <c r="K32" s="9"/>
      <c r="L32" s="9">
        <f t="shared" si="2"/>
        <v>127</v>
      </c>
      <c r="M32" s="9"/>
      <c r="N32" s="9"/>
      <c r="O32" s="9">
        <v>500</v>
      </c>
      <c r="P32" s="9">
        <v>200</v>
      </c>
      <c r="Q32" s="9">
        <f t="shared" si="3"/>
        <v>25.4</v>
      </c>
      <c r="R32" s="4"/>
      <c r="S32" s="4"/>
      <c r="T32" s="9"/>
      <c r="U32" s="9">
        <f t="shared" si="4"/>
        <v>32.637795275590555</v>
      </c>
      <c r="V32" s="9">
        <f t="shared" si="5"/>
        <v>32.637795275590555</v>
      </c>
      <c r="W32" s="9">
        <v>152.6</v>
      </c>
      <c r="X32" s="9">
        <v>59.4</v>
      </c>
      <c r="Y32" s="9">
        <v>42.2</v>
      </c>
      <c r="Z32" s="9">
        <v>59.4</v>
      </c>
      <c r="AA32" s="9">
        <v>44.2</v>
      </c>
      <c r="AB32" s="9">
        <v>61.4</v>
      </c>
      <c r="AC32" s="9">
        <v>71.2</v>
      </c>
      <c r="AD32" s="9">
        <v>51.6</v>
      </c>
      <c r="AE32" s="9"/>
      <c r="AF32" s="9">
        <f t="shared" si="7"/>
        <v>0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</row>
    <row r="33" spans="1:50" x14ac:dyDescent="0.25">
      <c r="A33" s="9" t="s">
        <v>69</v>
      </c>
      <c r="B33" s="9" t="s">
        <v>38</v>
      </c>
      <c r="C33" s="9">
        <v>187</v>
      </c>
      <c r="D33" s="9">
        <v>120</v>
      </c>
      <c r="E33" s="9">
        <v>84</v>
      </c>
      <c r="F33" s="9">
        <v>216</v>
      </c>
      <c r="G33" s="7">
        <v>0.4</v>
      </c>
      <c r="H33" s="9">
        <v>45</v>
      </c>
      <c r="I33" s="9" t="s">
        <v>36</v>
      </c>
      <c r="J33" s="9"/>
      <c r="K33" s="9"/>
      <c r="L33" s="9">
        <f t="shared" si="2"/>
        <v>84</v>
      </c>
      <c r="M33" s="9"/>
      <c r="N33" s="9"/>
      <c r="O33" s="9">
        <v>150</v>
      </c>
      <c r="P33" s="9">
        <v>100</v>
      </c>
      <c r="Q33" s="9">
        <f t="shared" si="3"/>
        <v>16.8</v>
      </c>
      <c r="R33" s="4"/>
      <c r="S33" s="4"/>
      <c r="T33" s="9"/>
      <c r="U33" s="9">
        <f t="shared" si="4"/>
        <v>27.738095238095237</v>
      </c>
      <c r="V33" s="9">
        <f t="shared" si="5"/>
        <v>27.738095238095237</v>
      </c>
      <c r="W33" s="9">
        <v>15.2</v>
      </c>
      <c r="X33" s="9">
        <v>18.2</v>
      </c>
      <c r="Y33" s="9">
        <v>12.6</v>
      </c>
      <c r="Z33" s="9">
        <v>18.2</v>
      </c>
      <c r="AA33" s="9">
        <v>20</v>
      </c>
      <c r="AB33" s="9">
        <v>31</v>
      </c>
      <c r="AC33" s="9">
        <v>24.2</v>
      </c>
      <c r="AD33" s="9">
        <v>32.4</v>
      </c>
      <c r="AE33" s="19" t="s">
        <v>86</v>
      </c>
      <c r="AF33" s="9">
        <f t="shared" si="7"/>
        <v>0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</row>
    <row r="34" spans="1:50" x14ac:dyDescent="0.25">
      <c r="A34" s="9" t="s">
        <v>70</v>
      </c>
      <c r="B34" s="9" t="s">
        <v>35</v>
      </c>
      <c r="C34" s="9">
        <v>260.73599999999999</v>
      </c>
      <c r="D34" s="9">
        <v>89.820999999999998</v>
      </c>
      <c r="E34" s="9">
        <v>213.85499999999999</v>
      </c>
      <c r="F34" s="9">
        <v>135.352</v>
      </c>
      <c r="G34" s="7">
        <v>1</v>
      </c>
      <c r="H34" s="9">
        <v>60</v>
      </c>
      <c r="I34" s="9" t="s">
        <v>36</v>
      </c>
      <c r="J34" s="9"/>
      <c r="K34" s="9"/>
      <c r="L34" s="9">
        <f t="shared" si="2"/>
        <v>213.85499999999999</v>
      </c>
      <c r="M34" s="9"/>
      <c r="N34" s="9"/>
      <c r="O34" s="9">
        <v>150</v>
      </c>
      <c r="P34" s="9">
        <v>150</v>
      </c>
      <c r="Q34" s="9">
        <f t="shared" si="3"/>
        <v>42.771000000000001</v>
      </c>
      <c r="R34" s="4">
        <f>18*Q34-P34-O34-F34</f>
        <v>334.52600000000007</v>
      </c>
      <c r="S34" s="4"/>
      <c r="T34" s="9"/>
      <c r="U34" s="9">
        <f t="shared" si="4"/>
        <v>18</v>
      </c>
      <c r="V34" s="9">
        <f t="shared" si="5"/>
        <v>10.178672464987958</v>
      </c>
      <c r="W34" s="9">
        <v>47.454000000000001</v>
      </c>
      <c r="X34" s="9">
        <v>36.903599999999997</v>
      </c>
      <c r="Y34" s="9">
        <v>31.8858</v>
      </c>
      <c r="Z34" s="9">
        <v>36.903599999999997</v>
      </c>
      <c r="AA34" s="9">
        <v>42.125799999999998</v>
      </c>
      <c r="AB34" s="9">
        <v>45.726999999999997</v>
      </c>
      <c r="AC34" s="9">
        <v>51.441999999999993</v>
      </c>
      <c r="AD34" s="9">
        <v>32.028399999999998</v>
      </c>
      <c r="AE34" s="9"/>
      <c r="AF34" s="9">
        <f t="shared" si="7"/>
        <v>334.52600000000007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spans="1:50" x14ac:dyDescent="0.25">
      <c r="A35" s="9" t="s">
        <v>71</v>
      </c>
      <c r="B35" s="9" t="s">
        <v>38</v>
      </c>
      <c r="C35" s="9">
        <v>278</v>
      </c>
      <c r="D35" s="9">
        <v>301.39</v>
      </c>
      <c r="E35" s="9">
        <v>74</v>
      </c>
      <c r="F35" s="9">
        <v>502.39</v>
      </c>
      <c r="G35" s="7">
        <v>0.3</v>
      </c>
      <c r="H35" s="9">
        <v>60</v>
      </c>
      <c r="I35" s="9" t="s">
        <v>36</v>
      </c>
      <c r="J35" s="9"/>
      <c r="K35" s="9"/>
      <c r="L35" s="9">
        <f t="shared" si="2"/>
        <v>74</v>
      </c>
      <c r="M35" s="9"/>
      <c r="N35" s="9"/>
      <c r="O35" s="9">
        <v>200</v>
      </c>
      <c r="P35" s="9">
        <v>0</v>
      </c>
      <c r="Q35" s="9">
        <f t="shared" si="3"/>
        <v>14.8</v>
      </c>
      <c r="R35" s="4"/>
      <c r="S35" s="4"/>
      <c r="T35" s="9"/>
      <c r="U35" s="9">
        <f t="shared" si="4"/>
        <v>47.45878378378378</v>
      </c>
      <c r="V35" s="9">
        <f t="shared" si="5"/>
        <v>47.45878378378378</v>
      </c>
      <c r="W35" s="9">
        <v>22.8</v>
      </c>
      <c r="X35" s="9">
        <v>29</v>
      </c>
      <c r="Y35" s="9">
        <v>-0.4</v>
      </c>
      <c r="Z35" s="9">
        <v>29</v>
      </c>
      <c r="AA35" s="9">
        <v>27.6</v>
      </c>
      <c r="AB35" s="9">
        <v>21.2</v>
      </c>
      <c r="AC35" s="9">
        <v>28.4</v>
      </c>
      <c r="AD35" s="9">
        <v>19.600000000000001</v>
      </c>
      <c r="AE35" s="20" t="s">
        <v>85</v>
      </c>
      <c r="AF35" s="9">
        <f t="shared" si="7"/>
        <v>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spans="1:50" x14ac:dyDescent="0.25">
      <c r="A36" s="9" t="s">
        <v>54</v>
      </c>
      <c r="B36" s="9" t="s">
        <v>38</v>
      </c>
      <c r="C36" s="9">
        <v>306</v>
      </c>
      <c r="D36" s="9">
        <v>160</v>
      </c>
      <c r="E36" s="9">
        <v>81</v>
      </c>
      <c r="F36" s="18">
        <f>375+F18</f>
        <v>372</v>
      </c>
      <c r="G36" s="7">
        <v>0.41</v>
      </c>
      <c r="H36" s="9">
        <v>50</v>
      </c>
      <c r="I36" s="9" t="s">
        <v>36</v>
      </c>
      <c r="J36" s="9"/>
      <c r="K36" s="9"/>
      <c r="L36" s="9">
        <f t="shared" si="2"/>
        <v>81</v>
      </c>
      <c r="M36" s="9"/>
      <c r="N36" s="9"/>
      <c r="O36" s="9">
        <v>150</v>
      </c>
      <c r="P36" s="9">
        <v>100</v>
      </c>
      <c r="Q36" s="9">
        <f t="shared" si="3"/>
        <v>16.2</v>
      </c>
      <c r="R36" s="4"/>
      <c r="S36" s="4"/>
      <c r="T36" s="9"/>
      <c r="U36" s="9">
        <f t="shared" si="4"/>
        <v>38.395061728395063</v>
      </c>
      <c r="V36" s="9">
        <f t="shared" si="5"/>
        <v>38.395061728395063</v>
      </c>
      <c r="W36" s="9">
        <v>39.4</v>
      </c>
      <c r="X36" s="9">
        <v>36.200000000000003</v>
      </c>
      <c r="Y36" s="9">
        <v>20</v>
      </c>
      <c r="Z36" s="9">
        <v>36.200000000000003</v>
      </c>
      <c r="AA36" s="9">
        <v>26.6</v>
      </c>
      <c r="AB36" s="9">
        <v>43</v>
      </c>
      <c r="AC36" s="9">
        <v>26.8</v>
      </c>
      <c r="AD36" s="9">
        <v>33.6</v>
      </c>
      <c r="AE36" s="20" t="s">
        <v>85</v>
      </c>
      <c r="AF36" s="9">
        <f t="shared" si="7"/>
        <v>0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spans="1:50" x14ac:dyDescent="0.25">
      <c r="A37" s="9" t="s">
        <v>72</v>
      </c>
      <c r="B37" s="9" t="s">
        <v>35</v>
      </c>
      <c r="C37" s="9">
        <v>117.961</v>
      </c>
      <c r="D37" s="9">
        <v>406.12099999999998</v>
      </c>
      <c r="E37" s="9">
        <v>296.06</v>
      </c>
      <c r="F37" s="9">
        <v>225.88200000000001</v>
      </c>
      <c r="G37" s="7">
        <v>1</v>
      </c>
      <c r="H37" s="9">
        <v>50</v>
      </c>
      <c r="I37" s="9" t="s">
        <v>36</v>
      </c>
      <c r="J37" s="9"/>
      <c r="K37" s="9"/>
      <c r="L37" s="9">
        <f t="shared" si="2"/>
        <v>296.06</v>
      </c>
      <c r="M37" s="9"/>
      <c r="N37" s="9"/>
      <c r="O37" s="9">
        <v>400</v>
      </c>
      <c r="P37" s="9">
        <v>400</v>
      </c>
      <c r="Q37" s="9">
        <f t="shared" si="3"/>
        <v>59.212000000000003</v>
      </c>
      <c r="R37" s="4">
        <f t="shared" ref="R37:R39" si="8">20*Q37-P37-O37-F37</f>
        <v>158.358</v>
      </c>
      <c r="S37" s="4"/>
      <c r="T37" s="9"/>
      <c r="U37" s="9">
        <f t="shared" si="4"/>
        <v>20</v>
      </c>
      <c r="V37" s="9">
        <f t="shared" si="5"/>
        <v>17.325575896777679</v>
      </c>
      <c r="W37" s="9">
        <v>91.616600000000005</v>
      </c>
      <c r="X37" s="9">
        <v>65.309400000000011</v>
      </c>
      <c r="Y37" s="9">
        <v>78.678399999999996</v>
      </c>
      <c r="Z37" s="9">
        <v>65.309400000000011</v>
      </c>
      <c r="AA37" s="9">
        <v>62.679200000000002</v>
      </c>
      <c r="AB37" s="9">
        <v>68.656800000000004</v>
      </c>
      <c r="AC37" s="9">
        <v>94.631600000000006</v>
      </c>
      <c r="AD37" s="9">
        <v>60.880999999999993</v>
      </c>
      <c r="AE37" s="9"/>
      <c r="AF37" s="9">
        <f t="shared" si="7"/>
        <v>158.358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spans="1:50" x14ac:dyDescent="0.25">
      <c r="A38" s="9" t="s">
        <v>73</v>
      </c>
      <c r="B38" s="9" t="s">
        <v>35</v>
      </c>
      <c r="C38" s="9">
        <v>173.74199999999999</v>
      </c>
      <c r="D38" s="9">
        <v>155.244</v>
      </c>
      <c r="E38" s="9">
        <v>129.74</v>
      </c>
      <c r="F38" s="9">
        <v>196.12299999999999</v>
      </c>
      <c r="G38" s="7">
        <v>1</v>
      </c>
      <c r="H38" s="9">
        <v>50</v>
      </c>
      <c r="I38" s="9" t="s">
        <v>36</v>
      </c>
      <c r="J38" s="9"/>
      <c r="K38" s="9"/>
      <c r="L38" s="9">
        <f t="shared" si="2"/>
        <v>129.74</v>
      </c>
      <c r="M38" s="9"/>
      <c r="N38" s="9"/>
      <c r="O38" s="9">
        <v>150</v>
      </c>
      <c r="P38" s="9">
        <v>50</v>
      </c>
      <c r="Q38" s="9">
        <f t="shared" si="3"/>
        <v>25.948</v>
      </c>
      <c r="R38" s="4">
        <f t="shared" si="8"/>
        <v>122.83700000000005</v>
      </c>
      <c r="S38" s="4"/>
      <c r="T38" s="9"/>
      <c r="U38" s="9">
        <f t="shared" si="4"/>
        <v>20</v>
      </c>
      <c r="V38" s="9">
        <f t="shared" si="5"/>
        <v>15.266032064128256</v>
      </c>
      <c r="W38" s="9">
        <v>38.4572</v>
      </c>
      <c r="X38" s="9">
        <v>25.52</v>
      </c>
      <c r="Y38" s="9">
        <v>21.434799999999999</v>
      </c>
      <c r="Z38" s="9">
        <v>25.52</v>
      </c>
      <c r="AA38" s="9">
        <v>27.374400000000001</v>
      </c>
      <c r="AB38" s="9">
        <v>26.291599999999999</v>
      </c>
      <c r="AC38" s="9">
        <v>25.154199999999999</v>
      </c>
      <c r="AD38" s="9">
        <v>26.1296</v>
      </c>
      <c r="AE38" s="9"/>
      <c r="AF38" s="9">
        <f t="shared" ref="AF38:AF47" si="9">G38*R38</f>
        <v>122.83700000000005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spans="1:50" x14ac:dyDescent="0.25">
      <c r="A39" s="9" t="s">
        <v>74</v>
      </c>
      <c r="B39" s="9" t="s">
        <v>38</v>
      </c>
      <c r="C39" s="9">
        <v>179</v>
      </c>
      <c r="D39" s="9">
        <v>198</v>
      </c>
      <c r="E39" s="9">
        <v>145</v>
      </c>
      <c r="F39" s="9">
        <v>230</v>
      </c>
      <c r="G39" s="7">
        <v>0.4</v>
      </c>
      <c r="H39" s="9">
        <v>50</v>
      </c>
      <c r="I39" s="9" t="s">
        <v>36</v>
      </c>
      <c r="J39" s="9"/>
      <c r="K39" s="9"/>
      <c r="L39" s="9">
        <f t="shared" si="2"/>
        <v>145</v>
      </c>
      <c r="M39" s="9"/>
      <c r="N39" s="9"/>
      <c r="O39" s="9">
        <v>250</v>
      </c>
      <c r="P39" s="9">
        <v>50</v>
      </c>
      <c r="Q39" s="9">
        <f t="shared" si="3"/>
        <v>29</v>
      </c>
      <c r="R39" s="4">
        <f t="shared" si="8"/>
        <v>50</v>
      </c>
      <c r="S39" s="4"/>
      <c r="T39" s="9"/>
      <c r="U39" s="9">
        <f t="shared" si="4"/>
        <v>20</v>
      </c>
      <c r="V39" s="9">
        <f t="shared" si="5"/>
        <v>18.275862068965516</v>
      </c>
      <c r="W39" s="9">
        <v>41.6</v>
      </c>
      <c r="X39" s="9">
        <v>49.6</v>
      </c>
      <c r="Y39" s="9">
        <v>24.2</v>
      </c>
      <c r="Z39" s="9">
        <v>49.6</v>
      </c>
      <c r="AA39" s="9">
        <v>38</v>
      </c>
      <c r="AB39" s="9">
        <v>53</v>
      </c>
      <c r="AC39" s="9">
        <v>40.4</v>
      </c>
      <c r="AD39" s="9">
        <v>51</v>
      </c>
      <c r="AE39" s="9"/>
      <c r="AF39" s="9">
        <f t="shared" si="9"/>
        <v>20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spans="1:50" x14ac:dyDescent="0.25">
      <c r="A40" s="9" t="s">
        <v>75</v>
      </c>
      <c r="B40" s="9" t="s">
        <v>38</v>
      </c>
      <c r="C40" s="9">
        <v>12</v>
      </c>
      <c r="D40" s="9">
        <v>200</v>
      </c>
      <c r="E40" s="9">
        <v>62</v>
      </c>
      <c r="F40" s="9">
        <v>150</v>
      </c>
      <c r="G40" s="7">
        <v>0.18</v>
      </c>
      <c r="H40" s="9">
        <v>50</v>
      </c>
      <c r="I40" s="9" t="s">
        <v>36</v>
      </c>
      <c r="J40" s="9"/>
      <c r="K40" s="9"/>
      <c r="L40" s="9">
        <f t="shared" si="2"/>
        <v>62</v>
      </c>
      <c r="M40" s="9"/>
      <c r="N40" s="9"/>
      <c r="O40" s="9">
        <v>300</v>
      </c>
      <c r="P40" s="9">
        <v>0</v>
      </c>
      <c r="Q40" s="9">
        <f t="shared" si="3"/>
        <v>12.4</v>
      </c>
      <c r="R40" s="4"/>
      <c r="S40" s="4"/>
      <c r="T40" s="9"/>
      <c r="U40" s="9">
        <f t="shared" si="4"/>
        <v>36.29032258064516</v>
      </c>
      <c r="V40" s="9">
        <f t="shared" si="5"/>
        <v>36.29032258064516</v>
      </c>
      <c r="W40" s="9">
        <v>38.4</v>
      </c>
      <c r="X40" s="9">
        <v>10.8</v>
      </c>
      <c r="Y40" s="9">
        <v>-6.8</v>
      </c>
      <c r="Z40" s="9">
        <v>10.8</v>
      </c>
      <c r="AA40" s="9">
        <v>56.2</v>
      </c>
      <c r="AB40" s="9">
        <v>39</v>
      </c>
      <c r="AC40" s="9">
        <v>33.799999999999997</v>
      </c>
      <c r="AD40" s="9">
        <v>35.4</v>
      </c>
      <c r="AE40" s="9"/>
      <c r="AF40" s="9">
        <f t="shared" si="9"/>
        <v>0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spans="1:50" x14ac:dyDescent="0.25">
      <c r="A41" s="9" t="s">
        <v>76</v>
      </c>
      <c r="B41" s="9" t="s">
        <v>38</v>
      </c>
      <c r="C41" s="9">
        <v>163.1</v>
      </c>
      <c r="D41" s="9">
        <v>996</v>
      </c>
      <c r="E41" s="9">
        <v>616</v>
      </c>
      <c r="F41" s="9">
        <v>535.1</v>
      </c>
      <c r="G41" s="7">
        <v>0.3</v>
      </c>
      <c r="H41" s="9">
        <v>50</v>
      </c>
      <c r="I41" s="9" t="s">
        <v>36</v>
      </c>
      <c r="J41" s="9"/>
      <c r="K41" s="9"/>
      <c r="L41" s="9">
        <f t="shared" si="2"/>
        <v>616</v>
      </c>
      <c r="M41" s="9"/>
      <c r="N41" s="9"/>
      <c r="O41" s="9">
        <v>2000</v>
      </c>
      <c r="P41" s="9">
        <v>0</v>
      </c>
      <c r="Q41" s="9">
        <f t="shared" si="3"/>
        <v>123.2</v>
      </c>
      <c r="R41" s="4"/>
      <c r="S41" s="4"/>
      <c r="T41" s="9"/>
      <c r="U41" s="9">
        <f t="shared" si="4"/>
        <v>20.57711038961039</v>
      </c>
      <c r="V41" s="9">
        <f t="shared" si="5"/>
        <v>20.57711038961039</v>
      </c>
      <c r="W41" s="9">
        <v>589.4</v>
      </c>
      <c r="X41" s="9">
        <v>287.60000000000002</v>
      </c>
      <c r="Y41" s="9">
        <v>234</v>
      </c>
      <c r="Z41" s="9">
        <v>287.60000000000002</v>
      </c>
      <c r="AA41" s="9">
        <v>311</v>
      </c>
      <c r="AB41" s="9">
        <v>335.8</v>
      </c>
      <c r="AC41" s="9">
        <v>282.60000000000002</v>
      </c>
      <c r="AD41" s="9">
        <v>283.39999999999998</v>
      </c>
      <c r="AE41" s="9"/>
      <c r="AF41" s="9">
        <f t="shared" si="9"/>
        <v>0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spans="1:50" x14ac:dyDescent="0.25">
      <c r="A42" s="10" t="s">
        <v>77</v>
      </c>
      <c r="B42" s="10" t="s">
        <v>38</v>
      </c>
      <c r="C42" s="9"/>
      <c r="D42" s="9">
        <v>120</v>
      </c>
      <c r="E42" s="9"/>
      <c r="F42" s="9">
        <v>120</v>
      </c>
      <c r="G42" s="7">
        <v>0.28000000000000003</v>
      </c>
      <c r="H42" s="9">
        <v>45</v>
      </c>
      <c r="I42" s="9">
        <v>1001304507230</v>
      </c>
      <c r="J42" s="9"/>
      <c r="K42" s="9"/>
      <c r="L42" s="9">
        <f t="shared" si="2"/>
        <v>0</v>
      </c>
      <c r="M42" s="9"/>
      <c r="N42" s="9"/>
      <c r="O42" s="9">
        <v>250</v>
      </c>
      <c r="P42" s="9">
        <v>0</v>
      </c>
      <c r="Q42" s="9">
        <f t="shared" si="3"/>
        <v>0</v>
      </c>
      <c r="R42" s="4"/>
      <c r="S42" s="4"/>
      <c r="T42" s="9"/>
      <c r="U42" s="9" t="e">
        <f t="shared" si="4"/>
        <v>#DIV/0!</v>
      </c>
      <c r="V42" s="9" t="e">
        <f t="shared" si="5"/>
        <v>#DIV/0!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 t="s">
        <v>41</v>
      </c>
      <c r="AF42" s="9">
        <f t="shared" si="9"/>
        <v>0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spans="1:50" x14ac:dyDescent="0.25">
      <c r="A43" s="10" t="s">
        <v>78</v>
      </c>
      <c r="B43" s="10" t="s">
        <v>38</v>
      </c>
      <c r="C43" s="9"/>
      <c r="D43" s="9">
        <v>200</v>
      </c>
      <c r="E43" s="9"/>
      <c r="F43" s="9">
        <v>200</v>
      </c>
      <c r="G43" s="7">
        <v>0.3</v>
      </c>
      <c r="H43" s="9">
        <v>60</v>
      </c>
      <c r="I43" s="9">
        <v>1001013957231</v>
      </c>
      <c r="J43" s="9"/>
      <c r="K43" s="9"/>
      <c r="L43" s="9">
        <f t="shared" si="2"/>
        <v>0</v>
      </c>
      <c r="M43" s="9"/>
      <c r="N43" s="9"/>
      <c r="O43" s="9">
        <v>200</v>
      </c>
      <c r="P43" s="9">
        <v>120</v>
      </c>
      <c r="Q43" s="9">
        <f t="shared" si="3"/>
        <v>0</v>
      </c>
      <c r="R43" s="4"/>
      <c r="S43" s="4"/>
      <c r="T43" s="9"/>
      <c r="U43" s="9" t="e">
        <f t="shared" si="4"/>
        <v>#DIV/0!</v>
      </c>
      <c r="V43" s="9" t="e">
        <f t="shared" si="5"/>
        <v>#DIV/0!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 t="s">
        <v>41</v>
      </c>
      <c r="AF43" s="9">
        <f t="shared" si="9"/>
        <v>0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spans="1:50" x14ac:dyDescent="0.25">
      <c r="A44" s="10" t="s">
        <v>79</v>
      </c>
      <c r="B44" s="10" t="s">
        <v>38</v>
      </c>
      <c r="C44" s="9"/>
      <c r="D44" s="9">
        <v>120</v>
      </c>
      <c r="E44" s="9"/>
      <c r="F44" s="9">
        <v>120</v>
      </c>
      <c r="G44" s="7">
        <v>0.28000000000000003</v>
      </c>
      <c r="H44" s="9"/>
      <c r="I44" s="9">
        <v>1001301777332</v>
      </c>
      <c r="J44" s="9"/>
      <c r="K44" s="9"/>
      <c r="L44" s="9">
        <f t="shared" si="2"/>
        <v>0</v>
      </c>
      <c r="M44" s="9"/>
      <c r="N44" s="9"/>
      <c r="O44" s="9">
        <v>200</v>
      </c>
      <c r="P44" s="9">
        <v>0</v>
      </c>
      <c r="Q44" s="9">
        <f t="shared" si="3"/>
        <v>0</v>
      </c>
      <c r="R44" s="4"/>
      <c r="S44" s="4"/>
      <c r="T44" s="9"/>
      <c r="U44" s="9" t="e">
        <f t="shared" si="4"/>
        <v>#DIV/0!</v>
      </c>
      <c r="V44" s="9" t="e">
        <f t="shared" si="5"/>
        <v>#DIV/0!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 t="s">
        <v>41</v>
      </c>
      <c r="AF44" s="9">
        <f t="shared" si="9"/>
        <v>0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x14ac:dyDescent="0.25">
      <c r="A45" s="9" t="s">
        <v>80</v>
      </c>
      <c r="B45" s="9" t="s">
        <v>38</v>
      </c>
      <c r="C45" s="9">
        <v>400</v>
      </c>
      <c r="D45" s="9">
        <v>120</v>
      </c>
      <c r="E45" s="9">
        <v>84</v>
      </c>
      <c r="F45" s="9">
        <v>431</v>
      </c>
      <c r="G45" s="7">
        <v>0.28000000000000003</v>
      </c>
      <c r="H45" s="9">
        <v>50</v>
      </c>
      <c r="I45" s="9" t="s">
        <v>36</v>
      </c>
      <c r="J45" s="9"/>
      <c r="K45" s="9"/>
      <c r="L45" s="9">
        <f t="shared" si="2"/>
        <v>84</v>
      </c>
      <c r="M45" s="9"/>
      <c r="N45" s="9"/>
      <c r="O45" s="9">
        <v>160</v>
      </c>
      <c r="P45" s="9">
        <v>0</v>
      </c>
      <c r="Q45" s="9">
        <f t="shared" si="3"/>
        <v>16.8</v>
      </c>
      <c r="R45" s="4"/>
      <c r="S45" s="4"/>
      <c r="T45" s="9"/>
      <c r="U45" s="9">
        <f t="shared" si="4"/>
        <v>35.178571428571431</v>
      </c>
      <c r="V45" s="9">
        <f t="shared" si="5"/>
        <v>35.178571428571431</v>
      </c>
      <c r="W45" s="9">
        <v>129.4</v>
      </c>
      <c r="X45" s="9">
        <v>33</v>
      </c>
      <c r="Y45" s="9">
        <v>20.399999999999999</v>
      </c>
      <c r="Z45" s="9">
        <v>33</v>
      </c>
      <c r="AA45" s="9">
        <v>39</v>
      </c>
      <c r="AB45" s="9">
        <v>44.6</v>
      </c>
      <c r="AC45" s="9">
        <v>25.2</v>
      </c>
      <c r="AD45" s="9">
        <v>41.6</v>
      </c>
      <c r="AE45" s="20" t="s">
        <v>85</v>
      </c>
      <c r="AF45" s="9">
        <f t="shared" si="9"/>
        <v>0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x14ac:dyDescent="0.25">
      <c r="A46" s="13" t="s">
        <v>81</v>
      </c>
      <c r="B46" s="9"/>
      <c r="C46" s="9"/>
      <c r="D46" s="9"/>
      <c r="E46" s="9"/>
      <c r="F46" s="9"/>
      <c r="G46" s="7">
        <v>1</v>
      </c>
      <c r="H46" s="9"/>
      <c r="I46" s="9">
        <v>1001032736549</v>
      </c>
      <c r="J46" s="9"/>
      <c r="K46" s="9"/>
      <c r="L46" s="9">
        <f t="shared" si="2"/>
        <v>0</v>
      </c>
      <c r="M46" s="9"/>
      <c r="N46" s="9"/>
      <c r="O46" s="9">
        <v>200</v>
      </c>
      <c r="P46" s="9">
        <v>200</v>
      </c>
      <c r="Q46" s="9">
        <f t="shared" si="3"/>
        <v>0</v>
      </c>
      <c r="R46" s="4"/>
      <c r="S46" s="4"/>
      <c r="T46" s="9"/>
      <c r="U46" s="9" t="e">
        <f t="shared" si="4"/>
        <v>#DIV/0!</v>
      </c>
      <c r="V46" s="9" t="e">
        <f t="shared" si="5"/>
        <v>#DIV/0!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12" t="s">
        <v>82</v>
      </c>
      <c r="AF46" s="9">
        <f t="shared" si="9"/>
        <v>0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x14ac:dyDescent="0.25">
      <c r="A47" s="12" t="s">
        <v>83</v>
      </c>
      <c r="B47" s="9"/>
      <c r="C47" s="9"/>
      <c r="D47" s="9"/>
      <c r="E47" s="9"/>
      <c r="F47" s="9"/>
      <c r="G47" s="7">
        <v>1</v>
      </c>
      <c r="H47" s="9"/>
      <c r="I47" s="9">
        <v>1001031076548</v>
      </c>
      <c r="J47" s="9"/>
      <c r="K47" s="9"/>
      <c r="L47" s="9">
        <f t="shared" si="2"/>
        <v>0</v>
      </c>
      <c r="M47" s="9"/>
      <c r="N47" s="9"/>
      <c r="O47" s="9">
        <v>0</v>
      </c>
      <c r="P47" s="9">
        <v>0</v>
      </c>
      <c r="Q47" s="9">
        <f t="shared" si="3"/>
        <v>0</v>
      </c>
      <c r="R47" s="4"/>
      <c r="S47" s="4"/>
      <c r="T47" s="9"/>
      <c r="U47" s="9" t="e">
        <f t="shared" si="4"/>
        <v>#DIV/0!</v>
      </c>
      <c r="V47" s="9" t="e">
        <f t="shared" si="5"/>
        <v>#DIV/0!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12" t="s">
        <v>82</v>
      </c>
      <c r="AF47" s="9">
        <f t="shared" si="9"/>
        <v>0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x14ac:dyDescent="0.25">
      <c r="A48" s="9"/>
      <c r="B48" s="9"/>
      <c r="C48" s="9"/>
      <c r="D48" s="9"/>
      <c r="E48" s="9"/>
      <c r="F48" s="9"/>
      <c r="G48" s="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x14ac:dyDescent="0.25">
      <c r="A49" s="9"/>
      <c r="B49" s="9"/>
      <c r="C49" s="9"/>
      <c r="D49" s="9"/>
      <c r="E49" s="9"/>
      <c r="F49" s="9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x14ac:dyDescent="0.25">
      <c r="A50" s="9"/>
      <c r="B50" s="9"/>
      <c r="C50" s="9"/>
      <c r="D50" s="9"/>
      <c r="E50" s="9"/>
      <c r="F50" s="9"/>
      <c r="G50" s="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x14ac:dyDescent="0.25">
      <c r="A51" s="9"/>
      <c r="B51" s="9"/>
      <c r="C51" s="9"/>
      <c r="D51" s="9"/>
      <c r="E51" s="9"/>
      <c r="F51" s="9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</row>
    <row r="52" spans="1:50" x14ac:dyDescent="0.25">
      <c r="A52" s="9"/>
      <c r="B52" s="9"/>
      <c r="C52" s="9"/>
      <c r="D52" s="9"/>
      <c r="E52" s="9"/>
      <c r="F52" s="9"/>
      <c r="G52" s="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x14ac:dyDescent="0.25">
      <c r="A53" s="9"/>
      <c r="B53" s="9"/>
      <c r="C53" s="9"/>
      <c r="D53" s="9"/>
      <c r="E53" s="9"/>
      <c r="F53" s="9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x14ac:dyDescent="0.25">
      <c r="A54" s="9"/>
      <c r="B54" s="9"/>
      <c r="C54" s="9"/>
      <c r="D54" s="9"/>
      <c r="E54" s="9"/>
      <c r="F54" s="9"/>
      <c r="G54" s="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</row>
    <row r="55" spans="1:50" x14ac:dyDescent="0.25">
      <c r="A55" s="9"/>
      <c r="B55" s="9"/>
      <c r="C55" s="9"/>
      <c r="D55" s="9"/>
      <c r="E55" s="9"/>
      <c r="F55" s="9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x14ac:dyDescent="0.25">
      <c r="A56" s="9"/>
      <c r="B56" s="9"/>
      <c r="C56" s="9"/>
      <c r="D56" s="9"/>
      <c r="E56" s="9"/>
      <c r="F56" s="9"/>
      <c r="G56" s="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x14ac:dyDescent="0.25">
      <c r="A57" s="9"/>
      <c r="B57" s="9"/>
      <c r="C57" s="9"/>
      <c r="D57" s="9"/>
      <c r="E57" s="9"/>
      <c r="F57" s="9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</row>
    <row r="58" spans="1:50" x14ac:dyDescent="0.25">
      <c r="A58" s="9"/>
      <c r="B58" s="9"/>
      <c r="C58" s="9"/>
      <c r="D58" s="9"/>
      <c r="E58" s="9"/>
      <c r="F58" s="9"/>
      <c r="G58" s="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</row>
    <row r="59" spans="1:50" x14ac:dyDescent="0.25">
      <c r="A59" s="9"/>
      <c r="B59" s="9"/>
      <c r="C59" s="9"/>
      <c r="D59" s="9"/>
      <c r="E59" s="9"/>
      <c r="F59" s="9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</row>
    <row r="60" spans="1:50" x14ac:dyDescent="0.25">
      <c r="A60" s="9"/>
      <c r="B60" s="9"/>
      <c r="C60" s="9"/>
      <c r="D60" s="9"/>
      <c r="E60" s="9"/>
      <c r="F60" s="9"/>
      <c r="G60" s="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</row>
    <row r="61" spans="1:50" x14ac:dyDescent="0.25">
      <c r="A61" s="9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 spans="1:50" x14ac:dyDescent="0.25">
      <c r="A62" s="9"/>
      <c r="B62" s="9"/>
      <c r="C62" s="9"/>
      <c r="D62" s="9"/>
      <c r="E62" s="9"/>
      <c r="F62" s="9"/>
      <c r="G62" s="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 spans="1:50" x14ac:dyDescent="0.25">
      <c r="A63" s="9"/>
      <c r="B63" s="9"/>
      <c r="C63" s="9"/>
      <c r="D63" s="9"/>
      <c r="E63" s="9"/>
      <c r="F63" s="9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pans="1:50" x14ac:dyDescent="0.25">
      <c r="A64" s="9"/>
      <c r="B64" s="9"/>
      <c r="C64" s="9"/>
      <c r="D64" s="9"/>
      <c r="E64" s="9"/>
      <c r="F64" s="9"/>
      <c r="G64" s="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pans="1:50" x14ac:dyDescent="0.25">
      <c r="A65" s="9"/>
      <c r="B65" s="9"/>
      <c r="C65" s="9"/>
      <c r="D65" s="9"/>
      <c r="E65" s="9"/>
      <c r="F65" s="9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pans="1:50" x14ac:dyDescent="0.25">
      <c r="A66" s="9"/>
      <c r="B66" s="9"/>
      <c r="C66" s="9"/>
      <c r="D66" s="9"/>
      <c r="E66" s="9"/>
      <c r="F66" s="9"/>
      <c r="G66" s="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pans="1:50" x14ac:dyDescent="0.25">
      <c r="A67" s="9"/>
      <c r="B67" s="9"/>
      <c r="C67" s="9"/>
      <c r="D67" s="9"/>
      <c r="E67" s="9"/>
      <c r="F67" s="9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 spans="1:50" x14ac:dyDescent="0.25">
      <c r="A68" s="9"/>
      <c r="B68" s="9"/>
      <c r="C68" s="9"/>
      <c r="D68" s="9"/>
      <c r="E68" s="9"/>
      <c r="F68" s="9"/>
      <c r="G68" s="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 spans="1:50" x14ac:dyDescent="0.25">
      <c r="A69" s="9"/>
      <c r="B69" s="9"/>
      <c r="C69" s="9"/>
      <c r="D69" s="9"/>
      <c r="E69" s="9"/>
      <c r="F69" s="9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 spans="1:50" x14ac:dyDescent="0.25">
      <c r="A70" s="9"/>
      <c r="B70" s="9"/>
      <c r="C70" s="9"/>
      <c r="D70" s="9"/>
      <c r="E70" s="9"/>
      <c r="F70" s="9"/>
      <c r="G70" s="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 spans="1:50" x14ac:dyDescent="0.25">
      <c r="A71" s="9"/>
      <c r="B71" s="9"/>
      <c r="C71" s="9"/>
      <c r="D71" s="9"/>
      <c r="E71" s="9"/>
      <c r="F71" s="9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 spans="1:50" x14ac:dyDescent="0.25">
      <c r="A72" s="9"/>
      <c r="B72" s="9"/>
      <c r="C72" s="9"/>
      <c r="D72" s="9"/>
      <c r="E72" s="9"/>
      <c r="F72" s="9"/>
      <c r="G72" s="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 spans="1:50" x14ac:dyDescent="0.25">
      <c r="A73" s="9"/>
      <c r="B73" s="9"/>
      <c r="C73" s="9"/>
      <c r="D73" s="9"/>
      <c r="E73" s="9"/>
      <c r="F73" s="9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 spans="1:50" x14ac:dyDescent="0.25">
      <c r="A74" s="9"/>
      <c r="B74" s="9"/>
      <c r="C74" s="9"/>
      <c r="D74" s="9"/>
      <c r="E74" s="9"/>
      <c r="F74" s="9"/>
      <c r="G74" s="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 spans="1:50" x14ac:dyDescent="0.25">
      <c r="A75" s="9"/>
      <c r="B75" s="9"/>
      <c r="C75" s="9"/>
      <c r="D75" s="9"/>
      <c r="E75" s="9"/>
      <c r="F75" s="9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 spans="1:50" x14ac:dyDescent="0.25">
      <c r="A76" s="9"/>
      <c r="B76" s="9"/>
      <c r="C76" s="9"/>
      <c r="D76" s="9"/>
      <c r="E76" s="9"/>
      <c r="F76" s="9"/>
      <c r="G76" s="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</row>
    <row r="77" spans="1:50" x14ac:dyDescent="0.25">
      <c r="A77" s="9"/>
      <c r="B77" s="9"/>
      <c r="C77" s="9"/>
      <c r="D77" s="9"/>
      <c r="E77" s="9"/>
      <c r="F77" s="9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</row>
    <row r="78" spans="1:50" x14ac:dyDescent="0.25">
      <c r="A78" s="9"/>
      <c r="B78" s="9"/>
      <c r="C78" s="9"/>
      <c r="D78" s="9"/>
      <c r="E78" s="9"/>
      <c r="F78" s="9"/>
      <c r="G78" s="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</row>
    <row r="79" spans="1:50" x14ac:dyDescent="0.25">
      <c r="A79" s="9"/>
      <c r="B79" s="9"/>
      <c r="C79" s="9"/>
      <c r="D79" s="9"/>
      <c r="E79" s="9"/>
      <c r="F79" s="9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 spans="1:50" x14ac:dyDescent="0.25">
      <c r="A80" s="9"/>
      <c r="B80" s="9"/>
      <c r="C80" s="9"/>
      <c r="D80" s="9"/>
      <c r="E80" s="9"/>
      <c r="F80" s="9"/>
      <c r="G80" s="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 spans="1:50" x14ac:dyDescent="0.25">
      <c r="A81" s="9"/>
      <c r="B81" s="9"/>
      <c r="C81" s="9"/>
      <c r="D81" s="9"/>
      <c r="E81" s="9"/>
      <c r="F81" s="9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 spans="1:50" x14ac:dyDescent="0.25">
      <c r="A82" s="9"/>
      <c r="B82" s="9"/>
      <c r="C82" s="9"/>
      <c r="D82" s="9"/>
      <c r="E82" s="9"/>
      <c r="F82" s="9"/>
      <c r="G82" s="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 spans="1:50" x14ac:dyDescent="0.25">
      <c r="A83" s="9"/>
      <c r="B83" s="9"/>
      <c r="C83" s="9"/>
      <c r="D83" s="9"/>
      <c r="E83" s="9"/>
      <c r="F83" s="9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 spans="1:50" x14ac:dyDescent="0.25">
      <c r="A84" s="9"/>
      <c r="B84" s="9"/>
      <c r="C84" s="9"/>
      <c r="D84" s="9"/>
      <c r="E84" s="9"/>
      <c r="F84" s="9"/>
      <c r="G84" s="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 spans="1:50" x14ac:dyDescent="0.25">
      <c r="A85" s="9"/>
      <c r="B85" s="9"/>
      <c r="C85" s="9"/>
      <c r="D85" s="9"/>
      <c r="E85" s="9"/>
      <c r="F85" s="9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 spans="1:50" x14ac:dyDescent="0.25">
      <c r="A86" s="9"/>
      <c r="B86" s="9"/>
      <c r="C86" s="9"/>
      <c r="D86" s="9"/>
      <c r="E86" s="9"/>
      <c r="F86" s="9"/>
      <c r="G86" s="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 spans="1:50" x14ac:dyDescent="0.25">
      <c r="A87" s="9"/>
      <c r="B87" s="9"/>
      <c r="C87" s="9"/>
      <c r="D87" s="9"/>
      <c r="E87" s="9"/>
      <c r="F87" s="9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0" x14ac:dyDescent="0.25">
      <c r="A88" s="9"/>
      <c r="B88" s="9"/>
      <c r="C88" s="9"/>
      <c r="D88" s="9"/>
      <c r="E88" s="9"/>
      <c r="F88" s="9"/>
      <c r="G88" s="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0" x14ac:dyDescent="0.25">
      <c r="A89" s="9"/>
      <c r="B89" s="9"/>
      <c r="C89" s="9"/>
      <c r="D89" s="9"/>
      <c r="E89" s="9"/>
      <c r="F89" s="9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0" x14ac:dyDescent="0.25">
      <c r="A90" s="9"/>
      <c r="B90" s="9"/>
      <c r="C90" s="9"/>
      <c r="D90" s="9"/>
      <c r="E90" s="9"/>
      <c r="F90" s="9"/>
      <c r="G90" s="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0" x14ac:dyDescent="0.25">
      <c r="A91" s="9"/>
      <c r="B91" s="9"/>
      <c r="C91" s="9"/>
      <c r="D91" s="9"/>
      <c r="E91" s="9"/>
      <c r="F91" s="9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 x14ac:dyDescent="0.25">
      <c r="A92" s="9"/>
      <c r="B92" s="9"/>
      <c r="C92" s="9"/>
      <c r="D92" s="9"/>
      <c r="E92" s="9"/>
      <c r="F92" s="9"/>
      <c r="G92" s="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 x14ac:dyDescent="0.25">
      <c r="A93" s="9"/>
      <c r="B93" s="9"/>
      <c r="C93" s="9"/>
      <c r="D93" s="9"/>
      <c r="E93" s="9"/>
      <c r="F93" s="9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 spans="1:50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 spans="1:50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0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 spans="1:50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 spans="1:50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 spans="1:50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</row>
    <row r="103" spans="1:50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 spans="1:50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0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 spans="1:50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 spans="1:50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0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0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 spans="1:50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 spans="1:50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 spans="1:50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 spans="1:50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 spans="1:50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 spans="1:50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 spans="1:50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 spans="1:50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 spans="1:50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 spans="1:50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 spans="1:50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 spans="1:50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 spans="1:50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 spans="1:50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 spans="1:50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 spans="1:50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 spans="1:50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 spans="1:50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 spans="1:50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 spans="1:50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 spans="1:50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 spans="1:50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 spans="1:50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 spans="1:50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 spans="1:50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 spans="1:50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 spans="1:50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 spans="1:50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 spans="1:50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 spans="1:50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 spans="1:50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 spans="1:50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 spans="1:50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 spans="1:50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 spans="1:50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 spans="1:50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 spans="1:50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 spans="1:50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 spans="1:50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 spans="1:50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 spans="1:50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 spans="1:50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 spans="1:50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 spans="1:50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 spans="1:50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 spans="1:50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 spans="1:50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 spans="1:50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 spans="1:50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 spans="1:50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 spans="1:50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 spans="1:50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 spans="1:50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 spans="1:50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 spans="1:50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 spans="1:50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 spans="1:50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 spans="1:50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 spans="1:50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 spans="1:50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 spans="1:50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 spans="1:50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 spans="1:50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 spans="1:50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 spans="1:50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 spans="1:50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 spans="1:50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 spans="1:50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 spans="1:50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 spans="1:50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 spans="1:50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 spans="1:50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 spans="1:50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 spans="1:50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 spans="1:50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 spans="1:50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 spans="1:50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 spans="1:50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 spans="1:50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 spans="1:50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 spans="1:50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 spans="1:50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 spans="1:50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 spans="1:50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 spans="1:50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 spans="1:50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 spans="1:50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 spans="1:50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 spans="1:50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 spans="1:50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 spans="1:50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 spans="1:50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 spans="1:50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 spans="1:50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  <row r="299" spans="1:50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</row>
    <row r="300" spans="1:50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</row>
    <row r="301" spans="1:50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</row>
    <row r="302" spans="1:50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</row>
    <row r="303" spans="1:50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</row>
    <row r="304" spans="1:50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</row>
    <row r="305" spans="1:50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</row>
    <row r="306" spans="1:50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</row>
    <row r="307" spans="1:50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</row>
    <row r="308" spans="1:50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</row>
    <row r="309" spans="1:50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</row>
    <row r="310" spans="1:50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</row>
    <row r="311" spans="1:50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</row>
    <row r="312" spans="1:50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</row>
    <row r="313" spans="1:50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</row>
    <row r="314" spans="1:50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</row>
    <row r="315" spans="1:50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</row>
    <row r="316" spans="1:50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</row>
    <row r="317" spans="1:50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</row>
    <row r="318" spans="1:50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</row>
    <row r="319" spans="1:50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</row>
    <row r="320" spans="1:50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</row>
    <row r="321" spans="1:50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</row>
    <row r="322" spans="1:50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</row>
    <row r="323" spans="1:50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</row>
    <row r="324" spans="1:50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</row>
    <row r="325" spans="1:50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</row>
    <row r="326" spans="1:50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</row>
    <row r="327" spans="1:50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</row>
    <row r="328" spans="1:50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</row>
    <row r="329" spans="1:50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</row>
    <row r="330" spans="1:50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</row>
    <row r="331" spans="1:50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</row>
    <row r="332" spans="1:50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</row>
    <row r="333" spans="1:50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</row>
    <row r="334" spans="1:50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</row>
    <row r="335" spans="1:50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</row>
    <row r="336" spans="1:50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</row>
    <row r="337" spans="1:50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</row>
    <row r="338" spans="1:50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</row>
    <row r="339" spans="1:50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</row>
    <row r="340" spans="1:50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</row>
    <row r="341" spans="1:50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</row>
    <row r="342" spans="1:50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</row>
    <row r="343" spans="1:50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</row>
    <row r="344" spans="1:50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</row>
    <row r="345" spans="1:50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</row>
    <row r="346" spans="1:50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</row>
    <row r="347" spans="1:50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</row>
    <row r="348" spans="1:50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</row>
    <row r="349" spans="1:50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</row>
    <row r="350" spans="1:50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</row>
    <row r="351" spans="1:50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</row>
    <row r="352" spans="1:50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</row>
    <row r="353" spans="1:50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</row>
    <row r="354" spans="1:50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</row>
    <row r="355" spans="1:50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</row>
    <row r="356" spans="1:50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</row>
    <row r="357" spans="1:50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</row>
    <row r="358" spans="1:50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</row>
    <row r="359" spans="1:50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</row>
    <row r="360" spans="1:50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</row>
    <row r="361" spans="1:50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</row>
    <row r="362" spans="1:50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</row>
    <row r="363" spans="1:50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</row>
    <row r="364" spans="1:50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</row>
    <row r="365" spans="1:50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</row>
    <row r="366" spans="1:50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</row>
    <row r="367" spans="1:50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</row>
    <row r="368" spans="1:50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</row>
    <row r="369" spans="1:50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</row>
    <row r="370" spans="1:50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</row>
    <row r="371" spans="1:50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</row>
    <row r="372" spans="1:50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</row>
    <row r="373" spans="1:50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</row>
    <row r="374" spans="1:50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</row>
    <row r="375" spans="1:50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</row>
    <row r="376" spans="1:50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</row>
    <row r="377" spans="1:50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</row>
    <row r="378" spans="1:50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</row>
    <row r="379" spans="1:50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</row>
    <row r="380" spans="1:50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</row>
    <row r="381" spans="1:50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</row>
    <row r="382" spans="1:50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</row>
    <row r="383" spans="1:50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</row>
    <row r="384" spans="1:50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</row>
    <row r="385" spans="1:50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</row>
    <row r="386" spans="1:50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</row>
    <row r="387" spans="1:50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</row>
    <row r="388" spans="1:50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</row>
    <row r="389" spans="1:50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</row>
    <row r="390" spans="1:50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</row>
    <row r="391" spans="1:50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</row>
    <row r="392" spans="1:50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</row>
    <row r="393" spans="1:50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</row>
    <row r="394" spans="1:50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</row>
    <row r="395" spans="1:50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</row>
    <row r="396" spans="1:50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</row>
    <row r="397" spans="1:50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</row>
    <row r="398" spans="1:50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</row>
    <row r="399" spans="1:50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</row>
    <row r="400" spans="1:50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</row>
    <row r="401" spans="1:50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</row>
    <row r="402" spans="1:50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</row>
    <row r="403" spans="1:50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</row>
    <row r="404" spans="1:50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</row>
    <row r="405" spans="1:50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</row>
    <row r="406" spans="1:50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</row>
    <row r="407" spans="1:50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</row>
    <row r="408" spans="1:50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</row>
    <row r="409" spans="1:50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</row>
    <row r="410" spans="1:50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</row>
    <row r="411" spans="1:50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</row>
    <row r="412" spans="1:50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</row>
    <row r="413" spans="1:50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</row>
    <row r="414" spans="1:50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</row>
    <row r="415" spans="1:50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</row>
    <row r="416" spans="1:50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</row>
    <row r="417" spans="1:50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</row>
    <row r="418" spans="1:50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</row>
    <row r="419" spans="1:50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</row>
    <row r="420" spans="1:50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</row>
    <row r="421" spans="1:50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</row>
    <row r="422" spans="1:50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</row>
    <row r="423" spans="1:50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</row>
    <row r="424" spans="1:50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</row>
    <row r="425" spans="1:50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</row>
    <row r="426" spans="1:50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</row>
    <row r="427" spans="1:50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</row>
    <row r="428" spans="1:50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</row>
    <row r="429" spans="1:50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</row>
    <row r="430" spans="1:50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</row>
    <row r="431" spans="1:50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</row>
    <row r="432" spans="1:50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</row>
    <row r="433" spans="1:50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</row>
    <row r="434" spans="1:50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</row>
    <row r="435" spans="1:50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</row>
    <row r="436" spans="1:50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</row>
    <row r="437" spans="1:50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</row>
    <row r="438" spans="1:50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</row>
    <row r="439" spans="1:50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</row>
    <row r="440" spans="1:50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</row>
    <row r="441" spans="1:50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</row>
    <row r="442" spans="1:50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</row>
    <row r="443" spans="1:50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</row>
    <row r="444" spans="1:50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</row>
    <row r="445" spans="1:50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</row>
    <row r="446" spans="1:50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</row>
    <row r="447" spans="1:50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</row>
    <row r="448" spans="1:50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</row>
    <row r="449" spans="1:50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</row>
    <row r="450" spans="1:50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</row>
    <row r="451" spans="1:50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</row>
    <row r="452" spans="1:50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</row>
    <row r="453" spans="1:50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</row>
    <row r="454" spans="1:50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</row>
    <row r="455" spans="1:50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</row>
    <row r="456" spans="1:50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</row>
    <row r="457" spans="1:50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</row>
    <row r="458" spans="1:50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</row>
    <row r="459" spans="1:50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</row>
    <row r="460" spans="1:50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</row>
    <row r="461" spans="1:50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</row>
    <row r="462" spans="1:50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</row>
    <row r="463" spans="1:50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</row>
    <row r="464" spans="1:50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</row>
    <row r="465" spans="1:50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</row>
    <row r="466" spans="1:50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</row>
    <row r="467" spans="1:50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</row>
    <row r="468" spans="1:50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</row>
    <row r="469" spans="1:50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</row>
    <row r="470" spans="1:50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</row>
    <row r="471" spans="1:50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</row>
    <row r="472" spans="1:50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</row>
    <row r="473" spans="1:50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</row>
    <row r="474" spans="1:50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</row>
    <row r="475" spans="1:50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</row>
    <row r="476" spans="1:50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</row>
    <row r="477" spans="1:50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</row>
    <row r="478" spans="1:50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</row>
    <row r="479" spans="1:50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</row>
    <row r="480" spans="1:50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</row>
    <row r="481" spans="1:50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</row>
    <row r="482" spans="1:50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</row>
    <row r="483" spans="1:50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</row>
    <row r="484" spans="1:50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</row>
    <row r="485" spans="1:50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</row>
    <row r="486" spans="1:50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</row>
    <row r="487" spans="1:50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</row>
    <row r="488" spans="1:50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</row>
    <row r="489" spans="1:50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</row>
    <row r="490" spans="1:50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</row>
    <row r="491" spans="1:50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</row>
  </sheetData>
  <autoFilter ref="A3:AF4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2026-01-12T09:48:25Z</dcterms:created>
  <dcterms:modified xsi:type="dcterms:W3CDTF">2026-01-12T10:14:52Z</dcterms:modified>
</cp:coreProperties>
</file>