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2,01,26 Мираторг КИ Ташкент\Ташкент\"/>
    </mc:Choice>
  </mc:AlternateContent>
  <xr:revisionPtr revIDLastSave="0" documentId="13_ncr:1_{DCCA5356-4A63-4C14-BE03-AC0AE715E37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</externalReferences>
  <definedNames>
    <definedName name="_xlnm._FilterDatabase" localSheetId="0" hidden="1">Sheet!$A$3:$AG$48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8" i="1" l="1"/>
  <c r="AH10" i="1"/>
  <c r="AH12" i="1"/>
  <c r="AH14" i="1"/>
  <c r="AH16" i="1"/>
  <c r="AH18" i="1"/>
  <c r="AH20" i="1"/>
  <c r="AH22" i="1"/>
  <c r="AH24" i="1"/>
  <c r="AH26" i="1"/>
  <c r="AH28" i="1"/>
  <c r="AH30" i="1"/>
  <c r="AH32" i="1"/>
  <c r="AH34" i="1"/>
  <c r="AH36" i="1"/>
  <c r="AH38" i="1"/>
  <c r="S7" i="1"/>
  <c r="AH7" i="1" s="1"/>
  <c r="S8" i="1"/>
  <c r="S9" i="1"/>
  <c r="AH9" i="1" s="1"/>
  <c r="S10" i="1"/>
  <c r="S11" i="1"/>
  <c r="AH11" i="1" s="1"/>
  <c r="S12" i="1"/>
  <c r="S13" i="1"/>
  <c r="AH13" i="1" s="1"/>
  <c r="S14" i="1"/>
  <c r="S15" i="1"/>
  <c r="AH15" i="1" s="1"/>
  <c r="S16" i="1"/>
  <c r="S17" i="1"/>
  <c r="AH17" i="1" s="1"/>
  <c r="S18" i="1"/>
  <c r="S19" i="1"/>
  <c r="AH19" i="1" s="1"/>
  <c r="S20" i="1"/>
  <c r="S21" i="1"/>
  <c r="AH21" i="1" s="1"/>
  <c r="S22" i="1"/>
  <c r="S23" i="1"/>
  <c r="AH23" i="1" s="1"/>
  <c r="S24" i="1"/>
  <c r="S25" i="1"/>
  <c r="AH25" i="1" s="1"/>
  <c r="S26" i="1"/>
  <c r="S27" i="1"/>
  <c r="AH27" i="1" s="1"/>
  <c r="S28" i="1"/>
  <c r="S29" i="1"/>
  <c r="AH29" i="1" s="1"/>
  <c r="S30" i="1"/>
  <c r="S31" i="1"/>
  <c r="AH31" i="1" s="1"/>
  <c r="S32" i="1"/>
  <c r="S33" i="1"/>
  <c r="AH33" i="1" s="1"/>
  <c r="S34" i="1"/>
  <c r="S35" i="1"/>
  <c r="AH35" i="1" s="1"/>
  <c r="S36" i="1"/>
  <c r="S37" i="1"/>
  <c r="AH37" i="1" s="1"/>
  <c r="S38" i="1"/>
  <c r="S39" i="1"/>
  <c r="AH39" i="1" s="1"/>
  <c r="S40" i="1"/>
  <c r="AH40" i="1" s="1"/>
  <c r="S41" i="1"/>
  <c r="AH41" i="1" s="1"/>
  <c r="S42" i="1"/>
  <c r="AH42" i="1" s="1"/>
  <c r="S43" i="1"/>
  <c r="AH43" i="1" s="1"/>
  <c r="S44" i="1"/>
  <c r="AH44" i="1" s="1"/>
  <c r="S45" i="1"/>
  <c r="AH45" i="1" s="1"/>
  <c r="S46" i="1"/>
  <c r="AH46" i="1" s="1"/>
  <c r="S47" i="1"/>
  <c r="AH47" i="1" s="1"/>
  <c r="S48" i="1"/>
  <c r="AH48" i="1" s="1"/>
  <c r="S6" i="1"/>
  <c r="AH6" i="1" s="1"/>
  <c r="AH5" i="1" l="1"/>
  <c r="S5" i="1"/>
  <c r="AG9" i="1"/>
  <c r="AG11" i="1"/>
  <c r="AG16" i="1"/>
  <c r="AG24" i="1"/>
  <c r="AG26" i="1"/>
  <c r="R7" i="1"/>
  <c r="AG7" i="1" s="1"/>
  <c r="R9" i="1"/>
  <c r="R11" i="1"/>
  <c r="R13" i="1"/>
  <c r="AG13" i="1" s="1"/>
  <c r="R15" i="1"/>
  <c r="AG15" i="1" s="1"/>
  <c r="R16" i="1"/>
  <c r="R24" i="1"/>
  <c r="R25" i="1"/>
  <c r="AG25" i="1" s="1"/>
  <c r="R26" i="1"/>
  <c r="T7" i="1"/>
  <c r="T8" i="1"/>
  <c r="R8" i="1" s="1"/>
  <c r="AG8" i="1" s="1"/>
  <c r="T10" i="1"/>
  <c r="R10" i="1" s="1"/>
  <c r="AG10" i="1" s="1"/>
  <c r="T12" i="1"/>
  <c r="R12" i="1" s="1"/>
  <c r="AG12" i="1" s="1"/>
  <c r="T13" i="1"/>
  <c r="T14" i="1"/>
  <c r="R14" i="1" s="1"/>
  <c r="AG14" i="1" s="1"/>
  <c r="T15" i="1"/>
  <c r="T17" i="1"/>
  <c r="R17" i="1" s="1"/>
  <c r="AG17" i="1" s="1"/>
  <c r="T18" i="1"/>
  <c r="R18" i="1" s="1"/>
  <c r="AG18" i="1" s="1"/>
  <c r="T19" i="1"/>
  <c r="R19" i="1" s="1"/>
  <c r="AG19" i="1" s="1"/>
  <c r="T20" i="1"/>
  <c r="R20" i="1" s="1"/>
  <c r="AG20" i="1" s="1"/>
  <c r="T21" i="1"/>
  <c r="R21" i="1" s="1"/>
  <c r="AG21" i="1" s="1"/>
  <c r="T22" i="1"/>
  <c r="R22" i="1" s="1"/>
  <c r="AG22" i="1" s="1"/>
  <c r="T23" i="1"/>
  <c r="R23" i="1" s="1"/>
  <c r="AG23" i="1" s="1"/>
  <c r="T25" i="1"/>
  <c r="T27" i="1"/>
  <c r="R27" i="1" s="1"/>
  <c r="AG27" i="1" s="1"/>
  <c r="T28" i="1"/>
  <c r="R28" i="1" s="1"/>
  <c r="AG28" i="1" s="1"/>
  <c r="T29" i="1"/>
  <c r="R29" i="1" s="1"/>
  <c r="AG29" i="1" s="1"/>
  <c r="T30" i="1"/>
  <c r="R30" i="1" s="1"/>
  <c r="AG30" i="1" s="1"/>
  <c r="T31" i="1"/>
  <c r="R31" i="1" s="1"/>
  <c r="AG31" i="1" s="1"/>
  <c r="T32" i="1"/>
  <c r="R32" i="1" s="1"/>
  <c r="AG32" i="1" s="1"/>
  <c r="T33" i="1"/>
  <c r="R33" i="1" s="1"/>
  <c r="AG33" i="1" s="1"/>
  <c r="T34" i="1"/>
  <c r="R34" i="1" s="1"/>
  <c r="AG34" i="1" s="1"/>
  <c r="T35" i="1"/>
  <c r="R35" i="1" s="1"/>
  <c r="AG35" i="1" s="1"/>
  <c r="T36" i="1"/>
  <c r="R36" i="1" s="1"/>
  <c r="AG36" i="1" s="1"/>
  <c r="T37" i="1"/>
  <c r="R37" i="1" s="1"/>
  <c r="AG37" i="1" s="1"/>
  <c r="T38" i="1"/>
  <c r="R38" i="1" s="1"/>
  <c r="AG38" i="1" s="1"/>
  <c r="T39" i="1"/>
  <c r="R39" i="1" s="1"/>
  <c r="AG39" i="1" s="1"/>
  <c r="T40" i="1"/>
  <c r="R40" i="1" s="1"/>
  <c r="AG40" i="1" s="1"/>
  <c r="T41" i="1"/>
  <c r="R41" i="1" s="1"/>
  <c r="AG41" i="1" s="1"/>
  <c r="T42" i="1"/>
  <c r="R42" i="1" s="1"/>
  <c r="AG42" i="1" s="1"/>
  <c r="T43" i="1"/>
  <c r="R43" i="1" s="1"/>
  <c r="AG43" i="1" s="1"/>
  <c r="T44" i="1"/>
  <c r="R44" i="1" s="1"/>
  <c r="AG44" i="1" s="1"/>
  <c r="T45" i="1"/>
  <c r="R45" i="1" s="1"/>
  <c r="AG45" i="1" s="1"/>
  <c r="T46" i="1"/>
  <c r="R46" i="1" s="1"/>
  <c r="AG46" i="1" s="1"/>
  <c r="T47" i="1"/>
  <c r="R47" i="1" s="1"/>
  <c r="AG47" i="1" s="1"/>
  <c r="T48" i="1"/>
  <c r="R48" i="1" s="1"/>
  <c r="AG48" i="1" s="1"/>
  <c r="T6" i="1"/>
  <c r="R6" i="1" s="1"/>
  <c r="AG6" i="1" s="1"/>
  <c r="R5" i="1" l="1"/>
  <c r="P7" i="1" l="1"/>
  <c r="Q7" i="1" s="1"/>
  <c r="P8" i="1"/>
  <c r="Q8" i="1" s="1"/>
  <c r="P9" i="1"/>
  <c r="P10" i="1"/>
  <c r="P11" i="1"/>
  <c r="P12" i="1"/>
  <c r="P13" i="1"/>
  <c r="P14" i="1"/>
  <c r="P15" i="1"/>
  <c r="P16" i="1"/>
  <c r="P17" i="1"/>
  <c r="P18" i="1"/>
  <c r="P19" i="1"/>
  <c r="Q19" i="1" s="1"/>
  <c r="P20" i="1"/>
  <c r="P21" i="1"/>
  <c r="P22" i="1"/>
  <c r="P23" i="1"/>
  <c r="P24" i="1"/>
  <c r="P25" i="1"/>
  <c r="Q25" i="1" s="1"/>
  <c r="P26" i="1"/>
  <c r="P27" i="1"/>
  <c r="Q27" i="1" s="1"/>
  <c r="P28" i="1"/>
  <c r="P29" i="1"/>
  <c r="P30" i="1"/>
  <c r="Q30" i="1" s="1"/>
  <c r="P31" i="1"/>
  <c r="P32" i="1"/>
  <c r="P33" i="1"/>
  <c r="P34" i="1"/>
  <c r="Q34" i="1" s="1"/>
  <c r="P35" i="1"/>
  <c r="P36" i="1"/>
  <c r="Q36" i="1" s="1"/>
  <c r="P37" i="1"/>
  <c r="P38" i="1"/>
  <c r="P39" i="1"/>
  <c r="P40" i="1"/>
  <c r="P41" i="1"/>
  <c r="P42" i="1"/>
  <c r="P43" i="1"/>
  <c r="P44" i="1"/>
  <c r="P45" i="1"/>
  <c r="P46" i="1"/>
  <c r="P47" i="1"/>
  <c r="P48" i="1"/>
  <c r="P6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E5" i="1"/>
  <c r="AD5" i="1"/>
  <c r="AC5" i="1"/>
  <c r="AB5" i="1"/>
  <c r="AA5" i="1"/>
  <c r="Z5" i="1"/>
  <c r="Y5" i="1"/>
  <c r="X5" i="1"/>
  <c r="T5" i="1"/>
  <c r="O5" i="1"/>
  <c r="N5" i="1"/>
  <c r="M5" i="1"/>
  <c r="K5" i="1"/>
  <c r="F5" i="1"/>
  <c r="E5" i="1"/>
  <c r="Q31" i="1" l="1"/>
  <c r="Q23" i="1"/>
  <c r="Q29" i="1"/>
  <c r="Q33" i="1"/>
  <c r="Q15" i="1"/>
  <c r="Q22" i="1"/>
  <c r="Q12" i="1"/>
  <c r="Q35" i="1"/>
  <c r="Q17" i="1"/>
  <c r="Q20" i="1"/>
  <c r="Q13" i="1"/>
  <c r="Q37" i="1"/>
  <c r="Q21" i="1"/>
  <c r="Q18" i="1"/>
  <c r="Q14" i="1"/>
  <c r="Q6" i="1"/>
  <c r="Q10" i="1"/>
  <c r="W6" i="1"/>
  <c r="V47" i="1"/>
  <c r="W47" i="1"/>
  <c r="V45" i="1"/>
  <c r="W45" i="1"/>
  <c r="V43" i="1"/>
  <c r="W43" i="1"/>
  <c r="V41" i="1"/>
  <c r="W41" i="1"/>
  <c r="V39" i="1"/>
  <c r="W39" i="1"/>
  <c r="W37" i="1"/>
  <c r="W35" i="1"/>
  <c r="W33" i="1"/>
  <c r="W31" i="1"/>
  <c r="W29" i="1"/>
  <c r="V27" i="1"/>
  <c r="W27" i="1"/>
  <c r="V25" i="1"/>
  <c r="W25" i="1"/>
  <c r="W23" i="1"/>
  <c r="V21" i="1"/>
  <c r="W21" i="1"/>
  <c r="V19" i="1"/>
  <c r="W19" i="1"/>
  <c r="V17" i="1"/>
  <c r="W17" i="1"/>
  <c r="V15" i="1"/>
  <c r="W15" i="1"/>
  <c r="V13" i="1"/>
  <c r="W13" i="1"/>
  <c r="V11" i="1"/>
  <c r="W11" i="1"/>
  <c r="V9" i="1"/>
  <c r="W9" i="1"/>
  <c r="V7" i="1"/>
  <c r="W7" i="1"/>
  <c r="L5" i="1"/>
  <c r="V48" i="1"/>
  <c r="W48" i="1"/>
  <c r="V46" i="1"/>
  <c r="W46" i="1"/>
  <c r="V44" i="1"/>
  <c r="W44" i="1"/>
  <c r="V42" i="1"/>
  <c r="W42" i="1"/>
  <c r="V40" i="1"/>
  <c r="W40" i="1"/>
  <c r="V38" i="1"/>
  <c r="W38" i="1"/>
  <c r="V36" i="1"/>
  <c r="W36" i="1"/>
  <c r="V34" i="1"/>
  <c r="W34" i="1"/>
  <c r="V32" i="1"/>
  <c r="W32" i="1"/>
  <c r="V30" i="1"/>
  <c r="W30" i="1"/>
  <c r="V28" i="1"/>
  <c r="W28" i="1"/>
  <c r="V26" i="1"/>
  <c r="W26" i="1"/>
  <c r="V24" i="1"/>
  <c r="W24" i="1"/>
  <c r="W22" i="1"/>
  <c r="W20" i="1"/>
  <c r="W18" i="1"/>
  <c r="V16" i="1"/>
  <c r="W16" i="1"/>
  <c r="W14" i="1"/>
  <c r="W12" i="1"/>
  <c r="W10" i="1"/>
  <c r="V8" i="1"/>
  <c r="W8" i="1"/>
  <c r="P5" i="1"/>
  <c r="V29" i="1" l="1"/>
  <c r="V31" i="1"/>
  <c r="V23" i="1"/>
  <c r="V33" i="1"/>
  <c r="V35" i="1"/>
  <c r="V37" i="1"/>
  <c r="V12" i="1"/>
  <c r="V22" i="1"/>
  <c r="V10" i="1"/>
  <c r="V14" i="1"/>
  <c r="V18" i="1"/>
  <c r="V20" i="1"/>
  <c r="V6" i="1"/>
  <c r="Q5" i="1"/>
  <c r="AG5" i="1"/>
</calcChain>
</file>

<file path=xl/sharedStrings.xml><?xml version="1.0" encoding="utf-8"?>
<sst xmlns="http://schemas.openxmlformats.org/spreadsheetml/2006/main" count="172" uniqueCount="90">
  <si>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</si>
  <si>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</si>
  <si>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</si>
  <si>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</si>
  <si>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</si>
  <si>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</si>
  <si>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</si>
  <si>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</si>
  <si>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</si>
  <si>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</si>
  <si>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</si>
  <si>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</si>
  <si>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</si>
  <si>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</si>
  <si>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</si>
  <si>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</si>
  <si>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</si>
  <si>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</si>
  <si>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</si>
  <si>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</si>
  <si>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</si>
  <si>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</si>
  <si>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</si>
  <si>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</si>
  <si>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26,12,</t>
  </si>
  <si>
    <t>29,12,</t>
  </si>
  <si>
    <t>15,12,</t>
  </si>
  <si>
    <t>08,12,</t>
  </si>
  <si>
    <t>01,12,</t>
  </si>
  <si>
    <t>24,11,</t>
  </si>
  <si>
    <t>17,11,</t>
  </si>
  <si>
    <t>10,11,</t>
  </si>
  <si>
    <t>03,11,</t>
  </si>
  <si>
    <t>27,10,</t>
  </si>
  <si>
    <t>4079 СЕРВЕЛАТ КОПЧЕНЫЙ НА БУКЕ в/к в/у_СНГ</t>
  </si>
  <si>
    <t>кг</t>
  </si>
  <si>
    <t>матрица</t>
  </si>
  <si>
    <t>4087   СЕРВЕЛАТ КОПЧЕНЫЙ НА БУКЕ в/к в/К 0,35</t>
  </si>
  <si>
    <t>шт</t>
  </si>
  <si>
    <t>5096   СЕРВЕЛАТ КРЕМЛЕВСКИЙ в/к в/у_СНГ</t>
  </si>
  <si>
    <t>5197 СЕРВЕЛАТ КРЕМЛЕВСКИЙ в/к в/у 0.35кг_СНГ</t>
  </si>
  <si>
    <t>не в матрице</t>
  </si>
  <si>
    <t>6787 СЕРВЕЛАТ КРЕМЛЕВСКИЙ в/к в/у 0.33кг 8шт.  ОСТАНКИНО</t>
  </si>
  <si>
    <t>5608 СЕРВЕЛАТ ФИНСКИЙ в/к в/у срез 0.35кг_СНГ</t>
  </si>
  <si>
    <t>6071 ЭКСТРА Папа может вар п/о_UZ</t>
  </si>
  <si>
    <t>вывод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</si>
  <si>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</si>
  <si>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</si>
  <si>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</si>
  <si>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</si>
  <si>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6087 СОЧНЫЕ сос п/о мгс 0.45кг_UZ</t>
  </si>
  <si>
    <t>7067 СОЧНЫЕ ПМ сос п/о мгс 0.41кг_СНГ_50с  ОСТАНКИНО</t>
  </si>
  <si>
    <t>6091 АРОМАТНАЯ с/к в/у_UZ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</si>
  <si>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</si>
  <si>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</si>
  <si>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</si>
  <si>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</si>
  <si>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</si>
  <si>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</si>
  <si>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</si>
  <si>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</si>
  <si>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6765 РУБЛЕНЫЕ сос ц/о мгс 0.36кг 6шт.  ОСТАНКИНО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</si>
  <si>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</si>
  <si>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</si>
  <si>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</si>
  <si>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7070 СОЧНЫЕ ПМ сос п/о мгс 1.5*4_А_50с  ОСТАНКИНО</t>
  </si>
  <si>
    <t>ротация</t>
  </si>
  <si>
    <t>ротация на 7070 ???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</si>
  <si>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</si>
  <si>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</si>
  <si>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</si>
  <si>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7187 ГРУДИНКА ПРЕМИУМ к/в мл/к в/у 0.3кг_50с  ОСТАНКИНО</t>
  </si>
  <si>
    <t>7333 СЕРВЕЛАТ ОХОТНИЧИЙ ПМ в/к в/у 0.28кг_СНГ  ОСТАНКИНО</t>
  </si>
  <si>
    <t>АРОМАТНАЯ с/к с/н в/у 1/100_СНГ</t>
  </si>
  <si>
    <t>БОЯРСКАЯ ПМ п/к в/у 0.28кг_СНГ</t>
  </si>
  <si>
    <t>КЛАССИЧЕСКАЯ ПМ вар п/о 0.3кг 8шт_209к</t>
  </si>
  <si>
    <t>МОЛОЧНЫЕ КЛАССИЧЕСКИЕ сос п/о в/у 0.3кг</t>
  </si>
  <si>
    <t>МЯСНЫЕ Папа может сар б/о мгс 1*3_Х5_45с</t>
  </si>
  <si>
    <t>ОКОРОК КОПЧЕНЫЙ к/в мл/к в/у 0.3кг_СНГ</t>
  </si>
  <si>
    <t>САЛЯМИ ИТАЛЬЯНСКАЯ с/к в/у 1/150_СНГ_60с</t>
  </si>
  <si>
    <t>САЛЯМИ Папа может п/к в/у 0.28кг_209к</t>
  </si>
  <si>
    <t>СЕРВЕЛАТ КАРЕЛЬС.вк в/у 0.28кг_СНГ_209к</t>
  </si>
  <si>
    <t>СОЧНЫЕ ПМ сос п/о мгс 1*6_СНГ</t>
  </si>
  <si>
    <t>ШПИКАЧКИ СОЧНЫЕ сар б/о мгс 1*3_Ашан_45с</t>
  </si>
  <si>
    <t>новинка</t>
  </si>
  <si>
    <t>новинка / 7070 на 7070 ???</t>
  </si>
  <si>
    <t>заказ</t>
  </si>
  <si>
    <t>12,01,</t>
  </si>
  <si>
    <t>12,01,(дозаказ)</t>
  </si>
  <si>
    <t>ОШ (основной заказ)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</si>
</sst>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0" borderId="1" xfId="1" applyNumberForma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2" fontId="1" fillId="5" borderId="1" xfId="1" applyNumberFormat="1" applyFill="1"/>
    <xf numFmtId="164" fontId="1" fillId="5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7" borderId="1" xfId="1" applyNumberFormat="1" applyFon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&#1056;&#1040;&#1041;&#1054;&#1063;&#1048;&#1049;%20&#1057;&#1058;&#1054;&#1051;/07,01,26%20&#1054;&#1089;&#1090;%20&#1050;&#1048;%20&#1058;&#1072;&#1096;&#1082;&#1077;&#1085;&#1090;/&#1076;&#1086;&#1087;%20&#1079;&#1072;&#1082;&#1072;&#1079;%20&#1076;&#1074;%2007,01,26%20&#1090;&#1096;&#1088;&#1089;&#1095;%20&#1086;&#1089;&#1090;%20&#1082;&#108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&#1056;&#1040;&#1041;&#1054;&#1063;&#1048;&#1049;%20&#1057;&#1058;&#1054;&#1051;/29,12,25%20&#1054;&#1089;&#1090;%20&#1050;&#1048;%20&#1058;&#1072;&#1096;&#1082;&#1077;&#1085;&#1090;/&#1076;&#1074;%2005,01,26%20&#1090;&#1096;&#1088;&#1089;&#1095;%20&#1086;&#1089;&#1090;%20&#1082;&#1080;%20&#1086;&#1090;%20&#1064;&#1091;&#1074;&#1072;&#1083;&#1086;&#1074;&#1086;&#108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филиала</v>
          </cell>
          <cell r="Q3" t="str">
            <v>ср нов</v>
          </cell>
          <cell r="R3" t="str">
            <v>расчет</v>
          </cell>
          <cell r="S3" t="str">
            <v>заказ филиала</v>
          </cell>
        </row>
        <row r="4">
          <cell r="O4" t="str">
            <v>26,12,</v>
          </cell>
          <cell r="P4" t="str">
            <v>12/01/2026 -1</v>
          </cell>
          <cell r="Q4" t="str">
            <v>29,12,</v>
          </cell>
          <cell r="S4" t="str">
            <v>шт</v>
          </cell>
        </row>
        <row r="5">
          <cell r="E5">
            <v>13347.369000000001</v>
          </cell>
          <cell r="F5">
            <v>5098.4369999999999</v>
          </cell>
          <cell r="K5">
            <v>0</v>
          </cell>
          <cell r="L5">
            <v>13347.369000000001</v>
          </cell>
          <cell r="M5">
            <v>0</v>
          </cell>
          <cell r="N5">
            <v>0</v>
          </cell>
          <cell r="O5">
            <v>5850</v>
          </cell>
          <cell r="P5">
            <v>11240</v>
          </cell>
          <cell r="Q5">
            <v>1450.8</v>
          </cell>
          <cell r="R5">
            <v>6827.5629999999983</v>
          </cell>
          <cell r="S5">
            <v>5120</v>
          </cell>
        </row>
        <row r="6">
          <cell r="A6" t="str">
            <v>4079 СЕРВЕЛАТ КОПЧЕНЫЙ НА БУКЕ в/к в/у_СНГ</v>
          </cell>
          <cell r="B6" t="str">
            <v>кг</v>
          </cell>
          <cell r="C6">
            <v>84.828999999999994</v>
          </cell>
          <cell r="D6">
            <v>152.12100000000001</v>
          </cell>
          <cell r="E6">
            <v>236.52099999999999</v>
          </cell>
          <cell r="F6">
            <v>-0.72099999999999997</v>
          </cell>
          <cell r="G6">
            <v>1</v>
          </cell>
          <cell r="H6">
            <v>45</v>
          </cell>
          <cell r="I6" t="str">
            <v>матрица</v>
          </cell>
          <cell r="L6">
            <v>236.52099999999999</v>
          </cell>
          <cell r="O6">
            <v>150</v>
          </cell>
          <cell r="P6">
            <v>200</v>
          </cell>
          <cell r="Q6">
            <v>25</v>
          </cell>
          <cell r="R6">
            <v>150.721</v>
          </cell>
          <cell r="S6">
            <v>50</v>
          </cell>
        </row>
        <row r="7">
          <cell r="A7" t="str">
            <v>4087   СЕРВЕЛАТ КОПЧЕНЫЙ НА БУКЕ в/к в/К 0,35</v>
          </cell>
          <cell r="B7" t="str">
            <v>шт</v>
          </cell>
          <cell r="C7">
            <v>642.81100000000004</v>
          </cell>
          <cell r="D7">
            <v>520</v>
          </cell>
          <cell r="E7">
            <v>1121</v>
          </cell>
          <cell r="F7">
            <v>23.811</v>
          </cell>
          <cell r="G7">
            <v>0.35</v>
          </cell>
          <cell r="H7">
            <v>45</v>
          </cell>
          <cell r="I7" t="str">
            <v>матрица</v>
          </cell>
          <cell r="L7">
            <v>1121</v>
          </cell>
          <cell r="O7">
            <v>500</v>
          </cell>
          <cell r="P7">
            <v>800</v>
          </cell>
          <cell r="Q7">
            <v>105</v>
          </cell>
          <cell r="R7">
            <v>776.18899999999985</v>
          </cell>
          <cell r="S7">
            <v>300</v>
          </cell>
        </row>
        <row r="8">
          <cell r="A8" t="str">
            <v>5096   СЕРВЕЛАТ КРЕМЛЕВСКИЙ в/к в/у_СНГ</v>
          </cell>
          <cell r="B8" t="str">
            <v>кг</v>
          </cell>
          <cell r="C8">
            <v>33.113999999999997</v>
          </cell>
          <cell r="D8">
            <v>102.15300000000001</v>
          </cell>
          <cell r="E8">
            <v>127.41800000000001</v>
          </cell>
          <cell r="F8">
            <v>6.1379999999999999</v>
          </cell>
          <cell r="G8">
            <v>1</v>
          </cell>
          <cell r="H8">
            <v>45</v>
          </cell>
          <cell r="I8" t="str">
            <v>матрица</v>
          </cell>
          <cell r="L8">
            <v>127.41800000000001</v>
          </cell>
          <cell r="O8">
            <v>100</v>
          </cell>
          <cell r="P8">
            <v>150</v>
          </cell>
          <cell r="Q8">
            <v>20</v>
          </cell>
          <cell r="R8">
            <v>143.86200000000002</v>
          </cell>
          <cell r="S8">
            <v>50</v>
          </cell>
        </row>
        <row r="9">
          <cell r="A9" t="str">
            <v>5608 СЕРВЕЛАТ ФИНСКИЙ в/к в/у срез 0.35кг_СНГ</v>
          </cell>
          <cell r="B9" t="str">
            <v>шт</v>
          </cell>
          <cell r="C9">
            <v>678</v>
          </cell>
          <cell r="D9">
            <v>480</v>
          </cell>
          <cell r="E9">
            <v>938</v>
          </cell>
          <cell r="F9">
            <v>114</v>
          </cell>
          <cell r="G9">
            <v>0.35</v>
          </cell>
          <cell r="H9">
            <v>45</v>
          </cell>
          <cell r="I9" t="str">
            <v>матрица</v>
          </cell>
          <cell r="L9">
            <v>938</v>
          </cell>
          <cell r="O9">
            <v>300</v>
          </cell>
          <cell r="P9">
            <v>600</v>
          </cell>
          <cell r="Q9">
            <v>70</v>
          </cell>
          <cell r="R9">
            <v>386</v>
          </cell>
          <cell r="S9">
            <v>300</v>
          </cell>
        </row>
        <row r="10">
          <cell r="A10" t="str">
            <v>6072 ЭКСТРА Папа может вар п/о 0.4кг_UZ</v>
          </cell>
          <cell r="B10" t="str">
            <v>шт</v>
          </cell>
          <cell r="C10">
            <v>1300</v>
          </cell>
          <cell r="D10">
            <v>312</v>
          </cell>
          <cell r="E10">
            <v>615</v>
          </cell>
          <cell r="F10">
            <v>852</v>
          </cell>
          <cell r="G10">
            <v>0.4</v>
          </cell>
          <cell r="H10">
            <v>60</v>
          </cell>
          <cell r="I10" t="str">
            <v>матрица</v>
          </cell>
          <cell r="L10">
            <v>615</v>
          </cell>
          <cell r="O10">
            <v>0</v>
          </cell>
          <cell r="P10">
            <v>400</v>
          </cell>
          <cell r="Q10">
            <v>80</v>
          </cell>
          <cell r="R10">
            <v>348</v>
          </cell>
          <cell r="S10">
            <v>200</v>
          </cell>
        </row>
        <row r="11">
          <cell r="A11" t="str">
            <v>6075 МЯСНАЯ Папа может вар п/о_UZ</v>
          </cell>
          <cell r="B11" t="str">
            <v>кг</v>
          </cell>
          <cell r="C11">
            <v>79.644999999999996</v>
          </cell>
          <cell r="D11">
            <v>48.439</v>
          </cell>
          <cell r="E11">
            <v>79.819000000000003</v>
          </cell>
          <cell r="F11">
            <v>26.760999999999999</v>
          </cell>
          <cell r="G11">
            <v>1</v>
          </cell>
          <cell r="H11">
            <v>60</v>
          </cell>
          <cell r="I11" t="str">
            <v>матрица</v>
          </cell>
          <cell r="L11">
            <v>79.819000000000003</v>
          </cell>
          <cell r="O11">
            <v>30</v>
          </cell>
          <cell r="P11">
            <v>100</v>
          </cell>
          <cell r="Q11">
            <v>10</v>
          </cell>
          <cell r="R11">
            <v>43.239000000000004</v>
          </cell>
          <cell r="S11">
            <v>50</v>
          </cell>
        </row>
        <row r="12">
          <cell r="A12" t="str">
            <v>6076 МЯСНАЯ Папа может вар п/о 0.4кг_UZ</v>
          </cell>
          <cell r="B12" t="str">
            <v>шт</v>
          </cell>
          <cell r="C12">
            <v>579</v>
          </cell>
          <cell r="D12">
            <v>392</v>
          </cell>
          <cell r="E12">
            <v>671</v>
          </cell>
          <cell r="F12">
            <v>173</v>
          </cell>
          <cell r="G12">
            <v>0.4</v>
          </cell>
          <cell r="H12">
            <v>60</v>
          </cell>
          <cell r="I12" t="str">
            <v>матрица</v>
          </cell>
          <cell r="L12">
            <v>671</v>
          </cell>
          <cell r="O12">
            <v>200</v>
          </cell>
          <cell r="P12">
            <v>700</v>
          </cell>
          <cell r="Q12">
            <v>65</v>
          </cell>
          <cell r="R12">
            <v>227</v>
          </cell>
          <cell r="S12">
            <v>200</v>
          </cell>
        </row>
        <row r="13">
          <cell r="A13" t="str">
            <v>6078 ФИЛЕЙНАЯ Папа может вар п/о_UZ</v>
          </cell>
          <cell r="B13" t="str">
            <v>кг</v>
          </cell>
          <cell r="C13">
            <v>77.114000000000004</v>
          </cell>
          <cell r="D13">
            <v>49.502000000000002</v>
          </cell>
          <cell r="E13">
            <v>69.11</v>
          </cell>
          <cell r="F13">
            <v>27.664999999999999</v>
          </cell>
          <cell r="G13">
            <v>1</v>
          </cell>
          <cell r="H13">
            <v>60</v>
          </cell>
          <cell r="I13" t="str">
            <v>матрица</v>
          </cell>
          <cell r="L13">
            <v>69.11</v>
          </cell>
          <cell r="O13">
            <v>50</v>
          </cell>
          <cell r="P13">
            <v>80</v>
          </cell>
          <cell r="Q13">
            <v>10</v>
          </cell>
          <cell r="R13">
            <v>42.335000000000008</v>
          </cell>
          <cell r="S13">
            <v>50</v>
          </cell>
        </row>
        <row r="14">
          <cell r="A14" t="str">
            <v>6091 АРОМАТНАЯ с/к в/у_UZ</v>
          </cell>
          <cell r="B14" t="str">
            <v>кг</v>
          </cell>
          <cell r="C14">
            <v>6.2770000000000001</v>
          </cell>
          <cell r="D14">
            <v>59.953000000000003</v>
          </cell>
          <cell r="E14">
            <v>54.901000000000003</v>
          </cell>
          <cell r="F14">
            <v>10.329000000000001</v>
          </cell>
          <cell r="G14">
            <v>1</v>
          </cell>
          <cell r="H14">
            <v>120</v>
          </cell>
          <cell r="I14" t="str">
            <v>матрица</v>
          </cell>
          <cell r="L14">
            <v>54.901000000000003</v>
          </cell>
          <cell r="O14">
            <v>50</v>
          </cell>
          <cell r="P14">
            <v>100</v>
          </cell>
          <cell r="Q14">
            <v>10</v>
          </cell>
          <cell r="R14">
            <v>39.670999999999992</v>
          </cell>
          <cell r="S14">
            <v>200</v>
          </cell>
        </row>
        <row r="15">
          <cell r="A15" t="str">
            <v>6092 АРОМАТНАЯ с/к в/у 1/250 8шт_UZ</v>
          </cell>
          <cell r="B15" t="str">
            <v>шт</v>
          </cell>
          <cell r="C15">
            <v>733</v>
          </cell>
          <cell r="D15">
            <v>240</v>
          </cell>
          <cell r="E15">
            <v>574</v>
          </cell>
          <cell r="F15">
            <v>343</v>
          </cell>
          <cell r="G15">
            <v>0.25</v>
          </cell>
          <cell r="H15">
            <v>120</v>
          </cell>
          <cell r="I15" t="str">
            <v>матрица</v>
          </cell>
          <cell r="L15">
            <v>574</v>
          </cell>
          <cell r="O15">
            <v>100</v>
          </cell>
          <cell r="P15">
            <v>400</v>
          </cell>
          <cell r="Q15">
            <v>40</v>
          </cell>
          <cell r="R15">
            <v>-43</v>
          </cell>
          <cell r="S15">
            <v>400</v>
          </cell>
        </row>
        <row r="16">
          <cell r="A16" t="str">
            <v>6093 САЛЯМИ ИТАЛЬЯНСКАЯ с/к в/у 1/250 8шт_UZ</v>
          </cell>
          <cell r="B16" t="str">
            <v>шт</v>
          </cell>
          <cell r="C16">
            <v>807</v>
          </cell>
          <cell r="D16">
            <v>400</v>
          </cell>
          <cell r="E16">
            <v>772</v>
          </cell>
          <cell r="F16">
            <v>323</v>
          </cell>
          <cell r="G16">
            <v>0.25</v>
          </cell>
          <cell r="H16">
            <v>120</v>
          </cell>
          <cell r="I16" t="str">
            <v>матрица</v>
          </cell>
          <cell r="L16">
            <v>772</v>
          </cell>
          <cell r="O16">
            <v>200</v>
          </cell>
          <cell r="P16">
            <v>500</v>
          </cell>
          <cell r="Q16">
            <v>65</v>
          </cell>
          <cell r="R16">
            <v>277</v>
          </cell>
          <cell r="S16">
            <v>500</v>
          </cell>
        </row>
        <row r="17">
          <cell r="A17" t="str">
            <v>6094 ЮБИЛЕЙНАЯ с/к в/у_UZ</v>
          </cell>
          <cell r="B17" t="str">
            <v>кг</v>
          </cell>
          <cell r="C17">
            <v>-5.08</v>
          </cell>
          <cell r="D17">
            <v>48.381</v>
          </cell>
          <cell r="E17">
            <v>42.887</v>
          </cell>
          <cell r="F17">
            <v>-1.0649999999999999</v>
          </cell>
          <cell r="G17">
            <v>1</v>
          </cell>
          <cell r="H17">
            <v>120</v>
          </cell>
          <cell r="I17" t="str">
            <v>матрица</v>
          </cell>
          <cell r="L17">
            <v>42.887</v>
          </cell>
          <cell r="O17">
            <v>50</v>
          </cell>
          <cell r="P17">
            <v>100</v>
          </cell>
          <cell r="Q17">
            <v>10</v>
          </cell>
          <cell r="R17">
            <v>51.064999999999998</v>
          </cell>
          <cell r="S17">
            <v>200</v>
          </cell>
        </row>
        <row r="18">
          <cell r="A18" t="str">
            <v>6095 ЮБИЛЕЙНАЯ с/к в/у 1/250 8шт_UZ</v>
          </cell>
          <cell r="B18" t="str">
            <v>шт</v>
          </cell>
          <cell r="C18">
            <v>865</v>
          </cell>
          <cell r="D18">
            <v>240</v>
          </cell>
          <cell r="E18">
            <v>632</v>
          </cell>
          <cell r="F18">
            <v>415</v>
          </cell>
          <cell r="G18">
            <v>0.25</v>
          </cell>
          <cell r="H18">
            <v>120</v>
          </cell>
          <cell r="I18" t="str">
            <v>матрица</v>
          </cell>
          <cell r="L18">
            <v>632</v>
          </cell>
          <cell r="O18">
            <v>100</v>
          </cell>
          <cell r="P18">
            <v>400</v>
          </cell>
          <cell r="Q18">
            <v>45</v>
          </cell>
          <cell r="R18">
            <v>-15</v>
          </cell>
          <cell r="S18">
            <v>400</v>
          </cell>
        </row>
        <row r="19">
          <cell r="A19" t="str">
            <v>6220 ГОВЯЖЬЯ Папа может вар п/о  ОСТАНКИНО</v>
          </cell>
          <cell r="B19" t="str">
            <v>кг</v>
          </cell>
          <cell r="C19">
            <v>81.828999999999994</v>
          </cell>
          <cell r="D19">
            <v>98.25</v>
          </cell>
          <cell r="E19">
            <v>87.073999999999998</v>
          </cell>
          <cell r="F19">
            <v>82.066000000000003</v>
          </cell>
          <cell r="G19">
            <v>1</v>
          </cell>
          <cell r="H19">
            <v>60</v>
          </cell>
          <cell r="I19" t="str">
            <v>матрица</v>
          </cell>
          <cell r="L19">
            <v>87.073999999999998</v>
          </cell>
          <cell r="O19">
            <v>50</v>
          </cell>
          <cell r="P19">
            <v>50</v>
          </cell>
          <cell r="Q19">
            <v>10</v>
          </cell>
          <cell r="R19">
            <v>17.933999999999997</v>
          </cell>
          <cell r="S19">
            <v>50</v>
          </cell>
        </row>
        <row r="20">
          <cell r="A20" t="str">
            <v>6268 ГОВЯЖЬЯ Папа может вар п/о 0.4кг 8шт.  ОСТАНКИНО</v>
          </cell>
          <cell r="B20" t="str">
            <v>шт</v>
          </cell>
          <cell r="C20">
            <v>1649</v>
          </cell>
          <cell r="E20">
            <v>509</v>
          </cell>
          <cell r="F20">
            <v>1025</v>
          </cell>
          <cell r="G20">
            <v>0.4</v>
          </cell>
          <cell r="H20">
            <v>60</v>
          </cell>
          <cell r="I20" t="str">
            <v>матрица</v>
          </cell>
          <cell r="L20">
            <v>509</v>
          </cell>
          <cell r="O20">
            <v>0</v>
          </cell>
          <cell r="Q20">
            <v>35</v>
          </cell>
          <cell r="R20">
            <v>-325</v>
          </cell>
        </row>
        <row r="21">
          <cell r="A21" t="str">
            <v>6346 ФИЛЕЙНАЯ Папа может вар п/о 0.5кг_СНГ  ОСТАНКИНО</v>
          </cell>
          <cell r="B21" t="str">
            <v>шт</v>
          </cell>
          <cell r="C21">
            <v>400</v>
          </cell>
          <cell r="D21">
            <v>400</v>
          </cell>
          <cell r="E21">
            <v>667</v>
          </cell>
          <cell r="F21">
            <v>29</v>
          </cell>
          <cell r="G21">
            <v>0.5</v>
          </cell>
          <cell r="H21">
            <v>60</v>
          </cell>
          <cell r="I21" t="str">
            <v>матрица</v>
          </cell>
          <cell r="L21">
            <v>667</v>
          </cell>
          <cell r="O21">
            <v>200</v>
          </cell>
          <cell r="P21">
            <v>500</v>
          </cell>
          <cell r="Q21">
            <v>85</v>
          </cell>
          <cell r="R21">
            <v>971</v>
          </cell>
          <cell r="S21">
            <v>400</v>
          </cell>
        </row>
        <row r="22">
          <cell r="A22" t="str">
            <v>6765 РУБЛЕНЫЕ сос ц/о мгс 0.36кг 6шт.  ОСТАНКИНО</v>
          </cell>
          <cell r="B22" t="str">
            <v>шт</v>
          </cell>
          <cell r="C22">
            <v>111</v>
          </cell>
          <cell r="D22">
            <v>210</v>
          </cell>
          <cell r="E22">
            <v>119</v>
          </cell>
          <cell r="F22">
            <v>155</v>
          </cell>
          <cell r="G22">
            <v>0</v>
          </cell>
          <cell r="H22">
            <v>45</v>
          </cell>
          <cell r="I22" t="str">
            <v>вывод</v>
          </cell>
          <cell r="L22">
            <v>119</v>
          </cell>
          <cell r="O22">
            <v>0</v>
          </cell>
          <cell r="Q22">
            <v>23.8</v>
          </cell>
          <cell r="R22">
            <v>321</v>
          </cell>
        </row>
        <row r="23">
          <cell r="A23" t="str">
            <v>6787 СЕРВЕЛАТ КРЕМЛЕВСКИЙ в/к в/у 0.33кг 8шт.  ОСТАНКИНО</v>
          </cell>
          <cell r="B23" t="str">
            <v>шт</v>
          </cell>
          <cell r="C23">
            <v>520</v>
          </cell>
          <cell r="D23">
            <v>320</v>
          </cell>
          <cell r="E23">
            <v>763</v>
          </cell>
          <cell r="F23">
            <v>18</v>
          </cell>
          <cell r="G23">
            <v>0.33</v>
          </cell>
          <cell r="H23">
            <v>45</v>
          </cell>
          <cell r="I23" t="str">
            <v>матрица</v>
          </cell>
          <cell r="L23">
            <v>763</v>
          </cell>
          <cell r="O23">
            <v>200</v>
          </cell>
          <cell r="P23">
            <v>500</v>
          </cell>
          <cell r="Q23">
            <v>45</v>
          </cell>
          <cell r="R23">
            <v>182</v>
          </cell>
          <cell r="S23">
            <v>200</v>
          </cell>
        </row>
        <row r="24">
          <cell r="A24" t="str">
            <v>6837 ФИЛЕЙНЫЕ Папа Может сос ц/о мгс 0.4кг  ОСТАНКИНО</v>
          </cell>
          <cell r="B24" t="str">
            <v>шт</v>
          </cell>
          <cell r="C24">
            <v>131</v>
          </cell>
          <cell r="D24">
            <v>156</v>
          </cell>
          <cell r="E24">
            <v>76</v>
          </cell>
          <cell r="F24">
            <v>137</v>
          </cell>
          <cell r="G24">
            <v>0.4</v>
          </cell>
          <cell r="H24">
            <v>45</v>
          </cell>
          <cell r="I24" t="str">
            <v>матрица</v>
          </cell>
          <cell r="L24">
            <v>76</v>
          </cell>
          <cell r="O24">
            <v>120</v>
          </cell>
          <cell r="P24">
            <v>150</v>
          </cell>
          <cell r="Q24">
            <v>25</v>
          </cell>
          <cell r="R24">
            <v>93</v>
          </cell>
          <cell r="S24">
            <v>100</v>
          </cell>
        </row>
        <row r="25">
          <cell r="A25" t="str">
            <v>7058 ШПИКАЧКИ СОЧНЫЕ С БЕКОНОМ п/о мгс 1*3_60с  ОСТАНКИНО</v>
          </cell>
          <cell r="B25" t="str">
            <v>кг</v>
          </cell>
          <cell r="C25">
            <v>301.221</v>
          </cell>
          <cell r="D25">
            <v>201.244</v>
          </cell>
          <cell r="E25">
            <v>237.27</v>
          </cell>
          <cell r="F25">
            <v>160.85599999999999</v>
          </cell>
          <cell r="G25">
            <v>1</v>
          </cell>
          <cell r="H25">
            <v>60</v>
          </cell>
          <cell r="I25" t="str">
            <v>матрица</v>
          </cell>
          <cell r="L25">
            <v>237.27</v>
          </cell>
          <cell r="O25">
            <v>200</v>
          </cell>
          <cell r="P25">
            <v>150</v>
          </cell>
          <cell r="Q25">
            <v>35</v>
          </cell>
          <cell r="R25">
            <v>189.14400000000001</v>
          </cell>
          <cell r="S25">
            <v>150</v>
          </cell>
        </row>
        <row r="26">
          <cell r="A26" t="str">
            <v>7059 ШПИКАЧКИ СОЧНЫЕ С БЕК. п/о мгс 0.3кг_60с  ОСТАНКИНО</v>
          </cell>
          <cell r="B26" t="str">
            <v>шт</v>
          </cell>
          <cell r="C26">
            <v>239</v>
          </cell>
          <cell r="D26">
            <v>160</v>
          </cell>
          <cell r="E26">
            <v>114</v>
          </cell>
          <cell r="F26">
            <v>236</v>
          </cell>
          <cell r="G26">
            <v>0.3</v>
          </cell>
          <cell r="H26">
            <v>60</v>
          </cell>
          <cell r="I26" t="str">
            <v>матрица</v>
          </cell>
          <cell r="L26">
            <v>114</v>
          </cell>
          <cell r="O26">
            <v>100</v>
          </cell>
          <cell r="P26">
            <v>200</v>
          </cell>
          <cell r="Q26">
            <v>30</v>
          </cell>
          <cell r="R26">
            <v>64</v>
          </cell>
        </row>
        <row r="27">
          <cell r="A27" t="str">
            <v>7067 СОЧНЫЕ ПМ сос п/о мгс 0.41кг_СНГ_50с  ОСТАНКИНО</v>
          </cell>
          <cell r="B27" t="str">
            <v>шт</v>
          </cell>
          <cell r="C27">
            <v>313</v>
          </cell>
          <cell r="D27">
            <v>200</v>
          </cell>
          <cell r="E27">
            <v>197</v>
          </cell>
          <cell r="F27">
            <v>263</v>
          </cell>
          <cell r="G27">
            <v>0.41</v>
          </cell>
          <cell r="H27">
            <v>50</v>
          </cell>
          <cell r="I27" t="str">
            <v>матрица</v>
          </cell>
          <cell r="L27">
            <v>197</v>
          </cell>
          <cell r="O27">
            <v>160</v>
          </cell>
          <cell r="P27">
            <v>150</v>
          </cell>
          <cell r="Q27">
            <v>35</v>
          </cell>
          <cell r="R27">
            <v>127</v>
          </cell>
          <cell r="S27">
            <v>100</v>
          </cell>
        </row>
        <row r="28">
          <cell r="A28" t="str">
            <v>7070 СОЧНЫЕ ПМ сос п/о мгс 1.5*4_А_50с  ОСТАНКИНО</v>
          </cell>
          <cell r="B28" t="str">
            <v>кг</v>
          </cell>
          <cell r="C28">
            <v>266.29399999999998</v>
          </cell>
          <cell r="D28">
            <v>311.30799999999999</v>
          </cell>
          <cell r="E28">
            <v>458.08300000000003</v>
          </cell>
          <cell r="F28">
            <v>21.146999999999998</v>
          </cell>
          <cell r="G28">
            <v>0</v>
          </cell>
          <cell r="H28">
            <v>50</v>
          </cell>
          <cell r="I28" t="str">
            <v>ротация</v>
          </cell>
          <cell r="L28">
            <v>458.08300000000003</v>
          </cell>
          <cell r="O28">
            <v>0</v>
          </cell>
          <cell r="Q28">
            <v>75</v>
          </cell>
          <cell r="R28">
            <v>1478.8530000000001</v>
          </cell>
        </row>
        <row r="29">
          <cell r="A29" t="str">
            <v>7075 МОЛОЧ.ПРЕМИУМ ПМ сос п/о мгс 1.5*4_О_50с  ОСТАНКИНО</v>
          </cell>
          <cell r="B29" t="str">
            <v>кг</v>
          </cell>
          <cell r="C29">
            <v>210.26499999999999</v>
          </cell>
          <cell r="D29">
            <v>157.29</v>
          </cell>
          <cell r="E29">
            <v>192.286</v>
          </cell>
          <cell r="F29">
            <v>103.35</v>
          </cell>
          <cell r="G29">
            <v>1</v>
          </cell>
          <cell r="H29">
            <v>50</v>
          </cell>
          <cell r="I29" t="str">
            <v>матрица</v>
          </cell>
          <cell r="L29">
            <v>192.286</v>
          </cell>
          <cell r="O29">
            <v>150</v>
          </cell>
          <cell r="P29">
            <v>150</v>
          </cell>
          <cell r="Q29">
            <v>27</v>
          </cell>
          <cell r="R29">
            <v>136.64999999999998</v>
          </cell>
          <cell r="S29">
            <v>50</v>
          </cell>
        </row>
        <row r="30">
          <cell r="A30" t="str">
            <v>7077 МЯСНЫЕ С ГОВЯД.ПМ сос п/о мгс 0.4кг_50с ОСТАНКИНО</v>
          </cell>
          <cell r="B30" t="str">
            <v>шт</v>
          </cell>
          <cell r="C30">
            <v>153</v>
          </cell>
          <cell r="D30">
            <v>240</v>
          </cell>
          <cell r="E30">
            <v>208</v>
          </cell>
          <cell r="F30">
            <v>99</v>
          </cell>
          <cell r="G30">
            <v>0.4</v>
          </cell>
          <cell r="H30">
            <v>50</v>
          </cell>
          <cell r="I30" t="str">
            <v>матрица</v>
          </cell>
          <cell r="L30">
            <v>208</v>
          </cell>
          <cell r="O30">
            <v>200</v>
          </cell>
          <cell r="P30">
            <v>250</v>
          </cell>
          <cell r="Q30">
            <v>40</v>
          </cell>
          <cell r="R30">
            <v>251</v>
          </cell>
          <cell r="S30">
            <v>50</v>
          </cell>
        </row>
        <row r="31">
          <cell r="A31" t="str">
            <v>7104 БЕКОН Останкино с/к с/н в/у 1/180_СНГ_50 ОСТАНКИНО</v>
          </cell>
          <cell r="B31" t="str">
            <v>шт</v>
          </cell>
          <cell r="C31">
            <v>12</v>
          </cell>
          <cell r="D31">
            <v>200</v>
          </cell>
          <cell r="E31">
            <v>192</v>
          </cell>
          <cell r="F31">
            <v>12</v>
          </cell>
          <cell r="G31">
            <v>0.18</v>
          </cell>
          <cell r="H31">
            <v>50</v>
          </cell>
          <cell r="I31" t="str">
            <v>матрица</v>
          </cell>
          <cell r="L31">
            <v>192</v>
          </cell>
          <cell r="O31">
            <v>200</v>
          </cell>
          <cell r="P31">
            <v>300</v>
          </cell>
          <cell r="Q31">
            <v>40</v>
          </cell>
          <cell r="R31">
            <v>288</v>
          </cell>
        </row>
        <row r="32">
          <cell r="A32" t="str">
            <v>7187 ГРУДИНКА ПРЕМИУМ к/в мл/к в/у 0.3кг_50с  ОСТАНКИНО</v>
          </cell>
          <cell r="B32" t="str">
            <v>шт</v>
          </cell>
          <cell r="C32">
            <v>1526</v>
          </cell>
          <cell r="D32">
            <v>1596</v>
          </cell>
          <cell r="E32">
            <v>2947</v>
          </cell>
          <cell r="F32">
            <v>91.1</v>
          </cell>
          <cell r="G32">
            <v>0.3</v>
          </cell>
          <cell r="H32">
            <v>50</v>
          </cell>
          <cell r="I32" t="str">
            <v>матрица</v>
          </cell>
          <cell r="L32">
            <v>2947</v>
          </cell>
          <cell r="O32">
            <v>1000</v>
          </cell>
          <cell r="P32">
            <v>2000</v>
          </cell>
          <cell r="Q32">
            <v>280</v>
          </cell>
          <cell r="R32">
            <v>2508.8999999999996</v>
          </cell>
        </row>
        <row r="33">
          <cell r="A33" t="str">
            <v>7333 СЕРВЕЛАТ ОХОТНИЧИЙ ПМ в/к в/у 0.28кг_СНГ  ОСТАНКИНО</v>
          </cell>
          <cell r="B33" t="str">
            <v>шт</v>
          </cell>
          <cell r="C33">
            <v>773</v>
          </cell>
          <cell r="D33">
            <v>280</v>
          </cell>
          <cell r="E33">
            <v>647</v>
          </cell>
          <cell r="F33">
            <v>353</v>
          </cell>
          <cell r="G33">
            <v>0.28000000000000003</v>
          </cell>
          <cell r="H33">
            <v>50</v>
          </cell>
          <cell r="I33" t="str">
            <v>матрица</v>
          </cell>
          <cell r="L33">
            <v>647</v>
          </cell>
          <cell r="O33">
            <v>120</v>
          </cell>
          <cell r="P33">
            <v>160</v>
          </cell>
          <cell r="Q33">
            <v>35</v>
          </cell>
          <cell r="R33">
            <v>67</v>
          </cell>
        </row>
        <row r="34">
          <cell r="A34" t="str">
            <v>АРОМАТНАЯ с/к с/н в/у 1/100_СНГ</v>
          </cell>
          <cell r="G34">
            <v>0.1</v>
          </cell>
          <cell r="I34">
            <v>1001191975179</v>
          </cell>
          <cell r="L34">
            <v>0</v>
          </cell>
          <cell r="O34">
            <v>50</v>
          </cell>
          <cell r="P34">
            <v>150</v>
          </cell>
          <cell r="Q34">
            <v>0</v>
          </cell>
          <cell r="R34">
            <v>-200</v>
          </cell>
          <cell r="S34">
            <v>100</v>
          </cell>
        </row>
        <row r="35">
          <cell r="A35" t="str">
            <v>БОЯРСКАЯ ПМ п/к в/у 0.28кг_СНГ</v>
          </cell>
          <cell r="G35">
            <v>0.28000000000000003</v>
          </cell>
          <cell r="I35">
            <v>1001301777332</v>
          </cell>
          <cell r="L35">
            <v>0</v>
          </cell>
          <cell r="O35">
            <v>120</v>
          </cell>
          <cell r="P35">
            <v>200</v>
          </cell>
          <cell r="Q35">
            <v>0</v>
          </cell>
          <cell r="R35">
            <v>-320</v>
          </cell>
        </row>
        <row r="36">
          <cell r="A36" t="str">
            <v>КЛАССИЧЕСКАЯ ПМ вар п/о 0.3кг 8шт_209к</v>
          </cell>
          <cell r="G36">
            <v>0.3</v>
          </cell>
          <cell r="I36">
            <v>1001013957231</v>
          </cell>
          <cell r="L36">
            <v>0</v>
          </cell>
          <cell r="O36">
            <v>200</v>
          </cell>
          <cell r="P36">
            <v>200</v>
          </cell>
          <cell r="Q36">
            <v>0</v>
          </cell>
          <cell r="R36">
            <v>-400</v>
          </cell>
          <cell r="S36">
            <v>120</v>
          </cell>
        </row>
        <row r="37">
          <cell r="A37" t="str">
            <v>МОЛОЧНЫЕ КЛАССИЧЕСКИЕ сос п/о в/у 0.3кг</v>
          </cell>
          <cell r="G37">
            <v>0.3</v>
          </cell>
          <cell r="I37">
            <v>1001024976616</v>
          </cell>
          <cell r="L37">
            <v>0</v>
          </cell>
          <cell r="O37">
            <v>60</v>
          </cell>
          <cell r="P37">
            <v>150</v>
          </cell>
          <cell r="Q37">
            <v>0</v>
          </cell>
          <cell r="R37">
            <v>-210</v>
          </cell>
        </row>
        <row r="38">
          <cell r="A38" t="str">
            <v>МЯСНЫЕ Папа может сар б/о мгс 1*3_Х5_45с</v>
          </cell>
          <cell r="G38">
            <v>1</v>
          </cell>
          <cell r="I38">
            <v>1001032736549</v>
          </cell>
          <cell r="L38">
            <v>0</v>
          </cell>
          <cell r="O38">
            <v>100</v>
          </cell>
          <cell r="P38">
            <v>200</v>
          </cell>
          <cell r="Q38">
            <v>0</v>
          </cell>
          <cell r="R38">
            <v>-300</v>
          </cell>
          <cell r="S38">
            <v>200</v>
          </cell>
        </row>
        <row r="39">
          <cell r="A39" t="str">
            <v>ОКОРОК КОПЧЕНЫЙ к/в мл/к в/у 0.3кг_СНГ</v>
          </cell>
          <cell r="G39">
            <v>0.3</v>
          </cell>
          <cell r="I39">
            <v>1001083446207</v>
          </cell>
          <cell r="L39">
            <v>0</v>
          </cell>
          <cell r="O39">
            <v>100</v>
          </cell>
          <cell r="P39">
            <v>200</v>
          </cell>
          <cell r="Q39">
            <v>0</v>
          </cell>
          <cell r="R39">
            <v>-300</v>
          </cell>
          <cell r="S39">
            <v>200</v>
          </cell>
        </row>
        <row r="40">
          <cell r="A40" t="str">
            <v>САЛЯМИ ИТАЛЬЯНСКАЯ с/к в/у 1/150_СНГ_60с</v>
          </cell>
          <cell r="G40">
            <v>0.15</v>
          </cell>
          <cell r="I40">
            <v>1001190765681</v>
          </cell>
          <cell r="L40">
            <v>0</v>
          </cell>
          <cell r="O40">
            <v>50</v>
          </cell>
          <cell r="P40">
            <v>150</v>
          </cell>
          <cell r="Q40">
            <v>0</v>
          </cell>
          <cell r="R40">
            <v>-200</v>
          </cell>
          <cell r="S40">
            <v>100</v>
          </cell>
        </row>
        <row r="41">
          <cell r="A41" t="str">
            <v>САЛЯМИ Папа может п/к в/у 0.28кг_209к</v>
          </cell>
          <cell r="G41">
            <v>0.28000000000000003</v>
          </cell>
          <cell r="I41">
            <v>1001303107241</v>
          </cell>
          <cell r="L41">
            <v>0</v>
          </cell>
          <cell r="O41">
            <v>120</v>
          </cell>
          <cell r="P41">
            <v>250</v>
          </cell>
          <cell r="Q41">
            <v>0</v>
          </cell>
          <cell r="R41">
            <v>-370</v>
          </cell>
        </row>
        <row r="42">
          <cell r="A42" t="str">
            <v>СЕРВЕЛАТ КАРЕЛЬС.вк в/у 0.28кг_СНГ_209к</v>
          </cell>
          <cell r="G42">
            <v>0.28000000000000003</v>
          </cell>
          <cell r="I42">
            <v>1001304507230</v>
          </cell>
          <cell r="L42">
            <v>0</v>
          </cell>
          <cell r="O42">
            <v>120</v>
          </cell>
          <cell r="P42">
            <v>250</v>
          </cell>
          <cell r="Q42">
            <v>0</v>
          </cell>
          <cell r="R42">
            <v>-370</v>
          </cell>
        </row>
        <row r="43">
          <cell r="A43" t="str">
            <v>СОЧНЫЕ ПМ сос п/о мгс 1*6_СНГ</v>
          </cell>
          <cell r="G43">
            <v>1</v>
          </cell>
          <cell r="I43">
            <v>1001022377070</v>
          </cell>
          <cell r="L43">
            <v>0</v>
          </cell>
          <cell r="O43">
            <v>400</v>
          </cell>
          <cell r="P43">
            <v>400</v>
          </cell>
          <cell r="Q43">
            <v>75</v>
          </cell>
          <cell r="R43">
            <v>700</v>
          </cell>
          <cell r="S43">
            <v>400</v>
          </cell>
        </row>
        <row r="44">
          <cell r="A44" t="str">
            <v>ШПИКАЧКИ СОЧНЫЕ сар б/о мгс 1*3_Ашан_45с</v>
          </cell>
          <cell r="G44">
            <v>1</v>
          </cell>
          <cell r="I44">
            <v>1001031076548</v>
          </cell>
          <cell r="L44">
            <v>0</v>
          </cell>
          <cell r="Q44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  <cell r="R3" t="str">
            <v>заказ филиала</v>
          </cell>
        </row>
        <row r="4">
          <cell r="O4" t="str">
            <v>26,12,</v>
          </cell>
          <cell r="P4" t="str">
            <v>29,12,</v>
          </cell>
          <cell r="R4" t="str">
            <v>шт</v>
          </cell>
        </row>
        <row r="5">
          <cell r="E5">
            <v>13347.369000000001</v>
          </cell>
          <cell r="F5">
            <v>6587.4480000000003</v>
          </cell>
          <cell r="K5">
            <v>0</v>
          </cell>
          <cell r="L5">
            <v>13347.369000000001</v>
          </cell>
          <cell r="M5">
            <v>0</v>
          </cell>
          <cell r="N5">
            <v>0</v>
          </cell>
          <cell r="O5">
            <v>5850</v>
          </cell>
          <cell r="P5">
            <v>1375.8</v>
          </cell>
          <cell r="Q5">
            <v>13646.951999999999</v>
          </cell>
          <cell r="R5">
            <v>11240</v>
          </cell>
        </row>
        <row r="6">
          <cell r="A6" t="str">
            <v>4079 СЕРВЕЛАТ КОПЧЕНЫЙ НА БУКЕ в/к в/у_СНГ</v>
          </cell>
          <cell r="B6" t="str">
            <v>кг</v>
          </cell>
          <cell r="C6">
            <v>84.828999999999994</v>
          </cell>
          <cell r="D6">
            <v>152.12100000000001</v>
          </cell>
          <cell r="E6">
            <v>236.52099999999999</v>
          </cell>
          <cell r="F6">
            <v>-2.3809999999999998</v>
          </cell>
          <cell r="G6">
            <v>1</v>
          </cell>
          <cell r="H6">
            <v>45</v>
          </cell>
          <cell r="I6" t="str">
            <v>матрица</v>
          </cell>
          <cell r="L6">
            <v>236.52099999999999</v>
          </cell>
          <cell r="O6">
            <v>150</v>
          </cell>
          <cell r="P6">
            <v>25</v>
          </cell>
          <cell r="Q6">
            <v>302.38099999999997</v>
          </cell>
          <cell r="R6">
            <v>200</v>
          </cell>
        </row>
        <row r="7">
          <cell r="A7" t="str">
            <v>4087   СЕРВЕЛАТ КОПЧЕНЫЙ НА БУКЕ в/к в/К 0,35</v>
          </cell>
          <cell r="B7" t="str">
            <v>шт</v>
          </cell>
          <cell r="C7">
            <v>642.81100000000004</v>
          </cell>
          <cell r="D7">
            <v>520</v>
          </cell>
          <cell r="E7">
            <v>1121</v>
          </cell>
          <cell r="F7">
            <v>27</v>
          </cell>
          <cell r="G7">
            <v>0.35</v>
          </cell>
          <cell r="H7">
            <v>45</v>
          </cell>
          <cell r="I7" t="str">
            <v>матрица</v>
          </cell>
          <cell r="L7">
            <v>1121</v>
          </cell>
          <cell r="O7">
            <v>500</v>
          </cell>
          <cell r="P7">
            <v>105</v>
          </cell>
          <cell r="Q7">
            <v>1363</v>
          </cell>
          <cell r="R7">
            <v>800</v>
          </cell>
        </row>
        <row r="8">
          <cell r="A8" t="str">
            <v>5096   СЕРВЕЛАТ КРЕМЛЕВСКИЙ в/к в/у_СНГ</v>
          </cell>
          <cell r="B8" t="str">
            <v>кг</v>
          </cell>
          <cell r="C8">
            <v>33.113999999999997</v>
          </cell>
          <cell r="D8">
            <v>102.15300000000001</v>
          </cell>
          <cell r="E8">
            <v>127.41800000000001</v>
          </cell>
          <cell r="F8">
            <v>8</v>
          </cell>
          <cell r="G8">
            <v>1</v>
          </cell>
          <cell r="H8">
            <v>45</v>
          </cell>
          <cell r="I8" t="str">
            <v>матрица</v>
          </cell>
          <cell r="L8">
            <v>127.41800000000001</v>
          </cell>
          <cell r="O8">
            <v>100</v>
          </cell>
          <cell r="P8">
            <v>20</v>
          </cell>
          <cell r="Q8">
            <v>252</v>
          </cell>
          <cell r="R8">
            <v>150</v>
          </cell>
        </row>
        <row r="9">
          <cell r="A9" t="str">
            <v>5608 СЕРВЕЛАТ ФИНСКИЙ в/к в/у срез 0.35кг_СНГ</v>
          </cell>
          <cell r="B9" t="str">
            <v>шт</v>
          </cell>
          <cell r="C9">
            <v>678</v>
          </cell>
          <cell r="D9">
            <v>480</v>
          </cell>
          <cell r="E9">
            <v>938</v>
          </cell>
          <cell r="F9">
            <v>194</v>
          </cell>
          <cell r="G9">
            <v>0.35</v>
          </cell>
          <cell r="H9">
            <v>45</v>
          </cell>
          <cell r="I9" t="str">
            <v>матрица</v>
          </cell>
          <cell r="L9">
            <v>938</v>
          </cell>
          <cell r="O9">
            <v>300</v>
          </cell>
          <cell r="P9">
            <v>70</v>
          </cell>
          <cell r="Q9">
            <v>766</v>
          </cell>
          <cell r="R9">
            <v>600</v>
          </cell>
        </row>
        <row r="10">
          <cell r="A10" t="str">
            <v>6072 ЭКСТРА Папа может вар п/о 0.4кг_UZ</v>
          </cell>
          <cell r="B10" t="str">
            <v>шт</v>
          </cell>
          <cell r="C10">
            <v>1300</v>
          </cell>
          <cell r="D10">
            <v>312</v>
          </cell>
          <cell r="E10">
            <v>615</v>
          </cell>
          <cell r="F10">
            <v>975</v>
          </cell>
          <cell r="G10">
            <v>0.4</v>
          </cell>
          <cell r="H10">
            <v>60</v>
          </cell>
          <cell r="I10" t="str">
            <v>матрица</v>
          </cell>
          <cell r="L10">
            <v>615</v>
          </cell>
          <cell r="O10">
            <v>0</v>
          </cell>
          <cell r="P10">
            <v>80</v>
          </cell>
          <cell r="Q10">
            <v>465</v>
          </cell>
          <cell r="R10">
            <v>400</v>
          </cell>
        </row>
        <row r="11">
          <cell r="A11" t="str">
            <v>6075 МЯСНАЯ Папа может вар п/о_UZ</v>
          </cell>
          <cell r="B11" t="str">
            <v>кг</v>
          </cell>
          <cell r="C11">
            <v>79.644999999999996</v>
          </cell>
          <cell r="D11">
            <v>48.439</v>
          </cell>
          <cell r="E11">
            <v>79.819000000000003</v>
          </cell>
          <cell r="F11">
            <v>46.914999999999999</v>
          </cell>
          <cell r="G11">
            <v>1</v>
          </cell>
          <cell r="H11">
            <v>60</v>
          </cell>
          <cell r="I11" t="str">
            <v>матрица</v>
          </cell>
          <cell r="L11">
            <v>79.819000000000003</v>
          </cell>
          <cell r="O11">
            <v>30</v>
          </cell>
          <cell r="P11">
            <v>10</v>
          </cell>
          <cell r="Q11">
            <v>103.08500000000001</v>
          </cell>
          <cell r="R11">
            <v>100</v>
          </cell>
        </row>
        <row r="12">
          <cell r="A12" t="str">
            <v>6076 МЯСНАЯ Папа может вар п/о 0.4кг_UZ</v>
          </cell>
          <cell r="B12" t="str">
            <v>шт</v>
          </cell>
          <cell r="C12">
            <v>579</v>
          </cell>
          <cell r="D12">
            <v>392</v>
          </cell>
          <cell r="E12">
            <v>671</v>
          </cell>
          <cell r="F12">
            <v>296</v>
          </cell>
          <cell r="G12">
            <v>0.4</v>
          </cell>
          <cell r="H12">
            <v>60</v>
          </cell>
          <cell r="I12" t="str">
            <v>матрица</v>
          </cell>
          <cell r="L12">
            <v>671</v>
          </cell>
          <cell r="O12">
            <v>200</v>
          </cell>
          <cell r="P12">
            <v>65</v>
          </cell>
          <cell r="Q12">
            <v>674</v>
          </cell>
          <cell r="R12">
            <v>700</v>
          </cell>
        </row>
        <row r="13">
          <cell r="A13" t="str">
            <v>6078 ФИЛЕЙНАЯ Папа может вар п/о_UZ</v>
          </cell>
          <cell r="B13" t="str">
            <v>кг</v>
          </cell>
          <cell r="C13">
            <v>77.114000000000004</v>
          </cell>
          <cell r="D13">
            <v>49.502000000000002</v>
          </cell>
          <cell r="E13">
            <v>69.11</v>
          </cell>
          <cell r="F13">
            <v>56.396000000000001</v>
          </cell>
          <cell r="G13">
            <v>1</v>
          </cell>
          <cell r="H13">
            <v>60</v>
          </cell>
          <cell r="I13" t="str">
            <v>матрица</v>
          </cell>
          <cell r="L13">
            <v>69.11</v>
          </cell>
          <cell r="O13">
            <v>50</v>
          </cell>
          <cell r="P13">
            <v>10</v>
          </cell>
          <cell r="Q13">
            <v>73.603999999999999</v>
          </cell>
          <cell r="R13">
            <v>80</v>
          </cell>
        </row>
        <row r="14">
          <cell r="A14" t="str">
            <v>6091 АРОМАТНАЯ с/к в/у_UZ</v>
          </cell>
          <cell r="B14" t="str">
            <v>кг</v>
          </cell>
          <cell r="C14">
            <v>6.2770000000000001</v>
          </cell>
          <cell r="D14">
            <v>59.953000000000003</v>
          </cell>
          <cell r="E14">
            <v>54.901000000000003</v>
          </cell>
          <cell r="F14">
            <v>11</v>
          </cell>
          <cell r="G14">
            <v>1</v>
          </cell>
          <cell r="H14">
            <v>120</v>
          </cell>
          <cell r="I14" t="str">
            <v>матрица</v>
          </cell>
          <cell r="L14">
            <v>54.901000000000003</v>
          </cell>
          <cell r="O14">
            <v>50</v>
          </cell>
          <cell r="P14">
            <v>10</v>
          </cell>
          <cell r="Q14">
            <v>119</v>
          </cell>
          <cell r="R14">
            <v>100</v>
          </cell>
        </row>
        <row r="15">
          <cell r="A15" t="str">
            <v>6092 АРОМАТНАЯ с/к в/у 1/250 8шт_UZ</v>
          </cell>
          <cell r="B15" t="str">
            <v>шт</v>
          </cell>
          <cell r="C15">
            <v>733</v>
          </cell>
          <cell r="D15">
            <v>240</v>
          </cell>
          <cell r="E15">
            <v>574</v>
          </cell>
          <cell r="F15">
            <v>399</v>
          </cell>
          <cell r="G15">
            <v>0.25</v>
          </cell>
          <cell r="H15">
            <v>120</v>
          </cell>
          <cell r="I15" t="str">
            <v>матрица</v>
          </cell>
          <cell r="L15">
            <v>574</v>
          </cell>
          <cell r="O15">
            <v>100</v>
          </cell>
          <cell r="P15">
            <v>40</v>
          </cell>
          <cell r="Q15">
            <v>221</v>
          </cell>
          <cell r="R15">
            <v>400</v>
          </cell>
        </row>
        <row r="16">
          <cell r="A16" t="str">
            <v>6093 САЛЯМИ ИТАЛЬЯНСКАЯ с/к в/у 1/250 8шт_UZ</v>
          </cell>
          <cell r="B16" t="str">
            <v>шт</v>
          </cell>
          <cell r="C16">
            <v>807</v>
          </cell>
          <cell r="D16">
            <v>400</v>
          </cell>
          <cell r="E16">
            <v>772</v>
          </cell>
          <cell r="F16">
            <v>426</v>
          </cell>
          <cell r="G16">
            <v>0.25</v>
          </cell>
          <cell r="H16">
            <v>120</v>
          </cell>
          <cell r="I16" t="str">
            <v>матрица</v>
          </cell>
          <cell r="L16">
            <v>772</v>
          </cell>
          <cell r="O16">
            <v>200</v>
          </cell>
          <cell r="P16">
            <v>65</v>
          </cell>
          <cell r="Q16">
            <v>544</v>
          </cell>
          <cell r="R16">
            <v>500</v>
          </cell>
        </row>
        <row r="17">
          <cell r="A17" t="str">
            <v>6094 ЮБИЛЕЙНАЯ с/к в/у_UZ</v>
          </cell>
          <cell r="B17" t="str">
            <v>кг</v>
          </cell>
          <cell r="C17">
            <v>-5.08</v>
          </cell>
          <cell r="D17">
            <v>48.381</v>
          </cell>
          <cell r="E17">
            <v>42.887</v>
          </cell>
          <cell r="F17">
            <v>-1.0649999999999999</v>
          </cell>
          <cell r="G17">
            <v>1</v>
          </cell>
          <cell r="H17">
            <v>120</v>
          </cell>
          <cell r="I17" t="str">
            <v>матрица</v>
          </cell>
          <cell r="L17">
            <v>42.887</v>
          </cell>
          <cell r="O17">
            <v>50</v>
          </cell>
          <cell r="P17">
            <v>10</v>
          </cell>
          <cell r="Q17">
            <v>131.065</v>
          </cell>
          <cell r="R17">
            <v>100</v>
          </cell>
        </row>
        <row r="18">
          <cell r="A18" t="str">
            <v>6095 ЮБИЛЕЙНАЯ с/к в/у 1/250 8шт_UZ</v>
          </cell>
          <cell r="B18" t="str">
            <v>шт</v>
          </cell>
          <cell r="C18">
            <v>865</v>
          </cell>
          <cell r="D18">
            <v>240</v>
          </cell>
          <cell r="E18">
            <v>632</v>
          </cell>
          <cell r="F18">
            <v>457</v>
          </cell>
          <cell r="G18">
            <v>0.25</v>
          </cell>
          <cell r="H18">
            <v>120</v>
          </cell>
          <cell r="I18" t="str">
            <v>матрица</v>
          </cell>
          <cell r="L18">
            <v>632</v>
          </cell>
          <cell r="O18">
            <v>100</v>
          </cell>
          <cell r="P18">
            <v>45</v>
          </cell>
          <cell r="Q18">
            <v>253</v>
          </cell>
          <cell r="R18">
            <v>400</v>
          </cell>
        </row>
        <row r="19">
          <cell r="A19" t="str">
            <v>6220 ГОВЯЖЬЯ Папа может вар п/о  ОСТАНКИНО</v>
          </cell>
          <cell r="B19" t="str">
            <v>кг</v>
          </cell>
          <cell r="C19">
            <v>81.828999999999994</v>
          </cell>
          <cell r="D19">
            <v>98.25</v>
          </cell>
          <cell r="E19">
            <v>87.073999999999998</v>
          </cell>
          <cell r="F19">
            <v>93.004999999999995</v>
          </cell>
          <cell r="G19">
            <v>1</v>
          </cell>
          <cell r="H19">
            <v>60</v>
          </cell>
          <cell r="I19" t="str">
            <v>матрица</v>
          </cell>
          <cell r="L19">
            <v>87.073999999999998</v>
          </cell>
          <cell r="O19">
            <v>50</v>
          </cell>
          <cell r="P19">
            <v>10</v>
          </cell>
          <cell r="Q19">
            <v>36.995000000000005</v>
          </cell>
          <cell r="R19">
            <v>50</v>
          </cell>
        </row>
        <row r="20">
          <cell r="A20" t="str">
            <v>6268 ГОВЯЖЬЯ Папа может вар п/о 0.4кг 8шт.  ОСТАНКИНО</v>
          </cell>
          <cell r="B20" t="str">
            <v>шт</v>
          </cell>
          <cell r="C20">
            <v>1649</v>
          </cell>
          <cell r="E20">
            <v>509</v>
          </cell>
          <cell r="F20">
            <v>1137</v>
          </cell>
          <cell r="G20">
            <v>0.4</v>
          </cell>
          <cell r="H20">
            <v>60</v>
          </cell>
          <cell r="I20" t="str">
            <v>матрица</v>
          </cell>
          <cell r="L20">
            <v>509</v>
          </cell>
          <cell r="O20">
            <v>0</v>
          </cell>
          <cell r="P20">
            <v>35</v>
          </cell>
          <cell r="Q20">
            <v>-507</v>
          </cell>
        </row>
        <row r="21">
          <cell r="A21" t="str">
            <v>6346 ФИЛЕЙНАЯ Папа может вар п/о 0.5кг_СНГ  ОСТАНКИНО</v>
          </cell>
          <cell r="B21" t="str">
            <v>шт</v>
          </cell>
          <cell r="C21">
            <v>400</v>
          </cell>
          <cell r="D21">
            <v>400</v>
          </cell>
          <cell r="E21">
            <v>667</v>
          </cell>
          <cell r="F21">
            <v>109</v>
          </cell>
          <cell r="G21">
            <v>0.5</v>
          </cell>
          <cell r="H21">
            <v>60</v>
          </cell>
          <cell r="I21" t="str">
            <v>матрица</v>
          </cell>
          <cell r="L21">
            <v>667</v>
          </cell>
          <cell r="O21">
            <v>200</v>
          </cell>
          <cell r="P21">
            <v>85</v>
          </cell>
          <cell r="Q21">
            <v>1221</v>
          </cell>
          <cell r="R21">
            <v>500</v>
          </cell>
        </row>
        <row r="22">
          <cell r="A22" t="str">
            <v>6765 РУБЛЕНЫЕ сос ц/о мгс 0.36кг 6шт.  ОСТАНКИНО</v>
          </cell>
          <cell r="B22" t="str">
            <v>шт</v>
          </cell>
          <cell r="C22">
            <v>111</v>
          </cell>
          <cell r="D22">
            <v>210</v>
          </cell>
          <cell r="E22">
            <v>119</v>
          </cell>
          <cell r="F22">
            <v>190</v>
          </cell>
          <cell r="G22">
            <v>0</v>
          </cell>
          <cell r="H22">
            <v>45</v>
          </cell>
          <cell r="I22" t="str">
            <v>вывод</v>
          </cell>
          <cell r="L22">
            <v>119</v>
          </cell>
          <cell r="O22">
            <v>0</v>
          </cell>
          <cell r="P22">
            <v>23.8</v>
          </cell>
          <cell r="Q22">
            <v>238.40000000000003</v>
          </cell>
        </row>
        <row r="23">
          <cell r="A23" t="str">
            <v>6787 СЕРВЕЛАТ КРЕМЛЕВСКИЙ в/к в/у 0.33кг 8шт.  ОСТАНКИНО</v>
          </cell>
          <cell r="B23" t="str">
            <v>шт</v>
          </cell>
          <cell r="C23">
            <v>520</v>
          </cell>
          <cell r="D23">
            <v>320</v>
          </cell>
          <cell r="E23">
            <v>763</v>
          </cell>
          <cell r="F23">
            <v>67</v>
          </cell>
          <cell r="G23">
            <v>0.33</v>
          </cell>
          <cell r="H23">
            <v>45</v>
          </cell>
          <cell r="I23" t="str">
            <v>матрица</v>
          </cell>
          <cell r="L23">
            <v>763</v>
          </cell>
          <cell r="O23">
            <v>200</v>
          </cell>
          <cell r="P23">
            <v>45</v>
          </cell>
          <cell r="Q23">
            <v>543</v>
          </cell>
          <cell r="R23">
            <v>500</v>
          </cell>
        </row>
        <row r="24">
          <cell r="A24" t="str">
            <v>6837 ФИЛЕЙНЫЕ Папа Может сос ц/о мгс 0.4кг  ОСТАНКИНО</v>
          </cell>
          <cell r="B24" t="str">
            <v>шт</v>
          </cell>
          <cell r="C24">
            <v>131</v>
          </cell>
          <cell r="D24">
            <v>156</v>
          </cell>
          <cell r="E24">
            <v>76</v>
          </cell>
          <cell r="F24">
            <v>190</v>
          </cell>
          <cell r="G24">
            <v>0.4</v>
          </cell>
          <cell r="H24">
            <v>45</v>
          </cell>
          <cell r="I24" t="str">
            <v>матрица</v>
          </cell>
          <cell r="L24">
            <v>76</v>
          </cell>
          <cell r="O24">
            <v>120</v>
          </cell>
          <cell r="P24">
            <v>25</v>
          </cell>
          <cell r="Q24">
            <v>140</v>
          </cell>
          <cell r="R24">
            <v>150</v>
          </cell>
        </row>
        <row r="25">
          <cell r="A25" t="str">
            <v>7058 ШПИКАЧКИ СОЧНЫЕ С БЕКОНОМ п/о мгс 1*3_60с  ОСТАНКИНО</v>
          </cell>
          <cell r="B25" t="str">
            <v>кг</v>
          </cell>
          <cell r="C25">
            <v>301.221</v>
          </cell>
          <cell r="D25">
            <v>201.244</v>
          </cell>
          <cell r="E25">
            <v>237.27</v>
          </cell>
          <cell r="F25">
            <v>261.79000000000002</v>
          </cell>
          <cell r="G25">
            <v>1</v>
          </cell>
          <cell r="H25">
            <v>60</v>
          </cell>
          <cell r="I25" t="str">
            <v>матрица</v>
          </cell>
          <cell r="L25">
            <v>237.27</v>
          </cell>
          <cell r="O25">
            <v>200</v>
          </cell>
          <cell r="P25">
            <v>35</v>
          </cell>
          <cell r="Q25">
            <v>168.20999999999998</v>
          </cell>
          <cell r="R25">
            <v>150</v>
          </cell>
        </row>
        <row r="26">
          <cell r="A26" t="str">
            <v>7059 ШПИКАЧКИ СОЧНЫЕ С БЕК. п/о мгс 0.3кг_60с  ОСТАНКИНО</v>
          </cell>
          <cell r="B26" t="str">
            <v>шт</v>
          </cell>
          <cell r="C26">
            <v>239</v>
          </cell>
          <cell r="D26">
            <v>160</v>
          </cell>
          <cell r="E26">
            <v>114</v>
          </cell>
          <cell r="F26">
            <v>281</v>
          </cell>
          <cell r="G26">
            <v>0.3</v>
          </cell>
          <cell r="H26">
            <v>60</v>
          </cell>
          <cell r="I26" t="str">
            <v>матрица</v>
          </cell>
          <cell r="L26">
            <v>114</v>
          </cell>
          <cell r="O26">
            <v>100</v>
          </cell>
          <cell r="P26">
            <v>30</v>
          </cell>
          <cell r="Q26">
            <v>159</v>
          </cell>
          <cell r="R26">
            <v>200</v>
          </cell>
        </row>
        <row r="27">
          <cell r="A27" t="str">
            <v>7067 СОЧНЫЕ ПМ сос п/о мгс 0.41кг_СНГ_50с  ОСТАНКИНО</v>
          </cell>
          <cell r="B27" t="str">
            <v>шт</v>
          </cell>
          <cell r="C27">
            <v>313</v>
          </cell>
          <cell r="D27">
            <v>200</v>
          </cell>
          <cell r="E27">
            <v>197</v>
          </cell>
          <cell r="F27">
            <v>309</v>
          </cell>
          <cell r="G27">
            <v>0.41</v>
          </cell>
          <cell r="H27">
            <v>50</v>
          </cell>
          <cell r="I27" t="str">
            <v>матрица</v>
          </cell>
          <cell r="L27">
            <v>197</v>
          </cell>
          <cell r="O27">
            <v>160</v>
          </cell>
          <cell r="P27">
            <v>35</v>
          </cell>
          <cell r="Q27">
            <v>161</v>
          </cell>
          <cell r="R27">
            <v>150</v>
          </cell>
        </row>
        <row r="28">
          <cell r="A28" t="str">
            <v>7070 СОЧНЫЕ ПМ сос п/о мгс 1.5*4_А_50с  ОСТАНКИНО</v>
          </cell>
          <cell r="B28" t="str">
            <v>кг</v>
          </cell>
          <cell r="C28">
            <v>266.29399999999998</v>
          </cell>
          <cell r="D28">
            <v>311.30799999999999</v>
          </cell>
          <cell r="E28">
            <v>458.08300000000003</v>
          </cell>
          <cell r="F28">
            <v>119.51900000000001</v>
          </cell>
          <cell r="G28">
            <v>0</v>
          </cell>
          <cell r="H28">
            <v>50</v>
          </cell>
          <cell r="I28" t="str">
            <v>ротация</v>
          </cell>
          <cell r="L28">
            <v>458.08300000000003</v>
          </cell>
          <cell r="O28">
            <v>0</v>
          </cell>
          <cell r="P28">
            <v>75</v>
          </cell>
          <cell r="Q28">
            <v>1230.481</v>
          </cell>
        </row>
        <row r="29">
          <cell r="A29" t="str">
            <v>7075 МОЛОЧ.ПРЕМИУМ ПМ сос п/о мгс 1.5*4_О_50с  ОСТАНКИНО</v>
          </cell>
          <cell r="B29" t="str">
            <v>кг</v>
          </cell>
          <cell r="C29">
            <v>210.26499999999999</v>
          </cell>
          <cell r="D29">
            <v>157.29</v>
          </cell>
          <cell r="E29">
            <v>192.286</v>
          </cell>
          <cell r="F29">
            <v>175.26900000000001</v>
          </cell>
          <cell r="G29">
            <v>1</v>
          </cell>
          <cell r="H29">
            <v>50</v>
          </cell>
          <cell r="I29" t="str">
            <v>матрица</v>
          </cell>
          <cell r="L29">
            <v>192.286</v>
          </cell>
          <cell r="O29">
            <v>150</v>
          </cell>
          <cell r="P29">
            <v>27</v>
          </cell>
          <cell r="Q29">
            <v>160.73099999999999</v>
          </cell>
          <cell r="R29">
            <v>150</v>
          </cell>
        </row>
        <row r="30">
          <cell r="A30" t="str">
            <v>7077 МЯСНЫЕ С ГОВЯД.ПМ сос п/о мгс 0.4кг_50с ОСТАНКИНО</v>
          </cell>
          <cell r="B30" t="str">
            <v>шт</v>
          </cell>
          <cell r="C30">
            <v>153</v>
          </cell>
          <cell r="D30">
            <v>240</v>
          </cell>
          <cell r="E30">
            <v>208</v>
          </cell>
          <cell r="F30">
            <v>176</v>
          </cell>
          <cell r="G30">
            <v>0.4</v>
          </cell>
          <cell r="H30">
            <v>50</v>
          </cell>
          <cell r="I30" t="str">
            <v>матрица</v>
          </cell>
          <cell r="L30">
            <v>208</v>
          </cell>
          <cell r="O30">
            <v>200</v>
          </cell>
          <cell r="P30">
            <v>40</v>
          </cell>
          <cell r="Q30">
            <v>344</v>
          </cell>
          <cell r="R30">
            <v>250</v>
          </cell>
        </row>
        <row r="31">
          <cell r="A31" t="str">
            <v>7104 БЕКОН Останкино с/к с/н в/у 1/180_СНГ_50 ОСТАНКИНО</v>
          </cell>
          <cell r="B31" t="str">
            <v>шт</v>
          </cell>
          <cell r="C31">
            <v>12</v>
          </cell>
          <cell r="D31">
            <v>200</v>
          </cell>
          <cell r="E31">
            <v>192</v>
          </cell>
          <cell r="F31">
            <v>18</v>
          </cell>
          <cell r="G31">
            <v>0.18</v>
          </cell>
          <cell r="H31">
            <v>50</v>
          </cell>
          <cell r="I31" t="str">
            <v>матрица</v>
          </cell>
          <cell r="L31">
            <v>192</v>
          </cell>
          <cell r="O31">
            <v>200</v>
          </cell>
          <cell r="P31">
            <v>40</v>
          </cell>
          <cell r="Q31">
            <v>502</v>
          </cell>
          <cell r="R31">
            <v>300</v>
          </cell>
        </row>
        <row r="32">
          <cell r="A32" t="str">
            <v>7187 ГРУДИНКА ПРЕМИУМ к/в мл/к в/у 0.3кг_50с  ОСТАНКИНО</v>
          </cell>
          <cell r="B32" t="str">
            <v>шт</v>
          </cell>
          <cell r="C32">
            <v>1526</v>
          </cell>
          <cell r="D32">
            <v>1596</v>
          </cell>
          <cell r="E32">
            <v>2947</v>
          </cell>
          <cell r="F32">
            <v>165</v>
          </cell>
          <cell r="G32">
            <v>0.3</v>
          </cell>
          <cell r="H32">
            <v>50</v>
          </cell>
          <cell r="I32" t="str">
            <v>матрица</v>
          </cell>
          <cell r="L32">
            <v>2947</v>
          </cell>
          <cell r="O32">
            <v>1000</v>
          </cell>
          <cell r="P32">
            <v>280</v>
          </cell>
          <cell r="Q32">
            <v>3875</v>
          </cell>
          <cell r="R32">
            <v>2000</v>
          </cell>
        </row>
        <row r="33">
          <cell r="A33" t="str">
            <v>7333 СЕРВЕЛАТ ОХОТНИЧИЙ ПМ в/к в/у 0.28кг_СНГ  ОСТАНКИНО</v>
          </cell>
          <cell r="B33" t="str">
            <v>шт</v>
          </cell>
          <cell r="C33">
            <v>773</v>
          </cell>
          <cell r="D33">
            <v>280</v>
          </cell>
          <cell r="E33">
            <v>647</v>
          </cell>
          <cell r="F33">
            <v>403</v>
          </cell>
          <cell r="G33">
            <v>0.28000000000000003</v>
          </cell>
          <cell r="H33">
            <v>50</v>
          </cell>
          <cell r="I33" t="str">
            <v>матрица</v>
          </cell>
          <cell r="L33">
            <v>647</v>
          </cell>
          <cell r="O33">
            <v>120</v>
          </cell>
          <cell r="P33">
            <v>35</v>
          </cell>
          <cell r="Q33">
            <v>107</v>
          </cell>
          <cell r="R33">
            <v>160</v>
          </cell>
        </row>
        <row r="34">
          <cell r="A34" t="str">
            <v>АРОМАТНАЯ с/к с/н в/у 1/100_СНГ</v>
          </cell>
          <cell r="G34">
            <v>0.1</v>
          </cell>
          <cell r="I34">
            <v>1001191975179</v>
          </cell>
          <cell r="L34">
            <v>0</v>
          </cell>
          <cell r="O34">
            <v>50</v>
          </cell>
          <cell r="P34">
            <v>0</v>
          </cell>
          <cell r="R34">
            <v>150</v>
          </cell>
        </row>
        <row r="35">
          <cell r="A35" t="str">
            <v>БОЯРСКАЯ ПМ п/к в/у 0.28кг_СНГ</v>
          </cell>
          <cell r="G35">
            <v>0.28000000000000003</v>
          </cell>
          <cell r="I35">
            <v>1001301777332</v>
          </cell>
          <cell r="L35">
            <v>0</v>
          </cell>
          <cell r="O35">
            <v>120</v>
          </cell>
          <cell r="P35">
            <v>0</v>
          </cell>
          <cell r="R35">
            <v>200</v>
          </cell>
        </row>
        <row r="36">
          <cell r="A36" t="str">
            <v>КЛАССИЧЕСКАЯ ПМ вар п/о 0.3кг 8шт_209к</v>
          </cell>
          <cell r="G36">
            <v>0.3</v>
          </cell>
          <cell r="I36">
            <v>1001013957231</v>
          </cell>
          <cell r="L36">
            <v>0</v>
          </cell>
          <cell r="O36">
            <v>200</v>
          </cell>
          <cell r="P36">
            <v>0</v>
          </cell>
          <cell r="R36">
            <v>200</v>
          </cell>
        </row>
        <row r="37">
          <cell r="A37" t="str">
            <v>МОЛОЧНЫЕ КЛАССИЧЕСКИЕ сос п/о в/у 0.3кг</v>
          </cell>
          <cell r="G37">
            <v>0.3</v>
          </cell>
          <cell r="I37">
            <v>1001024976616</v>
          </cell>
          <cell r="L37">
            <v>0</v>
          </cell>
          <cell r="O37">
            <v>60</v>
          </cell>
          <cell r="P37">
            <v>0</v>
          </cell>
          <cell r="R37">
            <v>150</v>
          </cell>
        </row>
        <row r="38">
          <cell r="A38" t="str">
            <v>МЯСНЫЕ Папа может сар б/о мгс 1*3_Х5_45с</v>
          </cell>
          <cell r="G38">
            <v>1</v>
          </cell>
          <cell r="I38">
            <v>1001032736549</v>
          </cell>
          <cell r="L38">
            <v>0</v>
          </cell>
          <cell r="O38">
            <v>100</v>
          </cell>
          <cell r="P38">
            <v>0</v>
          </cell>
          <cell r="R38">
            <v>200</v>
          </cell>
        </row>
        <row r="39">
          <cell r="A39" t="str">
            <v>ОКОРОК КОПЧЕНЫЙ к/в мл/к в/у 0.3кг_СНГ</v>
          </cell>
          <cell r="G39">
            <v>0.3</v>
          </cell>
          <cell r="I39">
            <v>1001083446207</v>
          </cell>
          <cell r="L39">
            <v>0</v>
          </cell>
          <cell r="O39">
            <v>100</v>
          </cell>
          <cell r="P39">
            <v>0</v>
          </cell>
          <cell r="R39">
            <v>200</v>
          </cell>
        </row>
        <row r="40">
          <cell r="A40" t="str">
            <v>САЛЯМИ ИТАЛЬЯНСКАЯ с/к в/у 1/150_СНГ_60с</v>
          </cell>
          <cell r="G40">
            <v>0.15</v>
          </cell>
          <cell r="I40">
            <v>1001190765681</v>
          </cell>
          <cell r="L40">
            <v>0</v>
          </cell>
          <cell r="O40">
            <v>50</v>
          </cell>
          <cell r="P40">
            <v>0</v>
          </cell>
          <cell r="R40">
            <v>150</v>
          </cell>
        </row>
        <row r="41">
          <cell r="A41" t="str">
            <v>САЛЯМИ Папа может п/к в/у 0.28кг_209к</v>
          </cell>
          <cell r="G41">
            <v>0.28000000000000003</v>
          </cell>
          <cell r="I41">
            <v>1001303107241</v>
          </cell>
          <cell r="L41">
            <v>0</v>
          </cell>
          <cell r="O41">
            <v>120</v>
          </cell>
          <cell r="P41">
            <v>0</v>
          </cell>
          <cell r="R41">
            <v>250</v>
          </cell>
        </row>
        <row r="42">
          <cell r="A42" t="str">
            <v>СЕРВЕЛАТ КАРЕЛЬС.вк в/у 0.28кг_СНГ_209к</v>
          </cell>
          <cell r="G42">
            <v>0.28000000000000003</v>
          </cell>
          <cell r="I42">
            <v>1001304507230</v>
          </cell>
          <cell r="L42">
            <v>0</v>
          </cell>
          <cell r="O42">
            <v>120</v>
          </cell>
          <cell r="P42">
            <v>0</v>
          </cell>
          <cell r="R42">
            <v>250</v>
          </cell>
        </row>
        <row r="43">
          <cell r="A43" t="str">
            <v>СОЧНЫЕ ПМ сос п/о мгс 1*6_СНГ</v>
          </cell>
          <cell r="G43">
            <v>1</v>
          </cell>
          <cell r="I43">
            <v>1001022377070</v>
          </cell>
          <cell r="L43">
            <v>0</v>
          </cell>
          <cell r="O43">
            <v>400</v>
          </cell>
          <cell r="P43">
            <v>0</v>
          </cell>
          <cell r="R43">
            <v>400</v>
          </cell>
        </row>
        <row r="44">
          <cell r="A44" t="str">
            <v>ШПИКАЧКИ СОЧНЫЕ сар б/о мгс 1*3_Ашан_45с</v>
          </cell>
          <cell r="G44">
            <v>1</v>
          </cell>
          <cell r="I44">
            <v>1001031076548</v>
          </cell>
          <cell r="L44">
            <v>0</v>
          </cell>
          <cell r="P4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8" sqref="U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4.7109375" customWidth="1"/>
    <col min="10" max="10" width="1" customWidth="1"/>
    <col min="11" max="14" width="0.42578125" customWidth="1"/>
    <col min="15" max="17" width="7" customWidth="1"/>
    <col min="18" max="19" width="7" style="22" customWidth="1"/>
    <col min="20" max="20" width="7" customWidth="1"/>
    <col min="21" max="21" width="21" customWidth="1"/>
    <col min="22" max="23" width="5" customWidth="1"/>
    <col min="24" max="31" width="6" customWidth="1"/>
    <col min="32" max="32" width="41.140625" customWidth="1"/>
    <col min="33" max="34" width="7" customWidth="1"/>
    <col min="35" max="52" width="3" customWidth="1"/>
  </cols>
  <sheetData>
    <row r="1" spans="1:52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86</v>
      </c>
      <c r="S3" s="3" t="s">
        <v>86</v>
      </c>
      <c r="T3" s="7" t="s">
        <v>17</v>
      </c>
      <c r="U3" s="7" t="s">
        <v>18</v>
      </c>
      <c r="V3" s="2" t="s">
        <v>19</v>
      </c>
      <c r="W3" s="2" t="s">
        <v>20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2" t="s">
        <v>23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/>
      <c r="R4" s="1" t="s">
        <v>87</v>
      </c>
      <c r="S4" s="1" t="s">
        <v>88</v>
      </c>
      <c r="T4" s="1" t="s">
        <v>89</v>
      </c>
      <c r="U4" s="1"/>
      <c r="V4" s="1"/>
      <c r="W4" s="1"/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/>
      <c r="AG4" s="1" t="s">
        <v>87</v>
      </c>
      <c r="AH4" s="1" t="s">
        <v>88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SUM(E6:E495)</f>
        <v>13347.369000000001</v>
      </c>
      <c r="F5" s="4">
        <f>SUM(F6:F495)</f>
        <v>6582.7580000000007</v>
      </c>
      <c r="G5" s="8"/>
      <c r="H5" s="1"/>
      <c r="I5" s="1"/>
      <c r="J5" s="1"/>
      <c r="K5" s="4">
        <f t="shared" ref="K5:T5" si="0">SUM(K6:K495)</f>
        <v>0</v>
      </c>
      <c r="L5" s="4">
        <f t="shared" si="0"/>
        <v>13347.369000000001</v>
      </c>
      <c r="M5" s="4">
        <f t="shared" si="0"/>
        <v>0</v>
      </c>
      <c r="N5" s="4">
        <f t="shared" si="0"/>
        <v>0</v>
      </c>
      <c r="O5" s="4">
        <f t="shared" si="0"/>
        <v>5950</v>
      </c>
      <c r="P5" s="4">
        <f t="shared" si="0"/>
        <v>2669.4738000000002</v>
      </c>
      <c r="Q5" s="4">
        <f t="shared" si="0"/>
        <v>14815.180799999998</v>
      </c>
      <c r="R5" s="4">
        <f t="shared" si="0"/>
        <v>11240</v>
      </c>
      <c r="S5" s="4">
        <f t="shared" ref="S5" si="1">SUM(S6:S495)</f>
        <v>5120</v>
      </c>
      <c r="T5" s="4">
        <f t="shared" si="0"/>
        <v>11240</v>
      </c>
      <c r="U5" s="1"/>
      <c r="V5" s="1"/>
      <c r="W5" s="1"/>
      <c r="X5" s="4">
        <f t="shared" ref="X5:AE5" si="2">SUM(X6:X495)</f>
        <v>1402.623</v>
      </c>
      <c r="Y5" s="4">
        <f t="shared" si="2"/>
        <v>896.62240000000008</v>
      </c>
      <c r="Z5" s="4">
        <f t="shared" si="2"/>
        <v>1462.8229999999999</v>
      </c>
      <c r="AA5" s="4">
        <f t="shared" si="2"/>
        <v>1237.3054000000002</v>
      </c>
      <c r="AB5" s="4">
        <f t="shared" si="2"/>
        <v>1450.5596</v>
      </c>
      <c r="AC5" s="4">
        <f t="shared" si="2"/>
        <v>1498.3048000000001</v>
      </c>
      <c r="AD5" s="4">
        <f t="shared" si="2"/>
        <v>1367.0848000000001</v>
      </c>
      <c r="AE5" s="4">
        <f t="shared" si="2"/>
        <v>990.78960000000006</v>
      </c>
      <c r="AF5" s="1"/>
      <c r="AG5" s="4">
        <f>SUM(AG6:AG495)</f>
        <v>4728.8</v>
      </c>
      <c r="AH5" s="4">
        <f>SUM(AH6:AH495)</f>
        <v>2633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34</v>
      </c>
      <c r="B6" s="1" t="s">
        <v>35</v>
      </c>
      <c r="C6" s="1">
        <v>84.828999999999994</v>
      </c>
      <c r="D6" s="1">
        <v>152.12100000000001</v>
      </c>
      <c r="E6" s="1">
        <v>236.52099999999999</v>
      </c>
      <c r="F6" s="1">
        <v>-2.3809999999999998</v>
      </c>
      <c r="G6" s="8">
        <v>1</v>
      </c>
      <c r="H6" s="1">
        <v>45</v>
      </c>
      <c r="I6" s="1" t="s">
        <v>36</v>
      </c>
      <c r="J6" s="1"/>
      <c r="K6" s="1"/>
      <c r="L6" s="1">
        <f t="shared" ref="L6:L48" si="3">E6-K6</f>
        <v>236.52099999999999</v>
      </c>
      <c r="M6" s="1"/>
      <c r="N6" s="1"/>
      <c r="O6" s="1">
        <v>150</v>
      </c>
      <c r="P6" s="1">
        <f t="shared" ref="P6:P48" si="4">E6/5</f>
        <v>47.304199999999994</v>
      </c>
      <c r="Q6" s="5">
        <f>9*P6-O6-F6</f>
        <v>278.11879999999991</v>
      </c>
      <c r="R6" s="5">
        <f>T6</f>
        <v>200</v>
      </c>
      <c r="S6" s="5">
        <f>IFERROR(VLOOKUP(A6,[1]Sheet!$A$1:$S$65536,19,0),0)</f>
        <v>50</v>
      </c>
      <c r="T6" s="5">
        <f>VLOOKUP(A6,[2]Sheet!$A$1:$R$65536,18,0)</f>
        <v>200</v>
      </c>
      <c r="U6" s="1"/>
      <c r="V6" s="1">
        <f>(F6+O6+Q6)/P6</f>
        <v>8.9999999999999982</v>
      </c>
      <c r="W6" s="1">
        <f>(F6+O6)/P6</f>
        <v>3.1206319946220424</v>
      </c>
      <c r="X6" s="1">
        <v>22.1328</v>
      </c>
      <c r="Y6" s="1">
        <v>11.405799999999999</v>
      </c>
      <c r="Z6" s="1">
        <v>22.1328</v>
      </c>
      <c r="AA6" s="1">
        <v>23.523</v>
      </c>
      <c r="AB6" s="1">
        <v>24.957999999999998</v>
      </c>
      <c r="AC6" s="1">
        <v>37.103200000000001</v>
      </c>
      <c r="AD6" s="1">
        <v>16.863600000000002</v>
      </c>
      <c r="AE6" s="1">
        <v>22.165800000000001</v>
      </c>
      <c r="AF6" s="1"/>
      <c r="AG6" s="1">
        <f>G6*R6</f>
        <v>200</v>
      </c>
      <c r="AH6" s="1">
        <f>G6*S6</f>
        <v>50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37</v>
      </c>
      <c r="B7" s="1" t="s">
        <v>38</v>
      </c>
      <c r="C7" s="1">
        <v>642.81100000000004</v>
      </c>
      <c r="D7" s="1">
        <v>520</v>
      </c>
      <c r="E7" s="1">
        <v>1121</v>
      </c>
      <c r="F7" s="1">
        <v>26.811</v>
      </c>
      <c r="G7" s="8">
        <v>0.35</v>
      </c>
      <c r="H7" s="1">
        <v>45</v>
      </c>
      <c r="I7" s="1" t="s">
        <v>36</v>
      </c>
      <c r="J7" s="1"/>
      <c r="K7" s="1"/>
      <c r="L7" s="1">
        <f t="shared" si="3"/>
        <v>1121</v>
      </c>
      <c r="M7" s="1"/>
      <c r="N7" s="1"/>
      <c r="O7" s="1">
        <v>500</v>
      </c>
      <c r="P7" s="1">
        <f t="shared" si="4"/>
        <v>224.2</v>
      </c>
      <c r="Q7" s="5">
        <f>8*P7-O7-F7</f>
        <v>1266.789</v>
      </c>
      <c r="R7" s="5">
        <f t="shared" ref="R7:R48" si="5">T7</f>
        <v>800</v>
      </c>
      <c r="S7" s="5">
        <f>IFERROR(VLOOKUP(A7,[1]Sheet!$A$1:$S$65536,19,0),0)</f>
        <v>300</v>
      </c>
      <c r="T7" s="5">
        <f>VLOOKUP(A7,[2]Sheet!$A$1:$R$65536,18,0)</f>
        <v>800</v>
      </c>
      <c r="U7" s="1"/>
      <c r="V7" s="1">
        <f t="shared" ref="V7:V48" si="6">(F7+O7+Q7)/P7</f>
        <v>8</v>
      </c>
      <c r="W7" s="1">
        <f t="shared" ref="W7:W48" si="7">(F7+O7)/P7</f>
        <v>2.3497368421052633</v>
      </c>
      <c r="X7" s="1">
        <v>103.2</v>
      </c>
      <c r="Y7" s="1">
        <v>58.6</v>
      </c>
      <c r="Z7" s="1">
        <v>103.2</v>
      </c>
      <c r="AA7" s="1">
        <v>82</v>
      </c>
      <c r="AB7" s="1">
        <v>113</v>
      </c>
      <c r="AC7" s="1">
        <v>115.2</v>
      </c>
      <c r="AD7" s="1">
        <v>83.2</v>
      </c>
      <c r="AE7" s="1">
        <v>64.2</v>
      </c>
      <c r="AF7" s="1"/>
      <c r="AG7" s="1">
        <f t="shared" ref="AG7:AG48" si="8">G7*R7</f>
        <v>280</v>
      </c>
      <c r="AH7" s="1">
        <f t="shared" ref="AH7:AH48" si="9">G7*S7</f>
        <v>105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39</v>
      </c>
      <c r="B8" s="1" t="s">
        <v>35</v>
      </c>
      <c r="C8" s="1">
        <v>33.113999999999997</v>
      </c>
      <c r="D8" s="1">
        <v>102.15300000000001</v>
      </c>
      <c r="E8" s="1">
        <v>127.41800000000001</v>
      </c>
      <c r="F8" s="1">
        <v>7.8490000000000002</v>
      </c>
      <c r="G8" s="8">
        <v>1</v>
      </c>
      <c r="H8" s="1">
        <v>45</v>
      </c>
      <c r="I8" s="1" t="s">
        <v>36</v>
      </c>
      <c r="J8" s="1"/>
      <c r="K8" s="1"/>
      <c r="L8" s="1">
        <f t="shared" si="3"/>
        <v>127.41800000000001</v>
      </c>
      <c r="M8" s="1"/>
      <c r="N8" s="1"/>
      <c r="O8" s="1">
        <v>100</v>
      </c>
      <c r="P8" s="1">
        <f t="shared" si="4"/>
        <v>25.483600000000003</v>
      </c>
      <c r="Q8" s="5">
        <f>10*P8-O8-F8</f>
        <v>146.98700000000002</v>
      </c>
      <c r="R8" s="5">
        <f t="shared" si="5"/>
        <v>150</v>
      </c>
      <c r="S8" s="5">
        <f>IFERROR(VLOOKUP(A8,[1]Sheet!$A$1:$S$65536,19,0),0)</f>
        <v>50</v>
      </c>
      <c r="T8" s="5">
        <f>VLOOKUP(A8,[2]Sheet!$A$1:$R$65536,18,0)</f>
        <v>150</v>
      </c>
      <c r="U8" s="1"/>
      <c r="V8" s="1">
        <f t="shared" si="6"/>
        <v>10</v>
      </c>
      <c r="W8" s="1">
        <f t="shared" si="7"/>
        <v>4.2320943665730111</v>
      </c>
      <c r="X8" s="1">
        <v>14.5526</v>
      </c>
      <c r="Y8" s="1">
        <v>1.5815999999999999</v>
      </c>
      <c r="Z8" s="1">
        <v>14.5526</v>
      </c>
      <c r="AA8" s="1">
        <v>18.255800000000001</v>
      </c>
      <c r="AB8" s="1">
        <v>18.2606</v>
      </c>
      <c r="AC8" s="1">
        <v>18.8154</v>
      </c>
      <c r="AD8" s="1">
        <v>14.9602</v>
      </c>
      <c r="AE8" s="1">
        <v>14.5648</v>
      </c>
      <c r="AF8" s="1"/>
      <c r="AG8" s="1">
        <f t="shared" si="8"/>
        <v>150</v>
      </c>
      <c r="AH8" s="1">
        <f t="shared" si="9"/>
        <v>50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3" t="s">
        <v>40</v>
      </c>
      <c r="B9" s="13" t="s">
        <v>38</v>
      </c>
      <c r="C9" s="13">
        <v>-2</v>
      </c>
      <c r="D9" s="13"/>
      <c r="E9" s="13"/>
      <c r="F9" s="13">
        <v>-2</v>
      </c>
      <c r="G9" s="14">
        <v>0</v>
      </c>
      <c r="H9" s="13"/>
      <c r="I9" s="13" t="s">
        <v>41</v>
      </c>
      <c r="J9" s="13" t="s">
        <v>42</v>
      </c>
      <c r="K9" s="13"/>
      <c r="L9" s="13">
        <f t="shared" si="3"/>
        <v>0</v>
      </c>
      <c r="M9" s="13"/>
      <c r="N9" s="13"/>
      <c r="O9" s="13">
        <v>0</v>
      </c>
      <c r="P9" s="13">
        <f t="shared" si="4"/>
        <v>0</v>
      </c>
      <c r="Q9" s="15"/>
      <c r="R9" s="5">
        <f t="shared" si="5"/>
        <v>0</v>
      </c>
      <c r="S9" s="5">
        <f>IFERROR(VLOOKUP(A9,[1]Sheet!$A$1:$S$65536,19,0),0)</f>
        <v>0</v>
      </c>
      <c r="T9" s="5"/>
      <c r="U9" s="13"/>
      <c r="V9" s="13" t="e">
        <f t="shared" si="6"/>
        <v>#DIV/0!</v>
      </c>
      <c r="W9" s="13" t="e">
        <f t="shared" si="7"/>
        <v>#DIV/0!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/>
      <c r="AG9" s="1">
        <f t="shared" si="8"/>
        <v>0</v>
      </c>
      <c r="AH9" s="1">
        <f t="shared" si="9"/>
        <v>0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43</v>
      </c>
      <c r="B10" s="1" t="s">
        <v>38</v>
      </c>
      <c r="C10" s="1">
        <v>678</v>
      </c>
      <c r="D10" s="1">
        <v>480</v>
      </c>
      <c r="E10" s="1">
        <v>938</v>
      </c>
      <c r="F10" s="1">
        <v>196</v>
      </c>
      <c r="G10" s="8">
        <v>0.35</v>
      </c>
      <c r="H10" s="1">
        <v>45</v>
      </c>
      <c r="I10" s="1" t="s">
        <v>36</v>
      </c>
      <c r="J10" s="1"/>
      <c r="K10" s="1"/>
      <c r="L10" s="1">
        <f t="shared" si="3"/>
        <v>938</v>
      </c>
      <c r="M10" s="1"/>
      <c r="N10" s="1"/>
      <c r="O10" s="1">
        <v>300</v>
      </c>
      <c r="P10" s="1">
        <f t="shared" si="4"/>
        <v>187.6</v>
      </c>
      <c r="Q10" s="5">
        <f>9*P10-O10-F10</f>
        <v>1192.3999999999999</v>
      </c>
      <c r="R10" s="5">
        <f t="shared" si="5"/>
        <v>600</v>
      </c>
      <c r="S10" s="5">
        <f>IFERROR(VLOOKUP(A10,[1]Sheet!$A$1:$S$65536,19,0),0)</f>
        <v>300</v>
      </c>
      <c r="T10" s="5">
        <f>VLOOKUP(A10,[2]Sheet!$A$1:$R$65536,18,0)</f>
        <v>600</v>
      </c>
      <c r="U10" s="1"/>
      <c r="V10" s="1">
        <f t="shared" si="6"/>
        <v>9</v>
      </c>
      <c r="W10" s="1">
        <f t="shared" si="7"/>
        <v>2.6439232409381663</v>
      </c>
      <c r="X10" s="1">
        <v>81.2</v>
      </c>
      <c r="Y10" s="1">
        <v>32.200000000000003</v>
      </c>
      <c r="Z10" s="1">
        <v>81.2</v>
      </c>
      <c r="AA10" s="1">
        <v>47.6</v>
      </c>
      <c r="AB10" s="1">
        <v>66.8</v>
      </c>
      <c r="AC10" s="1">
        <v>76</v>
      </c>
      <c r="AD10" s="1">
        <v>51.8</v>
      </c>
      <c r="AE10" s="1">
        <v>47.4</v>
      </c>
      <c r="AF10" s="1"/>
      <c r="AG10" s="1">
        <f t="shared" si="8"/>
        <v>210</v>
      </c>
      <c r="AH10" s="1">
        <f t="shared" si="9"/>
        <v>105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3" t="s">
        <v>44</v>
      </c>
      <c r="B11" s="13" t="s">
        <v>35</v>
      </c>
      <c r="C11" s="13">
        <v>0.32100000000000001</v>
      </c>
      <c r="D11" s="13"/>
      <c r="E11" s="13"/>
      <c r="F11" s="13">
        <v>0.32100000000000001</v>
      </c>
      <c r="G11" s="14">
        <v>0</v>
      </c>
      <c r="H11" s="13">
        <v>60</v>
      </c>
      <c r="I11" s="13" t="s">
        <v>45</v>
      </c>
      <c r="J11" s="13"/>
      <c r="K11" s="13"/>
      <c r="L11" s="13">
        <f t="shared" si="3"/>
        <v>0</v>
      </c>
      <c r="M11" s="13"/>
      <c r="N11" s="13"/>
      <c r="O11" s="13">
        <v>0</v>
      </c>
      <c r="P11" s="13">
        <f t="shared" si="4"/>
        <v>0</v>
      </c>
      <c r="Q11" s="15"/>
      <c r="R11" s="5">
        <f t="shared" si="5"/>
        <v>0</v>
      </c>
      <c r="S11" s="5">
        <f>IFERROR(VLOOKUP(A11,[1]Sheet!$A$1:$S$65536,19,0),0)</f>
        <v>0</v>
      </c>
      <c r="T11" s="5"/>
      <c r="U11" s="13"/>
      <c r="V11" s="13" t="e">
        <f t="shared" si="6"/>
        <v>#DIV/0!</v>
      </c>
      <c r="W11" s="13" t="e">
        <f t="shared" si="7"/>
        <v>#DIV/0!</v>
      </c>
      <c r="X11" s="13">
        <v>3.0992000000000002</v>
      </c>
      <c r="Y11" s="13">
        <v>1.4414</v>
      </c>
      <c r="Z11" s="13">
        <v>3.0992000000000002</v>
      </c>
      <c r="AA11" s="13">
        <v>1.8802000000000001</v>
      </c>
      <c r="AB11" s="13">
        <v>1.3458000000000001</v>
      </c>
      <c r="AC11" s="13">
        <v>0</v>
      </c>
      <c r="AD11" s="13">
        <v>1.3475999999999999</v>
      </c>
      <c r="AE11" s="13">
        <v>1.0840000000000001</v>
      </c>
      <c r="AF11" s="13"/>
      <c r="AG11" s="1">
        <f t="shared" si="8"/>
        <v>0</v>
      </c>
      <c r="AH11" s="1">
        <f t="shared" si="9"/>
        <v>0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46</v>
      </c>
      <c r="B12" s="1" t="s">
        <v>38</v>
      </c>
      <c r="C12" s="1">
        <v>1300</v>
      </c>
      <c r="D12" s="1">
        <v>312</v>
      </c>
      <c r="E12" s="1">
        <v>615</v>
      </c>
      <c r="F12" s="1">
        <v>975</v>
      </c>
      <c r="G12" s="8">
        <v>0.4</v>
      </c>
      <c r="H12" s="1">
        <v>60</v>
      </c>
      <c r="I12" s="1" t="s">
        <v>36</v>
      </c>
      <c r="J12" s="1"/>
      <c r="K12" s="1"/>
      <c r="L12" s="1">
        <f t="shared" si="3"/>
        <v>615</v>
      </c>
      <c r="M12" s="1"/>
      <c r="N12" s="1"/>
      <c r="O12" s="1">
        <v>0</v>
      </c>
      <c r="P12" s="1">
        <f t="shared" si="4"/>
        <v>123</v>
      </c>
      <c r="Q12" s="5">
        <f>13*P12-O12-F12</f>
        <v>624</v>
      </c>
      <c r="R12" s="5">
        <f t="shared" si="5"/>
        <v>400</v>
      </c>
      <c r="S12" s="5">
        <f>IFERROR(VLOOKUP(A12,[1]Sheet!$A$1:$S$65536,19,0),0)</f>
        <v>200</v>
      </c>
      <c r="T12" s="5">
        <f>VLOOKUP(A12,[2]Sheet!$A$1:$R$65536,18,0)</f>
        <v>400</v>
      </c>
      <c r="U12" s="1"/>
      <c r="V12" s="1">
        <f t="shared" si="6"/>
        <v>13</v>
      </c>
      <c r="W12" s="1">
        <f t="shared" si="7"/>
        <v>7.9268292682926829</v>
      </c>
      <c r="X12" s="1">
        <v>80</v>
      </c>
      <c r="Y12" s="1">
        <v>72.8</v>
      </c>
      <c r="Z12" s="1">
        <v>140.19999999999999</v>
      </c>
      <c r="AA12" s="1">
        <v>55.2</v>
      </c>
      <c r="AB12" s="1">
        <v>68.400000000000006</v>
      </c>
      <c r="AC12" s="1">
        <v>154.19999999999999</v>
      </c>
      <c r="AD12" s="1">
        <v>117.4</v>
      </c>
      <c r="AE12" s="1">
        <v>80.599999999999994</v>
      </c>
      <c r="AF12" s="1"/>
      <c r="AG12" s="1">
        <f t="shared" si="8"/>
        <v>160</v>
      </c>
      <c r="AH12" s="1">
        <f t="shared" si="9"/>
        <v>80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47</v>
      </c>
      <c r="B13" s="1" t="s">
        <v>35</v>
      </c>
      <c r="C13" s="1">
        <v>79.644999999999996</v>
      </c>
      <c r="D13" s="1">
        <v>48.439</v>
      </c>
      <c r="E13" s="1">
        <v>79.819000000000003</v>
      </c>
      <c r="F13" s="1">
        <v>46.914999999999999</v>
      </c>
      <c r="G13" s="8">
        <v>1</v>
      </c>
      <c r="H13" s="1">
        <v>60</v>
      </c>
      <c r="I13" s="1" t="s">
        <v>36</v>
      </c>
      <c r="J13" s="1"/>
      <c r="K13" s="1"/>
      <c r="L13" s="1">
        <f t="shared" si="3"/>
        <v>79.819000000000003</v>
      </c>
      <c r="M13" s="1"/>
      <c r="N13" s="1"/>
      <c r="O13" s="1">
        <v>30</v>
      </c>
      <c r="P13" s="1">
        <f t="shared" si="4"/>
        <v>15.963800000000001</v>
      </c>
      <c r="Q13" s="5">
        <f>11*P13-O13-F13</f>
        <v>98.686800000000005</v>
      </c>
      <c r="R13" s="5">
        <f t="shared" si="5"/>
        <v>100</v>
      </c>
      <c r="S13" s="5">
        <f>IFERROR(VLOOKUP(A13,[1]Sheet!$A$1:$S$65536,19,0),0)</f>
        <v>50</v>
      </c>
      <c r="T13" s="5">
        <f>VLOOKUP(A13,[2]Sheet!$A$1:$R$65536,18,0)</f>
        <v>100</v>
      </c>
      <c r="U13" s="1"/>
      <c r="V13" s="1">
        <f t="shared" si="6"/>
        <v>11</v>
      </c>
      <c r="W13" s="1">
        <f t="shared" si="7"/>
        <v>4.8180884250617018</v>
      </c>
      <c r="X13" s="1">
        <v>7.7178000000000004</v>
      </c>
      <c r="Y13" s="1">
        <v>4.7084000000000001</v>
      </c>
      <c r="Z13" s="1">
        <v>7.7178000000000004</v>
      </c>
      <c r="AA13" s="1">
        <v>7.7827999999999999</v>
      </c>
      <c r="AB13" s="1">
        <v>5.1351999999999993</v>
      </c>
      <c r="AC13" s="1">
        <v>8.2263999999999999</v>
      </c>
      <c r="AD13" s="1">
        <v>7.3245999999999993</v>
      </c>
      <c r="AE13" s="1">
        <v>3.8149999999999999</v>
      </c>
      <c r="AF13" s="1"/>
      <c r="AG13" s="1">
        <f t="shared" si="8"/>
        <v>100</v>
      </c>
      <c r="AH13" s="1">
        <f t="shared" si="9"/>
        <v>50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48</v>
      </c>
      <c r="B14" s="1" t="s">
        <v>38</v>
      </c>
      <c r="C14" s="1">
        <v>579</v>
      </c>
      <c r="D14" s="1">
        <v>392</v>
      </c>
      <c r="E14" s="1">
        <v>671</v>
      </c>
      <c r="F14" s="1">
        <v>296</v>
      </c>
      <c r="G14" s="8">
        <v>0.4</v>
      </c>
      <c r="H14" s="1">
        <v>60</v>
      </c>
      <c r="I14" s="1" t="s">
        <v>36</v>
      </c>
      <c r="J14" s="1"/>
      <c r="K14" s="1"/>
      <c r="L14" s="1">
        <f t="shared" si="3"/>
        <v>671</v>
      </c>
      <c r="M14" s="1"/>
      <c r="N14" s="1"/>
      <c r="O14" s="1">
        <v>200</v>
      </c>
      <c r="P14" s="1">
        <f t="shared" si="4"/>
        <v>134.19999999999999</v>
      </c>
      <c r="Q14" s="5">
        <f>10*P14-O14-F14</f>
        <v>846</v>
      </c>
      <c r="R14" s="5">
        <f t="shared" si="5"/>
        <v>700</v>
      </c>
      <c r="S14" s="5">
        <f>IFERROR(VLOOKUP(A14,[1]Sheet!$A$1:$S$65536,19,0),0)</f>
        <v>200</v>
      </c>
      <c r="T14" s="5">
        <f>VLOOKUP(A14,[2]Sheet!$A$1:$R$65536,18,0)</f>
        <v>700</v>
      </c>
      <c r="U14" s="1"/>
      <c r="V14" s="1">
        <f t="shared" si="6"/>
        <v>10</v>
      </c>
      <c r="W14" s="1">
        <f t="shared" si="7"/>
        <v>3.6959761549925489</v>
      </c>
      <c r="X14" s="1">
        <v>57</v>
      </c>
      <c r="Y14" s="1">
        <v>51.2</v>
      </c>
      <c r="Z14" s="1">
        <v>57</v>
      </c>
      <c r="AA14" s="1">
        <v>57.2</v>
      </c>
      <c r="AB14" s="1">
        <v>64.400000000000006</v>
      </c>
      <c r="AC14" s="1">
        <v>60</v>
      </c>
      <c r="AD14" s="1">
        <v>64.8</v>
      </c>
      <c r="AE14" s="1">
        <v>50.2</v>
      </c>
      <c r="AF14" s="1"/>
      <c r="AG14" s="1">
        <f t="shared" si="8"/>
        <v>280</v>
      </c>
      <c r="AH14" s="1">
        <f t="shared" si="9"/>
        <v>80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49</v>
      </c>
      <c r="B15" s="1" t="s">
        <v>35</v>
      </c>
      <c r="C15" s="1">
        <v>77.114000000000004</v>
      </c>
      <c r="D15" s="1">
        <v>49.502000000000002</v>
      </c>
      <c r="E15" s="1">
        <v>69.11</v>
      </c>
      <c r="F15" s="1">
        <v>56.396000000000001</v>
      </c>
      <c r="G15" s="8">
        <v>1</v>
      </c>
      <c r="H15" s="1">
        <v>60</v>
      </c>
      <c r="I15" s="1" t="s">
        <v>36</v>
      </c>
      <c r="J15" s="1"/>
      <c r="K15" s="1"/>
      <c r="L15" s="1">
        <f t="shared" si="3"/>
        <v>69.11</v>
      </c>
      <c r="M15" s="1"/>
      <c r="N15" s="1"/>
      <c r="O15" s="1">
        <v>50</v>
      </c>
      <c r="P15" s="1">
        <f t="shared" si="4"/>
        <v>13.821999999999999</v>
      </c>
      <c r="Q15" s="5">
        <f>13*P15-O15-F15</f>
        <v>73.289999999999978</v>
      </c>
      <c r="R15" s="5">
        <f t="shared" si="5"/>
        <v>80</v>
      </c>
      <c r="S15" s="5">
        <f>IFERROR(VLOOKUP(A15,[1]Sheet!$A$1:$S$65536,19,0),0)</f>
        <v>50</v>
      </c>
      <c r="T15" s="5">
        <f>VLOOKUP(A15,[2]Sheet!$A$1:$R$65536,18,0)</f>
        <v>80</v>
      </c>
      <c r="U15" s="1"/>
      <c r="V15" s="1">
        <f t="shared" si="6"/>
        <v>13</v>
      </c>
      <c r="W15" s="1">
        <f t="shared" si="7"/>
        <v>7.6975835624366953</v>
      </c>
      <c r="X15" s="1">
        <v>10.1762</v>
      </c>
      <c r="Y15" s="1">
        <v>-0.82479999999999998</v>
      </c>
      <c r="Z15" s="1">
        <v>10.1762</v>
      </c>
      <c r="AA15" s="1">
        <v>11.0776</v>
      </c>
      <c r="AB15" s="1">
        <v>6.9219999999999997</v>
      </c>
      <c r="AC15" s="1">
        <v>2.5983999999999998</v>
      </c>
      <c r="AD15" s="1">
        <v>3.9805999999999999</v>
      </c>
      <c r="AE15" s="1">
        <v>4.4265999999999996</v>
      </c>
      <c r="AF15" s="1"/>
      <c r="AG15" s="1">
        <f t="shared" si="8"/>
        <v>80</v>
      </c>
      <c r="AH15" s="1">
        <f t="shared" si="9"/>
        <v>50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3" t="s">
        <v>50</v>
      </c>
      <c r="B16" s="13" t="s">
        <v>38</v>
      </c>
      <c r="C16" s="13">
        <v>-3</v>
      </c>
      <c r="D16" s="13"/>
      <c r="E16" s="13"/>
      <c r="F16" s="13">
        <v>-3</v>
      </c>
      <c r="G16" s="14">
        <v>0</v>
      </c>
      <c r="H16" s="13"/>
      <c r="I16" s="13" t="s">
        <v>41</v>
      </c>
      <c r="J16" s="13" t="s">
        <v>51</v>
      </c>
      <c r="K16" s="13"/>
      <c r="L16" s="13">
        <f t="shared" si="3"/>
        <v>0</v>
      </c>
      <c r="M16" s="13"/>
      <c r="N16" s="13"/>
      <c r="O16" s="13">
        <v>0</v>
      </c>
      <c r="P16" s="13">
        <f t="shared" si="4"/>
        <v>0</v>
      </c>
      <c r="Q16" s="15"/>
      <c r="R16" s="5">
        <f t="shared" si="5"/>
        <v>0</v>
      </c>
      <c r="S16" s="5">
        <f>IFERROR(VLOOKUP(A16,[1]Sheet!$A$1:$S$65536,19,0),0)</f>
        <v>0</v>
      </c>
      <c r="T16" s="5"/>
      <c r="U16" s="13"/>
      <c r="V16" s="13" t="e">
        <f t="shared" si="6"/>
        <v>#DIV/0!</v>
      </c>
      <c r="W16" s="13" t="e">
        <f t="shared" si="7"/>
        <v>#DIV/0!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/>
      <c r="AG16" s="1">
        <f t="shared" si="8"/>
        <v>0</v>
      </c>
      <c r="AH16" s="1">
        <f t="shared" si="9"/>
        <v>0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52</v>
      </c>
      <c r="B17" s="1" t="s">
        <v>35</v>
      </c>
      <c r="C17" s="1">
        <v>6.2770000000000001</v>
      </c>
      <c r="D17" s="1">
        <v>59.953000000000003</v>
      </c>
      <c r="E17" s="1">
        <v>54.901000000000003</v>
      </c>
      <c r="F17" s="1">
        <v>11.329000000000001</v>
      </c>
      <c r="G17" s="8">
        <v>1</v>
      </c>
      <c r="H17" s="1">
        <v>120</v>
      </c>
      <c r="I17" s="1" t="s">
        <v>36</v>
      </c>
      <c r="J17" s="1"/>
      <c r="K17" s="1"/>
      <c r="L17" s="1">
        <f t="shared" si="3"/>
        <v>54.901000000000003</v>
      </c>
      <c r="M17" s="1"/>
      <c r="N17" s="1"/>
      <c r="O17" s="1">
        <v>50</v>
      </c>
      <c r="P17" s="1">
        <f t="shared" si="4"/>
        <v>10.9802</v>
      </c>
      <c r="Q17" s="5">
        <f>12*P17-O17-F17</f>
        <v>70.433400000000006</v>
      </c>
      <c r="R17" s="5">
        <f t="shared" si="5"/>
        <v>100</v>
      </c>
      <c r="S17" s="5">
        <f>IFERROR(VLOOKUP(A17,[1]Sheet!$A$1:$S$65536,19,0),0)</f>
        <v>200</v>
      </c>
      <c r="T17" s="5">
        <f>VLOOKUP(A17,[2]Sheet!$A$1:$R$65536,18,0)</f>
        <v>100</v>
      </c>
      <c r="U17" s="1"/>
      <c r="V17" s="1">
        <f t="shared" si="6"/>
        <v>12.000000000000002</v>
      </c>
      <c r="W17" s="1">
        <f t="shared" si="7"/>
        <v>5.585417387661427</v>
      </c>
      <c r="X17" s="1">
        <v>11.061</v>
      </c>
      <c r="Y17" s="1">
        <v>3.4205999999999999</v>
      </c>
      <c r="Z17" s="1">
        <v>11.061</v>
      </c>
      <c r="AA17" s="1">
        <v>5.2569999999999997</v>
      </c>
      <c r="AB17" s="1">
        <v>10.797800000000001</v>
      </c>
      <c r="AC17" s="1">
        <v>7.4238</v>
      </c>
      <c r="AD17" s="1">
        <v>2.2747999999999999</v>
      </c>
      <c r="AE17" s="1">
        <v>3.871</v>
      </c>
      <c r="AF17" s="1"/>
      <c r="AG17" s="1">
        <f t="shared" si="8"/>
        <v>100</v>
      </c>
      <c r="AH17" s="1">
        <f t="shared" si="9"/>
        <v>200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53</v>
      </c>
      <c r="B18" s="1" t="s">
        <v>38</v>
      </c>
      <c r="C18" s="1">
        <v>733</v>
      </c>
      <c r="D18" s="1">
        <v>240</v>
      </c>
      <c r="E18" s="1">
        <v>574</v>
      </c>
      <c r="F18" s="1">
        <v>399</v>
      </c>
      <c r="G18" s="8">
        <v>0.25</v>
      </c>
      <c r="H18" s="1">
        <v>120</v>
      </c>
      <c r="I18" s="1" t="s">
        <v>36</v>
      </c>
      <c r="J18" s="1"/>
      <c r="K18" s="1"/>
      <c r="L18" s="1">
        <f t="shared" si="3"/>
        <v>574</v>
      </c>
      <c r="M18" s="1"/>
      <c r="N18" s="1"/>
      <c r="O18" s="1">
        <v>100</v>
      </c>
      <c r="P18" s="1">
        <f t="shared" si="4"/>
        <v>114.8</v>
      </c>
      <c r="Q18" s="5">
        <f t="shared" ref="Q18:Q19" si="10">10*P18-O18-F18</f>
        <v>649</v>
      </c>
      <c r="R18" s="5">
        <f t="shared" si="5"/>
        <v>400</v>
      </c>
      <c r="S18" s="5">
        <f>IFERROR(VLOOKUP(A18,[1]Sheet!$A$1:$S$65536,19,0),0)</f>
        <v>400</v>
      </c>
      <c r="T18" s="5">
        <f>VLOOKUP(A18,[2]Sheet!$A$1:$R$65536,18,0)</f>
        <v>400</v>
      </c>
      <c r="U18" s="1"/>
      <c r="V18" s="1">
        <f t="shared" si="6"/>
        <v>10</v>
      </c>
      <c r="W18" s="1">
        <f t="shared" si="7"/>
        <v>4.3466898954703836</v>
      </c>
      <c r="X18" s="1">
        <v>37.4</v>
      </c>
      <c r="Y18" s="1">
        <v>25.4</v>
      </c>
      <c r="Z18" s="1">
        <v>37.4</v>
      </c>
      <c r="AA18" s="1">
        <v>27.2</v>
      </c>
      <c r="AB18" s="1">
        <v>40</v>
      </c>
      <c r="AC18" s="1">
        <v>34</v>
      </c>
      <c r="AD18" s="1">
        <v>41.4</v>
      </c>
      <c r="AE18" s="1">
        <v>30.6</v>
      </c>
      <c r="AF18" s="1"/>
      <c r="AG18" s="1">
        <f t="shared" si="8"/>
        <v>100</v>
      </c>
      <c r="AH18" s="1">
        <f t="shared" si="9"/>
        <v>100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54</v>
      </c>
      <c r="B19" s="1" t="s">
        <v>38</v>
      </c>
      <c r="C19" s="1">
        <v>807</v>
      </c>
      <c r="D19" s="1">
        <v>400</v>
      </c>
      <c r="E19" s="1">
        <v>772</v>
      </c>
      <c r="F19" s="1">
        <v>426</v>
      </c>
      <c r="G19" s="8">
        <v>0.25</v>
      </c>
      <c r="H19" s="1">
        <v>120</v>
      </c>
      <c r="I19" s="1" t="s">
        <v>36</v>
      </c>
      <c r="J19" s="1"/>
      <c r="K19" s="1"/>
      <c r="L19" s="1">
        <f t="shared" si="3"/>
        <v>772</v>
      </c>
      <c r="M19" s="1"/>
      <c r="N19" s="1"/>
      <c r="O19" s="1">
        <v>200</v>
      </c>
      <c r="P19" s="1">
        <f t="shared" si="4"/>
        <v>154.4</v>
      </c>
      <c r="Q19" s="5">
        <f t="shared" si="10"/>
        <v>918</v>
      </c>
      <c r="R19" s="5">
        <f t="shared" si="5"/>
        <v>500</v>
      </c>
      <c r="S19" s="5">
        <f>IFERROR(VLOOKUP(A19,[1]Sheet!$A$1:$S$65536,19,0),0)</f>
        <v>500</v>
      </c>
      <c r="T19" s="5">
        <f>VLOOKUP(A19,[2]Sheet!$A$1:$R$65536,18,0)</f>
        <v>500</v>
      </c>
      <c r="U19" s="1"/>
      <c r="V19" s="1">
        <f t="shared" si="6"/>
        <v>10</v>
      </c>
      <c r="W19" s="1">
        <f t="shared" si="7"/>
        <v>4.0544041450777204</v>
      </c>
      <c r="X19" s="1">
        <v>68.8</v>
      </c>
      <c r="Y19" s="1">
        <v>42.4</v>
      </c>
      <c r="Z19" s="1">
        <v>68.8</v>
      </c>
      <c r="AA19" s="1">
        <v>56.2</v>
      </c>
      <c r="AB19" s="1">
        <v>65.8</v>
      </c>
      <c r="AC19" s="1">
        <v>52.4</v>
      </c>
      <c r="AD19" s="1">
        <v>68.599999999999994</v>
      </c>
      <c r="AE19" s="1">
        <v>48</v>
      </c>
      <c r="AF19" s="1"/>
      <c r="AG19" s="1">
        <f t="shared" si="8"/>
        <v>125</v>
      </c>
      <c r="AH19" s="1">
        <f t="shared" si="9"/>
        <v>125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55</v>
      </c>
      <c r="B20" s="1" t="s">
        <v>35</v>
      </c>
      <c r="C20" s="1">
        <v>-5.08</v>
      </c>
      <c r="D20" s="1">
        <v>48.381</v>
      </c>
      <c r="E20" s="1">
        <v>42.887</v>
      </c>
      <c r="F20" s="1">
        <v>-1.0649999999999999</v>
      </c>
      <c r="G20" s="8">
        <v>1</v>
      </c>
      <c r="H20" s="1">
        <v>120</v>
      </c>
      <c r="I20" s="1" t="s">
        <v>36</v>
      </c>
      <c r="J20" s="1"/>
      <c r="K20" s="1"/>
      <c r="L20" s="1">
        <f t="shared" si="3"/>
        <v>42.887</v>
      </c>
      <c r="M20" s="1"/>
      <c r="N20" s="1"/>
      <c r="O20" s="1">
        <v>50</v>
      </c>
      <c r="P20" s="1">
        <f t="shared" si="4"/>
        <v>8.5774000000000008</v>
      </c>
      <c r="Q20" s="5">
        <f>12*P20-O20-F20</f>
        <v>53.993800000000007</v>
      </c>
      <c r="R20" s="5">
        <f t="shared" si="5"/>
        <v>100</v>
      </c>
      <c r="S20" s="5">
        <f>IFERROR(VLOOKUP(A20,[1]Sheet!$A$1:$S$65536,19,0),0)</f>
        <v>200</v>
      </c>
      <c r="T20" s="5">
        <f>VLOOKUP(A20,[2]Sheet!$A$1:$R$65536,18,0)</f>
        <v>100</v>
      </c>
      <c r="U20" s="1"/>
      <c r="V20" s="1">
        <f t="shared" si="6"/>
        <v>12</v>
      </c>
      <c r="W20" s="1">
        <f t="shared" si="7"/>
        <v>5.7051087742206263</v>
      </c>
      <c r="X20" s="1">
        <v>9.9432000000000009</v>
      </c>
      <c r="Y20" s="1">
        <v>5.8616000000000001</v>
      </c>
      <c r="Z20" s="1">
        <v>9.9432000000000009</v>
      </c>
      <c r="AA20" s="1">
        <v>6.5418000000000003</v>
      </c>
      <c r="AB20" s="1">
        <v>5.2915999999999999</v>
      </c>
      <c r="AC20" s="1">
        <v>13.229799999999999</v>
      </c>
      <c r="AD20" s="1">
        <v>4.0868000000000002</v>
      </c>
      <c r="AE20" s="1">
        <v>6.3287999999999993</v>
      </c>
      <c r="AF20" s="1"/>
      <c r="AG20" s="1">
        <f t="shared" si="8"/>
        <v>100</v>
      </c>
      <c r="AH20" s="1">
        <f t="shared" si="9"/>
        <v>200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56</v>
      </c>
      <c r="B21" s="1" t="s">
        <v>38</v>
      </c>
      <c r="C21" s="1">
        <v>865</v>
      </c>
      <c r="D21" s="1">
        <v>240</v>
      </c>
      <c r="E21" s="1">
        <v>632</v>
      </c>
      <c r="F21" s="1">
        <v>457</v>
      </c>
      <c r="G21" s="8">
        <v>0.25</v>
      </c>
      <c r="H21" s="1">
        <v>120</v>
      </c>
      <c r="I21" s="1" t="s">
        <v>36</v>
      </c>
      <c r="J21" s="1"/>
      <c r="K21" s="1"/>
      <c r="L21" s="1">
        <f t="shared" si="3"/>
        <v>632</v>
      </c>
      <c r="M21" s="1"/>
      <c r="N21" s="1"/>
      <c r="O21" s="1">
        <v>100</v>
      </c>
      <c r="P21" s="1">
        <f t="shared" si="4"/>
        <v>126.4</v>
      </c>
      <c r="Q21" s="5">
        <f>10*P21-O21-F21</f>
        <v>707</v>
      </c>
      <c r="R21" s="5">
        <f t="shared" si="5"/>
        <v>400</v>
      </c>
      <c r="S21" s="5">
        <f>IFERROR(VLOOKUP(A21,[1]Sheet!$A$1:$S$65536,19,0),0)</f>
        <v>400</v>
      </c>
      <c r="T21" s="5">
        <f>VLOOKUP(A21,[2]Sheet!$A$1:$R$65536,18,0)</f>
        <v>400</v>
      </c>
      <c r="U21" s="1"/>
      <c r="V21" s="1">
        <f t="shared" si="6"/>
        <v>10</v>
      </c>
      <c r="W21" s="1">
        <f t="shared" si="7"/>
        <v>4.4066455696202533</v>
      </c>
      <c r="X21" s="1">
        <v>44.2</v>
      </c>
      <c r="Y21" s="1">
        <v>23.4</v>
      </c>
      <c r="Z21" s="1">
        <v>44.2</v>
      </c>
      <c r="AA21" s="1">
        <v>27.2</v>
      </c>
      <c r="AB21" s="1">
        <v>47.4</v>
      </c>
      <c r="AC21" s="1">
        <v>44.4</v>
      </c>
      <c r="AD21" s="1">
        <v>38.200000000000003</v>
      </c>
      <c r="AE21" s="1">
        <v>31.6</v>
      </c>
      <c r="AF21" s="1"/>
      <c r="AG21" s="1">
        <f t="shared" si="8"/>
        <v>100</v>
      </c>
      <c r="AH21" s="1">
        <f t="shared" si="9"/>
        <v>100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57</v>
      </c>
      <c r="B22" s="1" t="s">
        <v>35</v>
      </c>
      <c r="C22" s="1">
        <v>81.828999999999994</v>
      </c>
      <c r="D22" s="1">
        <v>98.25</v>
      </c>
      <c r="E22" s="1">
        <v>87.073999999999998</v>
      </c>
      <c r="F22" s="1">
        <v>93.004999999999995</v>
      </c>
      <c r="G22" s="8">
        <v>1</v>
      </c>
      <c r="H22" s="1">
        <v>60</v>
      </c>
      <c r="I22" s="1" t="s">
        <v>36</v>
      </c>
      <c r="J22" s="1"/>
      <c r="K22" s="1"/>
      <c r="L22" s="1">
        <f t="shared" si="3"/>
        <v>87.073999999999998</v>
      </c>
      <c r="M22" s="1"/>
      <c r="N22" s="1"/>
      <c r="O22" s="1">
        <v>50</v>
      </c>
      <c r="P22" s="1">
        <f t="shared" si="4"/>
        <v>17.4148</v>
      </c>
      <c r="Q22" s="5">
        <f>13*P22-O22-F22</f>
        <v>83.387400000000014</v>
      </c>
      <c r="R22" s="5">
        <f t="shared" si="5"/>
        <v>50</v>
      </c>
      <c r="S22" s="5">
        <f>IFERROR(VLOOKUP(A22,[1]Sheet!$A$1:$S$65536,19,0),0)</f>
        <v>50</v>
      </c>
      <c r="T22" s="5">
        <f>VLOOKUP(A22,[2]Sheet!$A$1:$R$65536,18,0)</f>
        <v>50</v>
      </c>
      <c r="U22" s="1"/>
      <c r="V22" s="1">
        <f t="shared" si="6"/>
        <v>13</v>
      </c>
      <c r="W22" s="1">
        <f t="shared" si="7"/>
        <v>8.2116935020786919</v>
      </c>
      <c r="X22" s="1">
        <v>8.007200000000001</v>
      </c>
      <c r="Y22" s="1">
        <v>6.4287999999999998</v>
      </c>
      <c r="Z22" s="1">
        <v>8.007200000000001</v>
      </c>
      <c r="AA22" s="1">
        <v>3.8077999999999999</v>
      </c>
      <c r="AB22" s="1">
        <v>4.3731999999999998</v>
      </c>
      <c r="AC22" s="1">
        <v>11.28</v>
      </c>
      <c r="AD22" s="1">
        <v>8.0076000000000001</v>
      </c>
      <c r="AE22" s="1">
        <v>1.0691999999999999</v>
      </c>
      <c r="AF22" s="1"/>
      <c r="AG22" s="1">
        <f t="shared" si="8"/>
        <v>50</v>
      </c>
      <c r="AH22" s="1">
        <f t="shared" si="9"/>
        <v>50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58</v>
      </c>
      <c r="B23" s="1" t="s">
        <v>38</v>
      </c>
      <c r="C23" s="1">
        <v>1649</v>
      </c>
      <c r="D23" s="1"/>
      <c r="E23" s="1">
        <v>509</v>
      </c>
      <c r="F23" s="1">
        <v>1137</v>
      </c>
      <c r="G23" s="8">
        <v>0.4</v>
      </c>
      <c r="H23" s="1">
        <v>60</v>
      </c>
      <c r="I23" s="1" t="s">
        <v>36</v>
      </c>
      <c r="J23" s="1"/>
      <c r="K23" s="1"/>
      <c r="L23" s="1">
        <f t="shared" si="3"/>
        <v>509</v>
      </c>
      <c r="M23" s="1"/>
      <c r="N23" s="1"/>
      <c r="O23" s="1">
        <v>0</v>
      </c>
      <c r="P23" s="1">
        <f t="shared" si="4"/>
        <v>101.8</v>
      </c>
      <c r="Q23" s="5">
        <f>16*P23-O23-F23</f>
        <v>491.79999999999995</v>
      </c>
      <c r="R23" s="5">
        <f t="shared" si="5"/>
        <v>0</v>
      </c>
      <c r="S23" s="5">
        <f>IFERROR(VLOOKUP(A23,[1]Sheet!$A$1:$S$65536,19,0),0)</f>
        <v>0</v>
      </c>
      <c r="T23" s="5">
        <f>VLOOKUP(A23,[2]Sheet!$A$1:$R$65536,18,0)</f>
        <v>0</v>
      </c>
      <c r="U23" s="1"/>
      <c r="V23" s="1">
        <f t="shared" si="6"/>
        <v>16</v>
      </c>
      <c r="W23" s="1">
        <f t="shared" si="7"/>
        <v>11.168958742632613</v>
      </c>
      <c r="X23" s="1">
        <v>41.8</v>
      </c>
      <c r="Y23" s="1">
        <v>27.8</v>
      </c>
      <c r="Z23" s="1">
        <v>41.8</v>
      </c>
      <c r="AA23" s="1">
        <v>26.4</v>
      </c>
      <c r="AB23" s="1">
        <v>17.2</v>
      </c>
      <c r="AC23" s="1">
        <v>45.4</v>
      </c>
      <c r="AD23" s="1">
        <v>58.8</v>
      </c>
      <c r="AE23" s="1">
        <v>6</v>
      </c>
      <c r="AF23" s="1"/>
      <c r="AG23" s="1">
        <f t="shared" si="8"/>
        <v>0</v>
      </c>
      <c r="AH23" s="1">
        <f t="shared" si="9"/>
        <v>0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3" t="s">
        <v>59</v>
      </c>
      <c r="B24" s="13" t="s">
        <v>38</v>
      </c>
      <c r="C24" s="13">
        <v>-3</v>
      </c>
      <c r="D24" s="13"/>
      <c r="E24" s="13"/>
      <c r="F24" s="13">
        <v>-3</v>
      </c>
      <c r="G24" s="14">
        <v>0</v>
      </c>
      <c r="H24" s="13"/>
      <c r="I24" s="13" t="s">
        <v>41</v>
      </c>
      <c r="J24" s="13" t="s">
        <v>60</v>
      </c>
      <c r="K24" s="13"/>
      <c r="L24" s="13">
        <f t="shared" si="3"/>
        <v>0</v>
      </c>
      <c r="M24" s="13"/>
      <c r="N24" s="13"/>
      <c r="O24" s="13">
        <v>0</v>
      </c>
      <c r="P24" s="13">
        <f t="shared" si="4"/>
        <v>0</v>
      </c>
      <c r="Q24" s="15"/>
      <c r="R24" s="5">
        <f t="shared" si="5"/>
        <v>0</v>
      </c>
      <c r="S24" s="5">
        <f>IFERROR(VLOOKUP(A24,[1]Sheet!$A$1:$S$65536,19,0),0)</f>
        <v>0</v>
      </c>
      <c r="T24" s="5"/>
      <c r="U24" s="13"/>
      <c r="V24" s="13" t="e">
        <f t="shared" si="6"/>
        <v>#DIV/0!</v>
      </c>
      <c r="W24" s="13" t="e">
        <f t="shared" si="7"/>
        <v>#DIV/0!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/>
      <c r="AG24" s="1">
        <f t="shared" si="8"/>
        <v>0</v>
      </c>
      <c r="AH24" s="1">
        <f t="shared" si="9"/>
        <v>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60</v>
      </c>
      <c r="B25" s="1" t="s">
        <v>38</v>
      </c>
      <c r="C25" s="1">
        <v>400</v>
      </c>
      <c r="D25" s="1">
        <v>400</v>
      </c>
      <c r="E25" s="1">
        <v>667</v>
      </c>
      <c r="F25" s="1">
        <v>109</v>
      </c>
      <c r="G25" s="8">
        <v>0.5</v>
      </c>
      <c r="H25" s="1">
        <v>60</v>
      </c>
      <c r="I25" s="1" t="s">
        <v>36</v>
      </c>
      <c r="J25" s="1"/>
      <c r="K25" s="1"/>
      <c r="L25" s="1">
        <f t="shared" si="3"/>
        <v>667</v>
      </c>
      <c r="M25" s="1"/>
      <c r="N25" s="1"/>
      <c r="O25" s="1">
        <v>200</v>
      </c>
      <c r="P25" s="1">
        <f t="shared" si="4"/>
        <v>133.4</v>
      </c>
      <c r="Q25" s="5">
        <f>9*P25-O25-F25</f>
        <v>891.60000000000014</v>
      </c>
      <c r="R25" s="5">
        <f t="shared" si="5"/>
        <v>500</v>
      </c>
      <c r="S25" s="5">
        <f>IFERROR(VLOOKUP(A25,[1]Sheet!$A$1:$S$65536,19,0),0)</f>
        <v>400</v>
      </c>
      <c r="T25" s="5">
        <f>VLOOKUP(A25,[2]Sheet!$A$1:$R$65536,18,0)</f>
        <v>500</v>
      </c>
      <c r="U25" s="1"/>
      <c r="V25" s="1">
        <f t="shared" si="6"/>
        <v>9</v>
      </c>
      <c r="W25" s="1">
        <f t="shared" si="7"/>
        <v>2.3163418290854572</v>
      </c>
      <c r="X25" s="1">
        <v>128.80000000000001</v>
      </c>
      <c r="Y25" s="1">
        <v>29.4</v>
      </c>
      <c r="Z25" s="1">
        <v>128.80000000000001</v>
      </c>
      <c r="AA25" s="1">
        <v>64.8</v>
      </c>
      <c r="AB25" s="1">
        <v>88.2</v>
      </c>
      <c r="AC25" s="1">
        <v>83</v>
      </c>
      <c r="AD25" s="1">
        <v>82.6</v>
      </c>
      <c r="AE25" s="1">
        <v>68.2</v>
      </c>
      <c r="AF25" s="1"/>
      <c r="AG25" s="1">
        <f t="shared" si="8"/>
        <v>250</v>
      </c>
      <c r="AH25" s="1">
        <f t="shared" si="9"/>
        <v>200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3" t="s">
        <v>61</v>
      </c>
      <c r="B26" s="13" t="s">
        <v>38</v>
      </c>
      <c r="C26" s="13">
        <v>111</v>
      </c>
      <c r="D26" s="13">
        <v>210</v>
      </c>
      <c r="E26" s="13">
        <v>119</v>
      </c>
      <c r="F26" s="13">
        <v>190</v>
      </c>
      <c r="G26" s="14">
        <v>0</v>
      </c>
      <c r="H26" s="13">
        <v>45</v>
      </c>
      <c r="I26" s="13" t="s">
        <v>45</v>
      </c>
      <c r="J26" s="13"/>
      <c r="K26" s="13"/>
      <c r="L26" s="13">
        <f t="shared" si="3"/>
        <v>119</v>
      </c>
      <c r="M26" s="13"/>
      <c r="N26" s="13"/>
      <c r="O26" s="13">
        <v>0</v>
      </c>
      <c r="P26" s="13">
        <f t="shared" si="4"/>
        <v>23.8</v>
      </c>
      <c r="Q26" s="15"/>
      <c r="R26" s="5">
        <f t="shared" si="5"/>
        <v>0</v>
      </c>
      <c r="S26" s="5">
        <f>IFERROR(VLOOKUP(A26,[1]Sheet!$A$1:$S$65536,19,0),0)</f>
        <v>0</v>
      </c>
      <c r="T26" s="5"/>
      <c r="U26" s="13"/>
      <c r="V26" s="13">
        <f t="shared" si="6"/>
        <v>7.9831932773109244</v>
      </c>
      <c r="W26" s="13">
        <f t="shared" si="7"/>
        <v>7.9831932773109244</v>
      </c>
      <c r="X26" s="13">
        <v>22</v>
      </c>
      <c r="Y26" s="13">
        <v>21.2</v>
      </c>
      <c r="Z26" s="13">
        <v>22</v>
      </c>
      <c r="AA26" s="13">
        <v>20.6</v>
      </c>
      <c r="AB26" s="13">
        <v>32.6</v>
      </c>
      <c r="AC26" s="13">
        <v>31.2</v>
      </c>
      <c r="AD26" s="13">
        <v>33.799999999999997</v>
      </c>
      <c r="AE26" s="13">
        <v>7.8</v>
      </c>
      <c r="AF26" s="13" t="s">
        <v>45</v>
      </c>
      <c r="AG26" s="1">
        <f t="shared" si="8"/>
        <v>0</v>
      </c>
      <c r="AH26" s="1">
        <f t="shared" si="9"/>
        <v>0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42</v>
      </c>
      <c r="B27" s="1" t="s">
        <v>38</v>
      </c>
      <c r="C27" s="1">
        <v>520</v>
      </c>
      <c r="D27" s="1">
        <v>320</v>
      </c>
      <c r="E27" s="1">
        <v>763</v>
      </c>
      <c r="F27" s="1">
        <v>67</v>
      </c>
      <c r="G27" s="8">
        <v>0.33</v>
      </c>
      <c r="H27" s="1">
        <v>45</v>
      </c>
      <c r="I27" s="1" t="s">
        <v>36</v>
      </c>
      <c r="J27" s="1"/>
      <c r="K27" s="1"/>
      <c r="L27" s="1">
        <f t="shared" si="3"/>
        <v>763</v>
      </c>
      <c r="M27" s="1"/>
      <c r="N27" s="1"/>
      <c r="O27" s="1">
        <v>200</v>
      </c>
      <c r="P27" s="1">
        <f t="shared" si="4"/>
        <v>152.6</v>
      </c>
      <c r="Q27" s="5">
        <f>8*P27-O27-F27</f>
        <v>953.8</v>
      </c>
      <c r="R27" s="5">
        <f t="shared" si="5"/>
        <v>500</v>
      </c>
      <c r="S27" s="5">
        <f>IFERROR(VLOOKUP(A27,[1]Sheet!$A$1:$S$65536,19,0),0)</f>
        <v>200</v>
      </c>
      <c r="T27" s="5">
        <f>VLOOKUP(A27,[2]Sheet!$A$1:$R$65536,18,0)</f>
        <v>500</v>
      </c>
      <c r="U27" s="1"/>
      <c r="V27" s="1">
        <f t="shared" si="6"/>
        <v>8</v>
      </c>
      <c r="W27" s="1">
        <f t="shared" si="7"/>
        <v>1.7496723460026213</v>
      </c>
      <c r="X27" s="1">
        <v>59.4</v>
      </c>
      <c r="Y27" s="1">
        <v>42.2</v>
      </c>
      <c r="Z27" s="1">
        <v>59.4</v>
      </c>
      <c r="AA27" s="1">
        <v>44.2</v>
      </c>
      <c r="AB27" s="1">
        <v>61.4</v>
      </c>
      <c r="AC27" s="1">
        <v>71.2</v>
      </c>
      <c r="AD27" s="1">
        <v>51.6</v>
      </c>
      <c r="AE27" s="1">
        <v>29.2</v>
      </c>
      <c r="AF27" s="1"/>
      <c r="AG27" s="1">
        <f t="shared" si="8"/>
        <v>165</v>
      </c>
      <c r="AH27" s="1">
        <f t="shared" si="9"/>
        <v>66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62</v>
      </c>
      <c r="B28" s="1" t="s">
        <v>38</v>
      </c>
      <c r="C28" s="1">
        <v>131</v>
      </c>
      <c r="D28" s="1">
        <v>156</v>
      </c>
      <c r="E28" s="1">
        <v>76</v>
      </c>
      <c r="F28" s="1">
        <v>190</v>
      </c>
      <c r="G28" s="8">
        <v>0.4</v>
      </c>
      <c r="H28" s="1">
        <v>45</v>
      </c>
      <c r="I28" s="1" t="s">
        <v>36</v>
      </c>
      <c r="J28" s="1"/>
      <c r="K28" s="1"/>
      <c r="L28" s="1">
        <f t="shared" si="3"/>
        <v>76</v>
      </c>
      <c r="M28" s="1"/>
      <c r="N28" s="1"/>
      <c r="O28" s="1">
        <v>120</v>
      </c>
      <c r="P28" s="1">
        <f t="shared" si="4"/>
        <v>15.2</v>
      </c>
      <c r="Q28" s="5"/>
      <c r="R28" s="5">
        <f t="shared" si="5"/>
        <v>150</v>
      </c>
      <c r="S28" s="5">
        <f>IFERROR(VLOOKUP(A28,[1]Sheet!$A$1:$S$65536,19,0),0)</f>
        <v>100</v>
      </c>
      <c r="T28" s="5">
        <f>VLOOKUP(A28,[2]Sheet!$A$1:$R$65536,18,0)</f>
        <v>150</v>
      </c>
      <c r="U28" s="1"/>
      <c r="V28" s="1">
        <f t="shared" si="6"/>
        <v>20.394736842105264</v>
      </c>
      <c r="W28" s="1">
        <f t="shared" si="7"/>
        <v>20.394736842105264</v>
      </c>
      <c r="X28" s="1">
        <v>18.2</v>
      </c>
      <c r="Y28" s="1">
        <v>12.6</v>
      </c>
      <c r="Z28" s="1">
        <v>18.2</v>
      </c>
      <c r="AA28" s="1">
        <v>20</v>
      </c>
      <c r="AB28" s="1">
        <v>31</v>
      </c>
      <c r="AC28" s="1">
        <v>24.2</v>
      </c>
      <c r="AD28" s="1">
        <v>32.4</v>
      </c>
      <c r="AE28" s="1">
        <v>19.8</v>
      </c>
      <c r="AF28" s="1"/>
      <c r="AG28" s="1">
        <f t="shared" si="8"/>
        <v>60</v>
      </c>
      <c r="AH28" s="1">
        <f t="shared" si="9"/>
        <v>40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63</v>
      </c>
      <c r="B29" s="1" t="s">
        <v>35</v>
      </c>
      <c r="C29" s="1">
        <v>301.221</v>
      </c>
      <c r="D29" s="1">
        <v>201.244</v>
      </c>
      <c r="E29" s="1">
        <v>237.27</v>
      </c>
      <c r="F29" s="1">
        <v>261.79000000000002</v>
      </c>
      <c r="G29" s="8">
        <v>1</v>
      </c>
      <c r="H29" s="1">
        <v>60</v>
      </c>
      <c r="I29" s="1" t="s">
        <v>36</v>
      </c>
      <c r="J29" s="1"/>
      <c r="K29" s="1"/>
      <c r="L29" s="1">
        <f t="shared" si="3"/>
        <v>237.27</v>
      </c>
      <c r="M29" s="1"/>
      <c r="N29" s="1"/>
      <c r="O29" s="1">
        <v>200</v>
      </c>
      <c r="P29" s="1">
        <f t="shared" si="4"/>
        <v>47.454000000000001</v>
      </c>
      <c r="Q29" s="5">
        <f>15*P29-O29-F29</f>
        <v>250.02000000000004</v>
      </c>
      <c r="R29" s="5">
        <f t="shared" si="5"/>
        <v>150</v>
      </c>
      <c r="S29" s="5">
        <f>IFERROR(VLOOKUP(A29,[1]Sheet!$A$1:$S$65536,19,0),0)</f>
        <v>150</v>
      </c>
      <c r="T29" s="5">
        <f>VLOOKUP(A29,[2]Sheet!$A$1:$R$65536,18,0)</f>
        <v>150</v>
      </c>
      <c r="U29" s="1"/>
      <c r="V29" s="1">
        <f t="shared" si="6"/>
        <v>15.000000000000002</v>
      </c>
      <c r="W29" s="1">
        <f t="shared" si="7"/>
        <v>9.7313187507902388</v>
      </c>
      <c r="X29" s="1">
        <v>36.903599999999997</v>
      </c>
      <c r="Y29" s="1">
        <v>31.8858</v>
      </c>
      <c r="Z29" s="1">
        <v>36.903599999999997</v>
      </c>
      <c r="AA29" s="1">
        <v>42.125799999999998</v>
      </c>
      <c r="AB29" s="1">
        <v>45.726999999999997</v>
      </c>
      <c r="AC29" s="1">
        <v>51.441999999999993</v>
      </c>
      <c r="AD29" s="1">
        <v>32.028399999999998</v>
      </c>
      <c r="AE29" s="1">
        <v>39.184199999999997</v>
      </c>
      <c r="AF29" s="1"/>
      <c r="AG29" s="1">
        <f t="shared" si="8"/>
        <v>150</v>
      </c>
      <c r="AH29" s="1">
        <f t="shared" si="9"/>
        <v>150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64</v>
      </c>
      <c r="B30" s="1" t="s">
        <v>38</v>
      </c>
      <c r="C30" s="1">
        <v>239</v>
      </c>
      <c r="D30" s="1">
        <v>160</v>
      </c>
      <c r="E30" s="1">
        <v>114</v>
      </c>
      <c r="F30" s="1">
        <v>281</v>
      </c>
      <c r="G30" s="8">
        <v>0.3</v>
      </c>
      <c r="H30" s="1">
        <v>60</v>
      </c>
      <c r="I30" s="1" t="s">
        <v>36</v>
      </c>
      <c r="J30" s="1"/>
      <c r="K30" s="1"/>
      <c r="L30" s="1">
        <f t="shared" si="3"/>
        <v>114</v>
      </c>
      <c r="M30" s="1"/>
      <c r="N30" s="1"/>
      <c r="O30" s="1">
        <v>100</v>
      </c>
      <c r="P30" s="1">
        <f t="shared" si="4"/>
        <v>22.8</v>
      </c>
      <c r="Q30" s="5">
        <f t="shared" ref="Q30" si="11">20*P30-O30-F30</f>
        <v>75</v>
      </c>
      <c r="R30" s="5">
        <f t="shared" si="5"/>
        <v>200</v>
      </c>
      <c r="S30" s="5">
        <f>IFERROR(VLOOKUP(A30,[1]Sheet!$A$1:$S$65536,19,0),0)</f>
        <v>0</v>
      </c>
      <c r="T30" s="5">
        <f>VLOOKUP(A30,[2]Sheet!$A$1:$R$65536,18,0)</f>
        <v>200</v>
      </c>
      <c r="U30" s="1"/>
      <c r="V30" s="1">
        <f t="shared" si="6"/>
        <v>20</v>
      </c>
      <c r="W30" s="1">
        <f t="shared" si="7"/>
        <v>16.710526315789473</v>
      </c>
      <c r="X30" s="1">
        <v>29</v>
      </c>
      <c r="Y30" s="1">
        <v>-0.4</v>
      </c>
      <c r="Z30" s="1">
        <v>29</v>
      </c>
      <c r="AA30" s="1">
        <v>27.6</v>
      </c>
      <c r="AB30" s="1">
        <v>21.2</v>
      </c>
      <c r="AC30" s="1">
        <v>28.4</v>
      </c>
      <c r="AD30" s="1">
        <v>19.600000000000001</v>
      </c>
      <c r="AE30" s="1">
        <v>16</v>
      </c>
      <c r="AF30" s="1"/>
      <c r="AG30" s="1">
        <f t="shared" si="8"/>
        <v>60</v>
      </c>
      <c r="AH30" s="1">
        <f t="shared" si="9"/>
        <v>0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51</v>
      </c>
      <c r="B31" s="1" t="s">
        <v>38</v>
      </c>
      <c r="C31" s="1">
        <v>313</v>
      </c>
      <c r="D31" s="1">
        <v>200</v>
      </c>
      <c r="E31" s="1">
        <v>197</v>
      </c>
      <c r="F31" s="1">
        <v>309</v>
      </c>
      <c r="G31" s="8">
        <v>0.41</v>
      </c>
      <c r="H31" s="1">
        <v>50</v>
      </c>
      <c r="I31" s="1" t="s">
        <v>36</v>
      </c>
      <c r="J31" s="1"/>
      <c r="K31" s="1"/>
      <c r="L31" s="1">
        <f t="shared" si="3"/>
        <v>197</v>
      </c>
      <c r="M31" s="1"/>
      <c r="N31" s="1"/>
      <c r="O31" s="1">
        <v>160</v>
      </c>
      <c r="P31" s="1">
        <f t="shared" si="4"/>
        <v>39.4</v>
      </c>
      <c r="Q31" s="5">
        <f>17*P31-O31-F31</f>
        <v>200.79999999999995</v>
      </c>
      <c r="R31" s="5">
        <f t="shared" si="5"/>
        <v>150</v>
      </c>
      <c r="S31" s="5">
        <f>IFERROR(VLOOKUP(A31,[1]Sheet!$A$1:$S$65536,19,0),0)</f>
        <v>100</v>
      </c>
      <c r="T31" s="5">
        <f>VLOOKUP(A31,[2]Sheet!$A$1:$R$65536,18,0)</f>
        <v>150</v>
      </c>
      <c r="U31" s="1"/>
      <c r="V31" s="1">
        <f t="shared" si="6"/>
        <v>17</v>
      </c>
      <c r="W31" s="1">
        <f t="shared" si="7"/>
        <v>11.903553299492387</v>
      </c>
      <c r="X31" s="1">
        <v>36.200000000000003</v>
      </c>
      <c r="Y31" s="1">
        <v>20</v>
      </c>
      <c r="Z31" s="1">
        <v>36.200000000000003</v>
      </c>
      <c r="AA31" s="1">
        <v>26.6</v>
      </c>
      <c r="AB31" s="1">
        <v>43</v>
      </c>
      <c r="AC31" s="1">
        <v>26.8</v>
      </c>
      <c r="AD31" s="1">
        <v>33.6</v>
      </c>
      <c r="AE31" s="1">
        <v>20.8</v>
      </c>
      <c r="AF31" s="1"/>
      <c r="AG31" s="1">
        <f t="shared" si="8"/>
        <v>61.499999999999993</v>
      </c>
      <c r="AH31" s="1">
        <f t="shared" si="9"/>
        <v>41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2" t="s">
        <v>65</v>
      </c>
      <c r="B32" s="12" t="s">
        <v>35</v>
      </c>
      <c r="C32" s="12">
        <v>266.29399999999998</v>
      </c>
      <c r="D32" s="12">
        <v>311.30799999999999</v>
      </c>
      <c r="E32" s="12">
        <v>458.08300000000003</v>
      </c>
      <c r="F32" s="12">
        <v>119.51900000000001</v>
      </c>
      <c r="G32" s="16">
        <v>0</v>
      </c>
      <c r="H32" s="12">
        <v>50</v>
      </c>
      <c r="I32" s="12" t="s">
        <v>66</v>
      </c>
      <c r="J32" s="12"/>
      <c r="K32" s="12"/>
      <c r="L32" s="12">
        <f t="shared" si="3"/>
        <v>458.08300000000003</v>
      </c>
      <c r="M32" s="12"/>
      <c r="N32" s="12"/>
      <c r="O32" s="12">
        <v>0</v>
      </c>
      <c r="P32" s="12">
        <f t="shared" si="4"/>
        <v>91.616600000000005</v>
      </c>
      <c r="Q32" s="17"/>
      <c r="R32" s="5">
        <f t="shared" si="5"/>
        <v>0</v>
      </c>
      <c r="S32" s="5">
        <f>IFERROR(VLOOKUP(A32,[1]Sheet!$A$1:$S$65536,19,0),0)</f>
        <v>0</v>
      </c>
      <c r="T32" s="5">
        <f>VLOOKUP(A32,[2]Sheet!$A$1:$R$65536,18,0)</f>
        <v>0</v>
      </c>
      <c r="U32" s="12"/>
      <c r="V32" s="12">
        <f t="shared" si="6"/>
        <v>1.3045561612196916</v>
      </c>
      <c r="W32" s="12">
        <f t="shared" si="7"/>
        <v>1.3045561612196916</v>
      </c>
      <c r="X32" s="12">
        <v>65.309400000000011</v>
      </c>
      <c r="Y32" s="12">
        <v>78.678399999999996</v>
      </c>
      <c r="Z32" s="12">
        <v>65.309400000000011</v>
      </c>
      <c r="AA32" s="12">
        <v>62.679200000000002</v>
      </c>
      <c r="AB32" s="12">
        <v>68.656800000000004</v>
      </c>
      <c r="AC32" s="12">
        <v>94.631600000000006</v>
      </c>
      <c r="AD32" s="12">
        <v>60.880999999999993</v>
      </c>
      <c r="AE32" s="12">
        <v>81.591200000000001</v>
      </c>
      <c r="AF32" s="12" t="s">
        <v>67</v>
      </c>
      <c r="AG32" s="1">
        <f t="shared" si="8"/>
        <v>0</v>
      </c>
      <c r="AH32" s="1">
        <f t="shared" si="9"/>
        <v>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68</v>
      </c>
      <c r="B33" s="1" t="s">
        <v>35</v>
      </c>
      <c r="C33" s="1">
        <v>210.26499999999999</v>
      </c>
      <c r="D33" s="1">
        <v>157.29</v>
      </c>
      <c r="E33" s="1">
        <v>192.286</v>
      </c>
      <c r="F33" s="1">
        <v>175.26900000000001</v>
      </c>
      <c r="G33" s="8">
        <v>1</v>
      </c>
      <c r="H33" s="1">
        <v>50</v>
      </c>
      <c r="I33" s="1" t="s">
        <v>36</v>
      </c>
      <c r="J33" s="1"/>
      <c r="K33" s="1"/>
      <c r="L33" s="1">
        <f t="shared" si="3"/>
        <v>192.286</v>
      </c>
      <c r="M33" s="1"/>
      <c r="N33" s="1"/>
      <c r="O33" s="1">
        <v>150</v>
      </c>
      <c r="P33" s="1">
        <f t="shared" si="4"/>
        <v>38.4572</v>
      </c>
      <c r="Q33" s="5">
        <f>13*P33-O33-F33</f>
        <v>174.6746</v>
      </c>
      <c r="R33" s="5">
        <f t="shared" si="5"/>
        <v>150</v>
      </c>
      <c r="S33" s="5">
        <f>IFERROR(VLOOKUP(A33,[1]Sheet!$A$1:$S$65536,19,0),0)</f>
        <v>50</v>
      </c>
      <c r="T33" s="5">
        <f>VLOOKUP(A33,[2]Sheet!$A$1:$R$65536,18,0)</f>
        <v>150</v>
      </c>
      <c r="U33" s="1"/>
      <c r="V33" s="1">
        <f t="shared" si="6"/>
        <v>13</v>
      </c>
      <c r="W33" s="1">
        <f t="shared" si="7"/>
        <v>8.4579480565407774</v>
      </c>
      <c r="X33" s="1">
        <v>25.52</v>
      </c>
      <c r="Y33" s="1">
        <v>21.434799999999999</v>
      </c>
      <c r="Z33" s="1">
        <v>25.52</v>
      </c>
      <c r="AA33" s="1">
        <v>27.374400000000001</v>
      </c>
      <c r="AB33" s="1">
        <v>26.291599999999999</v>
      </c>
      <c r="AC33" s="1">
        <v>25.154199999999999</v>
      </c>
      <c r="AD33" s="1">
        <v>26.1296</v>
      </c>
      <c r="AE33" s="1">
        <v>25.888999999999999</v>
      </c>
      <c r="AF33" s="1"/>
      <c r="AG33" s="1">
        <f t="shared" si="8"/>
        <v>150</v>
      </c>
      <c r="AH33" s="1">
        <f t="shared" si="9"/>
        <v>50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69</v>
      </c>
      <c r="B34" s="1" t="s">
        <v>38</v>
      </c>
      <c r="C34" s="1">
        <v>153</v>
      </c>
      <c r="D34" s="1">
        <v>240</v>
      </c>
      <c r="E34" s="1">
        <v>208</v>
      </c>
      <c r="F34" s="1">
        <v>176</v>
      </c>
      <c r="G34" s="8">
        <v>0.4</v>
      </c>
      <c r="H34" s="1">
        <v>50</v>
      </c>
      <c r="I34" s="1" t="s">
        <v>36</v>
      </c>
      <c r="J34" s="1"/>
      <c r="K34" s="1"/>
      <c r="L34" s="1">
        <f t="shared" si="3"/>
        <v>208</v>
      </c>
      <c r="M34" s="1"/>
      <c r="N34" s="1"/>
      <c r="O34" s="1">
        <v>200</v>
      </c>
      <c r="P34" s="1">
        <f t="shared" si="4"/>
        <v>41.6</v>
      </c>
      <c r="Q34" s="5">
        <f>14*P34-O34-F34</f>
        <v>206.39999999999998</v>
      </c>
      <c r="R34" s="5">
        <f t="shared" si="5"/>
        <v>250</v>
      </c>
      <c r="S34" s="5">
        <f>IFERROR(VLOOKUP(A34,[1]Sheet!$A$1:$S$65536,19,0),0)</f>
        <v>50</v>
      </c>
      <c r="T34" s="5">
        <f>VLOOKUP(A34,[2]Sheet!$A$1:$R$65536,18,0)</f>
        <v>250</v>
      </c>
      <c r="U34" s="1"/>
      <c r="V34" s="1">
        <f t="shared" si="6"/>
        <v>13.999999999999998</v>
      </c>
      <c r="W34" s="1">
        <f t="shared" si="7"/>
        <v>9.0384615384615383</v>
      </c>
      <c r="X34" s="1">
        <v>49.6</v>
      </c>
      <c r="Y34" s="1">
        <v>24.2</v>
      </c>
      <c r="Z34" s="1">
        <v>49.6</v>
      </c>
      <c r="AA34" s="1">
        <v>38</v>
      </c>
      <c r="AB34" s="1">
        <v>53</v>
      </c>
      <c r="AC34" s="1">
        <v>40.4</v>
      </c>
      <c r="AD34" s="1">
        <v>51</v>
      </c>
      <c r="AE34" s="1">
        <v>7.2</v>
      </c>
      <c r="AF34" s="1"/>
      <c r="AG34" s="1">
        <f t="shared" si="8"/>
        <v>100</v>
      </c>
      <c r="AH34" s="1">
        <f t="shared" si="9"/>
        <v>20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70</v>
      </c>
      <c r="B35" s="1" t="s">
        <v>38</v>
      </c>
      <c r="C35" s="1">
        <v>12</v>
      </c>
      <c r="D35" s="1">
        <v>200</v>
      </c>
      <c r="E35" s="1">
        <v>192</v>
      </c>
      <c r="F35" s="1">
        <v>19</v>
      </c>
      <c r="G35" s="8">
        <v>0.18</v>
      </c>
      <c r="H35" s="1">
        <v>50</v>
      </c>
      <c r="I35" s="1" t="s">
        <v>36</v>
      </c>
      <c r="J35" s="1"/>
      <c r="K35" s="1"/>
      <c r="L35" s="1">
        <f t="shared" si="3"/>
        <v>192</v>
      </c>
      <c r="M35" s="1"/>
      <c r="N35" s="1"/>
      <c r="O35" s="1">
        <v>200</v>
      </c>
      <c r="P35" s="1">
        <f t="shared" si="4"/>
        <v>38.4</v>
      </c>
      <c r="Q35" s="5">
        <f>12*P35-O35-F35</f>
        <v>241.79999999999995</v>
      </c>
      <c r="R35" s="5">
        <f t="shared" si="5"/>
        <v>300</v>
      </c>
      <c r="S35" s="5">
        <f>IFERROR(VLOOKUP(A35,[1]Sheet!$A$1:$S$65536,19,0),0)</f>
        <v>0</v>
      </c>
      <c r="T35" s="5">
        <f>VLOOKUP(A35,[2]Sheet!$A$1:$R$65536,18,0)</f>
        <v>300</v>
      </c>
      <c r="U35" s="1"/>
      <c r="V35" s="1">
        <f t="shared" si="6"/>
        <v>12</v>
      </c>
      <c r="W35" s="1">
        <f t="shared" si="7"/>
        <v>5.703125</v>
      </c>
      <c r="X35" s="1">
        <v>10.8</v>
      </c>
      <c r="Y35" s="1">
        <v>-6.8</v>
      </c>
      <c r="Z35" s="1">
        <v>10.8</v>
      </c>
      <c r="AA35" s="1">
        <v>56.2</v>
      </c>
      <c r="AB35" s="1">
        <v>39</v>
      </c>
      <c r="AC35" s="1">
        <v>33.799999999999997</v>
      </c>
      <c r="AD35" s="1">
        <v>35.4</v>
      </c>
      <c r="AE35" s="1">
        <v>15.4</v>
      </c>
      <c r="AF35" s="1"/>
      <c r="AG35" s="1">
        <f t="shared" si="8"/>
        <v>54</v>
      </c>
      <c r="AH35" s="1">
        <f t="shared" si="9"/>
        <v>0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71</v>
      </c>
      <c r="B36" s="1" t="s">
        <v>38</v>
      </c>
      <c r="C36" s="1">
        <v>1526</v>
      </c>
      <c r="D36" s="1">
        <v>1596</v>
      </c>
      <c r="E36" s="1">
        <v>2947</v>
      </c>
      <c r="F36" s="1">
        <v>165</v>
      </c>
      <c r="G36" s="8">
        <v>0.3</v>
      </c>
      <c r="H36" s="1">
        <v>50</v>
      </c>
      <c r="I36" s="1" t="s">
        <v>36</v>
      </c>
      <c r="J36" s="1"/>
      <c r="K36" s="1"/>
      <c r="L36" s="1">
        <f t="shared" si="3"/>
        <v>2947</v>
      </c>
      <c r="M36" s="1"/>
      <c r="N36" s="1"/>
      <c r="O36" s="1">
        <v>1000</v>
      </c>
      <c r="P36" s="1">
        <f t="shared" si="4"/>
        <v>589.4</v>
      </c>
      <c r="Q36" s="5">
        <f>8*P36-O36-F36</f>
        <v>3550.2</v>
      </c>
      <c r="R36" s="5">
        <f t="shared" si="5"/>
        <v>2000</v>
      </c>
      <c r="S36" s="5">
        <f>IFERROR(VLOOKUP(A36,[1]Sheet!$A$1:$S$65536,19,0),0)</f>
        <v>0</v>
      </c>
      <c r="T36" s="5">
        <f>VLOOKUP(A36,[2]Sheet!$A$1:$R$65536,18,0)</f>
        <v>2000</v>
      </c>
      <c r="U36" s="1"/>
      <c r="V36" s="1">
        <f t="shared" si="6"/>
        <v>8</v>
      </c>
      <c r="W36" s="1">
        <f t="shared" si="7"/>
        <v>1.9765863590091619</v>
      </c>
      <c r="X36" s="1">
        <v>287.60000000000002</v>
      </c>
      <c r="Y36" s="1">
        <v>234</v>
      </c>
      <c r="Z36" s="1">
        <v>287.60000000000002</v>
      </c>
      <c r="AA36" s="1">
        <v>311</v>
      </c>
      <c r="AB36" s="1">
        <v>335.8</v>
      </c>
      <c r="AC36" s="1">
        <v>282.60000000000002</v>
      </c>
      <c r="AD36" s="1">
        <v>283.39999999999998</v>
      </c>
      <c r="AE36" s="1">
        <v>202.8</v>
      </c>
      <c r="AF36" s="1"/>
      <c r="AG36" s="1">
        <f t="shared" si="8"/>
        <v>600</v>
      </c>
      <c r="AH36" s="1">
        <f t="shared" si="9"/>
        <v>0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72</v>
      </c>
      <c r="B37" s="1" t="s">
        <v>38</v>
      </c>
      <c r="C37" s="1">
        <v>773</v>
      </c>
      <c r="D37" s="1">
        <v>280</v>
      </c>
      <c r="E37" s="1">
        <v>647</v>
      </c>
      <c r="F37" s="1">
        <v>403</v>
      </c>
      <c r="G37" s="8">
        <v>0.28000000000000003</v>
      </c>
      <c r="H37" s="1">
        <v>50</v>
      </c>
      <c r="I37" s="1" t="s">
        <v>36</v>
      </c>
      <c r="J37" s="1"/>
      <c r="K37" s="1"/>
      <c r="L37" s="1">
        <f t="shared" si="3"/>
        <v>647</v>
      </c>
      <c r="M37" s="1"/>
      <c r="N37" s="1"/>
      <c r="O37" s="1">
        <v>120</v>
      </c>
      <c r="P37" s="1">
        <f t="shared" si="4"/>
        <v>129.4</v>
      </c>
      <c r="Q37" s="5">
        <f>10*P37-O37-F37</f>
        <v>771</v>
      </c>
      <c r="R37" s="5">
        <f t="shared" si="5"/>
        <v>160</v>
      </c>
      <c r="S37" s="5">
        <f>IFERROR(VLOOKUP(A37,[1]Sheet!$A$1:$S$65536,19,0),0)</f>
        <v>0</v>
      </c>
      <c r="T37" s="5">
        <f>VLOOKUP(A37,[2]Sheet!$A$1:$R$65536,18,0)</f>
        <v>160</v>
      </c>
      <c r="U37" s="1"/>
      <c r="V37" s="1">
        <f t="shared" si="6"/>
        <v>10</v>
      </c>
      <c r="W37" s="1">
        <f t="shared" si="7"/>
        <v>4.0417310664605868</v>
      </c>
      <c r="X37" s="1">
        <v>33</v>
      </c>
      <c r="Y37" s="1">
        <v>20.399999999999999</v>
      </c>
      <c r="Z37" s="1">
        <v>33</v>
      </c>
      <c r="AA37" s="1">
        <v>39</v>
      </c>
      <c r="AB37" s="1">
        <v>44.6</v>
      </c>
      <c r="AC37" s="1">
        <v>25.2</v>
      </c>
      <c r="AD37" s="1">
        <v>41.6</v>
      </c>
      <c r="AE37" s="1">
        <v>41</v>
      </c>
      <c r="AF37" s="1"/>
      <c r="AG37" s="1">
        <f t="shared" si="8"/>
        <v>44.800000000000004</v>
      </c>
      <c r="AH37" s="1">
        <f t="shared" si="9"/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1" t="s">
        <v>73</v>
      </c>
      <c r="B38" s="1"/>
      <c r="C38" s="1"/>
      <c r="D38" s="1"/>
      <c r="E38" s="1"/>
      <c r="F38" s="1"/>
      <c r="G38" s="8">
        <v>0.1</v>
      </c>
      <c r="H38" s="1"/>
      <c r="I38" s="1">
        <v>1001191975179</v>
      </c>
      <c r="J38" s="1"/>
      <c r="K38" s="1"/>
      <c r="L38" s="1">
        <f t="shared" si="3"/>
        <v>0</v>
      </c>
      <c r="M38" s="1"/>
      <c r="N38" s="1"/>
      <c r="O38" s="1">
        <v>50</v>
      </c>
      <c r="P38" s="1">
        <f t="shared" si="4"/>
        <v>0</v>
      </c>
      <c r="Q38" s="5"/>
      <c r="R38" s="5">
        <f t="shared" si="5"/>
        <v>150</v>
      </c>
      <c r="S38" s="5">
        <f>IFERROR(VLOOKUP(A38,[1]Sheet!$A$1:$S$65536,19,0),0)</f>
        <v>100</v>
      </c>
      <c r="T38" s="5">
        <f>VLOOKUP(A38,[2]Sheet!$A$1:$R$65536,18,0)</f>
        <v>150</v>
      </c>
      <c r="U38" s="1"/>
      <c r="V38" s="1" t="e">
        <f t="shared" si="6"/>
        <v>#DIV/0!</v>
      </c>
      <c r="W38" s="1" t="e">
        <f t="shared" si="7"/>
        <v>#DIV/0!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0" t="s">
        <v>84</v>
      </c>
      <c r="AG38" s="1">
        <f t="shared" si="8"/>
        <v>15</v>
      </c>
      <c r="AH38" s="1">
        <f t="shared" si="9"/>
        <v>10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1" t="s">
        <v>74</v>
      </c>
      <c r="B39" s="1"/>
      <c r="C39" s="1"/>
      <c r="D39" s="1"/>
      <c r="E39" s="1"/>
      <c r="F39" s="1"/>
      <c r="G39" s="8">
        <v>0.28000000000000003</v>
      </c>
      <c r="H39" s="1"/>
      <c r="I39" s="1">
        <v>1001301777332</v>
      </c>
      <c r="J39" s="1"/>
      <c r="K39" s="1"/>
      <c r="L39" s="1">
        <f t="shared" si="3"/>
        <v>0</v>
      </c>
      <c r="M39" s="1"/>
      <c r="N39" s="1"/>
      <c r="O39" s="1">
        <v>120</v>
      </c>
      <c r="P39" s="1">
        <f t="shared" si="4"/>
        <v>0</v>
      </c>
      <c r="Q39" s="5"/>
      <c r="R39" s="5">
        <f t="shared" si="5"/>
        <v>200</v>
      </c>
      <c r="S39" s="5">
        <f>IFERROR(VLOOKUP(A39,[1]Sheet!$A$1:$S$65536,19,0),0)</f>
        <v>0</v>
      </c>
      <c r="T39" s="5">
        <f>VLOOKUP(A39,[2]Sheet!$A$1:$R$65536,18,0)</f>
        <v>200</v>
      </c>
      <c r="U39" s="1"/>
      <c r="V39" s="1" t="e">
        <f t="shared" si="6"/>
        <v>#DIV/0!</v>
      </c>
      <c r="W39" s="1" t="e">
        <f t="shared" si="7"/>
        <v>#DIV/0!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0" t="s">
        <v>84</v>
      </c>
      <c r="AG39" s="1">
        <f t="shared" si="8"/>
        <v>56.000000000000007</v>
      </c>
      <c r="AH39" s="1">
        <f t="shared" si="9"/>
        <v>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1" t="s">
        <v>75</v>
      </c>
      <c r="B40" s="1"/>
      <c r="C40" s="1"/>
      <c r="D40" s="1"/>
      <c r="E40" s="1"/>
      <c r="F40" s="1"/>
      <c r="G40" s="8">
        <v>0.3</v>
      </c>
      <c r="H40" s="1"/>
      <c r="I40" s="1">
        <v>1001013957231</v>
      </c>
      <c r="J40" s="1"/>
      <c r="K40" s="1"/>
      <c r="L40" s="1">
        <f t="shared" si="3"/>
        <v>0</v>
      </c>
      <c r="M40" s="1"/>
      <c r="N40" s="1"/>
      <c r="O40" s="1">
        <v>200</v>
      </c>
      <c r="P40" s="1">
        <f t="shared" si="4"/>
        <v>0</v>
      </c>
      <c r="Q40" s="5"/>
      <c r="R40" s="5">
        <f t="shared" si="5"/>
        <v>200</v>
      </c>
      <c r="S40" s="5">
        <f>IFERROR(VLOOKUP(A40,[1]Sheet!$A$1:$S$65536,19,0),0)</f>
        <v>120</v>
      </c>
      <c r="T40" s="5">
        <f>VLOOKUP(A40,[2]Sheet!$A$1:$R$65536,18,0)</f>
        <v>200</v>
      </c>
      <c r="U40" s="1"/>
      <c r="V40" s="1" t="e">
        <f t="shared" si="6"/>
        <v>#DIV/0!</v>
      </c>
      <c r="W40" s="1" t="e">
        <f t="shared" si="7"/>
        <v>#DIV/0!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0" t="s">
        <v>84</v>
      </c>
      <c r="AG40" s="1">
        <f t="shared" si="8"/>
        <v>60</v>
      </c>
      <c r="AH40" s="1">
        <f t="shared" si="9"/>
        <v>36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1" t="s">
        <v>76</v>
      </c>
      <c r="B41" s="1"/>
      <c r="C41" s="1"/>
      <c r="D41" s="1"/>
      <c r="E41" s="1"/>
      <c r="F41" s="1"/>
      <c r="G41" s="8">
        <v>0.3</v>
      </c>
      <c r="H41" s="1"/>
      <c r="I41" s="1">
        <v>1001024976616</v>
      </c>
      <c r="J41" s="1"/>
      <c r="K41" s="1"/>
      <c r="L41" s="1">
        <f t="shared" si="3"/>
        <v>0</v>
      </c>
      <c r="M41" s="1"/>
      <c r="N41" s="1"/>
      <c r="O41" s="1">
        <v>60</v>
      </c>
      <c r="P41" s="1">
        <f t="shared" si="4"/>
        <v>0</v>
      </c>
      <c r="Q41" s="5"/>
      <c r="R41" s="5">
        <f t="shared" si="5"/>
        <v>150</v>
      </c>
      <c r="S41" s="5">
        <f>IFERROR(VLOOKUP(A41,[1]Sheet!$A$1:$S$65536,19,0),0)</f>
        <v>0</v>
      </c>
      <c r="T41" s="5">
        <f>VLOOKUP(A41,[2]Sheet!$A$1:$R$65536,18,0)</f>
        <v>150</v>
      </c>
      <c r="U41" s="1"/>
      <c r="V41" s="1" t="e">
        <f t="shared" si="6"/>
        <v>#DIV/0!</v>
      </c>
      <c r="W41" s="1" t="e">
        <f t="shared" si="7"/>
        <v>#DIV/0!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0" t="s">
        <v>84</v>
      </c>
      <c r="AG41" s="1">
        <f t="shared" si="8"/>
        <v>45</v>
      </c>
      <c r="AH41" s="1">
        <f t="shared" si="9"/>
        <v>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1" t="s">
        <v>77</v>
      </c>
      <c r="B42" s="1"/>
      <c r="C42" s="1"/>
      <c r="D42" s="1"/>
      <c r="E42" s="1"/>
      <c r="F42" s="1"/>
      <c r="G42" s="8">
        <v>1</v>
      </c>
      <c r="H42" s="1"/>
      <c r="I42" s="1">
        <v>1001032736549</v>
      </c>
      <c r="J42" s="1"/>
      <c r="K42" s="1"/>
      <c r="L42" s="1">
        <f t="shared" si="3"/>
        <v>0</v>
      </c>
      <c r="M42" s="1"/>
      <c r="N42" s="1"/>
      <c r="O42" s="1">
        <v>100</v>
      </c>
      <c r="P42" s="1">
        <f t="shared" si="4"/>
        <v>0</v>
      </c>
      <c r="Q42" s="5"/>
      <c r="R42" s="5">
        <f t="shared" si="5"/>
        <v>200</v>
      </c>
      <c r="S42" s="5">
        <f>IFERROR(VLOOKUP(A42,[1]Sheet!$A$1:$S$65536,19,0),0)</f>
        <v>200</v>
      </c>
      <c r="T42" s="5">
        <f>VLOOKUP(A42,[2]Sheet!$A$1:$R$65536,18,0)</f>
        <v>200</v>
      </c>
      <c r="U42" s="1"/>
      <c r="V42" s="1" t="e">
        <f t="shared" si="6"/>
        <v>#DIV/0!</v>
      </c>
      <c r="W42" s="1" t="e">
        <f t="shared" si="7"/>
        <v>#DIV/0!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0" t="s">
        <v>84</v>
      </c>
      <c r="AG42" s="1">
        <f t="shared" si="8"/>
        <v>200</v>
      </c>
      <c r="AH42" s="1">
        <f t="shared" si="9"/>
        <v>200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1" t="s">
        <v>78</v>
      </c>
      <c r="B43" s="1"/>
      <c r="C43" s="1"/>
      <c r="D43" s="1"/>
      <c r="E43" s="1"/>
      <c r="F43" s="1"/>
      <c r="G43" s="8">
        <v>0.3</v>
      </c>
      <c r="H43" s="1"/>
      <c r="I43" s="1">
        <v>1001083446207</v>
      </c>
      <c r="J43" s="1"/>
      <c r="K43" s="1"/>
      <c r="L43" s="1">
        <f t="shared" si="3"/>
        <v>0</v>
      </c>
      <c r="M43" s="1"/>
      <c r="N43" s="1"/>
      <c r="O43" s="1">
        <v>100</v>
      </c>
      <c r="P43" s="1">
        <f t="shared" si="4"/>
        <v>0</v>
      </c>
      <c r="Q43" s="5"/>
      <c r="R43" s="5">
        <f t="shared" si="5"/>
        <v>200</v>
      </c>
      <c r="S43" s="5">
        <f>IFERROR(VLOOKUP(A43,[1]Sheet!$A$1:$S$65536,19,0),0)</f>
        <v>200</v>
      </c>
      <c r="T43" s="5">
        <f>VLOOKUP(A43,[2]Sheet!$A$1:$R$65536,18,0)</f>
        <v>200</v>
      </c>
      <c r="U43" s="1"/>
      <c r="V43" s="1" t="e">
        <f t="shared" si="6"/>
        <v>#DIV/0!</v>
      </c>
      <c r="W43" s="1" t="e">
        <f t="shared" si="7"/>
        <v>#DIV/0!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0" t="s">
        <v>84</v>
      </c>
      <c r="AG43" s="1">
        <f t="shared" si="8"/>
        <v>60</v>
      </c>
      <c r="AH43" s="1">
        <f t="shared" si="9"/>
        <v>60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1" t="s">
        <v>79</v>
      </c>
      <c r="B44" s="1"/>
      <c r="C44" s="1"/>
      <c r="D44" s="1"/>
      <c r="E44" s="1"/>
      <c r="F44" s="1"/>
      <c r="G44" s="8">
        <v>0.15</v>
      </c>
      <c r="H44" s="1"/>
      <c r="I44" s="1">
        <v>1001190765681</v>
      </c>
      <c r="J44" s="1"/>
      <c r="K44" s="1"/>
      <c r="L44" s="1">
        <f t="shared" si="3"/>
        <v>0</v>
      </c>
      <c r="M44" s="1"/>
      <c r="N44" s="1"/>
      <c r="O44" s="1">
        <v>50</v>
      </c>
      <c r="P44" s="1">
        <f t="shared" si="4"/>
        <v>0</v>
      </c>
      <c r="Q44" s="5"/>
      <c r="R44" s="5">
        <f t="shared" si="5"/>
        <v>150</v>
      </c>
      <c r="S44" s="5">
        <f>IFERROR(VLOOKUP(A44,[1]Sheet!$A$1:$S$65536,19,0),0)</f>
        <v>100</v>
      </c>
      <c r="T44" s="5">
        <f>VLOOKUP(A44,[2]Sheet!$A$1:$R$65536,18,0)</f>
        <v>150</v>
      </c>
      <c r="U44" s="1"/>
      <c r="V44" s="1" t="e">
        <f t="shared" si="6"/>
        <v>#DIV/0!</v>
      </c>
      <c r="W44" s="1" t="e">
        <f t="shared" si="7"/>
        <v>#DIV/0!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0" t="s">
        <v>84</v>
      </c>
      <c r="AG44" s="1">
        <f t="shared" si="8"/>
        <v>22.5</v>
      </c>
      <c r="AH44" s="1">
        <f t="shared" si="9"/>
        <v>15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1" t="s">
        <v>80</v>
      </c>
      <c r="B45" s="1"/>
      <c r="C45" s="1"/>
      <c r="D45" s="1"/>
      <c r="E45" s="1"/>
      <c r="F45" s="1"/>
      <c r="G45" s="8">
        <v>0.28000000000000003</v>
      </c>
      <c r="H45" s="1"/>
      <c r="I45" s="1">
        <v>1001303107241</v>
      </c>
      <c r="J45" s="1"/>
      <c r="K45" s="1"/>
      <c r="L45" s="1">
        <f t="shared" si="3"/>
        <v>0</v>
      </c>
      <c r="M45" s="1"/>
      <c r="N45" s="1"/>
      <c r="O45" s="1">
        <v>120</v>
      </c>
      <c r="P45" s="1">
        <f t="shared" si="4"/>
        <v>0</v>
      </c>
      <c r="Q45" s="5"/>
      <c r="R45" s="5">
        <f t="shared" si="5"/>
        <v>250</v>
      </c>
      <c r="S45" s="5">
        <f>IFERROR(VLOOKUP(A45,[1]Sheet!$A$1:$S$65536,19,0),0)</f>
        <v>0</v>
      </c>
      <c r="T45" s="5">
        <f>VLOOKUP(A45,[2]Sheet!$A$1:$R$65536,18,0)</f>
        <v>250</v>
      </c>
      <c r="U45" s="1"/>
      <c r="V45" s="1" t="e">
        <f t="shared" si="6"/>
        <v>#DIV/0!</v>
      </c>
      <c r="W45" s="1" t="e">
        <f t="shared" si="7"/>
        <v>#DIV/0!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0" t="s">
        <v>84</v>
      </c>
      <c r="AG45" s="1">
        <f t="shared" si="8"/>
        <v>70</v>
      </c>
      <c r="AH45" s="1">
        <f t="shared" si="9"/>
        <v>0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1" t="s">
        <v>81</v>
      </c>
      <c r="B46" s="1"/>
      <c r="C46" s="1"/>
      <c r="D46" s="1"/>
      <c r="E46" s="1"/>
      <c r="F46" s="1"/>
      <c r="G46" s="8">
        <v>0.28000000000000003</v>
      </c>
      <c r="H46" s="1"/>
      <c r="I46" s="1">
        <v>1001304507230</v>
      </c>
      <c r="J46" s="1"/>
      <c r="K46" s="1"/>
      <c r="L46" s="1">
        <f t="shared" si="3"/>
        <v>0</v>
      </c>
      <c r="M46" s="1"/>
      <c r="N46" s="1"/>
      <c r="O46" s="1">
        <v>120</v>
      </c>
      <c r="P46" s="1">
        <f t="shared" si="4"/>
        <v>0</v>
      </c>
      <c r="Q46" s="5"/>
      <c r="R46" s="5">
        <f t="shared" si="5"/>
        <v>250</v>
      </c>
      <c r="S46" s="5">
        <f>IFERROR(VLOOKUP(A46,[1]Sheet!$A$1:$S$65536,19,0),0)</f>
        <v>0</v>
      </c>
      <c r="T46" s="5">
        <f>VLOOKUP(A46,[2]Sheet!$A$1:$R$65536,18,0)</f>
        <v>250</v>
      </c>
      <c r="U46" s="1"/>
      <c r="V46" s="1" t="e">
        <f t="shared" si="6"/>
        <v>#DIV/0!</v>
      </c>
      <c r="W46" s="1" t="e">
        <f t="shared" si="7"/>
        <v>#DIV/0!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0" t="s">
        <v>84</v>
      </c>
      <c r="AG46" s="1">
        <f t="shared" si="8"/>
        <v>70</v>
      </c>
      <c r="AH46" s="1">
        <f t="shared" si="9"/>
        <v>0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8" t="s">
        <v>82</v>
      </c>
      <c r="B47" s="18"/>
      <c r="C47" s="18"/>
      <c r="D47" s="18"/>
      <c r="E47" s="18"/>
      <c r="F47" s="18"/>
      <c r="G47" s="19">
        <v>1</v>
      </c>
      <c r="H47" s="18"/>
      <c r="I47" s="18">
        <v>1001022377070</v>
      </c>
      <c r="J47" s="18"/>
      <c r="K47" s="18"/>
      <c r="L47" s="18">
        <f t="shared" si="3"/>
        <v>0</v>
      </c>
      <c r="M47" s="18"/>
      <c r="N47" s="18"/>
      <c r="O47" s="18">
        <v>400</v>
      </c>
      <c r="P47" s="18">
        <f t="shared" si="4"/>
        <v>0</v>
      </c>
      <c r="Q47" s="20"/>
      <c r="R47" s="5">
        <f t="shared" si="5"/>
        <v>400</v>
      </c>
      <c r="S47" s="5">
        <f>IFERROR(VLOOKUP(A47,[1]Sheet!$A$1:$S$65536,19,0),0)</f>
        <v>400</v>
      </c>
      <c r="T47" s="5">
        <f>VLOOKUP(A47,[2]Sheet!$A$1:$R$65536,18,0)</f>
        <v>400</v>
      </c>
      <c r="U47" s="18"/>
      <c r="V47" s="18" t="e">
        <f t="shared" si="6"/>
        <v>#DIV/0!</v>
      </c>
      <c r="W47" s="18" t="e">
        <f t="shared" si="7"/>
        <v>#DIV/0!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21" t="s">
        <v>85</v>
      </c>
      <c r="AG47" s="1">
        <f t="shared" si="8"/>
        <v>400</v>
      </c>
      <c r="AH47" s="1">
        <f t="shared" si="9"/>
        <v>400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1" t="s">
        <v>83</v>
      </c>
      <c r="B48" s="1"/>
      <c r="C48" s="1"/>
      <c r="D48" s="1"/>
      <c r="E48" s="1"/>
      <c r="F48" s="1"/>
      <c r="G48" s="8">
        <v>1</v>
      </c>
      <c r="H48" s="1"/>
      <c r="I48" s="1">
        <v>1001031076548</v>
      </c>
      <c r="J48" s="1"/>
      <c r="K48" s="1"/>
      <c r="L48" s="1">
        <f t="shared" si="3"/>
        <v>0</v>
      </c>
      <c r="M48" s="1"/>
      <c r="N48" s="1"/>
      <c r="O48" s="1">
        <v>100</v>
      </c>
      <c r="P48" s="1">
        <f t="shared" si="4"/>
        <v>0</v>
      </c>
      <c r="Q48" s="5"/>
      <c r="R48" s="5">
        <f t="shared" si="5"/>
        <v>0</v>
      </c>
      <c r="S48" s="5">
        <f>IFERROR(VLOOKUP(A48,[1]Sheet!$A$1:$S$65536,19,0),0)</f>
        <v>0</v>
      </c>
      <c r="T48" s="5">
        <f>VLOOKUP(A48,[2]Sheet!$A$1:$R$65536,18,0)</f>
        <v>0</v>
      </c>
      <c r="U48" s="1"/>
      <c r="V48" s="1" t="e">
        <f t="shared" si="6"/>
        <v>#DIV/0!</v>
      </c>
      <c r="W48" s="1" t="e">
        <f t="shared" si="7"/>
        <v>#DIV/0!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0" t="s">
        <v>84</v>
      </c>
      <c r="AG48" s="1">
        <f t="shared" si="8"/>
        <v>0</v>
      </c>
      <c r="AH48" s="1">
        <f t="shared" si="9"/>
        <v>0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/>
      <c r="B49" s="1"/>
      <c r="C49" s="1"/>
      <c r="D49" s="1"/>
      <c r="E49" s="1"/>
      <c r="F49" s="1"/>
      <c r="G49" s="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/>
      <c r="B50" s="1"/>
      <c r="C50" s="1"/>
      <c r="D50" s="1"/>
      <c r="E50" s="1"/>
      <c r="F50" s="1"/>
      <c r="G50" s="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/>
      <c r="B51" s="1"/>
      <c r="C51" s="1"/>
      <c r="D51" s="1"/>
      <c r="E51" s="1"/>
      <c r="F51" s="1"/>
      <c r="G51" s="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/>
      <c r="B52" s="1"/>
      <c r="C52" s="1"/>
      <c r="D52" s="1"/>
      <c r="E52" s="1"/>
      <c r="F52" s="1"/>
      <c r="G52" s="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/>
      <c r="B53" s="1"/>
      <c r="C53" s="1"/>
      <c r="D53" s="1"/>
      <c r="E53" s="1"/>
      <c r="F53" s="1"/>
      <c r="G53" s="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/>
      <c r="B54" s="1"/>
      <c r="C54" s="1"/>
      <c r="D54" s="1"/>
      <c r="E54" s="1"/>
      <c r="F54" s="1"/>
      <c r="G54" s="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/>
      <c r="B55" s="1"/>
      <c r="C55" s="1"/>
      <c r="D55" s="1"/>
      <c r="E55" s="1"/>
      <c r="F55" s="1"/>
      <c r="G55" s="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/>
      <c r="B56" s="1"/>
      <c r="C56" s="1"/>
      <c r="D56" s="1"/>
      <c r="E56" s="1"/>
      <c r="F56" s="1"/>
      <c r="G56" s="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/>
      <c r="B57" s="1"/>
      <c r="C57" s="1"/>
      <c r="D57" s="1"/>
      <c r="E57" s="1"/>
      <c r="F57" s="1"/>
      <c r="G57" s="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/>
      <c r="B58" s="1"/>
      <c r="C58" s="1"/>
      <c r="D58" s="1"/>
      <c r="E58" s="1"/>
      <c r="F58" s="1"/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/>
      <c r="B59" s="1"/>
      <c r="C59" s="1"/>
      <c r="D59" s="1"/>
      <c r="E59" s="1"/>
      <c r="F59" s="1"/>
      <c r="G59" s="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/>
      <c r="B60" s="1"/>
      <c r="C60" s="1"/>
      <c r="D60" s="1"/>
      <c r="E60" s="1"/>
      <c r="F60" s="1"/>
      <c r="G60" s="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/>
      <c r="B61" s="1"/>
      <c r="C61" s="1"/>
      <c r="D61" s="1"/>
      <c r="E61" s="1"/>
      <c r="F61" s="1"/>
      <c r="G61" s="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/>
      <c r="B62" s="1"/>
      <c r="C62" s="1"/>
      <c r="D62" s="1"/>
      <c r="E62" s="1"/>
      <c r="F62" s="1"/>
      <c r="G62" s="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/>
      <c r="B63" s="1"/>
      <c r="C63" s="1"/>
      <c r="D63" s="1"/>
      <c r="E63" s="1"/>
      <c r="F63" s="1"/>
      <c r="G63" s="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/>
      <c r="B64" s="1"/>
      <c r="C64" s="1"/>
      <c r="D64" s="1"/>
      <c r="E64" s="1"/>
      <c r="F64" s="1"/>
      <c r="G64" s="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/>
      <c r="B65" s="1"/>
      <c r="C65" s="1"/>
      <c r="D65" s="1"/>
      <c r="E65" s="1"/>
      <c r="F65" s="1"/>
      <c r="G65" s="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/>
      <c r="B66" s="1"/>
      <c r="C66" s="1"/>
      <c r="D66" s="1"/>
      <c r="E66" s="1"/>
      <c r="F66" s="1"/>
      <c r="G66" s="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/>
      <c r="B67" s="1"/>
      <c r="C67" s="1"/>
      <c r="D67" s="1"/>
      <c r="E67" s="1"/>
      <c r="F67" s="1"/>
      <c r="G67" s="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/>
      <c r="B68" s="1"/>
      <c r="C68" s="1"/>
      <c r="D68" s="1"/>
      <c r="E68" s="1"/>
      <c r="F68" s="1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/>
      <c r="B69" s="1"/>
      <c r="C69" s="1"/>
      <c r="D69" s="1"/>
      <c r="E69" s="1"/>
      <c r="F69" s="1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/>
      <c r="B70" s="1"/>
      <c r="C70" s="1"/>
      <c r="D70" s="1"/>
      <c r="E70" s="1"/>
      <c r="F70" s="1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/>
      <c r="B71" s="1"/>
      <c r="C71" s="1"/>
      <c r="D71" s="1"/>
      <c r="E71" s="1"/>
      <c r="F71" s="1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</sheetData>
  <autoFilter ref="A3:AG48" xr:uid="{E2173630-326F-4380-B779-47BF42E0F75E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2025-12-29T11:02:28Z</dcterms:created>
  <dcterms:modified xsi:type="dcterms:W3CDTF">2026-01-12T07:57:13Z</dcterms:modified>
</cp:coreProperties>
</file>