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КИ Ташкент\"/>
    </mc:Choice>
  </mc:AlternateContent>
  <xr:revisionPtr revIDLastSave="0" documentId="13_ncr:1_{90C8670A-64DD-4B88-8395-FD81D1DD8B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6" i="1" l="1"/>
  <c r="U37" i="1"/>
  <c r="U38" i="1"/>
  <c r="U39" i="1"/>
  <c r="U41" i="1"/>
  <c r="U42" i="1"/>
  <c r="U43" i="1"/>
  <c r="U8" i="1"/>
  <c r="U9" i="1"/>
  <c r="U11" i="1"/>
  <c r="U12" i="1"/>
  <c r="U14" i="1"/>
  <c r="U15" i="1"/>
  <c r="U16" i="1"/>
  <c r="U17" i="1"/>
  <c r="U24" i="1"/>
  <c r="U25" i="1"/>
  <c r="U26" i="1"/>
  <c r="U28" i="1"/>
  <c r="U29" i="1"/>
  <c r="U30" i="1"/>
  <c r="U35" i="1"/>
  <c r="U6" i="1"/>
  <c r="T46" i="1" l="1"/>
  <c r="Y46" i="1" s="1"/>
  <c r="L46" i="1"/>
  <c r="AI45" i="1"/>
  <c r="T45" i="1"/>
  <c r="X45" i="1" s="1"/>
  <c r="L45" i="1"/>
  <c r="T44" i="1"/>
  <c r="Y44" i="1" s="1"/>
  <c r="L44" i="1"/>
  <c r="AI43" i="1"/>
  <c r="T43" i="1"/>
  <c r="Y43" i="1" s="1"/>
  <c r="L43" i="1"/>
  <c r="AI42" i="1"/>
  <c r="T42" i="1"/>
  <c r="X42" i="1" s="1"/>
  <c r="L42" i="1"/>
  <c r="AI41" i="1"/>
  <c r="T41" i="1"/>
  <c r="Y41" i="1" s="1"/>
  <c r="L41" i="1"/>
  <c r="AI40" i="1"/>
  <c r="T40" i="1"/>
  <c r="X40" i="1" s="1"/>
  <c r="L40" i="1"/>
  <c r="AI39" i="1"/>
  <c r="T39" i="1"/>
  <c r="Y39" i="1" s="1"/>
  <c r="L39" i="1"/>
  <c r="AI38" i="1"/>
  <c r="T38" i="1"/>
  <c r="X38" i="1" s="1"/>
  <c r="L38" i="1"/>
  <c r="AI37" i="1"/>
  <c r="T37" i="1"/>
  <c r="L37" i="1"/>
  <c r="F37" i="1"/>
  <c r="Y37" i="1" s="1"/>
  <c r="T36" i="1"/>
  <c r="Y36" i="1" s="1"/>
  <c r="L36" i="1"/>
  <c r="AI35" i="1"/>
  <c r="T35" i="1"/>
  <c r="Y35" i="1" s="1"/>
  <c r="L35" i="1"/>
  <c r="AI34" i="1"/>
  <c r="T34" i="1"/>
  <c r="X34" i="1" s="1"/>
  <c r="L34" i="1"/>
  <c r="AI33" i="1"/>
  <c r="X33" i="1"/>
  <c r="T33" i="1"/>
  <c r="L33" i="1"/>
  <c r="F33" i="1"/>
  <c r="Y33" i="1" s="1"/>
  <c r="AI32" i="1"/>
  <c r="T32" i="1"/>
  <c r="Y32" i="1" s="1"/>
  <c r="L32" i="1"/>
  <c r="T31" i="1"/>
  <c r="Y31" i="1" s="1"/>
  <c r="L31" i="1"/>
  <c r="AI30" i="1"/>
  <c r="T30" i="1"/>
  <c r="X30" i="1" s="1"/>
  <c r="L30" i="1"/>
  <c r="AI29" i="1"/>
  <c r="T29" i="1"/>
  <c r="Y29" i="1" s="1"/>
  <c r="L29" i="1"/>
  <c r="AI28" i="1"/>
  <c r="T28" i="1"/>
  <c r="L28" i="1"/>
  <c r="F28" i="1"/>
  <c r="X28" i="1" s="1"/>
  <c r="T27" i="1"/>
  <c r="Y27" i="1" s="1"/>
  <c r="L27" i="1"/>
  <c r="AI26" i="1"/>
  <c r="T26" i="1"/>
  <c r="X26" i="1" s="1"/>
  <c r="L26" i="1"/>
  <c r="AI25" i="1"/>
  <c r="T25" i="1"/>
  <c r="Y25" i="1" s="1"/>
  <c r="L25" i="1"/>
  <c r="AI24" i="1"/>
  <c r="T24" i="1"/>
  <c r="X24" i="1" s="1"/>
  <c r="L24" i="1"/>
  <c r="AI23" i="1"/>
  <c r="T23" i="1"/>
  <c r="Y23" i="1" s="1"/>
  <c r="L23" i="1"/>
  <c r="AI22" i="1"/>
  <c r="T22" i="1"/>
  <c r="X22" i="1" s="1"/>
  <c r="L22" i="1"/>
  <c r="AI21" i="1"/>
  <c r="T21" i="1"/>
  <c r="Y21" i="1" s="1"/>
  <c r="L21" i="1"/>
  <c r="AI20" i="1"/>
  <c r="T20" i="1"/>
  <c r="X20" i="1" s="1"/>
  <c r="L20" i="1"/>
  <c r="AI19" i="1"/>
  <c r="T19" i="1"/>
  <c r="Y19" i="1" s="1"/>
  <c r="L19" i="1"/>
  <c r="T18" i="1"/>
  <c r="Y18" i="1" s="1"/>
  <c r="L18" i="1"/>
  <c r="AI17" i="1"/>
  <c r="T17" i="1"/>
  <c r="X17" i="1" s="1"/>
  <c r="L17" i="1"/>
  <c r="AI16" i="1"/>
  <c r="T16" i="1"/>
  <c r="Y16" i="1" s="1"/>
  <c r="L16" i="1"/>
  <c r="AI15" i="1"/>
  <c r="T15" i="1"/>
  <c r="X15" i="1" s="1"/>
  <c r="L15" i="1"/>
  <c r="AI14" i="1"/>
  <c r="T14" i="1"/>
  <c r="Y14" i="1" s="1"/>
  <c r="L14" i="1"/>
  <c r="T13" i="1"/>
  <c r="Y13" i="1" s="1"/>
  <c r="L13" i="1"/>
  <c r="AI12" i="1"/>
  <c r="T12" i="1"/>
  <c r="X12" i="1" s="1"/>
  <c r="L12" i="1"/>
  <c r="AI11" i="1"/>
  <c r="T11" i="1"/>
  <c r="Y11" i="1" s="1"/>
  <c r="L11" i="1"/>
  <c r="T10" i="1"/>
  <c r="Y10" i="1" s="1"/>
  <c r="L10" i="1"/>
  <c r="AI9" i="1"/>
  <c r="T9" i="1"/>
  <c r="X9" i="1" s="1"/>
  <c r="L9" i="1"/>
  <c r="AI8" i="1"/>
  <c r="T8" i="1"/>
  <c r="Y8" i="1" s="1"/>
  <c r="L8" i="1"/>
  <c r="AI7" i="1"/>
  <c r="T7" i="1"/>
  <c r="X7" i="1" s="1"/>
  <c r="L7" i="1"/>
  <c r="AI6" i="1"/>
  <c r="X6" i="1"/>
  <c r="T6" i="1"/>
  <c r="Y6" i="1" s="1"/>
  <c r="L6" i="1"/>
  <c r="AG5" i="1"/>
  <c r="AF5" i="1"/>
  <c r="AE5" i="1"/>
  <c r="AD5" i="1"/>
  <c r="AC5" i="1"/>
  <c r="AB5" i="1"/>
  <c r="AA5" i="1"/>
  <c r="Z5" i="1"/>
  <c r="V5" i="1"/>
  <c r="T5" i="1"/>
  <c r="S5" i="1"/>
  <c r="R5" i="1"/>
  <c r="Q5" i="1"/>
  <c r="P5" i="1"/>
  <c r="O5" i="1"/>
  <c r="N5" i="1"/>
  <c r="M5" i="1"/>
  <c r="L5" i="1"/>
  <c r="K5" i="1"/>
  <c r="F5" i="1"/>
  <c r="E5" i="1"/>
  <c r="X19" i="1" l="1"/>
  <c r="X13" i="1"/>
  <c r="X27" i="1"/>
  <c r="X41" i="1"/>
  <c r="X10" i="1"/>
  <c r="X16" i="1"/>
  <c r="X23" i="1"/>
  <c r="X31" i="1"/>
  <c r="X37" i="1"/>
  <c r="AI46" i="1"/>
  <c r="X8" i="1"/>
  <c r="X11" i="1"/>
  <c r="X14" i="1"/>
  <c r="X18" i="1"/>
  <c r="X21" i="1"/>
  <c r="X25" i="1"/>
  <c r="X29" i="1"/>
  <c r="X32" i="1"/>
  <c r="X35" i="1"/>
  <c r="X39" i="1"/>
  <c r="X43" i="1"/>
  <c r="Y7" i="1"/>
  <c r="Y9" i="1"/>
  <c r="Y12" i="1"/>
  <c r="Y15" i="1"/>
  <c r="Y17" i="1"/>
  <c r="Y20" i="1"/>
  <c r="Y22" i="1"/>
  <c r="Y24" i="1"/>
  <c r="Y26" i="1"/>
  <c r="Y28" i="1"/>
  <c r="Y30" i="1"/>
  <c r="Y34" i="1"/>
  <c r="Y38" i="1"/>
  <c r="Y40" i="1"/>
  <c r="Y42" i="1"/>
  <c r="Y45" i="1"/>
  <c r="X46" i="1"/>
  <c r="U5" i="1" l="1"/>
  <c r="AI36" i="1"/>
  <c r="X36" i="1"/>
  <c r="AI44" i="1"/>
  <c r="X44" i="1"/>
  <c r="AI5" i="1" l="1"/>
</calcChain>
</file>

<file path=xl/sharedStrings.xml><?xml version="1.0" encoding="utf-8"?>
<sst xmlns="http://schemas.openxmlformats.org/spreadsheetml/2006/main" count="191" uniqueCount="88">
  <si>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</si>
  <si>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</si>
  <si>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</si>
  <si>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</si>
  <si>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</si>
  <si>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</si>
  <si>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</si>
  <si>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</si>
  <si>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</si>
  <si>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</si>
  <si>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</si>
  <si>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</si>
  <si>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</si>
  <si>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</si>
  <si>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</si>
  <si>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</si>
  <si>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</si>
  <si>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</si>
  <si>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</si>
  <si>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</si>
  <si>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</si>
  <si>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</si>
  <si>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</si>
  <si>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</si>
  <si>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</si>
  <si>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20,01,</t>
  </si>
  <si>
    <t>27,01,</t>
  </si>
  <si>
    <t>27,01,(дозаказ)</t>
  </si>
  <si>
    <t>26,01,</t>
  </si>
  <si>
    <t>19,01,</t>
  </si>
  <si>
    <t>29,12,</t>
  </si>
  <si>
    <t>15,12,</t>
  </si>
  <si>
    <t>08,12,</t>
  </si>
  <si>
    <t>01,12,</t>
  </si>
  <si>
    <t>24,11,</t>
  </si>
  <si>
    <t>17,11,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</si>
  <si>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</si>
  <si>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</si>
  <si>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</si>
  <si>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</si>
  <si>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</si>
  <si>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нужно увеличить продажи!!!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</si>
  <si>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</si>
  <si>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</si>
  <si>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</si>
  <si>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</si>
  <si>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</si>
  <si>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</si>
  <si>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</si>
  <si>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</si>
  <si>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</si>
  <si>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</si>
  <si>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</si>
  <si>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</si>
  <si>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</si>
  <si>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</si>
  <si>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</si>
  <si>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</si>
  <si>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</si>
  <si>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</si>
  <si>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</si>
  <si>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</si>
  <si>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</si>
  <si>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</si>
  <si>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</si>
  <si>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</si>
  <si>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</si>
  <si>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</si>
  <si>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продукция оприходована как 0,4!!!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</si>
  <si>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</si>
  <si>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</si>
  <si>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</si>
  <si>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вывод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</si>
  <si>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</si>
  <si>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</si>
  <si>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</si>
  <si>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</si>
  <si>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</si>
  <si>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</si>
  <si>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</si>
  <si>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</si>
  <si>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</si>
  <si>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</si>
  <si>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</si>
  <si>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</si>
  <si>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</si>
  <si>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заказ</t>
  </si>
  <si>
    <t>03,02,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</si>
</sst>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6,01,26%20&#1090;&#1096;&#1088;&#1089;&#1095;%20&#1086;&#1089;&#1090;%20&#1082;&#1080;%20&#1054;&#1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  <cell r="V3" t="str">
            <v>заказ филиала</v>
          </cell>
        </row>
        <row r="4">
          <cell r="R4" t="str">
            <v>27,01,</v>
          </cell>
          <cell r="S4" t="str">
            <v>27,01,(дозаказ)</v>
          </cell>
          <cell r="T4" t="str">
            <v>26,01,</v>
          </cell>
        </row>
        <row r="5">
          <cell r="E5">
            <v>1782.3920000000001</v>
          </cell>
          <cell r="F5">
            <v>18419.321</v>
          </cell>
          <cell r="K5">
            <v>0</v>
          </cell>
          <cell r="L5">
            <v>1782.3920000000001</v>
          </cell>
          <cell r="M5">
            <v>0</v>
          </cell>
          <cell r="N5">
            <v>0</v>
          </cell>
          <cell r="R5">
            <v>6540</v>
          </cell>
          <cell r="S5">
            <v>2000</v>
          </cell>
          <cell r="T5">
            <v>1319.3667200000002</v>
          </cell>
          <cell r="U5">
            <v>-571.98659999999973</v>
          </cell>
          <cell r="V5">
            <v>6890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5.3780000000000001</v>
          </cell>
          <cell r="F6">
            <v>245</v>
          </cell>
          <cell r="G6">
            <v>1</v>
          </cell>
          <cell r="H6">
            <v>45</v>
          </cell>
          <cell r="I6" t="str">
            <v>матрица</v>
          </cell>
          <cell r="L6">
            <v>0</v>
          </cell>
          <cell r="R6">
            <v>120</v>
          </cell>
          <cell r="S6">
            <v>0</v>
          </cell>
          <cell r="T6">
            <v>20.830480000000001</v>
          </cell>
          <cell r="U6">
            <v>51.6096</v>
          </cell>
          <cell r="V6">
            <v>60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31.811</v>
          </cell>
          <cell r="F7">
            <v>876</v>
          </cell>
          <cell r="G7">
            <v>0.35</v>
          </cell>
          <cell r="H7">
            <v>45</v>
          </cell>
          <cell r="I7" t="str">
            <v>матрица</v>
          </cell>
          <cell r="L7">
            <v>0</v>
          </cell>
          <cell r="R7">
            <v>360</v>
          </cell>
          <cell r="S7">
            <v>0</v>
          </cell>
          <cell r="T7">
            <v>80</v>
          </cell>
          <cell r="U7">
            <v>364</v>
          </cell>
          <cell r="V7">
            <v>300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16.361000000000001</v>
          </cell>
          <cell r="F8">
            <v>206</v>
          </cell>
          <cell r="G8">
            <v>1</v>
          </cell>
          <cell r="H8">
            <v>45</v>
          </cell>
          <cell r="I8" t="str">
            <v>матрица</v>
          </cell>
          <cell r="L8">
            <v>0</v>
          </cell>
          <cell r="R8">
            <v>150</v>
          </cell>
          <cell r="S8">
            <v>0</v>
          </cell>
          <cell r="T8">
            <v>13.440639999999998</v>
          </cell>
          <cell r="U8">
            <v>-87.187200000000018</v>
          </cell>
          <cell r="V8">
            <v>40</v>
          </cell>
        </row>
        <row r="9">
          <cell r="A9" t="str">
            <v>5179 АРОМАТНАЯ с/к с/н в/у 1/100_СНГ  ОСТАНКИНО</v>
          </cell>
          <cell r="B9" t="str">
            <v>шт</v>
          </cell>
          <cell r="C9">
            <v>40</v>
          </cell>
          <cell r="E9">
            <v>44</v>
          </cell>
          <cell r="F9">
            <v>311</v>
          </cell>
          <cell r="G9">
            <v>0.1</v>
          </cell>
          <cell r="H9">
            <v>60</v>
          </cell>
          <cell r="I9">
            <v>1001191975179</v>
          </cell>
          <cell r="L9">
            <v>44</v>
          </cell>
          <cell r="S9">
            <v>0</v>
          </cell>
          <cell r="T9">
            <v>8.8000000000000007</v>
          </cell>
          <cell r="U9">
            <v>-135</v>
          </cell>
          <cell r="V9">
            <v>200</v>
          </cell>
        </row>
        <row r="10">
          <cell r="A10" t="str">
            <v>5197 СЕРВЕЛАТ КРЕМЛЕВСКИЙ в/к в/у 0.35кг_СНГ</v>
          </cell>
          <cell r="B10" t="str">
            <v>шт</v>
          </cell>
          <cell r="C10">
            <v>-2</v>
          </cell>
          <cell r="F10">
            <v>-2</v>
          </cell>
          <cell r="G10">
            <v>0</v>
          </cell>
          <cell r="I10" t="str">
            <v>не в матрице</v>
          </cell>
          <cell r="J10" t="str">
            <v>6787 СЕРВЕЛАТ КРЕМЛЕВСКИЙ в/к в/у 0.33кг 8шт.  ОСТАНКИНО</v>
          </cell>
          <cell r="L10">
            <v>0</v>
          </cell>
          <cell r="S10">
            <v>0</v>
          </cell>
          <cell r="T10">
            <v>0</v>
          </cell>
          <cell r="U10">
            <v>2</v>
          </cell>
        </row>
        <row r="11">
          <cell r="A11" t="str">
            <v>5608 СЕРВЕЛАТ ФИНСКИЙ в/к в/у срез 0.35кг_СНГ</v>
          </cell>
          <cell r="B11" t="str">
            <v>шт</v>
          </cell>
          <cell r="C11">
            <v>34</v>
          </cell>
          <cell r="F11">
            <v>1040</v>
          </cell>
          <cell r="G11">
            <v>0.35</v>
          </cell>
          <cell r="H11">
            <v>45</v>
          </cell>
          <cell r="I11" t="str">
            <v>матрица</v>
          </cell>
          <cell r="L11">
            <v>0</v>
          </cell>
          <cell r="R11">
            <v>200</v>
          </cell>
          <cell r="S11">
            <v>0</v>
          </cell>
          <cell r="T11">
            <v>60</v>
          </cell>
          <cell r="U11">
            <v>-40</v>
          </cell>
          <cell r="V11">
            <v>200</v>
          </cell>
        </row>
        <row r="12">
          <cell r="A12" t="str">
            <v>5681 САЛЯМИ ИТАЛЬЯНСКАЯ с/к в/у 1/150_СНГ_60с  ОСТАНКИНО</v>
          </cell>
          <cell r="B12" t="str">
            <v>шт</v>
          </cell>
          <cell r="C12">
            <v>34</v>
          </cell>
          <cell r="E12">
            <v>38</v>
          </cell>
          <cell r="F12">
            <v>327</v>
          </cell>
          <cell r="G12">
            <v>0.15</v>
          </cell>
          <cell r="H12">
            <v>60</v>
          </cell>
          <cell r="I12">
            <v>1001190765681</v>
          </cell>
          <cell r="L12">
            <v>38</v>
          </cell>
          <cell r="S12">
            <v>0</v>
          </cell>
          <cell r="T12">
            <v>7.6</v>
          </cell>
          <cell r="U12">
            <v>-175</v>
          </cell>
          <cell r="V12">
            <v>200</v>
          </cell>
        </row>
        <row r="13">
          <cell r="A13" t="str">
            <v>6071 ЭКСТРА Папа может вар п/о_UZ</v>
          </cell>
          <cell r="B13" t="str">
            <v>кг</v>
          </cell>
          <cell r="C13">
            <v>0.32100000000000001</v>
          </cell>
          <cell r="F13">
            <v>0.32100000000000001</v>
          </cell>
          <cell r="G13">
            <v>0</v>
          </cell>
          <cell r="I13" t="str">
            <v>не в матрице</v>
          </cell>
          <cell r="L13">
            <v>0</v>
          </cell>
          <cell r="T13">
            <v>0</v>
          </cell>
          <cell r="U13">
            <v>-0.32100000000000001</v>
          </cell>
        </row>
        <row r="14">
          <cell r="A14" t="str">
            <v>6072 ЭКСТРА Папа может вар п/о 0.4кг_UZ</v>
          </cell>
          <cell r="B14" t="str">
            <v>шт</v>
          </cell>
          <cell r="C14">
            <v>330</v>
          </cell>
          <cell r="E14">
            <v>181</v>
          </cell>
          <cell r="F14">
            <v>387</v>
          </cell>
          <cell r="G14">
            <v>0.4</v>
          </cell>
          <cell r="H14">
            <v>60</v>
          </cell>
          <cell r="I14" t="str">
            <v>матрица</v>
          </cell>
          <cell r="L14">
            <v>181</v>
          </cell>
          <cell r="R14">
            <v>320</v>
          </cell>
          <cell r="S14">
            <v>0</v>
          </cell>
          <cell r="T14">
            <v>80</v>
          </cell>
          <cell r="U14">
            <v>893</v>
          </cell>
          <cell r="V14">
            <v>400</v>
          </cell>
        </row>
        <row r="15">
          <cell r="A15" t="str">
            <v>6075 МЯСНАЯ Папа может вар п/о_UZ</v>
          </cell>
          <cell r="B15" t="str">
            <v>кг</v>
          </cell>
          <cell r="C15">
            <v>9.2170000000000005</v>
          </cell>
          <cell r="F15">
            <v>161</v>
          </cell>
          <cell r="G15">
            <v>1</v>
          </cell>
          <cell r="H15">
            <v>60</v>
          </cell>
          <cell r="I15" t="str">
            <v>матрица</v>
          </cell>
          <cell r="L15">
            <v>0</v>
          </cell>
          <cell r="R15">
            <v>30</v>
          </cell>
          <cell r="S15">
            <v>0</v>
          </cell>
          <cell r="T15">
            <v>7</v>
          </cell>
          <cell r="U15">
            <v>-51</v>
          </cell>
          <cell r="V15">
            <v>30</v>
          </cell>
        </row>
        <row r="16">
          <cell r="A16" t="str">
            <v>6076 МЯСНАЯ Папа может вар п/о 0.4кг_UZ</v>
          </cell>
          <cell r="B16" t="str">
            <v>шт</v>
          </cell>
          <cell r="C16">
            <v>-5</v>
          </cell>
          <cell r="F16">
            <v>1025</v>
          </cell>
          <cell r="G16">
            <v>0.4</v>
          </cell>
          <cell r="H16">
            <v>60</v>
          </cell>
          <cell r="I16" t="str">
            <v>матрица</v>
          </cell>
          <cell r="L16">
            <v>0</v>
          </cell>
          <cell r="R16">
            <v>320</v>
          </cell>
          <cell r="S16">
            <v>0</v>
          </cell>
          <cell r="T16">
            <v>55</v>
          </cell>
          <cell r="U16">
            <v>-245</v>
          </cell>
          <cell r="V16">
            <v>200</v>
          </cell>
        </row>
        <row r="17">
          <cell r="A17" t="str">
            <v>6078 ФИЛЕЙНАЯ Папа может вар п/о_UZ</v>
          </cell>
          <cell r="B17" t="str">
            <v>кг</v>
          </cell>
          <cell r="C17">
            <v>7.02</v>
          </cell>
          <cell r="F17">
            <v>130</v>
          </cell>
          <cell r="G17">
            <v>1</v>
          </cell>
          <cell r="H17">
            <v>60</v>
          </cell>
          <cell r="I17" t="str">
            <v>матрица</v>
          </cell>
          <cell r="L17">
            <v>0</v>
          </cell>
          <cell r="R17">
            <v>50</v>
          </cell>
          <cell r="S17">
            <v>0</v>
          </cell>
          <cell r="T17">
            <v>8</v>
          </cell>
          <cell r="U17">
            <v>-20</v>
          </cell>
          <cell r="V17">
            <v>30</v>
          </cell>
        </row>
        <row r="18">
          <cell r="A18" t="str">
            <v>6087 СОЧНЫЕ сос п/о мгс 0.45кг_UZ</v>
          </cell>
          <cell r="B18" t="str">
            <v>шт</v>
          </cell>
          <cell r="C18">
            <v>-3</v>
          </cell>
          <cell r="F18">
            <v>-3</v>
          </cell>
          <cell r="G18">
            <v>0</v>
          </cell>
          <cell r="I18" t="str">
            <v>не в матрице</v>
          </cell>
          <cell r="J18" t="str">
            <v>7067 СОЧНЫЕ ПМ сос п/о мгс 0.41кг_СНГ_50с  ОСТАНКИНО</v>
          </cell>
          <cell r="L18">
            <v>0</v>
          </cell>
          <cell r="S18">
            <v>0</v>
          </cell>
          <cell r="T18">
            <v>0</v>
          </cell>
          <cell r="U18">
            <v>3</v>
          </cell>
        </row>
        <row r="19">
          <cell r="A19" t="str">
            <v>6091 АРОМАТНАЯ с/к в/у_UZ</v>
          </cell>
          <cell r="B19" t="str">
            <v>кг</v>
          </cell>
          <cell r="C19">
            <v>16.251999999999999</v>
          </cell>
          <cell r="E19">
            <v>5.9139999999999997</v>
          </cell>
          <cell r="F19">
            <v>283</v>
          </cell>
          <cell r="G19">
            <v>1</v>
          </cell>
          <cell r="H19">
            <v>120</v>
          </cell>
          <cell r="I19" t="str">
            <v>матрица</v>
          </cell>
          <cell r="L19">
            <v>5.9139999999999997</v>
          </cell>
          <cell r="S19">
            <v>0</v>
          </cell>
          <cell r="T19">
            <v>8</v>
          </cell>
          <cell r="U19">
            <v>-123</v>
          </cell>
        </row>
        <row r="20">
          <cell r="A20" t="str">
            <v>6092 АРОМАТНАЯ с/к в/у 1/250 8шт_UZ</v>
          </cell>
          <cell r="B20" t="str">
            <v>шт</v>
          </cell>
          <cell r="C20">
            <v>216</v>
          </cell>
          <cell r="E20">
            <v>60</v>
          </cell>
          <cell r="F20">
            <v>481</v>
          </cell>
          <cell r="G20">
            <v>0.25</v>
          </cell>
          <cell r="H20">
            <v>120</v>
          </cell>
          <cell r="I20" t="str">
            <v>матрица</v>
          </cell>
          <cell r="L20">
            <v>60</v>
          </cell>
          <cell r="S20">
            <v>1000</v>
          </cell>
          <cell r="T20">
            <v>30</v>
          </cell>
          <cell r="U20">
            <v>-881</v>
          </cell>
        </row>
        <row r="21">
          <cell r="A21" t="str">
            <v>6093 САЛЯМИ ИТАЛЬЯНСКАЯ с/к в/у 1/250 8шт_UZ</v>
          </cell>
          <cell r="B21" t="str">
            <v>шт</v>
          </cell>
          <cell r="C21">
            <v>71</v>
          </cell>
          <cell r="E21">
            <v>39</v>
          </cell>
          <cell r="F21">
            <v>975</v>
          </cell>
          <cell r="G21">
            <v>0.25</v>
          </cell>
          <cell r="H21">
            <v>120</v>
          </cell>
          <cell r="I21" t="str">
            <v>матрица</v>
          </cell>
          <cell r="L21">
            <v>39</v>
          </cell>
          <cell r="R21">
            <v>200</v>
          </cell>
          <cell r="S21">
            <v>0</v>
          </cell>
          <cell r="T21">
            <v>60</v>
          </cell>
          <cell r="U21">
            <v>25</v>
          </cell>
          <cell r="V21">
            <v>350</v>
          </cell>
        </row>
        <row r="22">
          <cell r="A22" t="str">
            <v>6094 ЮБИЛЕЙНАЯ с/к в/у_UZ</v>
          </cell>
          <cell r="B22" t="str">
            <v>кг</v>
          </cell>
          <cell r="C22">
            <v>-1.069</v>
          </cell>
          <cell r="F22">
            <v>263</v>
          </cell>
          <cell r="G22">
            <v>1</v>
          </cell>
          <cell r="H22">
            <v>120</v>
          </cell>
          <cell r="I22" t="str">
            <v>матрица</v>
          </cell>
          <cell r="L22">
            <v>0</v>
          </cell>
          <cell r="R22">
            <v>50</v>
          </cell>
          <cell r="S22">
            <v>0</v>
          </cell>
          <cell r="T22">
            <v>8</v>
          </cell>
          <cell r="U22">
            <v>-153</v>
          </cell>
        </row>
        <row r="23">
          <cell r="A23" t="str">
            <v>6095 ЮБИЛЕЙНАЯ с/к в/у 1/250 8шт_UZ</v>
          </cell>
          <cell r="B23" t="str">
            <v>шт</v>
          </cell>
          <cell r="C23">
            <v>291</v>
          </cell>
          <cell r="E23">
            <v>57</v>
          </cell>
          <cell r="F23">
            <v>781</v>
          </cell>
          <cell r="G23">
            <v>0.25</v>
          </cell>
          <cell r="H23">
            <v>120</v>
          </cell>
          <cell r="I23" t="str">
            <v>матрица</v>
          </cell>
          <cell r="L23">
            <v>57</v>
          </cell>
          <cell r="S23">
            <v>1000</v>
          </cell>
          <cell r="T23">
            <v>35</v>
          </cell>
          <cell r="U23">
            <v>-1081</v>
          </cell>
        </row>
        <row r="24">
          <cell r="A24" t="str">
            <v>6207 ОКОРОК КОПЧЕНЫЙ к/в мл/к в/у 0.3кг_СНГ  ОСТАНКИНО</v>
          </cell>
          <cell r="B24" t="str">
            <v>шт</v>
          </cell>
          <cell r="C24">
            <v>93</v>
          </cell>
          <cell r="E24">
            <v>93</v>
          </cell>
          <cell r="F24">
            <v>47</v>
          </cell>
          <cell r="G24">
            <v>0.3</v>
          </cell>
          <cell r="H24">
            <v>45</v>
          </cell>
          <cell r="I24">
            <v>1001083446207</v>
          </cell>
          <cell r="L24">
            <v>93</v>
          </cell>
          <cell r="R24">
            <v>120</v>
          </cell>
          <cell r="S24">
            <v>0</v>
          </cell>
          <cell r="T24">
            <v>18.600000000000001</v>
          </cell>
          <cell r="U24">
            <v>205</v>
          </cell>
          <cell r="V24">
            <v>300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70.58</v>
          </cell>
          <cell r="E25">
            <v>37.840000000000003</v>
          </cell>
          <cell r="F25">
            <v>119</v>
          </cell>
          <cell r="G25">
            <v>1</v>
          </cell>
          <cell r="H25">
            <v>60</v>
          </cell>
          <cell r="I25" t="str">
            <v>матрица</v>
          </cell>
          <cell r="L25">
            <v>37.840000000000003</v>
          </cell>
          <cell r="R25">
            <v>50</v>
          </cell>
          <cell r="S25">
            <v>0</v>
          </cell>
          <cell r="T25">
            <v>7.5680000000000005</v>
          </cell>
          <cell r="U25">
            <v>-17.639999999999986</v>
          </cell>
          <cell r="V25">
            <v>40</v>
          </cell>
        </row>
        <row r="26">
          <cell r="A26" t="str">
            <v>6268 ГОВЯЖЬЯ Папа может вар п/о 0.4кг 8шт.  ОСТАНКИНО</v>
          </cell>
          <cell r="B26" t="str">
            <v>шт</v>
          </cell>
          <cell r="C26">
            <v>635</v>
          </cell>
          <cell r="E26">
            <v>160</v>
          </cell>
          <cell r="F26">
            <v>719</v>
          </cell>
          <cell r="G26">
            <v>0.4</v>
          </cell>
          <cell r="H26">
            <v>60</v>
          </cell>
          <cell r="I26" t="str">
            <v>матрица</v>
          </cell>
          <cell r="L26">
            <v>160</v>
          </cell>
          <cell r="R26">
            <v>200</v>
          </cell>
          <cell r="S26">
            <v>0</v>
          </cell>
          <cell r="T26">
            <v>32</v>
          </cell>
          <cell r="U26">
            <v>-279</v>
          </cell>
          <cell r="V26">
            <v>200</v>
          </cell>
        </row>
        <row r="27">
          <cell r="A27" t="str">
            <v>6270 ФИЛЕЙНАЯ Папа может вар п/о 0.4кг СНГ</v>
          </cell>
          <cell r="B27" t="str">
            <v>шт</v>
          </cell>
          <cell r="C27">
            <v>-3</v>
          </cell>
          <cell r="F27">
            <v>-3</v>
          </cell>
          <cell r="G27">
            <v>0</v>
          </cell>
          <cell r="I27" t="str">
            <v>не в матрице</v>
          </cell>
          <cell r="J27" t="str">
            <v>6346 ФИЛЕЙНАЯ Папа может вар п/о 0.5кг_СНГ  ОСТАНКИНО</v>
          </cell>
          <cell r="L27">
            <v>0</v>
          </cell>
          <cell r="S27">
            <v>0</v>
          </cell>
          <cell r="T27">
            <v>0</v>
          </cell>
          <cell r="U27">
            <v>3</v>
          </cell>
        </row>
        <row r="28">
          <cell r="A28" t="str">
            <v>6346 ФИЛЕЙНАЯ Папа может вар п/о 0.5кг_СНГ  ОСТАНКИНО</v>
          </cell>
          <cell r="B28" t="str">
            <v>шт</v>
          </cell>
          <cell r="C28">
            <v>-1</v>
          </cell>
          <cell r="F28">
            <v>1300</v>
          </cell>
          <cell r="G28">
            <v>0.5</v>
          </cell>
          <cell r="H28">
            <v>60</v>
          </cell>
          <cell r="I28" t="str">
            <v>матрица</v>
          </cell>
          <cell r="L28">
            <v>0</v>
          </cell>
          <cell r="R28">
            <v>120</v>
          </cell>
          <cell r="S28">
            <v>0</v>
          </cell>
          <cell r="T28">
            <v>60</v>
          </cell>
          <cell r="U28">
            <v>-220</v>
          </cell>
          <cell r="V28">
            <v>120</v>
          </cell>
        </row>
        <row r="29">
          <cell r="A29" t="str">
            <v>6549 МЯСНЫЕ Папа может сар б/о мгс 1*3_Х5_45с  ОСТАНКИНО</v>
          </cell>
          <cell r="C29">
            <v>88.819000000000003</v>
          </cell>
          <cell r="E29">
            <v>83.638000000000005</v>
          </cell>
          <cell r="F29">
            <v>284</v>
          </cell>
          <cell r="G29">
            <v>1</v>
          </cell>
          <cell r="I29">
            <v>1001032736549</v>
          </cell>
          <cell r="L29">
            <v>83.638000000000005</v>
          </cell>
          <cell r="R29">
            <v>100</v>
          </cell>
          <cell r="S29">
            <v>0</v>
          </cell>
          <cell r="T29">
            <v>16.727600000000002</v>
          </cell>
          <cell r="U29">
            <v>-49.447999999999979</v>
          </cell>
          <cell r="V29">
            <v>150</v>
          </cell>
        </row>
        <row r="30">
          <cell r="A30" t="str">
            <v>6616 МОЛОЧНЫЕ КЛАССИЧЕСКИЕ сос п/о в/у 0.3кг  ОСТАНКИНО</v>
          </cell>
          <cell r="B30" t="str">
            <v>шт</v>
          </cell>
          <cell r="C30">
            <v>53</v>
          </cell>
          <cell r="E30">
            <v>53</v>
          </cell>
          <cell r="F30">
            <v>189</v>
          </cell>
          <cell r="G30">
            <v>0.3</v>
          </cell>
          <cell r="H30">
            <v>45</v>
          </cell>
          <cell r="I30">
            <v>1001024976616</v>
          </cell>
          <cell r="L30">
            <v>53</v>
          </cell>
          <cell r="R30">
            <v>60</v>
          </cell>
          <cell r="S30">
            <v>0</v>
          </cell>
          <cell r="T30">
            <v>10.6</v>
          </cell>
          <cell r="U30">
            <v>-37</v>
          </cell>
          <cell r="V30">
            <v>150</v>
          </cell>
        </row>
        <row r="31">
          <cell r="A31" t="str">
            <v>6765 РУБЛЕНЫЕ сос ц/о мгс 0.36кг 6шт.  ОСТАНКИНО</v>
          </cell>
          <cell r="B31" t="str">
            <v>шт</v>
          </cell>
          <cell r="C31">
            <v>20</v>
          </cell>
          <cell r="F31">
            <v>20</v>
          </cell>
          <cell r="G31">
            <v>0</v>
          </cell>
          <cell r="H31">
            <v>45</v>
          </cell>
          <cell r="I31" t="str">
            <v>вывод</v>
          </cell>
          <cell r="L31">
            <v>0</v>
          </cell>
          <cell r="S31">
            <v>0</v>
          </cell>
          <cell r="T31">
            <v>0</v>
          </cell>
          <cell r="U31">
            <v>-20</v>
          </cell>
        </row>
        <row r="32">
          <cell r="A32" t="str">
            <v>6773 САЛЯМИ Папа может п/к в/у 0.28кг 8шт.</v>
          </cell>
          <cell r="B32" t="str">
            <v>шт</v>
          </cell>
          <cell r="C32">
            <v>116</v>
          </cell>
          <cell r="E32">
            <v>116</v>
          </cell>
          <cell r="F32">
            <v>222</v>
          </cell>
          <cell r="G32">
            <v>0.28000000000000003</v>
          </cell>
          <cell r="H32">
            <v>45</v>
          </cell>
          <cell r="I32">
            <v>1001303107241</v>
          </cell>
          <cell r="L32">
            <v>116</v>
          </cell>
          <cell r="R32">
            <v>160</v>
          </cell>
          <cell r="S32">
            <v>0</v>
          </cell>
          <cell r="T32">
            <v>23.2</v>
          </cell>
          <cell r="U32">
            <v>82</v>
          </cell>
          <cell r="V32">
            <v>250</v>
          </cell>
        </row>
        <row r="33">
          <cell r="A33" t="str">
            <v>6787 СЕРВЕЛАТ КРЕМЛЕВСКИЙ в/к в/у 0.33кг 8шт.  ОСТАНКИНО</v>
          </cell>
          <cell r="B33" t="str">
            <v>шт</v>
          </cell>
          <cell r="C33">
            <v>21</v>
          </cell>
          <cell r="F33">
            <v>828</v>
          </cell>
          <cell r="G33">
            <v>0.33</v>
          </cell>
          <cell r="H33">
            <v>45</v>
          </cell>
          <cell r="I33" t="str">
            <v>матрица</v>
          </cell>
          <cell r="L33">
            <v>0</v>
          </cell>
          <cell r="R33">
            <v>200</v>
          </cell>
          <cell r="S33">
            <v>0</v>
          </cell>
          <cell r="T33">
            <v>50</v>
          </cell>
          <cell r="U33">
            <v>-28</v>
          </cell>
          <cell r="V33">
            <v>250</v>
          </cell>
        </row>
        <row r="34">
          <cell r="A34" t="str">
            <v>6837 ФИЛЕЙНЫЕ Папа Может сос ц/о мгс 0.4кг  ОСТАНКИНО</v>
          </cell>
          <cell r="B34" t="str">
            <v>шт</v>
          </cell>
          <cell r="C34">
            <v>105</v>
          </cell>
          <cell r="E34">
            <v>30</v>
          </cell>
          <cell r="F34">
            <v>311</v>
          </cell>
          <cell r="G34">
            <v>0.4</v>
          </cell>
          <cell r="H34">
            <v>45</v>
          </cell>
          <cell r="I34" t="str">
            <v>матрица</v>
          </cell>
          <cell r="L34">
            <v>30</v>
          </cell>
          <cell r="R34">
            <v>160</v>
          </cell>
          <cell r="S34">
            <v>0</v>
          </cell>
          <cell r="T34">
            <v>20</v>
          </cell>
          <cell r="U34">
            <v>-71</v>
          </cell>
          <cell r="V34">
            <v>50</v>
          </cell>
        </row>
        <row r="35">
          <cell r="A35" t="str">
            <v>7058 ШПИКАЧКИ СОЧНЫЕ С БЕКОНОМ п/о мгс 1*3_60с  ОСТАНКИНО</v>
          </cell>
          <cell r="B35" t="str">
            <v>кг</v>
          </cell>
          <cell r="C35">
            <v>36.167000000000002</v>
          </cell>
          <cell r="F35">
            <v>480</v>
          </cell>
          <cell r="G35">
            <v>1</v>
          </cell>
          <cell r="H35">
            <v>60</v>
          </cell>
          <cell r="I35" t="str">
            <v>матрица</v>
          </cell>
          <cell r="L35">
            <v>0</v>
          </cell>
          <cell r="R35">
            <v>250</v>
          </cell>
          <cell r="S35">
            <v>0</v>
          </cell>
          <cell r="T35">
            <v>35</v>
          </cell>
          <cell r="U35">
            <v>-30</v>
          </cell>
          <cell r="V35">
            <v>300</v>
          </cell>
        </row>
        <row r="36">
          <cell r="A36" t="str">
            <v>7059 ШПИКАЧКИ СОЧНЫЕ С БЕК. п/о мгс 0.3кг_60с  ОСТАНКИНО</v>
          </cell>
          <cell r="B36" t="str">
            <v>шт</v>
          </cell>
          <cell r="C36">
            <v>191</v>
          </cell>
          <cell r="E36">
            <v>142</v>
          </cell>
          <cell r="F36">
            <v>349</v>
          </cell>
          <cell r="G36">
            <v>0.3</v>
          </cell>
          <cell r="H36">
            <v>60</v>
          </cell>
          <cell r="I36" t="str">
            <v>матрица</v>
          </cell>
          <cell r="L36">
            <v>142</v>
          </cell>
          <cell r="S36">
            <v>0</v>
          </cell>
          <cell r="T36">
            <v>28.4</v>
          </cell>
          <cell r="U36">
            <v>219</v>
          </cell>
          <cell r="V36">
            <v>100</v>
          </cell>
        </row>
        <row r="37">
          <cell r="A37" t="str">
            <v>7067 СОЧНЫЕ ПМ сос п/о мгс 0.41кг_СНГ_50с  ОСТАНКИНО</v>
          </cell>
          <cell r="B37" t="str">
            <v>шт</v>
          </cell>
          <cell r="C37">
            <v>87</v>
          </cell>
          <cell r="E37">
            <v>81</v>
          </cell>
          <cell r="F37">
            <v>124</v>
          </cell>
          <cell r="G37">
            <v>0.41</v>
          </cell>
          <cell r="H37">
            <v>50</v>
          </cell>
          <cell r="I37" t="str">
            <v>матрица</v>
          </cell>
          <cell r="L37">
            <v>81</v>
          </cell>
          <cell r="R37">
            <v>200</v>
          </cell>
          <cell r="S37">
            <v>0</v>
          </cell>
          <cell r="T37">
            <v>30</v>
          </cell>
          <cell r="U37">
            <v>276</v>
          </cell>
          <cell r="V37">
            <v>200</v>
          </cell>
        </row>
        <row r="38">
          <cell r="A38" t="str">
            <v>7070 СОЧНЫЕ ПМ сос п/о мгс 1.5*4_А_50с  ОСТАНКИНО</v>
          </cell>
          <cell r="B38" t="str">
            <v>кг</v>
          </cell>
          <cell r="C38">
            <v>41.279000000000003</v>
          </cell>
          <cell r="F38">
            <v>1014</v>
          </cell>
          <cell r="G38">
            <v>1</v>
          </cell>
          <cell r="H38">
            <v>50</v>
          </cell>
          <cell r="I38" t="str">
            <v>матрица</v>
          </cell>
          <cell r="L38">
            <v>0</v>
          </cell>
          <cell r="R38">
            <v>350</v>
          </cell>
          <cell r="S38">
            <v>0</v>
          </cell>
          <cell r="T38">
            <v>60</v>
          </cell>
          <cell r="U38">
            <v>-164</v>
          </cell>
          <cell r="V38">
            <v>200</v>
          </cell>
        </row>
        <row r="39">
          <cell r="A39" t="str">
            <v>7075 МОЛОЧ.ПРЕМИУМ ПМ сос п/о мгс 1.5*4_О_50с  ОСТАНКИНО</v>
          </cell>
          <cell r="B39" t="str">
            <v>кг</v>
          </cell>
          <cell r="C39">
            <v>9.2560000000000002</v>
          </cell>
          <cell r="F39">
            <v>245</v>
          </cell>
          <cell r="G39">
            <v>1</v>
          </cell>
          <cell r="H39">
            <v>50</v>
          </cell>
          <cell r="I39" t="str">
            <v>матрица</v>
          </cell>
          <cell r="L39">
            <v>0</v>
          </cell>
          <cell r="R39">
            <v>150</v>
          </cell>
          <cell r="S39">
            <v>0</v>
          </cell>
          <cell r="T39">
            <v>25</v>
          </cell>
          <cell r="U39">
            <v>105</v>
          </cell>
          <cell r="V39">
            <v>100</v>
          </cell>
        </row>
        <row r="40">
          <cell r="A40" t="str">
            <v>7077 МЯСНЫЕ С ГОВЯД.ПМ сос п/о мгс 0.4кг_50с ОСТАНКИНО</v>
          </cell>
          <cell r="B40" t="str">
            <v>шт</v>
          </cell>
          <cell r="C40">
            <v>33</v>
          </cell>
          <cell r="E40">
            <v>8</v>
          </cell>
          <cell r="F40">
            <v>219</v>
          </cell>
          <cell r="G40">
            <v>0.4</v>
          </cell>
          <cell r="H40">
            <v>50</v>
          </cell>
          <cell r="I40" t="str">
            <v>матрица</v>
          </cell>
          <cell r="L40">
            <v>8</v>
          </cell>
          <cell r="R40">
            <v>200</v>
          </cell>
          <cell r="S40">
            <v>0</v>
          </cell>
          <cell r="T40">
            <v>40</v>
          </cell>
          <cell r="U40">
            <v>381</v>
          </cell>
          <cell r="V40">
            <v>100</v>
          </cell>
        </row>
        <row r="41">
          <cell r="A41" t="str">
            <v>7104 БЕКОН Останкино с/к с/н в/у 1/180_СНГ_50 ОСТАНКИНО</v>
          </cell>
          <cell r="B41" t="str">
            <v>шт</v>
          </cell>
          <cell r="C41">
            <v>12</v>
          </cell>
          <cell r="F41">
            <v>403</v>
          </cell>
          <cell r="G41">
            <v>0.18</v>
          </cell>
          <cell r="H41">
            <v>50</v>
          </cell>
          <cell r="I41" t="str">
            <v>матрица</v>
          </cell>
          <cell r="L41">
            <v>0</v>
          </cell>
          <cell r="R41">
            <v>100</v>
          </cell>
          <cell r="S41">
            <v>0</v>
          </cell>
          <cell r="T41">
            <v>20</v>
          </cell>
          <cell r="U41">
            <v>-103</v>
          </cell>
          <cell r="V41">
            <v>200</v>
          </cell>
        </row>
        <row r="42">
          <cell r="A42" t="str">
            <v>7187 ГРУДИНКА ПРЕМИУМ к/в мл/к в/у 0.3кг_50с  ОСТАНКИНО</v>
          </cell>
          <cell r="B42" t="str">
            <v>шт</v>
          </cell>
          <cell r="C42">
            <v>103.1</v>
          </cell>
          <cell r="F42">
            <v>2790</v>
          </cell>
          <cell r="G42">
            <v>0.3</v>
          </cell>
          <cell r="H42">
            <v>50</v>
          </cell>
          <cell r="I42" t="str">
            <v>матрица</v>
          </cell>
          <cell r="L42">
            <v>0</v>
          </cell>
          <cell r="R42">
            <v>1800</v>
          </cell>
          <cell r="S42">
            <v>0</v>
          </cell>
          <cell r="T42">
            <v>250</v>
          </cell>
          <cell r="U42">
            <v>410</v>
          </cell>
          <cell r="V42">
            <v>1600</v>
          </cell>
        </row>
        <row r="43">
          <cell r="A43" t="str">
            <v>7230 СЕРВЕЛАТ КАРЕЛЬС.вк в/у 0.28кг_СНГ_209к  ОСТАНКИНО</v>
          </cell>
          <cell r="B43" t="str">
            <v>шт</v>
          </cell>
          <cell r="C43">
            <v>116</v>
          </cell>
          <cell r="E43">
            <v>116</v>
          </cell>
          <cell r="F43">
            <v>284</v>
          </cell>
          <cell r="G43">
            <v>0.28000000000000003</v>
          </cell>
          <cell r="H43">
            <v>45</v>
          </cell>
          <cell r="I43">
            <v>1001304507230</v>
          </cell>
          <cell r="L43">
            <v>116</v>
          </cell>
          <cell r="R43">
            <v>160</v>
          </cell>
          <cell r="S43">
            <v>0</v>
          </cell>
          <cell r="T43">
            <v>23.2</v>
          </cell>
          <cell r="U43">
            <v>20</v>
          </cell>
          <cell r="V43">
            <v>120</v>
          </cell>
        </row>
        <row r="44">
          <cell r="A44" t="str">
            <v>7231 КЛАССИЧЕСКАЯ ПМ вар п/о 0.3кг 8шт_209к  ОСТАНКИНО</v>
          </cell>
          <cell r="B44" t="str">
            <v>шт</v>
          </cell>
          <cell r="C44">
            <v>197</v>
          </cell>
          <cell r="E44">
            <v>137</v>
          </cell>
          <cell r="F44">
            <v>447</v>
          </cell>
          <cell r="G44">
            <v>0.3</v>
          </cell>
          <cell r="H44">
            <v>60</v>
          </cell>
          <cell r="I44">
            <v>1001013957231</v>
          </cell>
          <cell r="L44">
            <v>137</v>
          </cell>
          <cell r="S44">
            <v>0</v>
          </cell>
          <cell r="T44">
            <v>27.4</v>
          </cell>
          <cell r="U44">
            <v>101</v>
          </cell>
        </row>
        <row r="45">
          <cell r="A45" t="str">
            <v>7332 БОЯРСКАЯ ПМ п/к в/у 0.28кг_СНГ  ОСТАНКИНО</v>
          </cell>
          <cell r="B45" t="str">
            <v>шт</v>
          </cell>
          <cell r="C45">
            <v>116</v>
          </cell>
          <cell r="E45">
            <v>116</v>
          </cell>
          <cell r="F45">
            <v>189</v>
          </cell>
          <cell r="G45">
            <v>0.28000000000000003</v>
          </cell>
          <cell r="I45">
            <v>1001301777332</v>
          </cell>
          <cell r="L45">
            <v>116</v>
          </cell>
          <cell r="R45">
            <v>160</v>
          </cell>
          <cell r="S45">
            <v>0</v>
          </cell>
          <cell r="T45">
            <v>23.2</v>
          </cell>
          <cell r="U45">
            <v>115</v>
          </cell>
          <cell r="V45">
            <v>150</v>
          </cell>
        </row>
        <row r="46">
          <cell r="A46" t="str">
            <v>7333 СЕРВЕЛАТ ОХОТНИЧИЙ ПМ в/к в/у 0.28кг_СНГ  ОСТАНКИНО</v>
          </cell>
          <cell r="B46" t="str">
            <v>шт</v>
          </cell>
          <cell r="C46">
            <v>237</v>
          </cell>
          <cell r="E46">
            <v>184</v>
          </cell>
          <cell r="F46">
            <v>353</v>
          </cell>
          <cell r="G46">
            <v>0.28000000000000003</v>
          </cell>
          <cell r="H46">
            <v>50</v>
          </cell>
          <cell r="I46" t="str">
            <v>матрица</v>
          </cell>
          <cell r="L46">
            <v>184</v>
          </cell>
          <cell r="R46">
            <v>200</v>
          </cell>
          <cell r="S46">
            <v>0</v>
          </cell>
          <cell r="T46">
            <v>36.799999999999997</v>
          </cell>
          <cell r="U46">
            <v>183</v>
          </cell>
          <cell r="V46">
            <v>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4" width="0.42578125" customWidth="1"/>
    <col min="15" max="22" width="7" customWidth="1"/>
    <col min="23" max="23" width="13.5703125" customWidth="1"/>
    <col min="24" max="25" width="4.85546875" customWidth="1"/>
    <col min="26" max="33" width="6" customWidth="1"/>
    <col min="34" max="34" width="30.1406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86</v>
      </c>
      <c r="V3" s="7" t="s">
        <v>16</v>
      </c>
      <c r="W3" s="7" t="s">
        <v>17</v>
      </c>
      <c r="X3" s="2" t="s">
        <v>18</v>
      </c>
      <c r="Y3" s="2" t="s">
        <v>19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 t="s">
        <v>28</v>
      </c>
      <c r="U4" s="1" t="s">
        <v>87</v>
      </c>
      <c r="V4" s="1"/>
      <c r="W4" s="1"/>
      <c r="X4" s="1"/>
      <c r="Y4" s="1"/>
      <c r="Z4" s="1" t="s">
        <v>29</v>
      </c>
      <c r="AA4" s="1" t="s">
        <v>23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1782.3920000000001</v>
      </c>
      <c r="F5" s="4">
        <f>SUM(F6:F499)</f>
        <v>1675.1</v>
      </c>
      <c r="G5" s="8"/>
      <c r="H5" s="1"/>
      <c r="I5" s="1"/>
      <c r="J5" s="1"/>
      <c r="K5" s="4">
        <f t="shared" ref="K5:V5" si="0">SUM(K6:K499)</f>
        <v>0</v>
      </c>
      <c r="L5" s="4">
        <f t="shared" si="0"/>
        <v>1782.3920000000001</v>
      </c>
      <c r="M5" s="4">
        <f t="shared" si="0"/>
        <v>0</v>
      </c>
      <c r="N5" s="4">
        <f t="shared" si="0"/>
        <v>0</v>
      </c>
      <c r="O5" s="4">
        <f t="shared" si="0"/>
        <v>11240</v>
      </c>
      <c r="P5" s="4">
        <f t="shared" si="0"/>
        <v>5120</v>
      </c>
      <c r="Q5" s="4">
        <f t="shared" si="0"/>
        <v>6920</v>
      </c>
      <c r="R5" s="4">
        <f t="shared" si="0"/>
        <v>6540</v>
      </c>
      <c r="S5" s="4">
        <f t="shared" si="0"/>
        <v>2000</v>
      </c>
      <c r="T5" s="4">
        <f t="shared" si="0"/>
        <v>356.47839999999997</v>
      </c>
      <c r="U5" s="4">
        <f t="shared" si="0"/>
        <v>6860</v>
      </c>
      <c r="V5" s="4">
        <f t="shared" si="0"/>
        <v>6890</v>
      </c>
      <c r="W5" s="1"/>
      <c r="X5" s="1"/>
      <c r="Y5" s="1"/>
      <c r="Z5" s="4">
        <f t="shared" ref="Z5:AG5" si="1">SUM(Z6:Z499)</f>
        <v>929.08360000000005</v>
      </c>
      <c r="AA5" s="4">
        <f t="shared" si="1"/>
        <v>748.95119999999997</v>
      </c>
      <c r="AB5" s="4">
        <f t="shared" si="1"/>
        <v>2669.4738000000002</v>
      </c>
      <c r="AC5" s="4">
        <f t="shared" si="1"/>
        <v>1399.5237999999999</v>
      </c>
      <c r="AD5" s="4">
        <f t="shared" si="1"/>
        <v>895.18100000000015</v>
      </c>
      <c r="AE5" s="4">
        <f t="shared" si="1"/>
        <v>1459.7238000000002</v>
      </c>
      <c r="AF5" s="4">
        <f t="shared" si="1"/>
        <v>1235.4252000000001</v>
      </c>
      <c r="AG5" s="4">
        <f t="shared" si="1"/>
        <v>1449.2138</v>
      </c>
      <c r="AH5" s="1"/>
      <c r="AI5" s="4">
        <f>SUM(AI6:AI499)</f>
        <v>2768.2000000000003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5.3780000000000001</v>
      </c>
      <c r="D6" s="1"/>
      <c r="E6" s="1"/>
      <c r="F6" s="1">
        <v>5.3780000000000001</v>
      </c>
      <c r="G6" s="8">
        <v>1</v>
      </c>
      <c r="H6" s="1">
        <v>45</v>
      </c>
      <c r="I6" s="1" t="s">
        <v>38</v>
      </c>
      <c r="J6" s="1"/>
      <c r="K6" s="1"/>
      <c r="L6" s="1">
        <f t="shared" ref="L6:L46" si="2">E6-K6</f>
        <v>0</v>
      </c>
      <c r="M6" s="1"/>
      <c r="N6" s="1"/>
      <c r="O6" s="1">
        <v>200</v>
      </c>
      <c r="P6" s="1">
        <v>50</v>
      </c>
      <c r="Q6" s="1">
        <v>100</v>
      </c>
      <c r="R6" s="1">
        <v>120</v>
      </c>
      <c r="S6" s="1">
        <v>0</v>
      </c>
      <c r="T6" s="1">
        <f t="shared" ref="T6:T46" si="3">E6/5</f>
        <v>0</v>
      </c>
      <c r="U6" s="5">
        <f>VLOOKUP(A:A,[1]Sheet!$A:$V,22,0)</f>
        <v>60</v>
      </c>
      <c r="V6" s="5">
        <v>60</v>
      </c>
      <c r="W6" s="1"/>
      <c r="X6" s="1" t="e">
        <f t="shared" ref="X6:X46" si="4">(F6+O6+P6+Q6+R6+S6+U6)/T6</f>
        <v>#DIV/0!</v>
      </c>
      <c r="Y6" s="1" t="e">
        <f t="shared" ref="Y6:Y46" si="5">(F6+O6+P6+Q6+R6+S6)/T6</f>
        <v>#DIV/0!</v>
      </c>
      <c r="Z6" s="1">
        <v>19.915199999999999</v>
      </c>
      <c r="AA6" s="1">
        <v>6.8971999999999998</v>
      </c>
      <c r="AB6" s="1">
        <v>47.304199999999987</v>
      </c>
      <c r="AC6" s="1">
        <v>22.1328</v>
      </c>
      <c r="AD6" s="1">
        <v>11.405799999999999</v>
      </c>
      <c r="AE6" s="1">
        <v>22.1328</v>
      </c>
      <c r="AF6" s="1">
        <v>23.523</v>
      </c>
      <c r="AG6" s="1">
        <v>24.957999999999998</v>
      </c>
      <c r="AH6" s="1"/>
      <c r="AI6" s="1">
        <f>G6*U6</f>
        <v>60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40</v>
      </c>
      <c r="C7" s="1">
        <v>31.811</v>
      </c>
      <c r="D7" s="1"/>
      <c r="E7" s="1"/>
      <c r="F7" s="1">
        <v>31.811</v>
      </c>
      <c r="G7" s="8">
        <v>0.35</v>
      </c>
      <c r="H7" s="1">
        <v>45</v>
      </c>
      <c r="I7" s="1" t="s">
        <v>38</v>
      </c>
      <c r="J7" s="1"/>
      <c r="K7" s="1"/>
      <c r="L7" s="1">
        <f t="shared" si="2"/>
        <v>0</v>
      </c>
      <c r="M7" s="1"/>
      <c r="N7" s="1"/>
      <c r="O7" s="1">
        <v>800</v>
      </c>
      <c r="P7" s="1">
        <v>300</v>
      </c>
      <c r="Q7" s="1">
        <v>200</v>
      </c>
      <c r="R7" s="1">
        <v>360</v>
      </c>
      <c r="S7" s="1">
        <v>0</v>
      </c>
      <c r="T7" s="1">
        <f t="shared" si="3"/>
        <v>0</v>
      </c>
      <c r="U7" s="5">
        <v>280</v>
      </c>
      <c r="V7" s="5">
        <v>300</v>
      </c>
      <c r="W7" s="1"/>
      <c r="X7" s="1" t="e">
        <f t="shared" si="4"/>
        <v>#DIV/0!</v>
      </c>
      <c r="Y7" s="1" t="e">
        <f t="shared" si="5"/>
        <v>#DIV/0!</v>
      </c>
      <c r="Z7" s="1">
        <v>65.400000000000006</v>
      </c>
      <c r="AA7" s="1">
        <v>26.2</v>
      </c>
      <c r="AB7" s="1">
        <v>224.2</v>
      </c>
      <c r="AC7" s="1">
        <v>103.2</v>
      </c>
      <c r="AD7" s="1">
        <v>58.6</v>
      </c>
      <c r="AE7" s="1">
        <v>103.2</v>
      </c>
      <c r="AF7" s="1">
        <v>82</v>
      </c>
      <c r="AG7" s="1">
        <v>113</v>
      </c>
      <c r="AH7" s="13" t="s">
        <v>41</v>
      </c>
      <c r="AI7" s="1">
        <f>G7*U7</f>
        <v>98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42</v>
      </c>
      <c r="B8" s="1" t="s">
        <v>37</v>
      </c>
      <c r="C8" s="1">
        <v>16.361000000000001</v>
      </c>
      <c r="D8" s="1"/>
      <c r="E8" s="1"/>
      <c r="F8" s="1">
        <v>16.361000000000001</v>
      </c>
      <c r="G8" s="8">
        <v>1</v>
      </c>
      <c r="H8" s="1">
        <v>45</v>
      </c>
      <c r="I8" s="1" t="s">
        <v>38</v>
      </c>
      <c r="J8" s="1"/>
      <c r="K8" s="1"/>
      <c r="L8" s="1">
        <f t="shared" si="2"/>
        <v>0</v>
      </c>
      <c r="M8" s="1"/>
      <c r="N8" s="1"/>
      <c r="O8" s="1">
        <v>150</v>
      </c>
      <c r="P8" s="1">
        <v>50</v>
      </c>
      <c r="Q8" s="1">
        <v>80</v>
      </c>
      <c r="R8" s="1">
        <v>150</v>
      </c>
      <c r="S8" s="1">
        <v>0</v>
      </c>
      <c r="T8" s="1">
        <f t="shared" si="3"/>
        <v>0</v>
      </c>
      <c r="U8" s="5">
        <f>VLOOKUP(A:A,[1]Sheet!$A:$V,22,0)</f>
        <v>40</v>
      </c>
      <c r="V8" s="5">
        <v>40</v>
      </c>
      <c r="W8" s="1"/>
      <c r="X8" s="1" t="e">
        <f t="shared" si="4"/>
        <v>#DIV/0!</v>
      </c>
      <c r="Y8" s="1" t="e">
        <f t="shared" si="5"/>
        <v>#DIV/0!</v>
      </c>
      <c r="Z8" s="1">
        <v>6.23</v>
      </c>
      <c r="AA8" s="1">
        <v>8.3230000000000004</v>
      </c>
      <c r="AB8" s="1">
        <v>25.483599999999999</v>
      </c>
      <c r="AC8" s="1">
        <v>14.5526</v>
      </c>
      <c r="AD8" s="1">
        <v>1.5815999999999999</v>
      </c>
      <c r="AE8" s="1">
        <v>14.5526</v>
      </c>
      <c r="AF8" s="1">
        <v>18.255800000000001</v>
      </c>
      <c r="AG8" s="1">
        <v>18.2606</v>
      </c>
      <c r="AH8" s="13" t="s">
        <v>41</v>
      </c>
      <c r="AI8" s="1">
        <f>G8*U8</f>
        <v>40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40</v>
      </c>
      <c r="C9" s="1">
        <v>40</v>
      </c>
      <c r="D9" s="1"/>
      <c r="E9" s="1">
        <v>44</v>
      </c>
      <c r="F9" s="1">
        <v>-4</v>
      </c>
      <c r="G9" s="8">
        <v>0.1</v>
      </c>
      <c r="H9" s="1">
        <v>60</v>
      </c>
      <c r="I9" s="1">
        <v>1001191975179</v>
      </c>
      <c r="J9" s="1"/>
      <c r="K9" s="1"/>
      <c r="L9" s="1">
        <f t="shared" si="2"/>
        <v>44</v>
      </c>
      <c r="M9" s="1"/>
      <c r="N9" s="1"/>
      <c r="O9" s="1">
        <v>150</v>
      </c>
      <c r="P9" s="1">
        <v>100</v>
      </c>
      <c r="Q9" s="1">
        <v>160</v>
      </c>
      <c r="R9" s="1"/>
      <c r="S9" s="1">
        <v>0</v>
      </c>
      <c r="T9" s="1">
        <f t="shared" si="3"/>
        <v>8.8000000000000007</v>
      </c>
      <c r="U9" s="5">
        <f>VLOOKUP(A:A,[1]Sheet!$A:$V,22,0)</f>
        <v>200</v>
      </c>
      <c r="V9" s="5">
        <v>200</v>
      </c>
      <c r="W9" s="1"/>
      <c r="X9" s="1">
        <f t="shared" si="4"/>
        <v>68.86363636363636</v>
      </c>
      <c r="Y9" s="1">
        <f t="shared" si="5"/>
        <v>46.136363636363633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4" t="s">
        <v>44</v>
      </c>
      <c r="AI9" s="1">
        <f>G9*U9</f>
        <v>20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0" t="s">
        <v>45</v>
      </c>
      <c r="B10" s="10" t="s">
        <v>40</v>
      </c>
      <c r="C10" s="10">
        <v>-2</v>
      </c>
      <c r="D10" s="10"/>
      <c r="E10" s="10"/>
      <c r="F10" s="15">
        <v>-2</v>
      </c>
      <c r="G10" s="11">
        <v>0</v>
      </c>
      <c r="H10" s="10"/>
      <c r="I10" s="10" t="s">
        <v>46</v>
      </c>
      <c r="J10" s="10" t="s">
        <v>47</v>
      </c>
      <c r="K10" s="10"/>
      <c r="L10" s="10">
        <f t="shared" si="2"/>
        <v>0</v>
      </c>
      <c r="M10" s="10"/>
      <c r="N10" s="10"/>
      <c r="O10" s="10">
        <v>0</v>
      </c>
      <c r="P10" s="10">
        <v>0</v>
      </c>
      <c r="Q10" s="10">
        <v>0</v>
      </c>
      <c r="R10" s="10"/>
      <c r="S10" s="10">
        <v>0</v>
      </c>
      <c r="T10" s="10">
        <f t="shared" si="3"/>
        <v>0</v>
      </c>
      <c r="U10" s="5"/>
      <c r="V10" s="12">
        <v>0</v>
      </c>
      <c r="W10" s="10"/>
      <c r="X10" s="10" t="e">
        <f t="shared" si="4"/>
        <v>#DIV/0!</v>
      </c>
      <c r="Y10" s="10" t="e">
        <f t="shared" si="5"/>
        <v>#DIV/0!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/>
      <c r="AI10" s="10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40</v>
      </c>
      <c r="C11" s="1">
        <v>34</v>
      </c>
      <c r="D11" s="1"/>
      <c r="E11" s="1"/>
      <c r="F11" s="1">
        <v>34</v>
      </c>
      <c r="G11" s="8">
        <v>0.35</v>
      </c>
      <c r="H11" s="1">
        <v>45</v>
      </c>
      <c r="I11" s="1" t="s">
        <v>38</v>
      </c>
      <c r="J11" s="1"/>
      <c r="K11" s="1"/>
      <c r="L11" s="1">
        <f t="shared" si="2"/>
        <v>0</v>
      </c>
      <c r="M11" s="1"/>
      <c r="N11" s="1"/>
      <c r="O11" s="1">
        <v>600</v>
      </c>
      <c r="P11" s="1">
        <v>300</v>
      </c>
      <c r="Q11" s="1">
        <v>400</v>
      </c>
      <c r="R11" s="1">
        <v>200</v>
      </c>
      <c r="S11" s="1">
        <v>0</v>
      </c>
      <c r="T11" s="1">
        <f t="shared" si="3"/>
        <v>0</v>
      </c>
      <c r="U11" s="5">
        <f>VLOOKUP(A:A,[1]Sheet!$A:$V,22,0)</f>
        <v>200</v>
      </c>
      <c r="V11" s="5">
        <v>200</v>
      </c>
      <c r="W11" s="1"/>
      <c r="X11" s="1" t="e">
        <f t="shared" si="4"/>
        <v>#DIV/0!</v>
      </c>
      <c r="Y11" s="1" t="e">
        <f t="shared" si="5"/>
        <v>#DIV/0!</v>
      </c>
      <c r="Z11" s="1">
        <v>46.4</v>
      </c>
      <c r="AA11" s="1">
        <v>36.4</v>
      </c>
      <c r="AB11" s="1">
        <v>187.6</v>
      </c>
      <c r="AC11" s="1">
        <v>81.2</v>
      </c>
      <c r="AD11" s="1">
        <v>32.200000000000003</v>
      </c>
      <c r="AE11" s="1">
        <v>81.2</v>
      </c>
      <c r="AF11" s="1">
        <v>47.6</v>
      </c>
      <c r="AG11" s="1">
        <v>66.8</v>
      </c>
      <c r="AH11" s="13" t="s">
        <v>41</v>
      </c>
      <c r="AI11" s="1">
        <f>G11*U11</f>
        <v>70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49</v>
      </c>
      <c r="B12" s="1" t="s">
        <v>40</v>
      </c>
      <c r="C12" s="1">
        <v>34</v>
      </c>
      <c r="D12" s="1"/>
      <c r="E12" s="1">
        <v>38</v>
      </c>
      <c r="F12" s="1">
        <v>-4</v>
      </c>
      <c r="G12" s="8">
        <v>0.15</v>
      </c>
      <c r="H12" s="1">
        <v>60</v>
      </c>
      <c r="I12" s="1">
        <v>1001190765681</v>
      </c>
      <c r="J12" s="1"/>
      <c r="K12" s="1"/>
      <c r="L12" s="1">
        <f t="shared" si="2"/>
        <v>38</v>
      </c>
      <c r="M12" s="1"/>
      <c r="N12" s="1"/>
      <c r="O12" s="1">
        <v>150</v>
      </c>
      <c r="P12" s="1">
        <v>100</v>
      </c>
      <c r="Q12" s="1">
        <v>160</v>
      </c>
      <c r="R12" s="1"/>
      <c r="S12" s="1">
        <v>0</v>
      </c>
      <c r="T12" s="1">
        <f t="shared" si="3"/>
        <v>7.6</v>
      </c>
      <c r="U12" s="5">
        <f>VLOOKUP(A:A,[1]Sheet!$A:$V,22,0)</f>
        <v>200</v>
      </c>
      <c r="V12" s="5">
        <v>200</v>
      </c>
      <c r="W12" s="1"/>
      <c r="X12" s="1">
        <f t="shared" si="4"/>
        <v>79.736842105263165</v>
      </c>
      <c r="Y12" s="1">
        <f t="shared" si="5"/>
        <v>53.421052631578952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4" t="s">
        <v>44</v>
      </c>
      <c r="AI12" s="1">
        <f>G12*U12</f>
        <v>30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0" t="s">
        <v>50</v>
      </c>
      <c r="B13" s="10" t="s">
        <v>37</v>
      </c>
      <c r="C13" s="10">
        <v>0.32100000000000001</v>
      </c>
      <c r="D13" s="10"/>
      <c r="E13" s="10"/>
      <c r="F13" s="10">
        <v>0.32100000000000001</v>
      </c>
      <c r="G13" s="11">
        <v>0</v>
      </c>
      <c r="H13" s="10"/>
      <c r="I13" s="10" t="s">
        <v>46</v>
      </c>
      <c r="J13" s="10"/>
      <c r="K13" s="10"/>
      <c r="L13" s="10">
        <f t="shared" si="2"/>
        <v>0</v>
      </c>
      <c r="M13" s="10"/>
      <c r="N13" s="10"/>
      <c r="O13" s="10"/>
      <c r="P13" s="10"/>
      <c r="Q13" s="10"/>
      <c r="R13" s="10"/>
      <c r="S13" s="10"/>
      <c r="T13" s="10">
        <f t="shared" si="3"/>
        <v>0</v>
      </c>
      <c r="U13" s="5"/>
      <c r="V13" s="12">
        <v>0</v>
      </c>
      <c r="W13" s="10"/>
      <c r="X13" s="10" t="e">
        <f t="shared" si="4"/>
        <v>#DIV/0!</v>
      </c>
      <c r="Y13" s="10" t="e">
        <f t="shared" si="5"/>
        <v>#DIV/0!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/>
      <c r="AI13" s="10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40</v>
      </c>
      <c r="C14" s="1">
        <v>330</v>
      </c>
      <c r="D14" s="1"/>
      <c r="E14" s="1">
        <v>181</v>
      </c>
      <c r="F14" s="1">
        <v>149</v>
      </c>
      <c r="G14" s="8">
        <v>0.4</v>
      </c>
      <c r="H14" s="1">
        <v>60</v>
      </c>
      <c r="I14" s="1" t="s">
        <v>38</v>
      </c>
      <c r="J14" s="1"/>
      <c r="K14" s="1"/>
      <c r="L14" s="1">
        <f t="shared" si="2"/>
        <v>181</v>
      </c>
      <c r="M14" s="1"/>
      <c r="N14" s="1"/>
      <c r="O14" s="1">
        <v>400</v>
      </c>
      <c r="P14" s="1">
        <v>200</v>
      </c>
      <c r="Q14" s="1">
        <v>0</v>
      </c>
      <c r="R14" s="1">
        <v>320</v>
      </c>
      <c r="S14" s="1">
        <v>0</v>
      </c>
      <c r="T14" s="1">
        <f t="shared" si="3"/>
        <v>36.200000000000003</v>
      </c>
      <c r="U14" s="5">
        <f>VLOOKUP(A:A,[1]Sheet!$A:$V,22,0)</f>
        <v>400</v>
      </c>
      <c r="V14" s="5">
        <v>400</v>
      </c>
      <c r="W14" s="1"/>
      <c r="X14" s="1">
        <f t="shared" si="4"/>
        <v>40.580110497237563</v>
      </c>
      <c r="Y14" s="1">
        <f t="shared" si="5"/>
        <v>29.53038674033149</v>
      </c>
      <c r="Z14" s="1">
        <v>79.599999999999994</v>
      </c>
      <c r="AA14" s="1">
        <v>41.8</v>
      </c>
      <c r="AB14" s="1">
        <v>123</v>
      </c>
      <c r="AC14" s="1">
        <v>80</v>
      </c>
      <c r="AD14" s="1">
        <v>72.8</v>
      </c>
      <c r="AE14" s="1">
        <v>140.19999999999999</v>
      </c>
      <c r="AF14" s="1">
        <v>55.2</v>
      </c>
      <c r="AG14" s="1">
        <v>68.400000000000006</v>
      </c>
      <c r="AH14" s="13" t="s">
        <v>41</v>
      </c>
      <c r="AI14" s="1">
        <f>G14*U14</f>
        <v>160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52</v>
      </c>
      <c r="B15" s="1" t="s">
        <v>37</v>
      </c>
      <c r="C15" s="1">
        <v>9.2170000000000005</v>
      </c>
      <c r="D15" s="1"/>
      <c r="E15" s="1"/>
      <c r="F15" s="1">
        <v>9.2170000000000005</v>
      </c>
      <c r="G15" s="8">
        <v>1</v>
      </c>
      <c r="H15" s="1">
        <v>60</v>
      </c>
      <c r="I15" s="1" t="s">
        <v>38</v>
      </c>
      <c r="J15" s="1"/>
      <c r="K15" s="1"/>
      <c r="L15" s="1">
        <f t="shared" si="2"/>
        <v>0</v>
      </c>
      <c r="M15" s="1"/>
      <c r="N15" s="1"/>
      <c r="O15" s="1">
        <v>100</v>
      </c>
      <c r="P15" s="1">
        <v>50</v>
      </c>
      <c r="Q15" s="1">
        <v>50</v>
      </c>
      <c r="R15" s="1">
        <v>30</v>
      </c>
      <c r="S15" s="1">
        <v>0</v>
      </c>
      <c r="T15" s="1">
        <f t="shared" si="3"/>
        <v>0</v>
      </c>
      <c r="U15" s="5">
        <f>VLOOKUP(A:A,[1]Sheet!$A:$V,22,0)</f>
        <v>30</v>
      </c>
      <c r="V15" s="5">
        <v>30</v>
      </c>
      <c r="W15" s="1"/>
      <c r="X15" s="1" t="e">
        <f t="shared" si="4"/>
        <v>#DIV/0!</v>
      </c>
      <c r="Y15" s="1" t="e">
        <f t="shared" si="5"/>
        <v>#DIV/0!</v>
      </c>
      <c r="Z15" s="1">
        <v>0</v>
      </c>
      <c r="AA15" s="1">
        <v>7.2688000000000006</v>
      </c>
      <c r="AB15" s="1">
        <v>15.963800000000001</v>
      </c>
      <c r="AC15" s="1">
        <v>7.7178000000000004</v>
      </c>
      <c r="AD15" s="1">
        <v>4.7084000000000001</v>
      </c>
      <c r="AE15" s="1">
        <v>7.7178000000000004</v>
      </c>
      <c r="AF15" s="1">
        <v>7.7827999999999999</v>
      </c>
      <c r="AG15" s="1">
        <v>5.1351999999999993</v>
      </c>
      <c r="AH15" s="1"/>
      <c r="AI15" s="1">
        <f>G15*U15</f>
        <v>30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40</v>
      </c>
      <c r="C16" s="1">
        <v>-5</v>
      </c>
      <c r="D16" s="1"/>
      <c r="E16" s="1"/>
      <c r="F16" s="1">
        <v>-5</v>
      </c>
      <c r="G16" s="8">
        <v>0.4</v>
      </c>
      <c r="H16" s="1">
        <v>60</v>
      </c>
      <c r="I16" s="1" t="s">
        <v>38</v>
      </c>
      <c r="J16" s="1"/>
      <c r="K16" s="1"/>
      <c r="L16" s="1">
        <f t="shared" si="2"/>
        <v>0</v>
      </c>
      <c r="M16" s="1"/>
      <c r="N16" s="1"/>
      <c r="O16" s="1">
        <v>700</v>
      </c>
      <c r="P16" s="1">
        <v>200</v>
      </c>
      <c r="Q16" s="1">
        <v>320</v>
      </c>
      <c r="R16" s="1">
        <v>320</v>
      </c>
      <c r="S16" s="1">
        <v>0</v>
      </c>
      <c r="T16" s="1">
        <f t="shared" si="3"/>
        <v>0</v>
      </c>
      <c r="U16" s="5">
        <f>VLOOKUP(A:A,[1]Sheet!$A:$V,22,0)</f>
        <v>200</v>
      </c>
      <c r="V16" s="5">
        <v>200</v>
      </c>
      <c r="W16" s="1"/>
      <c r="X16" s="1" t="e">
        <f t="shared" si="4"/>
        <v>#DIV/0!</v>
      </c>
      <c r="Y16" s="1" t="e">
        <f t="shared" si="5"/>
        <v>#DIV/0!</v>
      </c>
      <c r="Z16" s="1">
        <v>55</v>
      </c>
      <c r="AA16" s="1">
        <v>43.6</v>
      </c>
      <c r="AB16" s="1">
        <v>134.19999999999999</v>
      </c>
      <c r="AC16" s="1">
        <v>57</v>
      </c>
      <c r="AD16" s="1">
        <v>51.2</v>
      </c>
      <c r="AE16" s="1">
        <v>57</v>
      </c>
      <c r="AF16" s="1">
        <v>57.2</v>
      </c>
      <c r="AG16" s="1">
        <v>64.400000000000006</v>
      </c>
      <c r="AH16" s="1"/>
      <c r="AI16" s="1">
        <f>G16*U16</f>
        <v>80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37</v>
      </c>
      <c r="C17" s="1">
        <v>7.02</v>
      </c>
      <c r="D17" s="1"/>
      <c r="E17" s="1"/>
      <c r="F17" s="1">
        <v>7.02</v>
      </c>
      <c r="G17" s="8">
        <v>1</v>
      </c>
      <c r="H17" s="1">
        <v>60</v>
      </c>
      <c r="I17" s="1" t="s">
        <v>38</v>
      </c>
      <c r="J17" s="1"/>
      <c r="K17" s="1"/>
      <c r="L17" s="1">
        <f t="shared" si="2"/>
        <v>0</v>
      </c>
      <c r="M17" s="1"/>
      <c r="N17" s="1"/>
      <c r="O17" s="1">
        <v>80</v>
      </c>
      <c r="P17" s="1">
        <v>50</v>
      </c>
      <c r="Q17" s="1">
        <v>30</v>
      </c>
      <c r="R17" s="1">
        <v>50</v>
      </c>
      <c r="S17" s="1">
        <v>0</v>
      </c>
      <c r="T17" s="1">
        <f t="shared" si="3"/>
        <v>0</v>
      </c>
      <c r="U17" s="5">
        <f>VLOOKUP(A:A,[1]Sheet!$A:$V,22,0)</f>
        <v>30</v>
      </c>
      <c r="V17" s="5">
        <v>30</v>
      </c>
      <c r="W17" s="1"/>
      <c r="X17" s="1" t="e">
        <f t="shared" si="4"/>
        <v>#DIV/0!</v>
      </c>
      <c r="Y17" s="1" t="e">
        <f t="shared" si="5"/>
        <v>#DIV/0!</v>
      </c>
      <c r="Z17" s="1">
        <v>9.0815999999999999</v>
      </c>
      <c r="AA17" s="1">
        <v>7.0063999999999993</v>
      </c>
      <c r="AB17" s="1">
        <v>13.821999999999999</v>
      </c>
      <c r="AC17" s="1">
        <v>10.1762</v>
      </c>
      <c r="AD17" s="1">
        <v>-0.82479999999999998</v>
      </c>
      <c r="AE17" s="1">
        <v>10.1762</v>
      </c>
      <c r="AF17" s="1">
        <v>11.0776</v>
      </c>
      <c r="AG17" s="1">
        <v>6.9219999999999997</v>
      </c>
      <c r="AH17" s="1"/>
      <c r="AI17" s="1">
        <f>G17*U17</f>
        <v>30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0" t="s">
        <v>55</v>
      </c>
      <c r="B18" s="10" t="s">
        <v>40</v>
      </c>
      <c r="C18" s="10">
        <v>-3</v>
      </c>
      <c r="D18" s="10"/>
      <c r="E18" s="10"/>
      <c r="F18" s="15">
        <v>-3</v>
      </c>
      <c r="G18" s="11">
        <v>0</v>
      </c>
      <c r="H18" s="10"/>
      <c r="I18" s="10" t="s">
        <v>46</v>
      </c>
      <c r="J18" s="10" t="s">
        <v>56</v>
      </c>
      <c r="K18" s="10"/>
      <c r="L18" s="10">
        <f t="shared" si="2"/>
        <v>0</v>
      </c>
      <c r="M18" s="10"/>
      <c r="N18" s="10"/>
      <c r="O18" s="10">
        <v>0</v>
      </c>
      <c r="P18" s="10">
        <v>0</v>
      </c>
      <c r="Q18" s="10">
        <v>0</v>
      </c>
      <c r="R18" s="10"/>
      <c r="S18" s="10">
        <v>0</v>
      </c>
      <c r="T18" s="10">
        <f t="shared" si="3"/>
        <v>0</v>
      </c>
      <c r="U18" s="5"/>
      <c r="V18" s="12">
        <v>0</v>
      </c>
      <c r="W18" s="10"/>
      <c r="X18" s="10" t="e">
        <f t="shared" si="4"/>
        <v>#DIV/0!</v>
      </c>
      <c r="Y18" s="10" t="e">
        <f t="shared" si="5"/>
        <v>#DIV/0!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/>
      <c r="AI18" s="1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37</v>
      </c>
      <c r="C19" s="1">
        <v>16.251999999999999</v>
      </c>
      <c r="D19" s="1"/>
      <c r="E19" s="1">
        <v>5.9139999999999997</v>
      </c>
      <c r="F19" s="1">
        <v>10.337999999999999</v>
      </c>
      <c r="G19" s="8">
        <v>1</v>
      </c>
      <c r="H19" s="1">
        <v>120</v>
      </c>
      <c r="I19" s="1" t="s">
        <v>38</v>
      </c>
      <c r="J19" s="1"/>
      <c r="K19" s="1"/>
      <c r="L19" s="1">
        <f t="shared" si="2"/>
        <v>5.9139999999999997</v>
      </c>
      <c r="M19" s="1"/>
      <c r="N19" s="1"/>
      <c r="O19" s="1">
        <v>100</v>
      </c>
      <c r="P19" s="1">
        <v>200</v>
      </c>
      <c r="Q19" s="1">
        <v>0</v>
      </c>
      <c r="R19" s="1"/>
      <c r="S19" s="1">
        <v>0</v>
      </c>
      <c r="T19" s="1">
        <f t="shared" si="3"/>
        <v>1.1827999999999999</v>
      </c>
      <c r="U19" s="5"/>
      <c r="V19" s="5">
        <v>0</v>
      </c>
      <c r="W19" s="1"/>
      <c r="X19" s="1">
        <f t="shared" si="4"/>
        <v>262.37571863375041</v>
      </c>
      <c r="Y19" s="1">
        <f t="shared" si="5"/>
        <v>262.37571863375041</v>
      </c>
      <c r="Z19" s="1">
        <v>5.5343999999999998</v>
      </c>
      <c r="AA19" s="1">
        <v>-8.8200000000000001E-2</v>
      </c>
      <c r="AB19" s="1">
        <v>10.9802</v>
      </c>
      <c r="AC19" s="1">
        <v>11.061</v>
      </c>
      <c r="AD19" s="1">
        <v>3.4205999999999999</v>
      </c>
      <c r="AE19" s="1">
        <v>11.061</v>
      </c>
      <c r="AF19" s="1">
        <v>5.2569999999999997</v>
      </c>
      <c r="AG19" s="1">
        <v>10.797800000000001</v>
      </c>
      <c r="AH19" s="1"/>
      <c r="AI19" s="1">
        <f t="shared" ref="AI19:AI26" si="6">G19*U19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40</v>
      </c>
      <c r="C20" s="1">
        <v>216</v>
      </c>
      <c r="D20" s="1"/>
      <c r="E20" s="1">
        <v>60</v>
      </c>
      <c r="F20" s="1">
        <v>156</v>
      </c>
      <c r="G20" s="8">
        <v>0.25</v>
      </c>
      <c r="H20" s="1">
        <v>120</v>
      </c>
      <c r="I20" s="1" t="s">
        <v>38</v>
      </c>
      <c r="J20" s="1"/>
      <c r="K20" s="1"/>
      <c r="L20" s="1">
        <f t="shared" si="2"/>
        <v>60</v>
      </c>
      <c r="M20" s="1"/>
      <c r="N20" s="1"/>
      <c r="O20" s="1">
        <v>400</v>
      </c>
      <c r="P20" s="1">
        <v>400</v>
      </c>
      <c r="Q20" s="1">
        <v>120</v>
      </c>
      <c r="R20" s="1"/>
      <c r="S20" s="1">
        <v>1000</v>
      </c>
      <c r="T20" s="1">
        <f t="shared" si="3"/>
        <v>12</v>
      </c>
      <c r="U20" s="5"/>
      <c r="V20" s="5">
        <v>0</v>
      </c>
      <c r="W20" s="1"/>
      <c r="X20" s="1">
        <f t="shared" si="4"/>
        <v>173</v>
      </c>
      <c r="Y20" s="1">
        <f t="shared" si="5"/>
        <v>173</v>
      </c>
      <c r="Z20" s="1">
        <v>28.4</v>
      </c>
      <c r="AA20" s="1">
        <v>24.2</v>
      </c>
      <c r="AB20" s="1">
        <v>114.8</v>
      </c>
      <c r="AC20" s="1">
        <v>37.4</v>
      </c>
      <c r="AD20" s="1">
        <v>25.4</v>
      </c>
      <c r="AE20" s="1">
        <v>37.4</v>
      </c>
      <c r="AF20" s="1">
        <v>27.2</v>
      </c>
      <c r="AG20" s="1">
        <v>40</v>
      </c>
      <c r="AH20" s="13" t="s">
        <v>41</v>
      </c>
      <c r="AI20" s="1">
        <f t="shared" si="6"/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40</v>
      </c>
      <c r="C21" s="1">
        <v>71</v>
      </c>
      <c r="D21" s="1"/>
      <c r="E21" s="1">
        <v>39</v>
      </c>
      <c r="F21" s="1">
        <v>32</v>
      </c>
      <c r="G21" s="8">
        <v>0.25</v>
      </c>
      <c r="H21" s="1">
        <v>120</v>
      </c>
      <c r="I21" s="1" t="s">
        <v>38</v>
      </c>
      <c r="J21" s="1"/>
      <c r="K21" s="1"/>
      <c r="L21" s="1">
        <f t="shared" si="2"/>
        <v>39</v>
      </c>
      <c r="M21" s="1"/>
      <c r="N21" s="1"/>
      <c r="O21" s="1">
        <v>500</v>
      </c>
      <c r="P21" s="1">
        <v>500</v>
      </c>
      <c r="Q21" s="1">
        <v>120</v>
      </c>
      <c r="R21" s="1">
        <v>200</v>
      </c>
      <c r="S21" s="1">
        <v>0</v>
      </c>
      <c r="T21" s="1">
        <f t="shared" si="3"/>
        <v>7.8</v>
      </c>
      <c r="U21" s="5">
        <v>360</v>
      </c>
      <c r="V21" s="5">
        <v>350</v>
      </c>
      <c r="W21" s="1"/>
      <c r="X21" s="1">
        <f t="shared" si="4"/>
        <v>219.4871794871795</v>
      </c>
      <c r="Y21" s="1">
        <f t="shared" si="5"/>
        <v>173.33333333333334</v>
      </c>
      <c r="Z21" s="1">
        <v>66.8</v>
      </c>
      <c r="AA21" s="1">
        <v>39.799999999999997</v>
      </c>
      <c r="AB21" s="1">
        <v>154.4</v>
      </c>
      <c r="AC21" s="1">
        <v>68.8</v>
      </c>
      <c r="AD21" s="1">
        <v>42.4</v>
      </c>
      <c r="AE21" s="1">
        <v>68.8</v>
      </c>
      <c r="AF21" s="1">
        <v>56.2</v>
      </c>
      <c r="AG21" s="1">
        <v>65.8</v>
      </c>
      <c r="AH21" s="1"/>
      <c r="AI21" s="1">
        <f t="shared" si="6"/>
        <v>90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37</v>
      </c>
      <c r="C22" s="1">
        <v>-1.069</v>
      </c>
      <c r="D22" s="1"/>
      <c r="E22" s="1"/>
      <c r="F22" s="1">
        <v>-1.069</v>
      </c>
      <c r="G22" s="8">
        <v>1</v>
      </c>
      <c r="H22" s="1">
        <v>120</v>
      </c>
      <c r="I22" s="1" t="s">
        <v>38</v>
      </c>
      <c r="J22" s="1"/>
      <c r="K22" s="1"/>
      <c r="L22" s="1">
        <f t="shared" si="2"/>
        <v>0</v>
      </c>
      <c r="M22" s="1"/>
      <c r="N22" s="1"/>
      <c r="O22" s="1">
        <v>100</v>
      </c>
      <c r="P22" s="1">
        <v>200</v>
      </c>
      <c r="Q22" s="1">
        <v>0</v>
      </c>
      <c r="R22" s="1">
        <v>50</v>
      </c>
      <c r="S22" s="1">
        <v>0</v>
      </c>
      <c r="T22" s="1">
        <f t="shared" si="3"/>
        <v>0</v>
      </c>
      <c r="U22" s="5"/>
      <c r="V22" s="5">
        <v>0</v>
      </c>
      <c r="W22" s="1"/>
      <c r="X22" s="1" t="e">
        <f t="shared" si="4"/>
        <v>#DIV/0!</v>
      </c>
      <c r="Y22" s="1" t="e">
        <f t="shared" si="5"/>
        <v>#DIV/0!</v>
      </c>
      <c r="Z22" s="1">
        <v>6.7427999999999999</v>
      </c>
      <c r="AA22" s="1">
        <v>2.2357999999999998</v>
      </c>
      <c r="AB22" s="1">
        <v>8.5774000000000008</v>
      </c>
      <c r="AC22" s="1">
        <v>9.9432000000000009</v>
      </c>
      <c r="AD22" s="1">
        <v>5.8616000000000001</v>
      </c>
      <c r="AE22" s="1">
        <v>9.9432000000000009</v>
      </c>
      <c r="AF22" s="1">
        <v>6.5418000000000003</v>
      </c>
      <c r="AG22" s="1">
        <v>5.2915999999999999</v>
      </c>
      <c r="AH22" s="1"/>
      <c r="AI22" s="1">
        <f t="shared" si="6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40</v>
      </c>
      <c r="C23" s="1">
        <v>291</v>
      </c>
      <c r="D23" s="1"/>
      <c r="E23" s="1">
        <v>57</v>
      </c>
      <c r="F23" s="1">
        <v>234</v>
      </c>
      <c r="G23" s="8">
        <v>0.25</v>
      </c>
      <c r="H23" s="1">
        <v>120</v>
      </c>
      <c r="I23" s="1" t="s">
        <v>38</v>
      </c>
      <c r="J23" s="1"/>
      <c r="K23" s="1"/>
      <c r="L23" s="1">
        <f t="shared" si="2"/>
        <v>57</v>
      </c>
      <c r="M23" s="1"/>
      <c r="N23" s="1"/>
      <c r="O23" s="1">
        <v>400</v>
      </c>
      <c r="P23" s="1">
        <v>400</v>
      </c>
      <c r="Q23" s="1">
        <v>80</v>
      </c>
      <c r="R23" s="1"/>
      <c r="S23" s="1">
        <v>1000</v>
      </c>
      <c r="T23" s="1">
        <f t="shared" si="3"/>
        <v>11.4</v>
      </c>
      <c r="U23" s="5"/>
      <c r="V23" s="5">
        <v>0</v>
      </c>
      <c r="W23" s="1"/>
      <c r="X23" s="1">
        <f t="shared" si="4"/>
        <v>185.43859649122805</v>
      </c>
      <c r="Y23" s="1">
        <f t="shared" si="5"/>
        <v>185.43859649122805</v>
      </c>
      <c r="Z23" s="1">
        <v>31.4</v>
      </c>
      <c r="AA23" s="1">
        <v>18.600000000000001</v>
      </c>
      <c r="AB23" s="1">
        <v>126.4</v>
      </c>
      <c r="AC23" s="1">
        <v>44.2</v>
      </c>
      <c r="AD23" s="1">
        <v>23.4</v>
      </c>
      <c r="AE23" s="1">
        <v>44.2</v>
      </c>
      <c r="AF23" s="1">
        <v>27.2</v>
      </c>
      <c r="AG23" s="1">
        <v>47.4</v>
      </c>
      <c r="AH23" s="13" t="s">
        <v>41</v>
      </c>
      <c r="AI23" s="1">
        <f t="shared" si="6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62</v>
      </c>
      <c r="B24" s="1" t="s">
        <v>40</v>
      </c>
      <c r="C24" s="1">
        <v>93</v>
      </c>
      <c r="D24" s="1"/>
      <c r="E24" s="1">
        <v>93</v>
      </c>
      <c r="F24" s="1"/>
      <c r="G24" s="8">
        <v>0.3</v>
      </c>
      <c r="H24" s="1">
        <v>45</v>
      </c>
      <c r="I24" s="1">
        <v>1001083446207</v>
      </c>
      <c r="J24" s="1"/>
      <c r="K24" s="1"/>
      <c r="L24" s="1">
        <f t="shared" si="2"/>
        <v>93</v>
      </c>
      <c r="M24" s="1"/>
      <c r="N24" s="1"/>
      <c r="O24" s="1">
        <v>200</v>
      </c>
      <c r="P24" s="1">
        <v>200</v>
      </c>
      <c r="Q24" s="1">
        <v>0</v>
      </c>
      <c r="R24" s="1">
        <v>120</v>
      </c>
      <c r="S24" s="1">
        <v>0</v>
      </c>
      <c r="T24" s="1">
        <f t="shared" si="3"/>
        <v>18.600000000000001</v>
      </c>
      <c r="U24" s="5">
        <f>VLOOKUP(A:A,[1]Sheet!$A:$V,22,0)</f>
        <v>300</v>
      </c>
      <c r="V24" s="5">
        <v>300</v>
      </c>
      <c r="W24" s="1"/>
      <c r="X24" s="1">
        <f t="shared" si="4"/>
        <v>44.086021505376344</v>
      </c>
      <c r="Y24" s="1">
        <f t="shared" si="5"/>
        <v>27.956989247311824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4" t="s">
        <v>44</v>
      </c>
      <c r="AI24" s="1">
        <f t="shared" si="6"/>
        <v>90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37</v>
      </c>
      <c r="C25" s="1">
        <v>70.58</v>
      </c>
      <c r="D25" s="1"/>
      <c r="E25" s="1">
        <v>37.840000000000003</v>
      </c>
      <c r="F25" s="1">
        <v>32.74</v>
      </c>
      <c r="G25" s="8">
        <v>1</v>
      </c>
      <c r="H25" s="1">
        <v>60</v>
      </c>
      <c r="I25" s="1" t="s">
        <v>38</v>
      </c>
      <c r="J25" s="1"/>
      <c r="K25" s="1"/>
      <c r="L25" s="1">
        <f t="shared" si="2"/>
        <v>37.840000000000003</v>
      </c>
      <c r="M25" s="1"/>
      <c r="N25" s="1"/>
      <c r="O25" s="1">
        <v>50</v>
      </c>
      <c r="P25" s="1">
        <v>50</v>
      </c>
      <c r="Q25" s="1">
        <v>0</v>
      </c>
      <c r="R25" s="1">
        <v>50</v>
      </c>
      <c r="S25" s="1">
        <v>0</v>
      </c>
      <c r="T25" s="1">
        <f t="shared" si="3"/>
        <v>7.5680000000000005</v>
      </c>
      <c r="U25" s="5">
        <f>VLOOKUP(A:A,[1]Sheet!$A:$V,22,0)</f>
        <v>40</v>
      </c>
      <c r="V25" s="5">
        <v>40</v>
      </c>
      <c r="W25" s="1"/>
      <c r="X25" s="1">
        <f t="shared" si="4"/>
        <v>29.43181818181818</v>
      </c>
      <c r="Y25" s="1">
        <f t="shared" si="5"/>
        <v>24.146405919661735</v>
      </c>
      <c r="Z25" s="1">
        <v>8.6956000000000007</v>
      </c>
      <c r="AA25" s="1">
        <v>5.1772</v>
      </c>
      <c r="AB25" s="1">
        <v>17.4148</v>
      </c>
      <c r="AC25" s="1">
        <v>8.007200000000001</v>
      </c>
      <c r="AD25" s="1">
        <v>6.4287999999999998</v>
      </c>
      <c r="AE25" s="1">
        <v>8.007200000000001</v>
      </c>
      <c r="AF25" s="1">
        <v>3.8077999999999999</v>
      </c>
      <c r="AG25" s="1">
        <v>4.3731999999999998</v>
      </c>
      <c r="AH25" s="1"/>
      <c r="AI25" s="1">
        <f t="shared" si="6"/>
        <v>40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40</v>
      </c>
      <c r="C26" s="1">
        <v>635</v>
      </c>
      <c r="D26" s="1"/>
      <c r="E26" s="1">
        <v>160</v>
      </c>
      <c r="F26" s="1">
        <v>475</v>
      </c>
      <c r="G26" s="8">
        <v>0.4</v>
      </c>
      <c r="H26" s="1">
        <v>60</v>
      </c>
      <c r="I26" s="1" t="s">
        <v>38</v>
      </c>
      <c r="J26" s="1"/>
      <c r="K26" s="1"/>
      <c r="L26" s="1">
        <f t="shared" si="2"/>
        <v>160</v>
      </c>
      <c r="M26" s="1"/>
      <c r="N26" s="1"/>
      <c r="O26" s="1">
        <v>0</v>
      </c>
      <c r="P26" s="1">
        <v>0</v>
      </c>
      <c r="Q26" s="1">
        <v>400</v>
      </c>
      <c r="R26" s="1">
        <v>200</v>
      </c>
      <c r="S26" s="1">
        <v>0</v>
      </c>
      <c r="T26" s="1">
        <f t="shared" si="3"/>
        <v>32</v>
      </c>
      <c r="U26" s="5">
        <f>VLOOKUP(A:A,[1]Sheet!$A:$V,22,0)</f>
        <v>200</v>
      </c>
      <c r="V26" s="5">
        <v>200</v>
      </c>
      <c r="W26" s="1"/>
      <c r="X26" s="1">
        <f t="shared" si="4"/>
        <v>39.84375</v>
      </c>
      <c r="Y26" s="1">
        <f t="shared" si="5"/>
        <v>33.59375</v>
      </c>
      <c r="Z26" s="1">
        <v>57.2</v>
      </c>
      <c r="AA26" s="1">
        <v>41.8</v>
      </c>
      <c r="AB26" s="1">
        <v>101.8</v>
      </c>
      <c r="AC26" s="1">
        <v>41.8</v>
      </c>
      <c r="AD26" s="1">
        <v>27.8</v>
      </c>
      <c r="AE26" s="1">
        <v>41.8</v>
      </c>
      <c r="AF26" s="1">
        <v>26.4</v>
      </c>
      <c r="AG26" s="1">
        <v>17.2</v>
      </c>
      <c r="AH26" s="13" t="s">
        <v>41</v>
      </c>
      <c r="AI26" s="1">
        <f t="shared" si="6"/>
        <v>80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0" t="s">
        <v>65</v>
      </c>
      <c r="B27" s="10" t="s">
        <v>40</v>
      </c>
      <c r="C27" s="10">
        <v>-3</v>
      </c>
      <c r="D27" s="10"/>
      <c r="E27" s="10"/>
      <c r="F27" s="15">
        <v>-3</v>
      </c>
      <c r="G27" s="11">
        <v>0</v>
      </c>
      <c r="H27" s="10"/>
      <c r="I27" s="10" t="s">
        <v>46</v>
      </c>
      <c r="J27" s="10" t="s">
        <v>66</v>
      </c>
      <c r="K27" s="10"/>
      <c r="L27" s="10">
        <f t="shared" si="2"/>
        <v>0</v>
      </c>
      <c r="M27" s="10"/>
      <c r="N27" s="10"/>
      <c r="O27" s="10">
        <v>0</v>
      </c>
      <c r="P27" s="10">
        <v>0</v>
      </c>
      <c r="Q27" s="10">
        <v>0</v>
      </c>
      <c r="R27" s="10"/>
      <c r="S27" s="10">
        <v>0</v>
      </c>
      <c r="T27" s="10">
        <f t="shared" si="3"/>
        <v>0</v>
      </c>
      <c r="U27" s="5"/>
      <c r="V27" s="12">
        <v>0</v>
      </c>
      <c r="W27" s="10"/>
      <c r="X27" s="10" t="e">
        <f t="shared" si="4"/>
        <v>#DIV/0!</v>
      </c>
      <c r="Y27" s="10" t="e">
        <f t="shared" si="5"/>
        <v>#DIV/0!</v>
      </c>
      <c r="Z27" s="10">
        <v>2.4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 t="s">
        <v>67</v>
      </c>
      <c r="AI27" s="10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40</v>
      </c>
      <c r="C28" s="1">
        <v>-1</v>
      </c>
      <c r="D28" s="1"/>
      <c r="E28" s="1"/>
      <c r="F28" s="15">
        <f>-1+F27</f>
        <v>-4</v>
      </c>
      <c r="G28" s="8">
        <v>0.5</v>
      </c>
      <c r="H28" s="1">
        <v>60</v>
      </c>
      <c r="I28" s="1" t="s">
        <v>38</v>
      </c>
      <c r="J28" s="1"/>
      <c r="K28" s="1"/>
      <c r="L28" s="1">
        <f t="shared" si="2"/>
        <v>0</v>
      </c>
      <c r="M28" s="1"/>
      <c r="N28" s="1"/>
      <c r="O28" s="1">
        <v>500</v>
      </c>
      <c r="P28" s="1">
        <v>400</v>
      </c>
      <c r="Q28" s="1">
        <v>400</v>
      </c>
      <c r="R28" s="1">
        <v>120</v>
      </c>
      <c r="S28" s="1">
        <v>0</v>
      </c>
      <c r="T28" s="1">
        <f t="shared" si="3"/>
        <v>0</v>
      </c>
      <c r="U28" s="5">
        <f>VLOOKUP(A:A,[1]Sheet!$A:$V,22,0)</f>
        <v>120</v>
      </c>
      <c r="V28" s="5">
        <v>120</v>
      </c>
      <c r="W28" s="1"/>
      <c r="X28" s="1" t="e">
        <f t="shared" si="4"/>
        <v>#DIV/0!</v>
      </c>
      <c r="Y28" s="1" t="e">
        <f t="shared" si="5"/>
        <v>#DIV/0!</v>
      </c>
      <c r="Z28" s="1">
        <v>20.6</v>
      </c>
      <c r="AA28" s="1">
        <v>35.4</v>
      </c>
      <c r="AB28" s="1">
        <v>133.4</v>
      </c>
      <c r="AC28" s="1">
        <v>128.80000000000001</v>
      </c>
      <c r="AD28" s="1">
        <v>29.4</v>
      </c>
      <c r="AE28" s="1">
        <v>128.80000000000001</v>
      </c>
      <c r="AF28" s="1">
        <v>64.8</v>
      </c>
      <c r="AG28" s="1">
        <v>88.2</v>
      </c>
      <c r="AH28" s="1" t="s">
        <v>68</v>
      </c>
      <c r="AI28" s="1">
        <f>G28*U28</f>
        <v>60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69</v>
      </c>
      <c r="B29" s="1"/>
      <c r="C29" s="1">
        <v>88.819000000000003</v>
      </c>
      <c r="D29" s="1"/>
      <c r="E29" s="1">
        <v>83.638000000000005</v>
      </c>
      <c r="F29" s="1">
        <v>5.181</v>
      </c>
      <c r="G29" s="8">
        <v>1</v>
      </c>
      <c r="H29" s="1"/>
      <c r="I29" s="1">
        <v>1001032736549</v>
      </c>
      <c r="J29" s="1"/>
      <c r="K29" s="1"/>
      <c r="L29" s="1">
        <f t="shared" si="2"/>
        <v>83.638000000000005</v>
      </c>
      <c r="M29" s="1"/>
      <c r="N29" s="1"/>
      <c r="O29" s="1">
        <v>200</v>
      </c>
      <c r="P29" s="1">
        <v>200</v>
      </c>
      <c r="Q29" s="1">
        <v>0</v>
      </c>
      <c r="R29" s="1">
        <v>100</v>
      </c>
      <c r="S29" s="1">
        <v>0</v>
      </c>
      <c r="T29" s="1">
        <f t="shared" si="3"/>
        <v>16.727600000000002</v>
      </c>
      <c r="U29" s="5">
        <f>VLOOKUP(A:A,[1]Sheet!$A:$V,22,0)</f>
        <v>150</v>
      </c>
      <c r="V29" s="5">
        <v>150</v>
      </c>
      <c r="W29" s="1"/>
      <c r="X29" s="1">
        <f t="shared" si="4"/>
        <v>39.167663023984311</v>
      </c>
      <c r="Y29" s="1">
        <f t="shared" si="5"/>
        <v>30.200447165164157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 t="s">
        <v>44</v>
      </c>
      <c r="AI29" s="1">
        <f>G29*U29</f>
        <v>150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40</v>
      </c>
      <c r="C30" s="1">
        <v>53</v>
      </c>
      <c r="D30" s="1"/>
      <c r="E30" s="1">
        <v>53</v>
      </c>
      <c r="F30" s="1"/>
      <c r="G30" s="8">
        <v>0.3</v>
      </c>
      <c r="H30" s="1">
        <v>45</v>
      </c>
      <c r="I30" s="1">
        <v>1001024976616</v>
      </c>
      <c r="J30" s="1"/>
      <c r="K30" s="1"/>
      <c r="L30" s="1">
        <f t="shared" si="2"/>
        <v>53</v>
      </c>
      <c r="M30" s="1"/>
      <c r="N30" s="1"/>
      <c r="O30" s="1">
        <v>150</v>
      </c>
      <c r="P30" s="1">
        <v>0</v>
      </c>
      <c r="Q30" s="1">
        <v>160</v>
      </c>
      <c r="R30" s="1">
        <v>60</v>
      </c>
      <c r="S30" s="1">
        <v>0</v>
      </c>
      <c r="T30" s="1">
        <f t="shared" si="3"/>
        <v>10.6</v>
      </c>
      <c r="U30" s="5">
        <f>VLOOKUP(A:A,[1]Sheet!$A:$V,22,0)</f>
        <v>150</v>
      </c>
      <c r="V30" s="5">
        <v>150</v>
      </c>
      <c r="W30" s="1"/>
      <c r="X30" s="1">
        <f t="shared" si="4"/>
        <v>49.056603773584911</v>
      </c>
      <c r="Y30" s="1">
        <f t="shared" si="5"/>
        <v>34.905660377358494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 t="s">
        <v>44</v>
      </c>
      <c r="AI30" s="1">
        <f>G30*U30</f>
        <v>45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0" t="s">
        <v>71</v>
      </c>
      <c r="B31" s="10" t="s">
        <v>40</v>
      </c>
      <c r="C31" s="10">
        <v>20</v>
      </c>
      <c r="D31" s="10"/>
      <c r="E31" s="10"/>
      <c r="F31" s="10">
        <v>20</v>
      </c>
      <c r="G31" s="11">
        <v>0</v>
      </c>
      <c r="H31" s="10">
        <v>45</v>
      </c>
      <c r="I31" s="10" t="s">
        <v>72</v>
      </c>
      <c r="J31" s="10"/>
      <c r="K31" s="10"/>
      <c r="L31" s="10">
        <f t="shared" si="2"/>
        <v>0</v>
      </c>
      <c r="M31" s="10"/>
      <c r="N31" s="10"/>
      <c r="O31" s="10">
        <v>0</v>
      </c>
      <c r="P31" s="10">
        <v>0</v>
      </c>
      <c r="Q31" s="10">
        <v>0</v>
      </c>
      <c r="R31" s="10"/>
      <c r="S31" s="10">
        <v>0</v>
      </c>
      <c r="T31" s="10">
        <f t="shared" si="3"/>
        <v>0</v>
      </c>
      <c r="U31" s="5"/>
      <c r="V31" s="12">
        <v>0</v>
      </c>
      <c r="W31" s="10"/>
      <c r="X31" s="10" t="e">
        <f t="shared" si="4"/>
        <v>#DIV/0!</v>
      </c>
      <c r="Y31" s="10" t="e">
        <f t="shared" si="5"/>
        <v>#DIV/0!</v>
      </c>
      <c r="Z31" s="10">
        <v>9.6</v>
      </c>
      <c r="AA31" s="10">
        <v>21.8</v>
      </c>
      <c r="AB31" s="10">
        <v>23.8</v>
      </c>
      <c r="AC31" s="10">
        <v>22</v>
      </c>
      <c r="AD31" s="10">
        <v>21.2</v>
      </c>
      <c r="AE31" s="10">
        <v>22</v>
      </c>
      <c r="AF31" s="10">
        <v>20.6</v>
      </c>
      <c r="AG31" s="10">
        <v>32.6</v>
      </c>
      <c r="AH31" s="10" t="s">
        <v>72</v>
      </c>
      <c r="AI31" s="10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73</v>
      </c>
      <c r="B32" s="1" t="s">
        <v>40</v>
      </c>
      <c r="C32" s="1">
        <v>116</v>
      </c>
      <c r="D32" s="1"/>
      <c r="E32" s="1">
        <v>116</v>
      </c>
      <c r="F32" s="1"/>
      <c r="G32" s="8">
        <v>0.28000000000000003</v>
      </c>
      <c r="H32" s="1">
        <v>45</v>
      </c>
      <c r="I32" s="1">
        <v>1001303107241</v>
      </c>
      <c r="J32" s="1"/>
      <c r="K32" s="1"/>
      <c r="L32" s="1">
        <f t="shared" si="2"/>
        <v>116</v>
      </c>
      <c r="M32" s="1"/>
      <c r="N32" s="1"/>
      <c r="O32" s="1">
        <v>250</v>
      </c>
      <c r="P32" s="1">
        <v>0</v>
      </c>
      <c r="Q32" s="1">
        <v>120</v>
      </c>
      <c r="R32" s="1">
        <v>160</v>
      </c>
      <c r="S32" s="1">
        <v>0</v>
      </c>
      <c r="T32" s="1">
        <f t="shared" si="3"/>
        <v>23.2</v>
      </c>
      <c r="U32" s="5">
        <v>240</v>
      </c>
      <c r="V32" s="5">
        <v>250</v>
      </c>
      <c r="W32" s="1"/>
      <c r="X32" s="1">
        <f t="shared" si="4"/>
        <v>33.189655172413794</v>
      </c>
      <c r="Y32" s="1">
        <f t="shared" si="5"/>
        <v>22.844827586206897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 t="s">
        <v>44</v>
      </c>
      <c r="AI32" s="1">
        <f t="shared" ref="AI32:AI46" si="7">G32*U32</f>
        <v>67.2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47</v>
      </c>
      <c r="B33" s="1" t="s">
        <v>40</v>
      </c>
      <c r="C33" s="1">
        <v>21</v>
      </c>
      <c r="D33" s="1"/>
      <c r="E33" s="1"/>
      <c r="F33" s="15">
        <f>21+F10</f>
        <v>19</v>
      </c>
      <c r="G33" s="8">
        <v>0.33</v>
      </c>
      <c r="H33" s="1">
        <v>45</v>
      </c>
      <c r="I33" s="1" t="s">
        <v>38</v>
      </c>
      <c r="J33" s="1"/>
      <c r="K33" s="1"/>
      <c r="L33" s="1">
        <f t="shared" si="2"/>
        <v>0</v>
      </c>
      <c r="M33" s="1"/>
      <c r="N33" s="1"/>
      <c r="O33" s="1">
        <v>500</v>
      </c>
      <c r="P33" s="1">
        <v>200</v>
      </c>
      <c r="Q33" s="1">
        <v>320</v>
      </c>
      <c r="R33" s="1">
        <v>200</v>
      </c>
      <c r="S33" s="1">
        <v>0</v>
      </c>
      <c r="T33" s="1">
        <f t="shared" si="3"/>
        <v>0</v>
      </c>
      <c r="U33" s="5">
        <v>240</v>
      </c>
      <c r="V33" s="5">
        <v>250</v>
      </c>
      <c r="W33" s="1"/>
      <c r="X33" s="1" t="e">
        <f t="shared" si="4"/>
        <v>#DIV/0!</v>
      </c>
      <c r="Y33" s="1" t="e">
        <f t="shared" si="5"/>
        <v>#DIV/0!</v>
      </c>
      <c r="Z33" s="1">
        <v>19</v>
      </c>
      <c r="AA33" s="1">
        <v>25.4</v>
      </c>
      <c r="AB33" s="1">
        <v>152.6</v>
      </c>
      <c r="AC33" s="1">
        <v>59.4</v>
      </c>
      <c r="AD33" s="1">
        <v>42.2</v>
      </c>
      <c r="AE33" s="1">
        <v>59.4</v>
      </c>
      <c r="AF33" s="1">
        <v>44.2</v>
      </c>
      <c r="AG33" s="1">
        <v>61.4</v>
      </c>
      <c r="AH33" s="13" t="s">
        <v>41</v>
      </c>
      <c r="AI33" s="1">
        <f t="shared" si="7"/>
        <v>79.2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40</v>
      </c>
      <c r="C34" s="1">
        <v>105</v>
      </c>
      <c r="D34" s="1"/>
      <c r="E34" s="1">
        <v>30</v>
      </c>
      <c r="F34" s="1">
        <v>75</v>
      </c>
      <c r="G34" s="8">
        <v>0.4</v>
      </c>
      <c r="H34" s="1">
        <v>45</v>
      </c>
      <c r="I34" s="1" t="s">
        <v>38</v>
      </c>
      <c r="J34" s="1"/>
      <c r="K34" s="1"/>
      <c r="L34" s="1">
        <f t="shared" si="2"/>
        <v>30</v>
      </c>
      <c r="M34" s="1"/>
      <c r="N34" s="1"/>
      <c r="O34" s="1">
        <v>150</v>
      </c>
      <c r="P34" s="1">
        <v>100</v>
      </c>
      <c r="Q34" s="1">
        <v>40</v>
      </c>
      <c r="R34" s="1">
        <v>160</v>
      </c>
      <c r="S34" s="1">
        <v>0</v>
      </c>
      <c r="T34" s="1">
        <f t="shared" si="3"/>
        <v>6</v>
      </c>
      <c r="U34" s="5">
        <v>40</v>
      </c>
      <c r="V34" s="5">
        <v>50</v>
      </c>
      <c r="W34" s="1"/>
      <c r="X34" s="1">
        <f t="shared" si="4"/>
        <v>94.166666666666671</v>
      </c>
      <c r="Y34" s="1">
        <f t="shared" si="5"/>
        <v>87.5</v>
      </c>
      <c r="Z34" s="1">
        <v>21</v>
      </c>
      <c r="AA34" s="1">
        <v>16.8</v>
      </c>
      <c r="AB34" s="1">
        <v>15.2</v>
      </c>
      <c r="AC34" s="1">
        <v>18.2</v>
      </c>
      <c r="AD34" s="1">
        <v>12.6</v>
      </c>
      <c r="AE34" s="1">
        <v>18.2</v>
      </c>
      <c r="AF34" s="1">
        <v>20</v>
      </c>
      <c r="AG34" s="1">
        <v>31</v>
      </c>
      <c r="AH34" s="13" t="s">
        <v>41</v>
      </c>
      <c r="AI34" s="1">
        <f t="shared" si="7"/>
        <v>16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75</v>
      </c>
      <c r="B35" s="1" t="s">
        <v>37</v>
      </c>
      <c r="C35" s="1">
        <v>36.167000000000002</v>
      </c>
      <c r="D35" s="1"/>
      <c r="E35" s="1"/>
      <c r="F35" s="1">
        <v>36.167000000000002</v>
      </c>
      <c r="G35" s="8">
        <v>1</v>
      </c>
      <c r="H35" s="1">
        <v>60</v>
      </c>
      <c r="I35" s="1" t="s">
        <v>38</v>
      </c>
      <c r="J35" s="1"/>
      <c r="K35" s="1"/>
      <c r="L35" s="1">
        <f t="shared" si="2"/>
        <v>0</v>
      </c>
      <c r="M35" s="1"/>
      <c r="N35" s="1"/>
      <c r="O35" s="1">
        <v>150</v>
      </c>
      <c r="P35" s="1">
        <v>150</v>
      </c>
      <c r="Q35" s="1">
        <v>300</v>
      </c>
      <c r="R35" s="1">
        <v>250</v>
      </c>
      <c r="S35" s="1">
        <v>0</v>
      </c>
      <c r="T35" s="1">
        <f t="shared" si="3"/>
        <v>0</v>
      </c>
      <c r="U35" s="5">
        <f>VLOOKUP(A:A,[1]Sheet!$A:$V,22,0)</f>
        <v>300</v>
      </c>
      <c r="V35" s="5">
        <v>300</v>
      </c>
      <c r="W35" s="1"/>
      <c r="X35" s="1" t="e">
        <f t="shared" si="4"/>
        <v>#DIV/0!</v>
      </c>
      <c r="Y35" s="1" t="e">
        <f t="shared" si="5"/>
        <v>#DIV/0!</v>
      </c>
      <c r="Z35" s="1">
        <v>42.401000000000003</v>
      </c>
      <c r="AA35" s="1">
        <v>42.771000000000001</v>
      </c>
      <c r="AB35" s="1">
        <v>47.454000000000001</v>
      </c>
      <c r="AC35" s="1">
        <v>36.903599999999997</v>
      </c>
      <c r="AD35" s="1">
        <v>31.8858</v>
      </c>
      <c r="AE35" s="1">
        <v>36.903599999999997</v>
      </c>
      <c r="AF35" s="1">
        <v>42.125799999999998</v>
      </c>
      <c r="AG35" s="1">
        <v>45.726999999999997</v>
      </c>
      <c r="AH35" s="13" t="s">
        <v>41</v>
      </c>
      <c r="AI35" s="1">
        <f t="shared" si="7"/>
        <v>300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40</v>
      </c>
      <c r="C36" s="1">
        <v>191</v>
      </c>
      <c r="D36" s="1"/>
      <c r="E36" s="1">
        <v>142</v>
      </c>
      <c r="F36" s="1">
        <v>49</v>
      </c>
      <c r="G36" s="8">
        <v>0.3</v>
      </c>
      <c r="H36" s="1">
        <v>60</v>
      </c>
      <c r="I36" s="1" t="s">
        <v>38</v>
      </c>
      <c r="J36" s="1"/>
      <c r="K36" s="1"/>
      <c r="L36" s="1">
        <f t="shared" si="2"/>
        <v>142</v>
      </c>
      <c r="M36" s="1"/>
      <c r="N36" s="1"/>
      <c r="O36" s="1">
        <v>200</v>
      </c>
      <c r="P36" s="1">
        <v>0</v>
      </c>
      <c r="Q36" s="1">
        <v>200</v>
      </c>
      <c r="R36" s="1"/>
      <c r="S36" s="1">
        <v>0</v>
      </c>
      <c r="T36" s="1">
        <f t="shared" si="3"/>
        <v>28.4</v>
      </c>
      <c r="U36" s="5">
        <f>VLOOKUP(A:A,[1]Sheet!$A:$V,22,0)</f>
        <v>100</v>
      </c>
      <c r="V36" s="5">
        <v>100</v>
      </c>
      <c r="W36" s="1">
        <v>119</v>
      </c>
      <c r="X36" s="1">
        <f t="shared" si="4"/>
        <v>19.33098591549296</v>
      </c>
      <c r="Y36" s="1">
        <f t="shared" si="5"/>
        <v>15.809859154929578</v>
      </c>
      <c r="Z36" s="1">
        <v>21</v>
      </c>
      <c r="AA36" s="1">
        <v>14.8</v>
      </c>
      <c r="AB36" s="1">
        <v>22.8</v>
      </c>
      <c r="AC36" s="1">
        <v>29</v>
      </c>
      <c r="AD36" s="1">
        <v>-0.4</v>
      </c>
      <c r="AE36" s="1">
        <v>29</v>
      </c>
      <c r="AF36" s="1">
        <v>27.6</v>
      </c>
      <c r="AG36" s="1">
        <v>21.2</v>
      </c>
      <c r="AH36" s="1"/>
      <c r="AI36" s="1">
        <f t="shared" si="7"/>
        <v>30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56</v>
      </c>
      <c r="B37" s="1" t="s">
        <v>40</v>
      </c>
      <c r="C37" s="1">
        <v>87</v>
      </c>
      <c r="D37" s="1"/>
      <c r="E37" s="1">
        <v>81</v>
      </c>
      <c r="F37" s="15">
        <f>6+F18</f>
        <v>3</v>
      </c>
      <c r="G37" s="8">
        <v>0.41</v>
      </c>
      <c r="H37" s="1">
        <v>50</v>
      </c>
      <c r="I37" s="1" t="s">
        <v>38</v>
      </c>
      <c r="J37" s="1"/>
      <c r="K37" s="1"/>
      <c r="L37" s="1">
        <f t="shared" si="2"/>
        <v>81</v>
      </c>
      <c r="M37" s="1"/>
      <c r="N37" s="1"/>
      <c r="O37" s="1">
        <v>150</v>
      </c>
      <c r="P37" s="1">
        <v>100</v>
      </c>
      <c r="Q37" s="1">
        <v>0</v>
      </c>
      <c r="R37" s="1">
        <v>200</v>
      </c>
      <c r="S37" s="1">
        <v>0</v>
      </c>
      <c r="T37" s="1">
        <f t="shared" si="3"/>
        <v>16.2</v>
      </c>
      <c r="U37" s="5">
        <f>VLOOKUP(A:A,[1]Sheet!$A:$V,22,0)</f>
        <v>200</v>
      </c>
      <c r="V37" s="5">
        <v>200</v>
      </c>
      <c r="W37" s="1"/>
      <c r="X37" s="1">
        <f t="shared" si="4"/>
        <v>40.308641975308646</v>
      </c>
      <c r="Y37" s="1">
        <f t="shared" si="5"/>
        <v>27.962962962962965</v>
      </c>
      <c r="Z37" s="1">
        <v>56.2</v>
      </c>
      <c r="AA37" s="1">
        <v>16.2</v>
      </c>
      <c r="AB37" s="1">
        <v>39.4</v>
      </c>
      <c r="AC37" s="1">
        <v>36.200000000000003</v>
      </c>
      <c r="AD37" s="1">
        <v>20</v>
      </c>
      <c r="AE37" s="1">
        <v>36.200000000000003</v>
      </c>
      <c r="AF37" s="1">
        <v>26.6</v>
      </c>
      <c r="AG37" s="1">
        <v>43</v>
      </c>
      <c r="AH37" s="1"/>
      <c r="AI37" s="1">
        <f t="shared" si="7"/>
        <v>82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37</v>
      </c>
      <c r="C38" s="1">
        <v>41.279000000000003</v>
      </c>
      <c r="D38" s="1"/>
      <c r="E38" s="1"/>
      <c r="F38" s="1">
        <v>41.279000000000003</v>
      </c>
      <c r="G38" s="8">
        <v>1</v>
      </c>
      <c r="H38" s="1">
        <v>50</v>
      </c>
      <c r="I38" s="1" t="s">
        <v>38</v>
      </c>
      <c r="J38" s="1"/>
      <c r="K38" s="1"/>
      <c r="L38" s="1">
        <f t="shared" si="2"/>
        <v>0</v>
      </c>
      <c r="M38" s="1"/>
      <c r="N38" s="1"/>
      <c r="O38" s="1">
        <v>400</v>
      </c>
      <c r="P38" s="1">
        <v>400</v>
      </c>
      <c r="Q38" s="1">
        <v>450</v>
      </c>
      <c r="R38" s="1">
        <v>350</v>
      </c>
      <c r="S38" s="1">
        <v>0</v>
      </c>
      <c r="T38" s="1">
        <f t="shared" si="3"/>
        <v>0</v>
      </c>
      <c r="U38" s="5">
        <f>VLOOKUP(A:A,[1]Sheet!$A:$V,22,0)</f>
        <v>200</v>
      </c>
      <c r="V38" s="5">
        <v>200</v>
      </c>
      <c r="W38" s="1"/>
      <c r="X38" s="1" t="e">
        <f t="shared" si="4"/>
        <v>#DIV/0!</v>
      </c>
      <c r="Y38" s="1" t="e">
        <f t="shared" si="5"/>
        <v>#DIV/0!</v>
      </c>
      <c r="Z38" s="1">
        <v>34.8172</v>
      </c>
      <c r="AA38" s="1">
        <v>59.212000000000003</v>
      </c>
      <c r="AB38" s="1">
        <v>91.616600000000005</v>
      </c>
      <c r="AC38" s="1">
        <v>65.309400000000011</v>
      </c>
      <c r="AD38" s="1">
        <v>78.678399999999996</v>
      </c>
      <c r="AE38" s="1">
        <v>65.309400000000011</v>
      </c>
      <c r="AF38" s="1">
        <v>62.679200000000002</v>
      </c>
      <c r="AG38" s="1">
        <v>68.656800000000004</v>
      </c>
      <c r="AH38" s="13" t="s">
        <v>41</v>
      </c>
      <c r="AI38" s="1">
        <f t="shared" si="7"/>
        <v>200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37</v>
      </c>
      <c r="C39" s="1">
        <v>9.2560000000000002</v>
      </c>
      <c r="D39" s="1"/>
      <c r="E39" s="1"/>
      <c r="F39" s="1">
        <v>9.2560000000000002</v>
      </c>
      <c r="G39" s="8">
        <v>1</v>
      </c>
      <c r="H39" s="1">
        <v>50</v>
      </c>
      <c r="I39" s="1" t="s">
        <v>38</v>
      </c>
      <c r="J39" s="1"/>
      <c r="K39" s="1"/>
      <c r="L39" s="1">
        <f t="shared" si="2"/>
        <v>0</v>
      </c>
      <c r="M39" s="1"/>
      <c r="N39" s="1"/>
      <c r="O39" s="1">
        <v>150</v>
      </c>
      <c r="P39" s="1">
        <v>50</v>
      </c>
      <c r="Q39" s="1">
        <v>100</v>
      </c>
      <c r="R39" s="1">
        <v>150</v>
      </c>
      <c r="S39" s="1">
        <v>0</v>
      </c>
      <c r="T39" s="1">
        <f t="shared" si="3"/>
        <v>0</v>
      </c>
      <c r="U39" s="5">
        <f>VLOOKUP(A:A,[1]Sheet!$A:$V,22,0)</f>
        <v>100</v>
      </c>
      <c r="V39" s="5">
        <v>100</v>
      </c>
      <c r="W39" s="1"/>
      <c r="X39" s="1" t="e">
        <f t="shared" si="4"/>
        <v>#DIV/0!</v>
      </c>
      <c r="Y39" s="1" t="e">
        <f t="shared" si="5"/>
        <v>#DIV/0!</v>
      </c>
      <c r="Z39" s="1">
        <v>37.065800000000003</v>
      </c>
      <c r="AA39" s="1">
        <v>25.948</v>
      </c>
      <c r="AB39" s="1">
        <v>38.4572</v>
      </c>
      <c r="AC39" s="1">
        <v>25.52</v>
      </c>
      <c r="AD39" s="1">
        <v>21.434799999999999</v>
      </c>
      <c r="AE39" s="1">
        <v>25.52</v>
      </c>
      <c r="AF39" s="1">
        <v>27.374400000000001</v>
      </c>
      <c r="AG39" s="1">
        <v>26.291599999999999</v>
      </c>
      <c r="AH39" s="1"/>
      <c r="AI39" s="1">
        <f t="shared" si="7"/>
        <v>100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79</v>
      </c>
      <c r="B40" s="1" t="s">
        <v>40</v>
      </c>
      <c r="C40" s="1">
        <v>33</v>
      </c>
      <c r="D40" s="1"/>
      <c r="E40" s="1">
        <v>8</v>
      </c>
      <c r="F40" s="1">
        <v>25</v>
      </c>
      <c r="G40" s="8">
        <v>0.4</v>
      </c>
      <c r="H40" s="1">
        <v>50</v>
      </c>
      <c r="I40" s="1" t="s">
        <v>38</v>
      </c>
      <c r="J40" s="1"/>
      <c r="K40" s="1"/>
      <c r="L40" s="1">
        <f t="shared" si="2"/>
        <v>8</v>
      </c>
      <c r="M40" s="1"/>
      <c r="N40" s="1"/>
      <c r="O40" s="1">
        <v>250</v>
      </c>
      <c r="P40" s="1">
        <v>50</v>
      </c>
      <c r="Q40" s="1">
        <v>50</v>
      </c>
      <c r="R40" s="1">
        <v>200</v>
      </c>
      <c r="S40" s="1">
        <v>0</v>
      </c>
      <c r="T40" s="1">
        <f t="shared" si="3"/>
        <v>1.6</v>
      </c>
      <c r="U40" s="5">
        <v>120</v>
      </c>
      <c r="V40" s="5">
        <v>100</v>
      </c>
      <c r="W40" s="1"/>
      <c r="X40" s="1">
        <f t="shared" si="4"/>
        <v>434.375</v>
      </c>
      <c r="Y40" s="1">
        <f t="shared" si="5"/>
        <v>359.375</v>
      </c>
      <c r="Z40" s="1">
        <v>38.200000000000003</v>
      </c>
      <c r="AA40" s="1">
        <v>29</v>
      </c>
      <c r="AB40" s="1">
        <v>41.6</v>
      </c>
      <c r="AC40" s="1">
        <v>49.6</v>
      </c>
      <c r="AD40" s="1">
        <v>24.2</v>
      </c>
      <c r="AE40" s="1">
        <v>49.6</v>
      </c>
      <c r="AF40" s="1">
        <v>38</v>
      </c>
      <c r="AG40" s="1">
        <v>53</v>
      </c>
      <c r="AH40" s="13" t="s">
        <v>41</v>
      </c>
      <c r="AI40" s="1">
        <f t="shared" si="7"/>
        <v>48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80</v>
      </c>
      <c r="B41" s="1" t="s">
        <v>40</v>
      </c>
      <c r="C41" s="1">
        <v>12</v>
      </c>
      <c r="D41" s="1"/>
      <c r="E41" s="1"/>
      <c r="F41" s="1">
        <v>12</v>
      </c>
      <c r="G41" s="8">
        <v>0.18</v>
      </c>
      <c r="H41" s="1">
        <v>50</v>
      </c>
      <c r="I41" s="1" t="s">
        <v>38</v>
      </c>
      <c r="J41" s="1"/>
      <c r="K41" s="1"/>
      <c r="L41" s="1">
        <f t="shared" si="2"/>
        <v>0</v>
      </c>
      <c r="M41" s="1"/>
      <c r="N41" s="1"/>
      <c r="O41" s="1">
        <v>300</v>
      </c>
      <c r="P41" s="1">
        <v>0</v>
      </c>
      <c r="Q41" s="1">
        <v>200</v>
      </c>
      <c r="R41" s="1">
        <v>100</v>
      </c>
      <c r="S41" s="1">
        <v>0</v>
      </c>
      <c r="T41" s="1">
        <f t="shared" si="3"/>
        <v>0</v>
      </c>
      <c r="U41" s="5">
        <f>VLOOKUP(A:A,[1]Sheet!$A:$V,22,0)</f>
        <v>200</v>
      </c>
      <c r="V41" s="5">
        <v>200</v>
      </c>
      <c r="W41" s="1"/>
      <c r="X41" s="1" t="e">
        <f t="shared" si="4"/>
        <v>#DIV/0!</v>
      </c>
      <c r="Y41" s="1" t="e">
        <f t="shared" si="5"/>
        <v>#DIV/0!</v>
      </c>
      <c r="Z41" s="1">
        <v>25.2</v>
      </c>
      <c r="AA41" s="1">
        <v>12.4</v>
      </c>
      <c r="AB41" s="1">
        <v>38.4</v>
      </c>
      <c r="AC41" s="1">
        <v>10.8</v>
      </c>
      <c r="AD41" s="1">
        <v>-6.8</v>
      </c>
      <c r="AE41" s="1">
        <v>10.8</v>
      </c>
      <c r="AF41" s="1">
        <v>56.2</v>
      </c>
      <c r="AG41" s="1">
        <v>39</v>
      </c>
      <c r="AH41" s="1"/>
      <c r="AI41" s="1">
        <f t="shared" si="7"/>
        <v>36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40</v>
      </c>
      <c r="C42" s="1">
        <v>103.1</v>
      </c>
      <c r="D42" s="1"/>
      <c r="E42" s="1"/>
      <c r="F42" s="1">
        <v>103.1</v>
      </c>
      <c r="G42" s="8">
        <v>0.3</v>
      </c>
      <c r="H42" s="1">
        <v>50</v>
      </c>
      <c r="I42" s="1" t="s">
        <v>38</v>
      </c>
      <c r="J42" s="1"/>
      <c r="K42" s="1"/>
      <c r="L42" s="1">
        <f t="shared" si="2"/>
        <v>0</v>
      </c>
      <c r="M42" s="1"/>
      <c r="N42" s="1"/>
      <c r="O42" s="1">
        <v>2000</v>
      </c>
      <c r="P42" s="1">
        <v>0</v>
      </c>
      <c r="Q42" s="1">
        <v>1600</v>
      </c>
      <c r="R42" s="1">
        <v>1800</v>
      </c>
      <c r="S42" s="1">
        <v>0</v>
      </c>
      <c r="T42" s="1">
        <f t="shared" si="3"/>
        <v>0</v>
      </c>
      <c r="U42" s="5">
        <f>VLOOKUP(A:A,[1]Sheet!$A:$V,22,0)</f>
        <v>1600</v>
      </c>
      <c r="V42" s="5">
        <v>1600</v>
      </c>
      <c r="W42" s="1"/>
      <c r="X42" s="1" t="e">
        <f t="shared" si="4"/>
        <v>#DIV/0!</v>
      </c>
      <c r="Y42" s="1" t="e">
        <f t="shared" si="5"/>
        <v>#DIV/0!</v>
      </c>
      <c r="Z42" s="1">
        <v>83.2</v>
      </c>
      <c r="AA42" s="1">
        <v>123.2</v>
      </c>
      <c r="AB42" s="1">
        <v>589.4</v>
      </c>
      <c r="AC42" s="1">
        <v>287.60000000000002</v>
      </c>
      <c r="AD42" s="1">
        <v>234</v>
      </c>
      <c r="AE42" s="1">
        <v>287.60000000000002</v>
      </c>
      <c r="AF42" s="1">
        <v>311</v>
      </c>
      <c r="AG42" s="1">
        <v>335.8</v>
      </c>
      <c r="AH42" s="13" t="s">
        <v>41</v>
      </c>
      <c r="AI42" s="1">
        <f t="shared" si="7"/>
        <v>480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40</v>
      </c>
      <c r="C43" s="1">
        <v>116</v>
      </c>
      <c r="D43" s="1"/>
      <c r="E43" s="1">
        <v>116</v>
      </c>
      <c r="F43" s="1"/>
      <c r="G43" s="8">
        <v>0.28000000000000003</v>
      </c>
      <c r="H43" s="1">
        <v>45</v>
      </c>
      <c r="I43" s="1">
        <v>1001304507230</v>
      </c>
      <c r="J43" s="1"/>
      <c r="K43" s="1"/>
      <c r="L43" s="1">
        <f t="shared" si="2"/>
        <v>116</v>
      </c>
      <c r="M43" s="1"/>
      <c r="N43" s="1"/>
      <c r="O43" s="1">
        <v>250</v>
      </c>
      <c r="P43" s="1">
        <v>0</v>
      </c>
      <c r="Q43" s="1">
        <v>160</v>
      </c>
      <c r="R43" s="1">
        <v>160</v>
      </c>
      <c r="S43" s="1">
        <v>0</v>
      </c>
      <c r="T43" s="1">
        <f t="shared" si="3"/>
        <v>23.2</v>
      </c>
      <c r="U43" s="5">
        <f>VLOOKUP(A:A,[1]Sheet!$A:$V,22,0)</f>
        <v>120</v>
      </c>
      <c r="V43" s="5">
        <v>120</v>
      </c>
      <c r="W43" s="1"/>
      <c r="X43" s="1">
        <f t="shared" si="4"/>
        <v>29.741379310344829</v>
      </c>
      <c r="Y43" s="1">
        <f t="shared" si="5"/>
        <v>24.568965517241381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 t="s">
        <v>44</v>
      </c>
      <c r="AI43" s="1">
        <f t="shared" si="7"/>
        <v>33.6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40</v>
      </c>
      <c r="C44" s="1">
        <v>197</v>
      </c>
      <c r="D44" s="1"/>
      <c r="E44" s="1">
        <v>137</v>
      </c>
      <c r="F44" s="1">
        <v>60</v>
      </c>
      <c r="G44" s="8">
        <v>0.3</v>
      </c>
      <c r="H44" s="1">
        <v>60</v>
      </c>
      <c r="I44" s="1">
        <v>1001013957231</v>
      </c>
      <c r="J44" s="1"/>
      <c r="K44" s="1"/>
      <c r="L44" s="1">
        <f t="shared" si="2"/>
        <v>137</v>
      </c>
      <c r="M44" s="1"/>
      <c r="N44" s="1"/>
      <c r="O44" s="1">
        <v>200</v>
      </c>
      <c r="P44" s="1">
        <v>120</v>
      </c>
      <c r="Q44" s="1">
        <v>160</v>
      </c>
      <c r="R44" s="1"/>
      <c r="S44" s="1">
        <v>0</v>
      </c>
      <c r="T44" s="1">
        <f t="shared" si="3"/>
        <v>27.4</v>
      </c>
      <c r="U44" s="5"/>
      <c r="V44" s="5">
        <v>0</v>
      </c>
      <c r="W44" s="1">
        <v>8</v>
      </c>
      <c r="X44" s="1">
        <f t="shared" si="4"/>
        <v>19.708029197080293</v>
      </c>
      <c r="Y44" s="1">
        <f t="shared" si="5"/>
        <v>19.708029197080293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 t="s">
        <v>44</v>
      </c>
      <c r="AI44" s="1">
        <f t="shared" si="7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40</v>
      </c>
      <c r="C45" s="1">
        <v>116</v>
      </c>
      <c r="D45" s="1"/>
      <c r="E45" s="1">
        <v>116</v>
      </c>
      <c r="F45" s="1"/>
      <c r="G45" s="8">
        <v>0.28000000000000003</v>
      </c>
      <c r="H45" s="1"/>
      <c r="I45" s="1">
        <v>1001301777332</v>
      </c>
      <c r="J45" s="1"/>
      <c r="K45" s="1"/>
      <c r="L45" s="1">
        <f t="shared" si="2"/>
        <v>116</v>
      </c>
      <c r="M45" s="1"/>
      <c r="N45" s="1"/>
      <c r="O45" s="1">
        <v>200</v>
      </c>
      <c r="P45" s="1">
        <v>0</v>
      </c>
      <c r="Q45" s="1">
        <v>160</v>
      </c>
      <c r="R45" s="1">
        <v>160</v>
      </c>
      <c r="S45" s="1">
        <v>0</v>
      </c>
      <c r="T45" s="1">
        <f t="shared" si="3"/>
        <v>23.2</v>
      </c>
      <c r="U45" s="5">
        <v>160</v>
      </c>
      <c r="V45" s="5">
        <v>150</v>
      </c>
      <c r="W45" s="1"/>
      <c r="X45" s="1">
        <f t="shared" si="4"/>
        <v>29.310344827586206</v>
      </c>
      <c r="Y45" s="1">
        <f t="shared" si="5"/>
        <v>22.413793103448278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 t="s">
        <v>44</v>
      </c>
      <c r="AI45" s="1">
        <f t="shared" si="7"/>
        <v>44.800000000000004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40</v>
      </c>
      <c r="C46" s="1">
        <v>237</v>
      </c>
      <c r="D46" s="1"/>
      <c r="E46" s="1">
        <v>184</v>
      </c>
      <c r="F46" s="1">
        <v>50</v>
      </c>
      <c r="G46" s="8">
        <v>0.28000000000000003</v>
      </c>
      <c r="H46" s="1">
        <v>50</v>
      </c>
      <c r="I46" s="1" t="s">
        <v>38</v>
      </c>
      <c r="J46" s="1"/>
      <c r="K46" s="1"/>
      <c r="L46" s="1">
        <f t="shared" si="2"/>
        <v>184</v>
      </c>
      <c r="M46" s="1"/>
      <c r="N46" s="1"/>
      <c r="O46" s="1">
        <v>160</v>
      </c>
      <c r="P46" s="1">
        <v>0</v>
      </c>
      <c r="Q46" s="1">
        <v>280</v>
      </c>
      <c r="R46" s="1">
        <v>200</v>
      </c>
      <c r="S46" s="1">
        <v>0</v>
      </c>
      <c r="T46" s="1">
        <f t="shared" si="3"/>
        <v>36.799999999999997</v>
      </c>
      <c r="U46" s="5">
        <v>280</v>
      </c>
      <c r="V46" s="5">
        <v>300</v>
      </c>
      <c r="W46" s="1">
        <v>46</v>
      </c>
      <c r="X46" s="1">
        <f t="shared" si="4"/>
        <v>26.358695652173914</v>
      </c>
      <c r="Y46" s="1">
        <f t="shared" si="5"/>
        <v>18.75</v>
      </c>
      <c r="Z46" s="1">
        <v>32</v>
      </c>
      <c r="AA46" s="1">
        <v>16.8</v>
      </c>
      <c r="AB46" s="1">
        <v>129.4</v>
      </c>
      <c r="AC46" s="1">
        <v>33</v>
      </c>
      <c r="AD46" s="1">
        <v>20.399999999999999</v>
      </c>
      <c r="AE46" s="1">
        <v>33</v>
      </c>
      <c r="AF46" s="1">
        <v>39</v>
      </c>
      <c r="AG46" s="1">
        <v>44.6</v>
      </c>
      <c r="AH46" s="1"/>
      <c r="AI46" s="1">
        <f t="shared" si="7"/>
        <v>78.400000000000006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4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2026-01-26T11:32:29Z</dcterms:created>
  <dcterms:modified xsi:type="dcterms:W3CDTF">2026-01-28T13:48:22Z</dcterms:modified>
</cp:coreProperties>
</file>