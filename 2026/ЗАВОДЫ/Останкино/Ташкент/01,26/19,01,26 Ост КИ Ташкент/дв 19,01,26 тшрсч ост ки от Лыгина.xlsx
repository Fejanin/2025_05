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"/>
    </mc:Choice>
  </mc:AlternateContent>
  <xr:revisionPtr revIDLastSave="0" documentId="13_ncr:1_{74B65FFF-EACF-41A3-BC9A-6878C2BB5F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5" i="1" l="1"/>
  <c r="AG28" i="1"/>
  <c r="AG12" i="1"/>
  <c r="R46" i="1"/>
  <c r="L46" i="1"/>
  <c r="R45" i="1"/>
  <c r="W45" i="1" s="1"/>
  <c r="L45" i="1"/>
  <c r="R44" i="1"/>
  <c r="L44" i="1"/>
  <c r="R43" i="1"/>
  <c r="W43" i="1" s="1"/>
  <c r="L43" i="1"/>
  <c r="R42" i="1"/>
  <c r="L42" i="1"/>
  <c r="R41" i="1"/>
  <c r="W41" i="1" s="1"/>
  <c r="L41" i="1"/>
  <c r="R40" i="1"/>
  <c r="L40" i="1"/>
  <c r="R39" i="1"/>
  <c r="W39" i="1" s="1"/>
  <c r="L39" i="1"/>
  <c r="R38" i="1"/>
  <c r="L38" i="1"/>
  <c r="R37" i="1"/>
  <c r="W37" i="1" s="1"/>
  <c r="L37" i="1"/>
  <c r="R36" i="1"/>
  <c r="L36" i="1"/>
  <c r="F36" i="1"/>
  <c r="R35" i="1"/>
  <c r="L35" i="1"/>
  <c r="R34" i="1"/>
  <c r="W34" i="1" s="1"/>
  <c r="L34" i="1"/>
  <c r="R33" i="1"/>
  <c r="AG33" i="1" s="1"/>
  <c r="L33" i="1"/>
  <c r="R32" i="1"/>
  <c r="L32" i="1"/>
  <c r="F32" i="1"/>
  <c r="W32" i="1" s="1"/>
  <c r="R31" i="1"/>
  <c r="W31" i="1" s="1"/>
  <c r="L31" i="1"/>
  <c r="R30" i="1"/>
  <c r="W30" i="1" s="1"/>
  <c r="L30" i="1"/>
  <c r="R29" i="1"/>
  <c r="L29" i="1"/>
  <c r="R28" i="1"/>
  <c r="W28" i="1" s="1"/>
  <c r="L28" i="1"/>
  <c r="F27" i="1"/>
  <c r="E27" i="1"/>
  <c r="L27" i="1" s="1"/>
  <c r="R26" i="1"/>
  <c r="V26" i="1" s="1"/>
  <c r="L26" i="1"/>
  <c r="R25" i="1"/>
  <c r="W25" i="1" s="1"/>
  <c r="L25" i="1"/>
  <c r="R24" i="1"/>
  <c r="L24" i="1"/>
  <c r="R23" i="1"/>
  <c r="W23" i="1" s="1"/>
  <c r="L23" i="1"/>
  <c r="R22" i="1"/>
  <c r="L22" i="1"/>
  <c r="R21" i="1"/>
  <c r="W21" i="1" s="1"/>
  <c r="L21" i="1"/>
  <c r="R20" i="1"/>
  <c r="L20" i="1"/>
  <c r="R19" i="1"/>
  <c r="W19" i="1" s="1"/>
  <c r="L19" i="1"/>
  <c r="R18" i="1"/>
  <c r="L18" i="1"/>
  <c r="R17" i="1"/>
  <c r="V17" i="1" s="1"/>
  <c r="L17" i="1"/>
  <c r="R16" i="1"/>
  <c r="W16" i="1" s="1"/>
  <c r="L16" i="1"/>
  <c r="R15" i="1"/>
  <c r="L15" i="1"/>
  <c r="R14" i="1"/>
  <c r="W14" i="1" s="1"/>
  <c r="L14" i="1"/>
  <c r="R13" i="1"/>
  <c r="L13" i="1"/>
  <c r="R12" i="1"/>
  <c r="W12" i="1" s="1"/>
  <c r="L12" i="1"/>
  <c r="R11" i="1"/>
  <c r="L11" i="1"/>
  <c r="R10" i="1"/>
  <c r="V10" i="1" s="1"/>
  <c r="L10" i="1"/>
  <c r="R9" i="1"/>
  <c r="W9" i="1" s="1"/>
  <c r="L9" i="1"/>
  <c r="R8" i="1"/>
  <c r="L8" i="1"/>
  <c r="R7" i="1"/>
  <c r="W7" i="1" s="1"/>
  <c r="L7" i="1"/>
  <c r="R6" i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AG36" i="1" l="1"/>
  <c r="AG7" i="1"/>
  <c r="AG32" i="1"/>
  <c r="V32" i="1"/>
  <c r="V11" i="1"/>
  <c r="V44" i="1"/>
  <c r="AG9" i="1"/>
  <c r="AG16" i="1"/>
  <c r="AG19" i="1"/>
  <c r="AG21" i="1"/>
  <c r="AG25" i="1"/>
  <c r="AG31" i="1"/>
  <c r="AG35" i="1"/>
  <c r="AG37" i="1"/>
  <c r="AG39" i="1"/>
  <c r="AG43" i="1"/>
  <c r="V33" i="1"/>
  <c r="AG6" i="1"/>
  <c r="AG8" i="1"/>
  <c r="AG11" i="1"/>
  <c r="AG13" i="1"/>
  <c r="AG15" i="1"/>
  <c r="AG18" i="1"/>
  <c r="AG20" i="1"/>
  <c r="AG22" i="1"/>
  <c r="AG24" i="1"/>
  <c r="AG29" i="1"/>
  <c r="AG34" i="1"/>
  <c r="AG38" i="1"/>
  <c r="AG40" i="1"/>
  <c r="AG42" i="1"/>
  <c r="AG44" i="1"/>
  <c r="AG46" i="1"/>
  <c r="E5" i="1"/>
  <c r="V9" i="1"/>
  <c r="V30" i="1"/>
  <c r="V45" i="1"/>
  <c r="L5" i="1"/>
  <c r="V7" i="1"/>
  <c r="V12" i="1"/>
  <c r="V21" i="1"/>
  <c r="R27" i="1"/>
  <c r="W27" i="1" s="1"/>
  <c r="V28" i="1"/>
  <c r="V43" i="1"/>
  <c r="W6" i="1"/>
  <c r="W8" i="1"/>
  <c r="W10" i="1"/>
  <c r="W11" i="1"/>
  <c r="W13" i="1"/>
  <c r="W15" i="1"/>
  <c r="W17" i="1"/>
  <c r="W18" i="1"/>
  <c r="W20" i="1"/>
  <c r="W22" i="1"/>
  <c r="W24" i="1"/>
  <c r="W26" i="1"/>
  <c r="W29" i="1"/>
  <c r="W33" i="1"/>
  <c r="W35" i="1"/>
  <c r="W36" i="1"/>
  <c r="W38" i="1"/>
  <c r="W40" i="1"/>
  <c r="W42" i="1"/>
  <c r="W44" i="1"/>
  <c r="W46" i="1"/>
  <c r="F5" i="1"/>
  <c r="V25" i="1" l="1"/>
  <c r="V36" i="1"/>
  <c r="V39" i="1"/>
  <c r="V34" i="1"/>
  <c r="V16" i="1"/>
  <c r="V40" i="1"/>
  <c r="V6" i="1"/>
  <c r="V46" i="1"/>
  <c r="V29" i="1"/>
  <c r="V22" i="1"/>
  <c r="V18" i="1"/>
  <c r="V13" i="1"/>
  <c r="AG41" i="1"/>
  <c r="V41" i="1"/>
  <c r="AG23" i="1"/>
  <c r="V23" i="1"/>
  <c r="V14" i="1"/>
  <c r="AG14" i="1"/>
  <c r="V31" i="1"/>
  <c r="V37" i="1"/>
  <c r="V19" i="1"/>
  <c r="V42" i="1"/>
  <c r="V38" i="1"/>
  <c r="V24" i="1"/>
  <c r="V20" i="1"/>
  <c r="V15" i="1"/>
  <c r="V8" i="1"/>
  <c r="V35" i="1"/>
  <c r="R5" i="1"/>
  <c r="AG27" i="1" l="1"/>
  <c r="AG5" i="1" s="1"/>
  <c r="S5" i="1"/>
  <c r="V27" i="1"/>
</calcChain>
</file>

<file path=xl/sharedStrings.xml><?xml version="1.0" encoding="utf-8"?>
<sst xmlns="http://schemas.openxmlformats.org/spreadsheetml/2006/main" count="176" uniqueCount="89">
  <si>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</si>
  <si>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</si>
  <si>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</si>
  <si>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</si>
  <si>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</si>
  <si>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</si>
  <si>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</si>
  <si>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</si>
  <si>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</si>
  <si>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</si>
  <si>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</si>
  <si>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</si>
  <si>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</si>
  <si>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</si>
  <si>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</si>
  <si>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</si>
  <si>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</si>
  <si>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</si>
  <si>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</si>
  <si>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</si>
  <si>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</si>
  <si>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</si>
  <si>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</si>
  <si>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</si>
  <si>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</si>
  <si>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20,01,</t>
  </si>
  <si>
    <t>19,01,</t>
  </si>
  <si>
    <t>29,12,</t>
  </si>
  <si>
    <t>15,12,</t>
  </si>
  <si>
    <t>08,12,</t>
  </si>
  <si>
    <t>01,12,</t>
  </si>
  <si>
    <t>24,11,</t>
  </si>
  <si>
    <t>17,11,</t>
  </si>
  <si>
    <t>10,11,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</si>
  <si>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</si>
  <si>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</si>
  <si>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</si>
  <si>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</si>
  <si>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</si>
  <si>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</si>
  <si>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</si>
  <si>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</si>
  <si>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</si>
  <si>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</si>
  <si>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</si>
  <si>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</si>
  <si>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</si>
  <si>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</si>
  <si>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</si>
  <si>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</si>
  <si>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</si>
  <si>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нужно увеличить продажи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</si>
  <si>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</si>
  <si>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</si>
  <si>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</si>
  <si>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</si>
  <si>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</si>
  <si>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</si>
  <si>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</si>
  <si>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</si>
  <si>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</si>
  <si>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</si>
  <si>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</si>
  <si>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</si>
  <si>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</si>
  <si>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</si>
  <si>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продукция оприходована как 0,4!!!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</si>
  <si>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</si>
  <si>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</si>
  <si>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</si>
  <si>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вывод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</si>
  <si>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</si>
  <si>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</si>
  <si>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</si>
  <si>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</si>
  <si>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</si>
  <si>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</si>
  <si>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</si>
  <si>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</si>
  <si>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</si>
  <si>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</si>
  <si>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</si>
  <si>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</si>
  <si>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</si>
  <si>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ШПИКАЧКИ СОЧНЫЕ сар б/о мгс 1*3_Ашан_45с</t>
  </si>
  <si>
    <t>новинка / завод не отгрузил</t>
  </si>
  <si>
    <t>нужно увеличить продажи / новинка</t>
  </si>
  <si>
    <t>заказ</t>
  </si>
  <si>
    <t>27,01,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</si>
</sst>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15" sqref="AL15"/>
    </sheetView>
  </sheetViews>
  <sheetFormatPr defaultRowHeight="15" x14ac:dyDescent="0.25"/>
  <cols>
    <col min="1" max="1" width="54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5.28515625" customWidth="1"/>
    <col min="10" max="10" width="1" customWidth="1"/>
    <col min="11" max="14" width="0.5703125" customWidth="1"/>
    <col min="15" max="20" width="7" customWidth="1"/>
    <col min="21" max="21" width="13.5703125" customWidth="1"/>
    <col min="22" max="23" width="5" customWidth="1"/>
    <col min="24" max="31" width="6" customWidth="1"/>
    <col min="32" max="32" width="33.28515625" customWidth="1"/>
    <col min="33" max="33" width="7" customWidth="1"/>
    <col min="34" max="51" width="3" customWidth="1"/>
  </cols>
  <sheetData>
    <row r="1" spans="1:51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87</v>
      </c>
      <c r="T3" s="6" t="s">
        <v>16</v>
      </c>
      <c r="U3" s="6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23</v>
      </c>
      <c r="P4" s="9" t="s">
        <v>24</v>
      </c>
      <c r="Q4" s="9" t="s">
        <v>25</v>
      </c>
      <c r="R4" s="9" t="s">
        <v>26</v>
      </c>
      <c r="S4" s="9" t="s">
        <v>88</v>
      </c>
      <c r="T4" s="9"/>
      <c r="U4" s="9"/>
      <c r="V4" s="9"/>
      <c r="W4" s="9"/>
      <c r="X4" s="9" t="s">
        <v>23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5">
      <c r="A5" s="9"/>
      <c r="B5" s="9"/>
      <c r="C5" s="9"/>
      <c r="D5" s="9"/>
      <c r="E5" s="3">
        <f>SUM(E6:E498)</f>
        <v>4645.4179999999997</v>
      </c>
      <c r="F5" s="3">
        <f>SUM(F6:F498)</f>
        <v>3083.1990000000001</v>
      </c>
      <c r="G5" s="7"/>
      <c r="H5" s="9"/>
      <c r="I5" s="9"/>
      <c r="J5" s="9"/>
      <c r="K5" s="3">
        <f t="shared" ref="K5:T5" si="0">SUM(K6:K498)</f>
        <v>0</v>
      </c>
      <c r="L5" s="3">
        <f t="shared" si="0"/>
        <v>4645.4179999999997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6920</v>
      </c>
      <c r="R5" s="3">
        <f t="shared" si="0"/>
        <v>929.08360000000005</v>
      </c>
      <c r="S5" s="3">
        <f t="shared" si="0"/>
        <v>6540</v>
      </c>
      <c r="T5" s="3">
        <f t="shared" si="0"/>
        <v>0</v>
      </c>
      <c r="U5" s="9"/>
      <c r="V5" s="9"/>
      <c r="W5" s="9"/>
      <c r="X5" s="3">
        <f t="shared" ref="X5:AE5" si="1">SUM(X6:X498)</f>
        <v>748.95119999999997</v>
      </c>
      <c r="Y5" s="3">
        <f t="shared" si="1"/>
        <v>2669.4738000000002</v>
      </c>
      <c r="Z5" s="3">
        <f t="shared" si="1"/>
        <v>1399.5237999999999</v>
      </c>
      <c r="AA5" s="3">
        <f t="shared" si="1"/>
        <v>895.18100000000015</v>
      </c>
      <c r="AB5" s="3">
        <f t="shared" si="1"/>
        <v>1459.7238000000002</v>
      </c>
      <c r="AC5" s="3">
        <f t="shared" si="1"/>
        <v>1235.4252000000001</v>
      </c>
      <c r="AD5" s="3">
        <f t="shared" si="1"/>
        <v>1449.2138</v>
      </c>
      <c r="AE5" s="3">
        <f t="shared" si="1"/>
        <v>1498.3048000000001</v>
      </c>
      <c r="AF5" s="9"/>
      <c r="AG5" s="3">
        <f>SUM(AG6:AG498)</f>
        <v>3036.4000000000005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25">
      <c r="A6" s="9" t="s">
        <v>34</v>
      </c>
      <c r="B6" s="9" t="s">
        <v>35</v>
      </c>
      <c r="C6" s="9">
        <v>112.1</v>
      </c>
      <c r="D6" s="9"/>
      <c r="E6" s="9">
        <v>99.575999999999993</v>
      </c>
      <c r="F6" s="9">
        <v>8.92</v>
      </c>
      <c r="G6" s="7">
        <v>1</v>
      </c>
      <c r="H6" s="9">
        <v>45</v>
      </c>
      <c r="I6" s="9" t="s">
        <v>36</v>
      </c>
      <c r="J6" s="9"/>
      <c r="K6" s="9"/>
      <c r="L6" s="9">
        <f t="shared" ref="L6:L46" si="2">E6-K6</f>
        <v>99.575999999999993</v>
      </c>
      <c r="M6" s="9"/>
      <c r="N6" s="9"/>
      <c r="O6" s="9">
        <v>200</v>
      </c>
      <c r="P6" s="9">
        <v>50</v>
      </c>
      <c r="Q6" s="9">
        <v>100</v>
      </c>
      <c r="R6" s="9">
        <f t="shared" ref="R6:R46" si="3">E6/5</f>
        <v>19.915199999999999</v>
      </c>
      <c r="S6" s="4">
        <v>120</v>
      </c>
      <c r="T6" s="4"/>
      <c r="U6" s="9">
        <v>39.383999999999972</v>
      </c>
      <c r="V6" s="9">
        <f t="shared" ref="V6:V46" si="4">(F6+O6+P6+Q6+S6)/R6</f>
        <v>24.047963364666185</v>
      </c>
      <c r="W6" s="9">
        <f t="shared" ref="W6:W46" si="5">(F6+O6+P6+Q6)/R6</f>
        <v>18.022415039768617</v>
      </c>
      <c r="X6" s="9">
        <v>6.8971999999999998</v>
      </c>
      <c r="Y6" s="9">
        <v>47.304199999999987</v>
      </c>
      <c r="Z6" s="9">
        <v>22.1328</v>
      </c>
      <c r="AA6" s="9">
        <v>11.405799999999999</v>
      </c>
      <c r="AB6" s="9">
        <v>22.1328</v>
      </c>
      <c r="AC6" s="9">
        <v>23.523</v>
      </c>
      <c r="AD6" s="9">
        <v>24.957999999999998</v>
      </c>
      <c r="AE6" s="9">
        <v>37.103200000000001</v>
      </c>
      <c r="AF6" s="9"/>
      <c r="AG6" s="9">
        <f>G6*S6</f>
        <v>120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5">
      <c r="A7" s="9" t="s">
        <v>37</v>
      </c>
      <c r="B7" s="9" t="s">
        <v>38</v>
      </c>
      <c r="C7" s="9">
        <v>351</v>
      </c>
      <c r="D7" s="9"/>
      <c r="E7" s="9">
        <v>327</v>
      </c>
      <c r="F7" s="9">
        <v>8</v>
      </c>
      <c r="G7" s="7">
        <v>0.35</v>
      </c>
      <c r="H7" s="9">
        <v>45</v>
      </c>
      <c r="I7" s="9" t="s">
        <v>36</v>
      </c>
      <c r="J7" s="9"/>
      <c r="K7" s="9"/>
      <c r="L7" s="9">
        <f t="shared" si="2"/>
        <v>327</v>
      </c>
      <c r="M7" s="9"/>
      <c r="N7" s="9"/>
      <c r="O7" s="9">
        <v>800</v>
      </c>
      <c r="P7" s="9">
        <v>300</v>
      </c>
      <c r="Q7" s="9">
        <v>200</v>
      </c>
      <c r="R7" s="9">
        <f t="shared" si="3"/>
        <v>65.400000000000006</v>
      </c>
      <c r="S7" s="4">
        <v>360</v>
      </c>
      <c r="T7" s="4"/>
      <c r="U7" s="9"/>
      <c r="V7" s="9">
        <f t="shared" si="4"/>
        <v>25.5045871559633</v>
      </c>
      <c r="W7" s="9">
        <f t="shared" si="5"/>
        <v>20</v>
      </c>
      <c r="X7" s="9">
        <v>26.2</v>
      </c>
      <c r="Y7" s="9">
        <v>224.2</v>
      </c>
      <c r="Z7" s="9">
        <v>103.2</v>
      </c>
      <c r="AA7" s="9">
        <v>58.6</v>
      </c>
      <c r="AB7" s="9">
        <v>103.2</v>
      </c>
      <c r="AC7" s="9">
        <v>82</v>
      </c>
      <c r="AD7" s="9">
        <v>113</v>
      </c>
      <c r="AE7" s="9">
        <v>115.2</v>
      </c>
      <c r="AF7" s="9"/>
      <c r="AG7" s="9">
        <f>G7*S7</f>
        <v>125.99999999999999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9" t="s">
        <v>39</v>
      </c>
      <c r="B8" s="9" t="s">
        <v>35</v>
      </c>
      <c r="C8" s="9">
        <v>47.4</v>
      </c>
      <c r="D8" s="9"/>
      <c r="E8" s="9">
        <v>31.15</v>
      </c>
      <c r="F8" s="9">
        <v>4.056</v>
      </c>
      <c r="G8" s="7">
        <v>1</v>
      </c>
      <c r="H8" s="9">
        <v>45</v>
      </c>
      <c r="I8" s="9" t="s">
        <v>36</v>
      </c>
      <c r="J8" s="9"/>
      <c r="K8" s="9"/>
      <c r="L8" s="9">
        <f t="shared" si="2"/>
        <v>31.15</v>
      </c>
      <c r="M8" s="9"/>
      <c r="N8" s="9"/>
      <c r="O8" s="9">
        <v>150</v>
      </c>
      <c r="P8" s="9">
        <v>50</v>
      </c>
      <c r="Q8" s="9">
        <v>80</v>
      </c>
      <c r="R8" s="9">
        <f t="shared" si="3"/>
        <v>6.2299999999999995</v>
      </c>
      <c r="S8" s="4">
        <v>150</v>
      </c>
      <c r="T8" s="4"/>
      <c r="U8" s="9"/>
      <c r="V8" s="9">
        <f t="shared" si="4"/>
        <v>69.671910112359569</v>
      </c>
      <c r="W8" s="9">
        <f t="shared" si="5"/>
        <v>45.594863563402896</v>
      </c>
      <c r="X8" s="9">
        <v>8.3230000000000004</v>
      </c>
      <c r="Y8" s="9">
        <v>25.483599999999999</v>
      </c>
      <c r="Z8" s="9">
        <v>14.5526</v>
      </c>
      <c r="AA8" s="9">
        <v>1.5815999999999999</v>
      </c>
      <c r="AB8" s="9">
        <v>14.5526</v>
      </c>
      <c r="AC8" s="9">
        <v>18.255800000000001</v>
      </c>
      <c r="AD8" s="9">
        <v>18.2606</v>
      </c>
      <c r="AE8" s="9">
        <v>18.8154</v>
      </c>
      <c r="AF8" s="9"/>
      <c r="AG8" s="9">
        <f>G8*S8</f>
        <v>150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5">
      <c r="A9" s="9" t="s">
        <v>40</v>
      </c>
      <c r="B9" s="9" t="s">
        <v>38</v>
      </c>
      <c r="C9" s="9">
        <v>40</v>
      </c>
      <c r="D9" s="9"/>
      <c r="E9" s="9"/>
      <c r="F9" s="9">
        <v>30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2"/>
        <v>0</v>
      </c>
      <c r="M9" s="9"/>
      <c r="N9" s="9"/>
      <c r="O9" s="9">
        <v>150</v>
      </c>
      <c r="P9" s="9">
        <v>100</v>
      </c>
      <c r="Q9" s="9">
        <v>160</v>
      </c>
      <c r="R9" s="9">
        <f t="shared" si="3"/>
        <v>0</v>
      </c>
      <c r="S9" s="4"/>
      <c r="T9" s="4"/>
      <c r="U9" s="9"/>
      <c r="V9" s="9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15" t="s">
        <v>86</v>
      </c>
      <c r="AG9" s="9">
        <f>G9*S9</f>
        <v>0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25">
      <c r="A10" s="11" t="s">
        <v>42</v>
      </c>
      <c r="B10" s="11" t="s">
        <v>38</v>
      </c>
      <c r="C10" s="11">
        <v>-2</v>
      </c>
      <c r="D10" s="11"/>
      <c r="E10" s="11"/>
      <c r="F10" s="14">
        <v>-2</v>
      </c>
      <c r="G10" s="12">
        <v>0</v>
      </c>
      <c r="H10" s="11"/>
      <c r="I10" s="11" t="s">
        <v>43</v>
      </c>
      <c r="J10" s="11" t="s">
        <v>44</v>
      </c>
      <c r="K10" s="11"/>
      <c r="L10" s="11">
        <f t="shared" si="2"/>
        <v>0</v>
      </c>
      <c r="M10" s="11"/>
      <c r="N10" s="11"/>
      <c r="O10" s="11">
        <v>0</v>
      </c>
      <c r="P10" s="11">
        <v>0</v>
      </c>
      <c r="Q10" s="11">
        <v>0</v>
      </c>
      <c r="R10" s="11">
        <f t="shared" si="3"/>
        <v>0</v>
      </c>
      <c r="S10" s="4"/>
      <c r="T10" s="13"/>
      <c r="U10" s="11"/>
      <c r="V10" s="11" t="e">
        <f t="shared" si="4"/>
        <v>#DIV/0!</v>
      </c>
      <c r="W10" s="11" t="e">
        <f t="shared" si="5"/>
        <v>#DIV/0!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/>
      <c r="AG10" s="11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5">
      <c r="A11" s="9" t="s">
        <v>45</v>
      </c>
      <c r="B11" s="9" t="s">
        <v>38</v>
      </c>
      <c r="C11" s="9">
        <v>270</v>
      </c>
      <c r="D11" s="9"/>
      <c r="E11" s="9">
        <v>232</v>
      </c>
      <c r="F11" s="9">
        <v>8</v>
      </c>
      <c r="G11" s="7">
        <v>0.35</v>
      </c>
      <c r="H11" s="9">
        <v>45</v>
      </c>
      <c r="I11" s="9" t="s">
        <v>36</v>
      </c>
      <c r="J11" s="9"/>
      <c r="K11" s="9"/>
      <c r="L11" s="9">
        <f t="shared" si="2"/>
        <v>232</v>
      </c>
      <c r="M11" s="9"/>
      <c r="N11" s="9"/>
      <c r="O11" s="9">
        <v>600</v>
      </c>
      <c r="P11" s="9">
        <v>300</v>
      </c>
      <c r="Q11" s="9">
        <v>400</v>
      </c>
      <c r="R11" s="9">
        <f t="shared" si="3"/>
        <v>46.4</v>
      </c>
      <c r="S11" s="4">
        <v>200</v>
      </c>
      <c r="T11" s="4"/>
      <c r="U11" s="9"/>
      <c r="V11" s="9">
        <f t="shared" si="4"/>
        <v>32.5</v>
      </c>
      <c r="W11" s="9">
        <f t="shared" si="5"/>
        <v>28.189655172413794</v>
      </c>
      <c r="X11" s="9">
        <v>36.4</v>
      </c>
      <c r="Y11" s="9">
        <v>187.6</v>
      </c>
      <c r="Z11" s="9">
        <v>81.2</v>
      </c>
      <c r="AA11" s="9">
        <v>32.200000000000003</v>
      </c>
      <c r="AB11" s="9">
        <v>81.2</v>
      </c>
      <c r="AC11" s="9">
        <v>47.6</v>
      </c>
      <c r="AD11" s="9">
        <v>66.8</v>
      </c>
      <c r="AE11" s="9">
        <v>76</v>
      </c>
      <c r="AF11" s="9"/>
      <c r="AG11" s="9">
        <f t="shared" ref="AG11:AG16" si="6">G11*S11</f>
        <v>70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9" t="s">
        <v>46</v>
      </c>
      <c r="B12" s="9" t="s">
        <v>38</v>
      </c>
      <c r="C12" s="9">
        <v>43</v>
      </c>
      <c r="D12" s="9"/>
      <c r="E12" s="9"/>
      <c r="F12" s="9">
        <v>29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2"/>
        <v>0</v>
      </c>
      <c r="M12" s="9"/>
      <c r="N12" s="9"/>
      <c r="O12" s="9">
        <v>150</v>
      </c>
      <c r="P12" s="9">
        <v>100</v>
      </c>
      <c r="Q12" s="9">
        <v>160</v>
      </c>
      <c r="R12" s="9">
        <f t="shared" si="3"/>
        <v>0</v>
      </c>
      <c r="S12" s="4"/>
      <c r="T12" s="4"/>
      <c r="U12" s="9"/>
      <c r="V12" s="9" t="e">
        <f t="shared" si="4"/>
        <v>#DIV/0!</v>
      </c>
      <c r="W12" s="9" t="e">
        <f t="shared" si="5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5" t="s">
        <v>86</v>
      </c>
      <c r="AG12" s="9">
        <f t="shared" si="6"/>
        <v>0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5">
      <c r="A13" s="9" t="s">
        <v>47</v>
      </c>
      <c r="B13" s="9" t="s">
        <v>38</v>
      </c>
      <c r="C13" s="9">
        <v>798</v>
      </c>
      <c r="D13" s="9"/>
      <c r="E13" s="9">
        <v>398</v>
      </c>
      <c r="F13" s="9">
        <v>374</v>
      </c>
      <c r="G13" s="7">
        <v>0.4</v>
      </c>
      <c r="H13" s="9">
        <v>60</v>
      </c>
      <c r="I13" s="9" t="s">
        <v>36</v>
      </c>
      <c r="J13" s="9"/>
      <c r="K13" s="9"/>
      <c r="L13" s="9">
        <f t="shared" si="2"/>
        <v>398</v>
      </c>
      <c r="M13" s="9"/>
      <c r="N13" s="9"/>
      <c r="O13" s="9">
        <v>400</v>
      </c>
      <c r="P13" s="9">
        <v>200</v>
      </c>
      <c r="Q13" s="9">
        <v>0</v>
      </c>
      <c r="R13" s="9">
        <f t="shared" si="3"/>
        <v>79.599999999999994</v>
      </c>
      <c r="S13" s="4">
        <v>320</v>
      </c>
      <c r="T13" s="4"/>
      <c r="U13" s="9">
        <v>618</v>
      </c>
      <c r="V13" s="9">
        <f t="shared" si="4"/>
        <v>16.256281407035178</v>
      </c>
      <c r="W13" s="9">
        <f t="shared" si="5"/>
        <v>12.236180904522614</v>
      </c>
      <c r="X13" s="9">
        <v>41.8</v>
      </c>
      <c r="Y13" s="9">
        <v>123</v>
      </c>
      <c r="Z13" s="9">
        <v>80</v>
      </c>
      <c r="AA13" s="9">
        <v>72.8</v>
      </c>
      <c r="AB13" s="9">
        <v>140.19999999999999</v>
      </c>
      <c r="AC13" s="9">
        <v>55.2</v>
      </c>
      <c r="AD13" s="9">
        <v>68.400000000000006</v>
      </c>
      <c r="AE13" s="9">
        <v>154.19999999999999</v>
      </c>
      <c r="AF13" s="9"/>
      <c r="AG13" s="9">
        <f t="shared" si="6"/>
        <v>128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9" t="s">
        <v>49</v>
      </c>
      <c r="B14" s="9" t="s">
        <v>35</v>
      </c>
      <c r="C14" s="9"/>
      <c r="D14" s="9"/>
      <c r="E14" s="9"/>
      <c r="F14" s="9"/>
      <c r="G14" s="7">
        <v>1</v>
      </c>
      <c r="H14" s="9">
        <v>60</v>
      </c>
      <c r="I14" s="9" t="s">
        <v>36</v>
      </c>
      <c r="J14" s="9"/>
      <c r="K14" s="9"/>
      <c r="L14" s="9">
        <f t="shared" si="2"/>
        <v>0</v>
      </c>
      <c r="M14" s="9"/>
      <c r="N14" s="9"/>
      <c r="O14" s="9">
        <v>100</v>
      </c>
      <c r="P14" s="9">
        <v>50</v>
      </c>
      <c r="Q14" s="9">
        <v>50</v>
      </c>
      <c r="R14" s="9">
        <f t="shared" si="3"/>
        <v>0</v>
      </c>
      <c r="S14" s="4">
        <v>30</v>
      </c>
      <c r="T14" s="4"/>
      <c r="U14" s="9"/>
      <c r="V14" s="9" t="e">
        <f t="shared" si="4"/>
        <v>#DIV/0!</v>
      </c>
      <c r="W14" s="9" t="e">
        <f t="shared" si="5"/>
        <v>#DIV/0!</v>
      </c>
      <c r="X14" s="9">
        <v>7.2688000000000006</v>
      </c>
      <c r="Y14" s="9">
        <v>15.963800000000001</v>
      </c>
      <c r="Z14" s="9">
        <v>7.7178000000000004</v>
      </c>
      <c r="AA14" s="9">
        <v>4.7084000000000001</v>
      </c>
      <c r="AB14" s="9">
        <v>7.7178000000000004</v>
      </c>
      <c r="AC14" s="9">
        <v>7.7827999999999999</v>
      </c>
      <c r="AD14" s="9">
        <v>5.1351999999999993</v>
      </c>
      <c r="AE14" s="9">
        <v>8.2263999999999999</v>
      </c>
      <c r="AF14" s="9"/>
      <c r="AG14" s="9">
        <f t="shared" si="6"/>
        <v>30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5">
      <c r="A15" s="9" t="s">
        <v>50</v>
      </c>
      <c r="B15" s="9" t="s">
        <v>38</v>
      </c>
      <c r="C15" s="9">
        <v>280</v>
      </c>
      <c r="D15" s="9"/>
      <c r="E15" s="9">
        <v>275</v>
      </c>
      <c r="F15" s="9"/>
      <c r="G15" s="7">
        <v>0.4</v>
      </c>
      <c r="H15" s="9">
        <v>60</v>
      </c>
      <c r="I15" s="9" t="s">
        <v>36</v>
      </c>
      <c r="J15" s="9"/>
      <c r="K15" s="9"/>
      <c r="L15" s="9">
        <f t="shared" si="2"/>
        <v>275</v>
      </c>
      <c r="M15" s="9"/>
      <c r="N15" s="9"/>
      <c r="O15" s="9">
        <v>700</v>
      </c>
      <c r="P15" s="9">
        <v>200</v>
      </c>
      <c r="Q15" s="9">
        <v>320</v>
      </c>
      <c r="R15" s="9">
        <f t="shared" si="3"/>
        <v>55</v>
      </c>
      <c r="S15" s="4">
        <v>320</v>
      </c>
      <c r="T15" s="4"/>
      <c r="U15" s="9"/>
      <c r="V15" s="9">
        <f t="shared" si="4"/>
        <v>28</v>
      </c>
      <c r="W15" s="9">
        <f t="shared" si="5"/>
        <v>22.181818181818183</v>
      </c>
      <c r="X15" s="9">
        <v>43.6</v>
      </c>
      <c r="Y15" s="9">
        <v>134.19999999999999</v>
      </c>
      <c r="Z15" s="9">
        <v>57</v>
      </c>
      <c r="AA15" s="9">
        <v>51.2</v>
      </c>
      <c r="AB15" s="9">
        <v>57</v>
      </c>
      <c r="AC15" s="9">
        <v>57.2</v>
      </c>
      <c r="AD15" s="9">
        <v>64.400000000000006</v>
      </c>
      <c r="AE15" s="9">
        <v>60</v>
      </c>
      <c r="AF15" s="9"/>
      <c r="AG15" s="9">
        <f t="shared" si="6"/>
        <v>128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25">
      <c r="A16" s="9" t="s">
        <v>52</v>
      </c>
      <c r="B16" s="9" t="s">
        <v>35</v>
      </c>
      <c r="C16" s="9">
        <v>50.6</v>
      </c>
      <c r="D16" s="9"/>
      <c r="E16" s="9">
        <v>45.408000000000001</v>
      </c>
      <c r="F16" s="9">
        <v>-0.246</v>
      </c>
      <c r="G16" s="7">
        <v>1</v>
      </c>
      <c r="H16" s="9">
        <v>60</v>
      </c>
      <c r="I16" s="9" t="s">
        <v>36</v>
      </c>
      <c r="J16" s="9"/>
      <c r="K16" s="9"/>
      <c r="L16" s="9">
        <f t="shared" si="2"/>
        <v>45.408000000000001</v>
      </c>
      <c r="M16" s="9"/>
      <c r="N16" s="9"/>
      <c r="O16" s="9">
        <v>80</v>
      </c>
      <c r="P16" s="9">
        <v>50</v>
      </c>
      <c r="Q16" s="9">
        <v>30</v>
      </c>
      <c r="R16" s="9">
        <f t="shared" si="3"/>
        <v>9.0815999999999999</v>
      </c>
      <c r="S16" s="4">
        <v>50</v>
      </c>
      <c r="T16" s="4"/>
      <c r="U16" s="9">
        <v>21.878000000000004</v>
      </c>
      <c r="V16" s="9">
        <f t="shared" si="4"/>
        <v>23.09659090909091</v>
      </c>
      <c r="W16" s="9">
        <f t="shared" si="5"/>
        <v>17.590953136011279</v>
      </c>
      <c r="X16" s="9">
        <v>7.0063999999999993</v>
      </c>
      <c r="Y16" s="9">
        <v>13.821999999999999</v>
      </c>
      <c r="Z16" s="9">
        <v>10.1762</v>
      </c>
      <c r="AA16" s="9">
        <v>-0.82479999999999998</v>
      </c>
      <c r="AB16" s="9">
        <v>10.1762</v>
      </c>
      <c r="AC16" s="9">
        <v>11.0776</v>
      </c>
      <c r="AD16" s="9">
        <v>6.9219999999999997</v>
      </c>
      <c r="AE16" s="9">
        <v>2.5983999999999998</v>
      </c>
      <c r="AF16" s="9"/>
      <c r="AG16" s="9">
        <f t="shared" si="6"/>
        <v>50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5">
      <c r="A17" s="11" t="s">
        <v>53</v>
      </c>
      <c r="B17" s="11" t="s">
        <v>38</v>
      </c>
      <c r="C17" s="11">
        <v>-3</v>
      </c>
      <c r="D17" s="11"/>
      <c r="E17" s="11"/>
      <c r="F17" s="14">
        <v>-3</v>
      </c>
      <c r="G17" s="12">
        <v>0</v>
      </c>
      <c r="H17" s="11"/>
      <c r="I17" s="11" t="s">
        <v>43</v>
      </c>
      <c r="J17" s="11" t="s">
        <v>54</v>
      </c>
      <c r="K17" s="11"/>
      <c r="L17" s="11">
        <f t="shared" si="2"/>
        <v>0</v>
      </c>
      <c r="M17" s="11"/>
      <c r="N17" s="11"/>
      <c r="O17" s="11">
        <v>0</v>
      </c>
      <c r="P17" s="11">
        <v>0</v>
      </c>
      <c r="Q17" s="11">
        <v>0</v>
      </c>
      <c r="R17" s="11">
        <f t="shared" si="3"/>
        <v>0</v>
      </c>
      <c r="S17" s="4"/>
      <c r="T17" s="13"/>
      <c r="U17" s="11"/>
      <c r="V17" s="11" t="e">
        <f t="shared" si="4"/>
        <v>#DIV/0!</v>
      </c>
      <c r="W17" s="11" t="e">
        <f t="shared" si="5"/>
        <v>#DIV/0!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/>
      <c r="AG17" s="11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x14ac:dyDescent="0.25">
      <c r="A18" s="9" t="s">
        <v>55</v>
      </c>
      <c r="B18" s="9" t="s">
        <v>35</v>
      </c>
      <c r="C18" s="9">
        <v>38.5</v>
      </c>
      <c r="D18" s="9"/>
      <c r="E18" s="9">
        <v>27.672000000000001</v>
      </c>
      <c r="F18" s="9">
        <v>5.3890000000000002</v>
      </c>
      <c r="G18" s="7">
        <v>1</v>
      </c>
      <c r="H18" s="9">
        <v>120</v>
      </c>
      <c r="I18" s="9" t="s">
        <v>36</v>
      </c>
      <c r="J18" s="9"/>
      <c r="K18" s="9"/>
      <c r="L18" s="9">
        <f t="shared" si="2"/>
        <v>27.672000000000001</v>
      </c>
      <c r="M18" s="9"/>
      <c r="N18" s="9"/>
      <c r="O18" s="9">
        <v>100</v>
      </c>
      <c r="P18" s="9">
        <v>200</v>
      </c>
      <c r="Q18" s="9">
        <v>0</v>
      </c>
      <c r="R18" s="9">
        <f t="shared" si="3"/>
        <v>5.5343999999999998</v>
      </c>
      <c r="S18" s="4"/>
      <c r="T18" s="4"/>
      <c r="U18" s="9"/>
      <c r="V18" s="9">
        <f t="shared" si="4"/>
        <v>55.180145995952593</v>
      </c>
      <c r="W18" s="9">
        <f t="shared" si="5"/>
        <v>55.180145995952593</v>
      </c>
      <c r="X18" s="9">
        <v>-8.8200000000000001E-2</v>
      </c>
      <c r="Y18" s="9">
        <v>10.9802</v>
      </c>
      <c r="Z18" s="9">
        <v>11.061</v>
      </c>
      <c r="AA18" s="9">
        <v>3.4205999999999999</v>
      </c>
      <c r="AB18" s="9">
        <v>11.061</v>
      </c>
      <c r="AC18" s="9">
        <v>5.2569999999999997</v>
      </c>
      <c r="AD18" s="9">
        <v>10.797800000000001</v>
      </c>
      <c r="AE18" s="9">
        <v>7.4238</v>
      </c>
      <c r="AF18" s="9"/>
      <c r="AG18" s="9">
        <f t="shared" ref="AG18:AG25" si="7">G18*S18</f>
        <v>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5">
      <c r="A19" s="9" t="s">
        <v>56</v>
      </c>
      <c r="B19" s="9" t="s">
        <v>38</v>
      </c>
      <c r="C19" s="9">
        <v>377</v>
      </c>
      <c r="D19" s="9"/>
      <c r="E19" s="9">
        <v>142</v>
      </c>
      <c r="F19" s="9">
        <v>229</v>
      </c>
      <c r="G19" s="7">
        <v>0.25</v>
      </c>
      <c r="H19" s="9">
        <v>120</v>
      </c>
      <c r="I19" s="9" t="s">
        <v>36</v>
      </c>
      <c r="J19" s="9"/>
      <c r="K19" s="9"/>
      <c r="L19" s="9">
        <f t="shared" si="2"/>
        <v>142</v>
      </c>
      <c r="M19" s="9"/>
      <c r="N19" s="9"/>
      <c r="O19" s="9">
        <v>400</v>
      </c>
      <c r="P19" s="9">
        <v>400</v>
      </c>
      <c r="Q19" s="9">
        <v>120</v>
      </c>
      <c r="R19" s="9">
        <f t="shared" si="3"/>
        <v>28.4</v>
      </c>
      <c r="S19" s="4"/>
      <c r="T19" s="4"/>
      <c r="U19" s="9"/>
      <c r="V19" s="9">
        <f t="shared" si="4"/>
        <v>40.45774647887324</v>
      </c>
      <c r="W19" s="9">
        <f t="shared" si="5"/>
        <v>40.45774647887324</v>
      </c>
      <c r="X19" s="9">
        <v>24.2</v>
      </c>
      <c r="Y19" s="9">
        <v>114.8</v>
      </c>
      <c r="Z19" s="9">
        <v>37.4</v>
      </c>
      <c r="AA19" s="9">
        <v>25.4</v>
      </c>
      <c r="AB19" s="9">
        <v>37.4</v>
      </c>
      <c r="AC19" s="9">
        <v>27.2</v>
      </c>
      <c r="AD19" s="9">
        <v>40</v>
      </c>
      <c r="AE19" s="9">
        <v>34</v>
      </c>
      <c r="AF19" s="16" t="s">
        <v>48</v>
      </c>
      <c r="AG19" s="9">
        <f t="shared" si="7"/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25">
      <c r="A20" s="9" t="s">
        <v>57</v>
      </c>
      <c r="B20" s="9" t="s">
        <v>38</v>
      </c>
      <c r="C20" s="9">
        <v>386</v>
      </c>
      <c r="D20" s="9"/>
      <c r="E20" s="9">
        <v>334</v>
      </c>
      <c r="F20" s="9">
        <v>40</v>
      </c>
      <c r="G20" s="7">
        <v>0.25</v>
      </c>
      <c r="H20" s="9">
        <v>120</v>
      </c>
      <c r="I20" s="9" t="s">
        <v>36</v>
      </c>
      <c r="J20" s="9"/>
      <c r="K20" s="9"/>
      <c r="L20" s="9">
        <f t="shared" si="2"/>
        <v>334</v>
      </c>
      <c r="M20" s="9"/>
      <c r="N20" s="9"/>
      <c r="O20" s="9">
        <v>500</v>
      </c>
      <c r="P20" s="9">
        <v>500</v>
      </c>
      <c r="Q20" s="9">
        <v>120</v>
      </c>
      <c r="R20" s="9">
        <f t="shared" si="3"/>
        <v>66.8</v>
      </c>
      <c r="S20" s="4">
        <v>200</v>
      </c>
      <c r="T20" s="4"/>
      <c r="U20" s="9">
        <v>176</v>
      </c>
      <c r="V20" s="9">
        <f t="shared" si="4"/>
        <v>20.359281437125748</v>
      </c>
      <c r="W20" s="9">
        <f t="shared" si="5"/>
        <v>17.365269461077844</v>
      </c>
      <c r="X20" s="9">
        <v>39.799999999999997</v>
      </c>
      <c r="Y20" s="9">
        <v>154.4</v>
      </c>
      <c r="Z20" s="9">
        <v>68.8</v>
      </c>
      <c r="AA20" s="9">
        <v>42.4</v>
      </c>
      <c r="AB20" s="9">
        <v>68.8</v>
      </c>
      <c r="AC20" s="9">
        <v>56.2</v>
      </c>
      <c r="AD20" s="9">
        <v>65.8</v>
      </c>
      <c r="AE20" s="9">
        <v>52.4</v>
      </c>
      <c r="AF20" s="9"/>
      <c r="AG20" s="9">
        <f t="shared" si="7"/>
        <v>50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5">
      <c r="A21" s="9" t="s">
        <v>58</v>
      </c>
      <c r="B21" s="9" t="s">
        <v>35</v>
      </c>
      <c r="C21" s="9">
        <v>33.5</v>
      </c>
      <c r="D21" s="9"/>
      <c r="E21" s="9">
        <v>33.713999999999999</v>
      </c>
      <c r="F21" s="9">
        <v>-1.1910000000000001</v>
      </c>
      <c r="G21" s="7">
        <v>1</v>
      </c>
      <c r="H21" s="9">
        <v>120</v>
      </c>
      <c r="I21" s="9" t="s">
        <v>36</v>
      </c>
      <c r="J21" s="9"/>
      <c r="K21" s="9"/>
      <c r="L21" s="9">
        <f t="shared" si="2"/>
        <v>33.713999999999999</v>
      </c>
      <c r="M21" s="9"/>
      <c r="N21" s="9"/>
      <c r="O21" s="9">
        <v>100</v>
      </c>
      <c r="P21" s="9">
        <v>200</v>
      </c>
      <c r="Q21" s="9">
        <v>0</v>
      </c>
      <c r="R21" s="9">
        <f t="shared" si="3"/>
        <v>6.7427999999999999</v>
      </c>
      <c r="S21" s="4">
        <v>50</v>
      </c>
      <c r="T21" s="4"/>
      <c r="U21" s="9"/>
      <c r="V21" s="9">
        <f t="shared" si="4"/>
        <v>51.730586699887283</v>
      </c>
      <c r="W21" s="9">
        <f t="shared" si="5"/>
        <v>44.315269620928987</v>
      </c>
      <c r="X21" s="9">
        <v>2.2357999999999998</v>
      </c>
      <c r="Y21" s="9">
        <v>8.5774000000000008</v>
      </c>
      <c r="Z21" s="9">
        <v>9.9432000000000009</v>
      </c>
      <c r="AA21" s="9">
        <v>5.8616000000000001</v>
      </c>
      <c r="AB21" s="9">
        <v>9.9432000000000009</v>
      </c>
      <c r="AC21" s="9">
        <v>6.5418000000000003</v>
      </c>
      <c r="AD21" s="9">
        <v>5.2915999999999999</v>
      </c>
      <c r="AE21" s="9">
        <v>13.229799999999999</v>
      </c>
      <c r="AF21" s="9"/>
      <c r="AG21" s="9">
        <f t="shared" si="7"/>
        <v>50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25">
      <c r="A22" s="9" t="s">
        <v>59</v>
      </c>
      <c r="B22" s="9" t="s">
        <v>38</v>
      </c>
      <c r="C22" s="9">
        <v>423</v>
      </c>
      <c r="D22" s="9"/>
      <c r="E22" s="9">
        <v>157</v>
      </c>
      <c r="F22" s="9">
        <v>261</v>
      </c>
      <c r="G22" s="7">
        <v>0.25</v>
      </c>
      <c r="H22" s="9">
        <v>120</v>
      </c>
      <c r="I22" s="9" t="s">
        <v>36</v>
      </c>
      <c r="J22" s="9"/>
      <c r="K22" s="9"/>
      <c r="L22" s="9">
        <f t="shared" si="2"/>
        <v>157</v>
      </c>
      <c r="M22" s="9"/>
      <c r="N22" s="9"/>
      <c r="O22" s="9">
        <v>400</v>
      </c>
      <c r="P22" s="9">
        <v>400</v>
      </c>
      <c r="Q22" s="9">
        <v>80</v>
      </c>
      <c r="R22" s="9">
        <f t="shared" si="3"/>
        <v>31.4</v>
      </c>
      <c r="S22" s="4"/>
      <c r="T22" s="4"/>
      <c r="U22" s="9"/>
      <c r="V22" s="9">
        <f t="shared" si="4"/>
        <v>36.337579617834393</v>
      </c>
      <c r="W22" s="9">
        <f t="shared" si="5"/>
        <v>36.337579617834393</v>
      </c>
      <c r="X22" s="9">
        <v>18.600000000000001</v>
      </c>
      <c r="Y22" s="9">
        <v>126.4</v>
      </c>
      <c r="Z22" s="9">
        <v>44.2</v>
      </c>
      <c r="AA22" s="9">
        <v>23.4</v>
      </c>
      <c r="AB22" s="9">
        <v>44.2</v>
      </c>
      <c r="AC22" s="9">
        <v>27.2</v>
      </c>
      <c r="AD22" s="9">
        <v>47.4</v>
      </c>
      <c r="AE22" s="9">
        <v>44.4</v>
      </c>
      <c r="AF22" s="16" t="s">
        <v>48</v>
      </c>
      <c r="AG22" s="9">
        <f t="shared" si="7"/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5">
      <c r="A23" s="9" t="s">
        <v>60</v>
      </c>
      <c r="B23" s="9" t="s">
        <v>38</v>
      </c>
      <c r="C23" s="9">
        <v>93</v>
      </c>
      <c r="D23" s="9"/>
      <c r="E23" s="9"/>
      <c r="F23" s="9">
        <v>90</v>
      </c>
      <c r="G23" s="7">
        <v>0.3</v>
      </c>
      <c r="H23" s="9">
        <v>45</v>
      </c>
      <c r="I23" s="9">
        <v>1001083446207</v>
      </c>
      <c r="J23" s="9"/>
      <c r="K23" s="9"/>
      <c r="L23" s="9">
        <f t="shared" si="2"/>
        <v>0</v>
      </c>
      <c r="M23" s="9"/>
      <c r="N23" s="9"/>
      <c r="O23" s="9">
        <v>200</v>
      </c>
      <c r="P23" s="9">
        <v>200</v>
      </c>
      <c r="Q23" s="9">
        <v>0</v>
      </c>
      <c r="R23" s="9">
        <f t="shared" si="3"/>
        <v>0</v>
      </c>
      <c r="S23" s="4">
        <v>120</v>
      </c>
      <c r="T23" s="4"/>
      <c r="U23" s="9"/>
      <c r="V23" s="9" t="e">
        <f t="shared" si="4"/>
        <v>#DIV/0!</v>
      </c>
      <c r="W23" s="9" t="e">
        <f t="shared" si="5"/>
        <v>#DIV/0!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15" t="s">
        <v>86</v>
      </c>
      <c r="AG23" s="9">
        <f t="shared" si="7"/>
        <v>36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25">
      <c r="A24" s="9" t="s">
        <v>61</v>
      </c>
      <c r="B24" s="9" t="s">
        <v>35</v>
      </c>
      <c r="C24" s="9">
        <v>104</v>
      </c>
      <c r="D24" s="9"/>
      <c r="E24" s="9">
        <v>43.478000000000002</v>
      </c>
      <c r="F24" s="9">
        <v>60.521999999999998</v>
      </c>
      <c r="G24" s="7">
        <v>1</v>
      </c>
      <c r="H24" s="9">
        <v>60</v>
      </c>
      <c r="I24" s="9" t="s">
        <v>36</v>
      </c>
      <c r="J24" s="9"/>
      <c r="K24" s="9"/>
      <c r="L24" s="9">
        <f t="shared" si="2"/>
        <v>43.478000000000002</v>
      </c>
      <c r="M24" s="9"/>
      <c r="N24" s="9"/>
      <c r="O24" s="9">
        <v>50</v>
      </c>
      <c r="P24" s="9">
        <v>50</v>
      </c>
      <c r="Q24" s="9">
        <v>0</v>
      </c>
      <c r="R24" s="9">
        <f t="shared" si="3"/>
        <v>8.6956000000000007</v>
      </c>
      <c r="S24" s="4">
        <v>50</v>
      </c>
      <c r="T24" s="4"/>
      <c r="U24" s="9">
        <v>13.390000000000008</v>
      </c>
      <c r="V24" s="9">
        <f t="shared" si="4"/>
        <v>24.210175261051564</v>
      </c>
      <c r="W24" s="9">
        <f t="shared" si="5"/>
        <v>18.460140760844563</v>
      </c>
      <c r="X24" s="9">
        <v>5.1772</v>
      </c>
      <c r="Y24" s="9">
        <v>17.4148</v>
      </c>
      <c r="Z24" s="9">
        <v>8.007200000000001</v>
      </c>
      <c r="AA24" s="9">
        <v>6.4287999999999998</v>
      </c>
      <c r="AB24" s="9">
        <v>8.007200000000001</v>
      </c>
      <c r="AC24" s="9">
        <v>3.8077999999999999</v>
      </c>
      <c r="AD24" s="9">
        <v>4.3731999999999998</v>
      </c>
      <c r="AE24" s="9">
        <v>11.28</v>
      </c>
      <c r="AF24" s="9"/>
      <c r="AG24" s="9">
        <f t="shared" si="7"/>
        <v>50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5">
      <c r="A25" s="9" t="s">
        <v>62</v>
      </c>
      <c r="B25" s="9" t="s">
        <v>38</v>
      </c>
      <c r="C25" s="9">
        <v>933</v>
      </c>
      <c r="D25" s="9"/>
      <c r="E25" s="9">
        <v>286</v>
      </c>
      <c r="F25" s="9">
        <v>643</v>
      </c>
      <c r="G25" s="7">
        <v>0.4</v>
      </c>
      <c r="H25" s="9">
        <v>60</v>
      </c>
      <c r="I25" s="9" t="s">
        <v>36</v>
      </c>
      <c r="J25" s="9"/>
      <c r="K25" s="9"/>
      <c r="L25" s="9">
        <f t="shared" si="2"/>
        <v>286</v>
      </c>
      <c r="M25" s="9"/>
      <c r="N25" s="9"/>
      <c r="O25" s="9">
        <v>0</v>
      </c>
      <c r="P25" s="9">
        <v>0</v>
      </c>
      <c r="Q25" s="9">
        <v>400</v>
      </c>
      <c r="R25" s="9">
        <f t="shared" si="3"/>
        <v>57.2</v>
      </c>
      <c r="S25" s="4">
        <v>200</v>
      </c>
      <c r="T25" s="4"/>
      <c r="U25" s="9">
        <v>101</v>
      </c>
      <c r="V25" s="9">
        <f t="shared" si="4"/>
        <v>21.73076923076923</v>
      </c>
      <c r="W25" s="9">
        <f t="shared" si="5"/>
        <v>18.234265734265733</v>
      </c>
      <c r="X25" s="9">
        <v>41.8</v>
      </c>
      <c r="Y25" s="9">
        <v>101.8</v>
      </c>
      <c r="Z25" s="9">
        <v>41.8</v>
      </c>
      <c r="AA25" s="9">
        <v>27.8</v>
      </c>
      <c r="AB25" s="9">
        <v>41.8</v>
      </c>
      <c r="AC25" s="9">
        <v>26.4</v>
      </c>
      <c r="AD25" s="9">
        <v>17.2</v>
      </c>
      <c r="AE25" s="9">
        <v>45.4</v>
      </c>
      <c r="AF25" s="9"/>
      <c r="AG25" s="9">
        <f t="shared" si="7"/>
        <v>80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25">
      <c r="A26" s="11" t="s">
        <v>63</v>
      </c>
      <c r="B26" s="11" t="s">
        <v>38</v>
      </c>
      <c r="C26" s="11">
        <v>130</v>
      </c>
      <c r="D26" s="11"/>
      <c r="E26" s="14">
        <v>12</v>
      </c>
      <c r="F26" s="14">
        <v>110</v>
      </c>
      <c r="G26" s="12">
        <v>0</v>
      </c>
      <c r="H26" s="11"/>
      <c r="I26" s="11" t="s">
        <v>43</v>
      </c>
      <c r="J26" s="11" t="s">
        <v>64</v>
      </c>
      <c r="K26" s="11"/>
      <c r="L26" s="11">
        <f t="shared" si="2"/>
        <v>12</v>
      </c>
      <c r="M26" s="11"/>
      <c r="N26" s="11"/>
      <c r="O26" s="11">
        <v>0</v>
      </c>
      <c r="P26" s="11">
        <v>0</v>
      </c>
      <c r="Q26" s="11">
        <v>0</v>
      </c>
      <c r="R26" s="11">
        <f t="shared" si="3"/>
        <v>2.4</v>
      </c>
      <c r="S26" s="4"/>
      <c r="T26" s="13"/>
      <c r="U26" s="11"/>
      <c r="V26" s="11">
        <f t="shared" si="4"/>
        <v>45.833333333333336</v>
      </c>
      <c r="W26" s="11">
        <f t="shared" si="5"/>
        <v>45.833333333333336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 t="s">
        <v>65</v>
      </c>
      <c r="AG26" s="11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5">
      <c r="A27" s="9" t="s">
        <v>64</v>
      </c>
      <c r="B27" s="9" t="s">
        <v>38</v>
      </c>
      <c r="C27" s="9">
        <v>-73</v>
      </c>
      <c r="D27" s="9"/>
      <c r="E27" s="14">
        <f>91+E26</f>
        <v>103</v>
      </c>
      <c r="F27" s="14">
        <f>-181+F26</f>
        <v>-71</v>
      </c>
      <c r="G27" s="7">
        <v>0.5</v>
      </c>
      <c r="H27" s="9">
        <v>60</v>
      </c>
      <c r="I27" s="9" t="s">
        <v>36</v>
      </c>
      <c r="J27" s="9"/>
      <c r="K27" s="9"/>
      <c r="L27" s="9">
        <f t="shared" si="2"/>
        <v>103</v>
      </c>
      <c r="M27" s="9"/>
      <c r="N27" s="9"/>
      <c r="O27" s="9">
        <v>500</v>
      </c>
      <c r="P27" s="9">
        <v>400</v>
      </c>
      <c r="Q27" s="9">
        <v>400</v>
      </c>
      <c r="R27" s="9">
        <f t="shared" si="3"/>
        <v>20.6</v>
      </c>
      <c r="S27" s="4">
        <v>120</v>
      </c>
      <c r="T27" s="4"/>
      <c r="U27" s="9"/>
      <c r="V27" s="9">
        <f t="shared" si="4"/>
        <v>65.485436893203882</v>
      </c>
      <c r="W27" s="9">
        <f t="shared" si="5"/>
        <v>59.660194174757279</v>
      </c>
      <c r="X27" s="9">
        <v>35.4</v>
      </c>
      <c r="Y27" s="9">
        <v>133.4</v>
      </c>
      <c r="Z27" s="9">
        <v>128.80000000000001</v>
      </c>
      <c r="AA27" s="9">
        <v>29.4</v>
      </c>
      <c r="AB27" s="9">
        <v>128.80000000000001</v>
      </c>
      <c r="AC27" s="9">
        <v>64.8</v>
      </c>
      <c r="AD27" s="9">
        <v>88.2</v>
      </c>
      <c r="AE27" s="9">
        <v>83</v>
      </c>
      <c r="AF27" s="9" t="s">
        <v>66</v>
      </c>
      <c r="AG27" s="9">
        <f>G27*S27</f>
        <v>60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25">
      <c r="A28" s="9" t="s">
        <v>67</v>
      </c>
      <c r="B28" s="9"/>
      <c r="C28" s="9"/>
      <c r="D28" s="9"/>
      <c r="E28" s="9"/>
      <c r="F28" s="9">
        <v>-1.002</v>
      </c>
      <c r="G28" s="7">
        <v>1</v>
      </c>
      <c r="H28" s="9"/>
      <c r="I28" s="9">
        <v>1001032736549</v>
      </c>
      <c r="J28" s="9"/>
      <c r="K28" s="9"/>
      <c r="L28" s="9">
        <f t="shared" si="2"/>
        <v>0</v>
      </c>
      <c r="M28" s="9"/>
      <c r="N28" s="9"/>
      <c r="O28" s="9">
        <v>200</v>
      </c>
      <c r="P28" s="9">
        <v>200</v>
      </c>
      <c r="Q28" s="9">
        <v>0</v>
      </c>
      <c r="R28" s="9">
        <f t="shared" si="3"/>
        <v>0</v>
      </c>
      <c r="S28" s="4">
        <v>100</v>
      </c>
      <c r="T28" s="4"/>
      <c r="U28" s="9"/>
      <c r="V28" s="9" t="e">
        <f t="shared" si="4"/>
        <v>#DIV/0!</v>
      </c>
      <c r="W28" s="9" t="e">
        <f t="shared" si="5"/>
        <v>#DIV/0!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10" t="s">
        <v>41</v>
      </c>
      <c r="AG28" s="9">
        <f>G28*S28</f>
        <v>100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5">
      <c r="A29" s="9" t="s">
        <v>68</v>
      </c>
      <c r="B29" s="9" t="s">
        <v>38</v>
      </c>
      <c r="C29" s="9">
        <v>53</v>
      </c>
      <c r="D29" s="9"/>
      <c r="E29" s="9"/>
      <c r="F29" s="9">
        <v>50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2"/>
        <v>0</v>
      </c>
      <c r="M29" s="9"/>
      <c r="N29" s="9"/>
      <c r="O29" s="9">
        <v>150</v>
      </c>
      <c r="P29" s="9">
        <v>0</v>
      </c>
      <c r="Q29" s="9">
        <v>160</v>
      </c>
      <c r="R29" s="9">
        <f t="shared" si="3"/>
        <v>0</v>
      </c>
      <c r="S29" s="4">
        <v>60</v>
      </c>
      <c r="T29" s="4"/>
      <c r="U29" s="9"/>
      <c r="V29" s="9" t="e">
        <f t="shared" si="4"/>
        <v>#DIV/0!</v>
      </c>
      <c r="W29" s="9" t="e">
        <f t="shared" si="5"/>
        <v>#DIV/0!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15" t="s">
        <v>86</v>
      </c>
      <c r="AG29" s="9">
        <f>G29*S29</f>
        <v>18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25">
      <c r="A30" s="11" t="s">
        <v>69</v>
      </c>
      <c r="B30" s="11" t="s">
        <v>38</v>
      </c>
      <c r="C30" s="11">
        <v>62</v>
      </c>
      <c r="D30" s="11"/>
      <c r="E30" s="11">
        <v>48</v>
      </c>
      <c r="F30" s="11">
        <v>6</v>
      </c>
      <c r="G30" s="12">
        <v>0</v>
      </c>
      <c r="H30" s="11">
        <v>45</v>
      </c>
      <c r="I30" s="11" t="s">
        <v>70</v>
      </c>
      <c r="J30" s="11"/>
      <c r="K30" s="11"/>
      <c r="L30" s="11">
        <f t="shared" si="2"/>
        <v>48</v>
      </c>
      <c r="M30" s="11"/>
      <c r="N30" s="11"/>
      <c r="O30" s="11">
        <v>0</v>
      </c>
      <c r="P30" s="11">
        <v>0</v>
      </c>
      <c r="Q30" s="11">
        <v>0</v>
      </c>
      <c r="R30" s="11">
        <f t="shared" si="3"/>
        <v>9.6</v>
      </c>
      <c r="S30" s="4"/>
      <c r="T30" s="13"/>
      <c r="U30" s="11"/>
      <c r="V30" s="11">
        <f t="shared" si="4"/>
        <v>0.625</v>
      </c>
      <c r="W30" s="11">
        <f t="shared" si="5"/>
        <v>0.625</v>
      </c>
      <c r="X30" s="11">
        <v>21.8</v>
      </c>
      <c r="Y30" s="11">
        <v>23.8</v>
      </c>
      <c r="Z30" s="11">
        <v>22</v>
      </c>
      <c r="AA30" s="11">
        <v>21.2</v>
      </c>
      <c r="AB30" s="11">
        <v>22</v>
      </c>
      <c r="AC30" s="11">
        <v>20.6</v>
      </c>
      <c r="AD30" s="11">
        <v>32.6</v>
      </c>
      <c r="AE30" s="11">
        <v>31.2</v>
      </c>
      <c r="AF30" s="11" t="s">
        <v>70</v>
      </c>
      <c r="AG30" s="11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5">
      <c r="A31" s="9" t="s">
        <v>71</v>
      </c>
      <c r="B31" s="9" t="s">
        <v>38</v>
      </c>
      <c r="C31" s="9">
        <v>116</v>
      </c>
      <c r="D31" s="9"/>
      <c r="E31" s="9"/>
      <c r="F31" s="9">
        <v>112</v>
      </c>
      <c r="G31" s="7">
        <v>0.28000000000000003</v>
      </c>
      <c r="H31" s="9">
        <v>45</v>
      </c>
      <c r="I31" s="9">
        <v>1001303107241</v>
      </c>
      <c r="J31" s="9"/>
      <c r="K31" s="9"/>
      <c r="L31" s="9">
        <f t="shared" si="2"/>
        <v>0</v>
      </c>
      <c r="M31" s="9"/>
      <c r="N31" s="9"/>
      <c r="O31" s="9">
        <v>250</v>
      </c>
      <c r="P31" s="9">
        <v>0</v>
      </c>
      <c r="Q31" s="9">
        <v>120</v>
      </c>
      <c r="R31" s="9">
        <f t="shared" si="3"/>
        <v>0</v>
      </c>
      <c r="S31" s="4">
        <v>160</v>
      </c>
      <c r="T31" s="4"/>
      <c r="U31" s="9"/>
      <c r="V31" s="9" t="e">
        <f t="shared" si="4"/>
        <v>#DIV/0!</v>
      </c>
      <c r="W31" s="9" t="e">
        <f t="shared" si="5"/>
        <v>#DIV/0!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15" t="s">
        <v>86</v>
      </c>
      <c r="AG31" s="9">
        <f t="shared" ref="AG31:AG46" si="8">G31*S31</f>
        <v>44.800000000000004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25">
      <c r="A32" s="9" t="s">
        <v>44</v>
      </c>
      <c r="B32" s="9" t="s">
        <v>38</v>
      </c>
      <c r="C32" s="9">
        <v>126</v>
      </c>
      <c r="D32" s="9"/>
      <c r="E32" s="9">
        <v>95</v>
      </c>
      <c r="F32" s="14">
        <f>16+F10</f>
        <v>14</v>
      </c>
      <c r="G32" s="7">
        <v>0.33</v>
      </c>
      <c r="H32" s="9">
        <v>45</v>
      </c>
      <c r="I32" s="9" t="s">
        <v>36</v>
      </c>
      <c r="J32" s="9"/>
      <c r="K32" s="9"/>
      <c r="L32" s="9">
        <f t="shared" si="2"/>
        <v>95</v>
      </c>
      <c r="M32" s="9"/>
      <c r="N32" s="9"/>
      <c r="O32" s="9">
        <v>500</v>
      </c>
      <c r="P32" s="9">
        <v>200</v>
      </c>
      <c r="Q32" s="9">
        <v>320</v>
      </c>
      <c r="R32" s="9">
        <f t="shared" si="3"/>
        <v>19</v>
      </c>
      <c r="S32" s="4">
        <v>200</v>
      </c>
      <c r="T32" s="4"/>
      <c r="U32" s="9"/>
      <c r="V32" s="9">
        <f t="shared" si="4"/>
        <v>64.94736842105263</v>
      </c>
      <c r="W32" s="9">
        <f t="shared" si="5"/>
        <v>54.421052631578945</v>
      </c>
      <c r="X32" s="9">
        <v>25.4</v>
      </c>
      <c r="Y32" s="9">
        <v>152.6</v>
      </c>
      <c r="Z32" s="9">
        <v>59.4</v>
      </c>
      <c r="AA32" s="9">
        <v>42.2</v>
      </c>
      <c r="AB32" s="9">
        <v>59.4</v>
      </c>
      <c r="AC32" s="9">
        <v>44.2</v>
      </c>
      <c r="AD32" s="9">
        <v>61.4</v>
      </c>
      <c r="AE32" s="9">
        <v>71.2</v>
      </c>
      <c r="AF32" s="9"/>
      <c r="AG32" s="9">
        <f t="shared" si="8"/>
        <v>66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5">
      <c r="A33" s="9" t="s">
        <v>72</v>
      </c>
      <c r="B33" s="9" t="s">
        <v>38</v>
      </c>
      <c r="C33" s="9">
        <v>140</v>
      </c>
      <c r="D33" s="9"/>
      <c r="E33" s="9">
        <v>105</v>
      </c>
      <c r="F33" s="9">
        <v>29</v>
      </c>
      <c r="G33" s="7">
        <v>0.4</v>
      </c>
      <c r="H33" s="9">
        <v>45</v>
      </c>
      <c r="I33" s="9" t="s">
        <v>36</v>
      </c>
      <c r="J33" s="9"/>
      <c r="K33" s="9"/>
      <c r="L33" s="9">
        <f t="shared" si="2"/>
        <v>105</v>
      </c>
      <c r="M33" s="9"/>
      <c r="N33" s="9"/>
      <c r="O33" s="9">
        <v>150</v>
      </c>
      <c r="P33" s="9">
        <v>100</v>
      </c>
      <c r="Q33" s="9">
        <v>40</v>
      </c>
      <c r="R33" s="9">
        <f t="shared" si="3"/>
        <v>21</v>
      </c>
      <c r="S33" s="4">
        <v>160</v>
      </c>
      <c r="T33" s="4"/>
      <c r="U33" s="9">
        <v>101</v>
      </c>
      <c r="V33" s="9">
        <f t="shared" si="4"/>
        <v>22.80952380952381</v>
      </c>
      <c r="W33" s="9">
        <f t="shared" si="5"/>
        <v>15.19047619047619</v>
      </c>
      <c r="X33" s="9">
        <v>16.8</v>
      </c>
      <c r="Y33" s="9">
        <v>15.2</v>
      </c>
      <c r="Z33" s="9">
        <v>18.2</v>
      </c>
      <c r="AA33" s="9">
        <v>12.6</v>
      </c>
      <c r="AB33" s="9">
        <v>18.2</v>
      </c>
      <c r="AC33" s="9">
        <v>20</v>
      </c>
      <c r="AD33" s="9">
        <v>31</v>
      </c>
      <c r="AE33" s="9">
        <v>24.2</v>
      </c>
      <c r="AF33" s="9"/>
      <c r="AG33" s="9">
        <f t="shared" si="8"/>
        <v>64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25">
      <c r="A34" s="9" t="s">
        <v>73</v>
      </c>
      <c r="B34" s="9" t="s">
        <v>35</v>
      </c>
      <c r="C34" s="9">
        <v>217</v>
      </c>
      <c r="D34" s="9"/>
      <c r="E34" s="9">
        <v>212.005</v>
      </c>
      <c r="F34" s="9">
        <v>2.246</v>
      </c>
      <c r="G34" s="7">
        <v>1</v>
      </c>
      <c r="H34" s="9">
        <v>60</v>
      </c>
      <c r="I34" s="9" t="s">
        <v>36</v>
      </c>
      <c r="J34" s="9"/>
      <c r="K34" s="9"/>
      <c r="L34" s="9">
        <f t="shared" si="2"/>
        <v>212.005</v>
      </c>
      <c r="M34" s="9"/>
      <c r="N34" s="9"/>
      <c r="O34" s="9">
        <v>150</v>
      </c>
      <c r="P34" s="9">
        <v>150</v>
      </c>
      <c r="Q34" s="9">
        <v>300</v>
      </c>
      <c r="R34" s="9">
        <f t="shared" si="3"/>
        <v>42.400999999999996</v>
      </c>
      <c r="S34" s="4">
        <v>250</v>
      </c>
      <c r="T34" s="4"/>
      <c r="U34" s="9">
        <v>245.77399999999997</v>
      </c>
      <c r="V34" s="9">
        <f t="shared" si="4"/>
        <v>20.0996674606731</v>
      </c>
      <c r="W34" s="9">
        <f t="shared" si="5"/>
        <v>14.203580104242825</v>
      </c>
      <c r="X34" s="9">
        <v>42.771000000000001</v>
      </c>
      <c r="Y34" s="9">
        <v>47.454000000000001</v>
      </c>
      <c r="Z34" s="9">
        <v>36.903599999999997</v>
      </c>
      <c r="AA34" s="9">
        <v>31.8858</v>
      </c>
      <c r="AB34" s="9">
        <v>36.903599999999997</v>
      </c>
      <c r="AC34" s="9">
        <v>42.125799999999998</v>
      </c>
      <c r="AD34" s="9">
        <v>45.726999999999997</v>
      </c>
      <c r="AE34" s="9">
        <v>51.441999999999993</v>
      </c>
      <c r="AF34" s="9"/>
      <c r="AG34" s="9">
        <f t="shared" si="8"/>
        <v>250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5">
      <c r="A35" s="9" t="s">
        <v>74</v>
      </c>
      <c r="B35" s="9" t="s">
        <v>38</v>
      </c>
      <c r="C35" s="9">
        <v>303</v>
      </c>
      <c r="D35" s="9"/>
      <c r="E35" s="9">
        <v>105</v>
      </c>
      <c r="F35" s="9">
        <v>197</v>
      </c>
      <c r="G35" s="7">
        <v>0.3</v>
      </c>
      <c r="H35" s="9">
        <v>60</v>
      </c>
      <c r="I35" s="9" t="s">
        <v>36</v>
      </c>
      <c r="J35" s="9"/>
      <c r="K35" s="9"/>
      <c r="L35" s="9">
        <f t="shared" si="2"/>
        <v>105</v>
      </c>
      <c r="M35" s="9"/>
      <c r="N35" s="9"/>
      <c r="O35" s="9">
        <v>200</v>
      </c>
      <c r="P35" s="9">
        <v>0</v>
      </c>
      <c r="Q35" s="9">
        <v>200</v>
      </c>
      <c r="R35" s="9">
        <f t="shared" si="3"/>
        <v>21</v>
      </c>
      <c r="S35" s="4"/>
      <c r="T35" s="4"/>
      <c r="U35" s="9"/>
      <c r="V35" s="9">
        <f t="shared" si="4"/>
        <v>28.428571428571427</v>
      </c>
      <c r="W35" s="9">
        <f t="shared" si="5"/>
        <v>28.428571428571427</v>
      </c>
      <c r="X35" s="9">
        <v>14.8</v>
      </c>
      <c r="Y35" s="9">
        <v>22.8</v>
      </c>
      <c r="Z35" s="9">
        <v>29</v>
      </c>
      <c r="AA35" s="9">
        <v>-0.4</v>
      </c>
      <c r="AB35" s="9">
        <v>29</v>
      </c>
      <c r="AC35" s="9">
        <v>27.6</v>
      </c>
      <c r="AD35" s="9">
        <v>21.2</v>
      </c>
      <c r="AE35" s="9">
        <v>28.4</v>
      </c>
      <c r="AF35" s="17" t="s">
        <v>51</v>
      </c>
      <c r="AG35" s="9">
        <f t="shared" si="8"/>
        <v>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25">
      <c r="A36" s="9" t="s">
        <v>54</v>
      </c>
      <c r="B36" s="9" t="s">
        <v>38</v>
      </c>
      <c r="C36" s="9">
        <v>369</v>
      </c>
      <c r="D36" s="9"/>
      <c r="E36" s="9">
        <v>281</v>
      </c>
      <c r="F36" s="14">
        <f>81+F17</f>
        <v>78</v>
      </c>
      <c r="G36" s="7">
        <v>0.41</v>
      </c>
      <c r="H36" s="9">
        <v>50</v>
      </c>
      <c r="I36" s="9" t="s">
        <v>36</v>
      </c>
      <c r="J36" s="9"/>
      <c r="K36" s="9"/>
      <c r="L36" s="9">
        <f t="shared" si="2"/>
        <v>281</v>
      </c>
      <c r="M36" s="9"/>
      <c r="N36" s="9"/>
      <c r="O36" s="9">
        <v>150</v>
      </c>
      <c r="P36" s="9">
        <v>100</v>
      </c>
      <c r="Q36" s="9">
        <v>0</v>
      </c>
      <c r="R36" s="9">
        <f t="shared" si="3"/>
        <v>56.2</v>
      </c>
      <c r="S36" s="4">
        <v>200</v>
      </c>
      <c r="T36" s="4"/>
      <c r="U36" s="9">
        <v>458.80000000000007</v>
      </c>
      <c r="V36" s="9">
        <f t="shared" si="4"/>
        <v>9.395017793594306</v>
      </c>
      <c r="W36" s="9">
        <f t="shared" si="5"/>
        <v>5.8362989323843415</v>
      </c>
      <c r="X36" s="9">
        <v>16.2</v>
      </c>
      <c r="Y36" s="9">
        <v>39.4</v>
      </c>
      <c r="Z36" s="9">
        <v>36.200000000000003</v>
      </c>
      <c r="AA36" s="9">
        <v>20</v>
      </c>
      <c r="AB36" s="9">
        <v>36.200000000000003</v>
      </c>
      <c r="AC36" s="9">
        <v>26.6</v>
      </c>
      <c r="AD36" s="9">
        <v>43</v>
      </c>
      <c r="AE36" s="9">
        <v>26.8</v>
      </c>
      <c r="AF36" s="9"/>
      <c r="AG36" s="9">
        <f t="shared" si="8"/>
        <v>82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5">
      <c r="A37" s="9" t="s">
        <v>75</v>
      </c>
      <c r="B37" s="9" t="s">
        <v>35</v>
      </c>
      <c r="C37" s="9">
        <v>203.77500000000001</v>
      </c>
      <c r="D37" s="9"/>
      <c r="E37" s="9">
        <v>174.08600000000001</v>
      </c>
      <c r="F37" s="9">
        <v>19.172000000000001</v>
      </c>
      <c r="G37" s="7">
        <v>1</v>
      </c>
      <c r="H37" s="9">
        <v>50</v>
      </c>
      <c r="I37" s="9" t="s">
        <v>36</v>
      </c>
      <c r="J37" s="9"/>
      <c r="K37" s="9"/>
      <c r="L37" s="9">
        <f t="shared" si="2"/>
        <v>174.08600000000001</v>
      </c>
      <c r="M37" s="9"/>
      <c r="N37" s="9"/>
      <c r="O37" s="9">
        <v>400</v>
      </c>
      <c r="P37" s="9">
        <v>400</v>
      </c>
      <c r="Q37" s="9">
        <v>450</v>
      </c>
      <c r="R37" s="9">
        <f t="shared" si="3"/>
        <v>34.8172</v>
      </c>
      <c r="S37" s="4">
        <v>350</v>
      </c>
      <c r="T37" s="4"/>
      <c r="U37" s="9"/>
      <c r="V37" s="9">
        <f t="shared" si="4"/>
        <v>46.504945831370705</v>
      </c>
      <c r="W37" s="9">
        <f t="shared" si="5"/>
        <v>36.452443045391362</v>
      </c>
      <c r="X37" s="9">
        <v>59.212000000000003</v>
      </c>
      <c r="Y37" s="9">
        <v>91.616600000000005</v>
      </c>
      <c r="Z37" s="9">
        <v>65.309400000000011</v>
      </c>
      <c r="AA37" s="9">
        <v>78.678399999999996</v>
      </c>
      <c r="AB37" s="9">
        <v>65.309400000000011</v>
      </c>
      <c r="AC37" s="9">
        <v>62.679200000000002</v>
      </c>
      <c r="AD37" s="9">
        <v>68.656800000000004</v>
      </c>
      <c r="AE37" s="9">
        <v>94.631600000000006</v>
      </c>
      <c r="AF37" s="9"/>
      <c r="AG37" s="9">
        <f t="shared" si="8"/>
        <v>350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9" t="s">
        <v>76</v>
      </c>
      <c r="B38" s="9" t="s">
        <v>35</v>
      </c>
      <c r="C38" s="9">
        <v>192.2</v>
      </c>
      <c r="D38" s="9"/>
      <c r="E38" s="9">
        <v>185.32900000000001</v>
      </c>
      <c r="F38" s="9">
        <v>5.3330000000000002</v>
      </c>
      <c r="G38" s="7">
        <v>1</v>
      </c>
      <c r="H38" s="9">
        <v>50</v>
      </c>
      <c r="I38" s="9" t="s">
        <v>36</v>
      </c>
      <c r="J38" s="9"/>
      <c r="K38" s="9"/>
      <c r="L38" s="9">
        <f t="shared" si="2"/>
        <v>185.32900000000001</v>
      </c>
      <c r="M38" s="9"/>
      <c r="N38" s="9"/>
      <c r="O38" s="9">
        <v>150</v>
      </c>
      <c r="P38" s="9">
        <v>50</v>
      </c>
      <c r="Q38" s="9">
        <v>100</v>
      </c>
      <c r="R38" s="9">
        <f t="shared" si="3"/>
        <v>37.065800000000003</v>
      </c>
      <c r="S38" s="4">
        <v>150</v>
      </c>
      <c r="T38" s="4"/>
      <c r="U38" s="9">
        <v>287.71980000000002</v>
      </c>
      <c r="V38" s="9">
        <f t="shared" si="4"/>
        <v>12.284450895434604</v>
      </c>
      <c r="W38" s="9">
        <f t="shared" si="5"/>
        <v>8.2375936847444269</v>
      </c>
      <c r="X38" s="9">
        <v>25.948</v>
      </c>
      <c r="Y38" s="9">
        <v>38.4572</v>
      </c>
      <c r="Z38" s="9">
        <v>25.52</v>
      </c>
      <c r="AA38" s="9">
        <v>21.434799999999999</v>
      </c>
      <c r="AB38" s="9">
        <v>25.52</v>
      </c>
      <c r="AC38" s="9">
        <v>27.374400000000001</v>
      </c>
      <c r="AD38" s="9">
        <v>26.291599999999999</v>
      </c>
      <c r="AE38" s="9">
        <v>25.154199999999999</v>
      </c>
      <c r="AF38" s="9"/>
      <c r="AG38" s="9">
        <f t="shared" si="8"/>
        <v>150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5">
      <c r="A39" s="9" t="s">
        <v>77</v>
      </c>
      <c r="B39" s="9" t="s">
        <v>38</v>
      </c>
      <c r="C39" s="9">
        <v>277</v>
      </c>
      <c r="D39" s="9"/>
      <c r="E39" s="9">
        <v>191</v>
      </c>
      <c r="F39" s="9">
        <v>80</v>
      </c>
      <c r="G39" s="7">
        <v>0.4</v>
      </c>
      <c r="H39" s="9">
        <v>50</v>
      </c>
      <c r="I39" s="9" t="s">
        <v>36</v>
      </c>
      <c r="J39" s="9"/>
      <c r="K39" s="9"/>
      <c r="L39" s="9">
        <f t="shared" si="2"/>
        <v>191</v>
      </c>
      <c r="M39" s="9"/>
      <c r="N39" s="9"/>
      <c r="O39" s="9">
        <v>250</v>
      </c>
      <c r="P39" s="9">
        <v>50</v>
      </c>
      <c r="Q39" s="9">
        <v>50</v>
      </c>
      <c r="R39" s="9">
        <f t="shared" si="3"/>
        <v>38.200000000000003</v>
      </c>
      <c r="S39" s="4">
        <v>200</v>
      </c>
      <c r="T39" s="4"/>
      <c r="U39" s="9">
        <v>295.80000000000007</v>
      </c>
      <c r="V39" s="9">
        <f t="shared" si="4"/>
        <v>16.492146596858639</v>
      </c>
      <c r="W39" s="9">
        <f t="shared" si="5"/>
        <v>11.2565445026178</v>
      </c>
      <c r="X39" s="9">
        <v>29</v>
      </c>
      <c r="Y39" s="9">
        <v>41.6</v>
      </c>
      <c r="Z39" s="9">
        <v>49.6</v>
      </c>
      <c r="AA39" s="9">
        <v>24.2</v>
      </c>
      <c r="AB39" s="9">
        <v>49.6</v>
      </c>
      <c r="AC39" s="9">
        <v>38</v>
      </c>
      <c r="AD39" s="9">
        <v>53</v>
      </c>
      <c r="AE39" s="9">
        <v>40.4</v>
      </c>
      <c r="AF39" s="9"/>
      <c r="AG39" s="9">
        <f t="shared" si="8"/>
        <v>80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25">
      <c r="A40" s="9" t="s">
        <v>78</v>
      </c>
      <c r="B40" s="9" t="s">
        <v>38</v>
      </c>
      <c r="C40" s="9">
        <v>138</v>
      </c>
      <c r="D40" s="9"/>
      <c r="E40" s="9">
        <v>126</v>
      </c>
      <c r="F40" s="9"/>
      <c r="G40" s="7">
        <v>0.18</v>
      </c>
      <c r="H40" s="9">
        <v>50</v>
      </c>
      <c r="I40" s="9" t="s">
        <v>36</v>
      </c>
      <c r="J40" s="9"/>
      <c r="K40" s="9"/>
      <c r="L40" s="9">
        <f t="shared" si="2"/>
        <v>126</v>
      </c>
      <c r="M40" s="9"/>
      <c r="N40" s="9"/>
      <c r="O40" s="9">
        <v>300</v>
      </c>
      <c r="P40" s="9">
        <v>0</v>
      </c>
      <c r="Q40" s="9">
        <v>200</v>
      </c>
      <c r="R40" s="9">
        <f t="shared" si="3"/>
        <v>25.2</v>
      </c>
      <c r="S40" s="4">
        <v>100</v>
      </c>
      <c r="T40" s="4"/>
      <c r="U40" s="9">
        <v>4</v>
      </c>
      <c r="V40" s="9">
        <f t="shared" si="4"/>
        <v>23.80952380952381</v>
      </c>
      <c r="W40" s="9">
        <f t="shared" si="5"/>
        <v>19.841269841269842</v>
      </c>
      <c r="X40" s="9">
        <v>12.4</v>
      </c>
      <c r="Y40" s="9">
        <v>38.4</v>
      </c>
      <c r="Z40" s="9">
        <v>10.8</v>
      </c>
      <c r="AA40" s="9">
        <v>-6.8</v>
      </c>
      <c r="AB40" s="9">
        <v>10.8</v>
      </c>
      <c r="AC40" s="9">
        <v>56.2</v>
      </c>
      <c r="AD40" s="9">
        <v>39</v>
      </c>
      <c r="AE40" s="9">
        <v>33.799999999999997</v>
      </c>
      <c r="AF40" s="9"/>
      <c r="AG40" s="9">
        <f t="shared" si="8"/>
        <v>18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5">
      <c r="A41" s="9" t="s">
        <v>79</v>
      </c>
      <c r="B41" s="9" t="s">
        <v>38</v>
      </c>
      <c r="C41" s="9">
        <v>450</v>
      </c>
      <c r="D41" s="9"/>
      <c r="E41" s="9">
        <v>416</v>
      </c>
      <c r="F41" s="9">
        <v>18</v>
      </c>
      <c r="G41" s="7">
        <v>0.3</v>
      </c>
      <c r="H41" s="9">
        <v>50</v>
      </c>
      <c r="I41" s="9" t="s">
        <v>36</v>
      </c>
      <c r="J41" s="9"/>
      <c r="K41" s="9"/>
      <c r="L41" s="9">
        <f t="shared" si="2"/>
        <v>416</v>
      </c>
      <c r="M41" s="9"/>
      <c r="N41" s="9"/>
      <c r="O41" s="9">
        <v>2000</v>
      </c>
      <c r="P41" s="9">
        <v>0</v>
      </c>
      <c r="Q41" s="9">
        <v>1600</v>
      </c>
      <c r="R41" s="9">
        <f t="shared" si="3"/>
        <v>83.2</v>
      </c>
      <c r="S41" s="4">
        <v>1800</v>
      </c>
      <c r="T41" s="4"/>
      <c r="U41" s="9"/>
      <c r="V41" s="9">
        <f t="shared" si="4"/>
        <v>65.120192307692307</v>
      </c>
      <c r="W41" s="9">
        <f t="shared" si="5"/>
        <v>43.48557692307692</v>
      </c>
      <c r="X41" s="9">
        <v>123.2</v>
      </c>
      <c r="Y41" s="9">
        <v>589.4</v>
      </c>
      <c r="Z41" s="9">
        <v>287.60000000000002</v>
      </c>
      <c r="AA41" s="9">
        <v>234</v>
      </c>
      <c r="AB41" s="9">
        <v>287.60000000000002</v>
      </c>
      <c r="AC41" s="9">
        <v>311</v>
      </c>
      <c r="AD41" s="9">
        <v>335.8</v>
      </c>
      <c r="AE41" s="9">
        <v>282.60000000000002</v>
      </c>
      <c r="AF41" s="9"/>
      <c r="AG41" s="9">
        <f t="shared" si="8"/>
        <v>540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25">
      <c r="A42" s="9" t="s">
        <v>80</v>
      </c>
      <c r="B42" s="9" t="s">
        <v>38</v>
      </c>
      <c r="C42" s="9">
        <v>116</v>
      </c>
      <c r="D42" s="9"/>
      <c r="E42" s="9"/>
      <c r="F42" s="9">
        <v>112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2"/>
        <v>0</v>
      </c>
      <c r="M42" s="9"/>
      <c r="N42" s="9"/>
      <c r="O42" s="9">
        <v>250</v>
      </c>
      <c r="P42" s="9">
        <v>0</v>
      </c>
      <c r="Q42" s="9">
        <v>160</v>
      </c>
      <c r="R42" s="9">
        <f t="shared" si="3"/>
        <v>0</v>
      </c>
      <c r="S42" s="4">
        <v>160</v>
      </c>
      <c r="T42" s="4"/>
      <c r="U42" s="9"/>
      <c r="V42" s="9" t="e">
        <f t="shared" si="4"/>
        <v>#DIV/0!</v>
      </c>
      <c r="W42" s="9" t="e">
        <f t="shared" si="5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15" t="s">
        <v>86</v>
      </c>
      <c r="AG42" s="9">
        <f t="shared" si="8"/>
        <v>44.800000000000004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25">
      <c r="A43" s="9" t="s">
        <v>81</v>
      </c>
      <c r="B43" s="9" t="s">
        <v>38</v>
      </c>
      <c r="C43" s="9">
        <v>197</v>
      </c>
      <c r="D43" s="9"/>
      <c r="E43" s="9"/>
      <c r="F43" s="9">
        <v>194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2"/>
        <v>0</v>
      </c>
      <c r="M43" s="9"/>
      <c r="N43" s="9"/>
      <c r="O43" s="9">
        <v>200</v>
      </c>
      <c r="P43" s="9">
        <v>120</v>
      </c>
      <c r="Q43" s="9">
        <v>160</v>
      </c>
      <c r="R43" s="9">
        <f t="shared" si="3"/>
        <v>0</v>
      </c>
      <c r="S43" s="4"/>
      <c r="T43" s="4"/>
      <c r="U43" s="9"/>
      <c r="V43" s="9" t="e">
        <f t="shared" si="4"/>
        <v>#DIV/0!</v>
      </c>
      <c r="W43" s="9" t="e">
        <f t="shared" si="5"/>
        <v>#DIV/0!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15" t="s">
        <v>86</v>
      </c>
      <c r="AG43" s="9">
        <f t="shared" si="8"/>
        <v>0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25">
      <c r="A44" s="9" t="s">
        <v>82</v>
      </c>
      <c r="B44" s="9" t="s">
        <v>38</v>
      </c>
      <c r="C44" s="9">
        <v>116</v>
      </c>
      <c r="D44" s="9"/>
      <c r="E44" s="9"/>
      <c r="F44" s="9">
        <v>112</v>
      </c>
      <c r="G44" s="7">
        <v>0.28000000000000003</v>
      </c>
      <c r="H44" s="9"/>
      <c r="I44" s="9">
        <v>1001301777332</v>
      </c>
      <c r="J44" s="9"/>
      <c r="K44" s="9"/>
      <c r="L44" s="9">
        <f t="shared" si="2"/>
        <v>0</v>
      </c>
      <c r="M44" s="9"/>
      <c r="N44" s="9"/>
      <c r="O44" s="9">
        <v>200</v>
      </c>
      <c r="P44" s="9">
        <v>0</v>
      </c>
      <c r="Q44" s="9">
        <v>160</v>
      </c>
      <c r="R44" s="9">
        <f t="shared" si="3"/>
        <v>0</v>
      </c>
      <c r="S44" s="4">
        <v>160</v>
      </c>
      <c r="T44" s="4"/>
      <c r="U44" s="9"/>
      <c r="V44" s="9" t="e">
        <f t="shared" si="4"/>
        <v>#DIV/0!</v>
      </c>
      <c r="W44" s="9" t="e">
        <f t="shared" si="5"/>
        <v>#DIV/0!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15" t="s">
        <v>86</v>
      </c>
      <c r="AG44" s="9">
        <f t="shared" si="8"/>
        <v>44.800000000000004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25">
      <c r="A45" s="9" t="s">
        <v>83</v>
      </c>
      <c r="B45" s="9" t="s">
        <v>38</v>
      </c>
      <c r="C45" s="9">
        <v>426</v>
      </c>
      <c r="D45" s="9"/>
      <c r="E45" s="9">
        <v>160</v>
      </c>
      <c r="F45" s="9">
        <v>232</v>
      </c>
      <c r="G45" s="7">
        <v>0.28000000000000003</v>
      </c>
      <c r="H45" s="9">
        <v>50</v>
      </c>
      <c r="I45" s="9" t="s">
        <v>36</v>
      </c>
      <c r="J45" s="9"/>
      <c r="K45" s="9"/>
      <c r="L45" s="9">
        <f t="shared" si="2"/>
        <v>160</v>
      </c>
      <c r="M45" s="9"/>
      <c r="N45" s="9"/>
      <c r="O45" s="9">
        <v>160</v>
      </c>
      <c r="P45" s="9">
        <v>0</v>
      </c>
      <c r="Q45" s="9">
        <v>280</v>
      </c>
      <c r="R45" s="9">
        <f t="shared" si="3"/>
        <v>32</v>
      </c>
      <c r="S45" s="4">
        <v>200</v>
      </c>
      <c r="T45" s="4"/>
      <c r="U45" s="9"/>
      <c r="V45" s="9">
        <f t="shared" si="4"/>
        <v>27.25</v>
      </c>
      <c r="W45" s="9">
        <f t="shared" si="5"/>
        <v>21</v>
      </c>
      <c r="X45" s="9">
        <v>16.8</v>
      </c>
      <c r="Y45" s="9">
        <v>129.4</v>
      </c>
      <c r="Z45" s="9">
        <v>33</v>
      </c>
      <c r="AA45" s="9">
        <v>20.399999999999999</v>
      </c>
      <c r="AB45" s="9">
        <v>33</v>
      </c>
      <c r="AC45" s="9">
        <v>39</v>
      </c>
      <c r="AD45" s="9">
        <v>44.6</v>
      </c>
      <c r="AE45" s="9">
        <v>25.2</v>
      </c>
      <c r="AF45" s="9"/>
      <c r="AG45" s="9">
        <f t="shared" si="8"/>
        <v>56.000000000000007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25">
      <c r="A46" s="9" t="s">
        <v>84</v>
      </c>
      <c r="B46" s="9"/>
      <c r="C46" s="9"/>
      <c r="D46" s="9"/>
      <c r="E46" s="9"/>
      <c r="F46" s="9"/>
      <c r="G46" s="7">
        <v>1</v>
      </c>
      <c r="H46" s="9"/>
      <c r="I46" s="9">
        <v>1001031076548</v>
      </c>
      <c r="J46" s="9"/>
      <c r="K46" s="9"/>
      <c r="L46" s="9">
        <f t="shared" si="2"/>
        <v>0</v>
      </c>
      <c r="M46" s="9"/>
      <c r="N46" s="9"/>
      <c r="O46" s="9">
        <v>0</v>
      </c>
      <c r="P46" s="9">
        <v>0</v>
      </c>
      <c r="Q46" s="9">
        <v>0</v>
      </c>
      <c r="R46" s="9">
        <f t="shared" si="3"/>
        <v>0</v>
      </c>
      <c r="S46" s="4"/>
      <c r="T46" s="4"/>
      <c r="U46" s="9"/>
      <c r="V46" s="9" t="e">
        <f t="shared" si="4"/>
        <v>#DIV/0!</v>
      </c>
      <c r="W46" s="9" t="e">
        <f t="shared" si="5"/>
        <v>#DIV/0!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 t="s">
        <v>85</v>
      </c>
      <c r="AG46" s="9">
        <f t="shared" si="8"/>
        <v>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25">
      <c r="A47" s="9"/>
      <c r="B47" s="9"/>
      <c r="C47" s="9"/>
      <c r="D47" s="9"/>
      <c r="E47" s="9"/>
      <c r="F47" s="9"/>
      <c r="G47" s="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  <row r="492" spans="1:51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</row>
    <row r="493" spans="1:51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</row>
    <row r="494" spans="1:51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</row>
    <row r="495" spans="1:51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</row>
    <row r="496" spans="1:51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</row>
    <row r="497" spans="1:51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</row>
    <row r="498" spans="1:51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</row>
  </sheetData>
  <autoFilter ref="A3:AG4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2026-01-19T10:50:08Z</dcterms:created>
  <dcterms:modified xsi:type="dcterms:W3CDTF">2026-01-20T11:18:30Z</dcterms:modified>
</cp:coreProperties>
</file>