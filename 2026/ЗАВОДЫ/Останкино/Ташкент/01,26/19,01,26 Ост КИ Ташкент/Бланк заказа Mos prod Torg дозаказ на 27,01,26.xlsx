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37255353-6D69-4B24-8111-002AA2F3DB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F101" i="1"/>
  <c r="A101" i="1"/>
  <c r="F100" i="1"/>
  <c r="A100" i="1"/>
  <c r="F99" i="1"/>
  <c r="A99" i="1"/>
  <c r="F98" i="1"/>
  <c r="A98" i="1"/>
  <c r="F97" i="1"/>
  <c r="A97" i="1"/>
  <c r="A96" i="1"/>
  <c r="F95" i="1"/>
  <c r="A95" i="1"/>
  <c r="F94" i="1"/>
  <c r="A94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4" i="1"/>
  <c r="A64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2" i="1" s="1"/>
  <c r="A11" i="1"/>
</calcChain>
</file>

<file path=xl/sharedStrings.xml><?xml version="1.0" encoding="utf-8"?>
<sst xmlns="http://schemas.openxmlformats.org/spreadsheetml/2006/main" count="197" uniqueCount="115">
  <si>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</si>
  <si>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</si>
  <si>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</si>
  <si>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</si>
  <si>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</si>
  <si>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</si>
  <si>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</si>
  <si>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</si>
  <si>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</si>
  <si>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</si>
  <si>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</si>
  <si>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</si>
  <si>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</si>
  <si>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</si>
  <si>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</si>
  <si>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</si>
  <si>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</si>
  <si>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</si>
  <si>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</si>
  <si>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</si>
  <si>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</si>
  <si>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0.3кг 8шт_209к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</si>
  <si>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</si>
  <si>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</si>
  <si>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</si>
  <si>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</si>
  <si>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</si>
  <si>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</si>
  <si>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</si>
  <si>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</si>
  <si>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</si>
  <si>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</si>
  <si>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</si>
  <si>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</si>
  <si>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</si>
  <si>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</si>
  <si>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</si>
  <si>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</si>
  <si>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</t>
  </si>
  <si>
    <t>ГОВЯЖЬЯ Папа может вар п/о 0.4кг 8шт.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</si>
  <si>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</si>
  <si>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</si>
  <si>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</si>
  <si>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</si>
  <si>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</si>
  <si>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</si>
  <si>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</si>
  <si>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</si>
  <si>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</si>
  <si>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</si>
  <si>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</si>
  <si>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</si>
  <si>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</si>
  <si>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</si>
  <si>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</si>
  <si>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</si>
  <si>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КЛАССИЧЕСКИЕ сос п/о в/у 0.3кг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</si>
  <si>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</si>
  <si>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</si>
  <si>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</si>
  <si>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</si>
  <si>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</si>
  <si>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</si>
  <si>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</si>
  <si>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</si>
  <si>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</si>
  <si>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1*3_Х5_45с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</si>
  <si>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</si>
  <si>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</si>
  <si>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</si>
  <si>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1*3_Ашан_45с</t>
  </si>
  <si>
    <t>СЫТНЫЕ Папа может сар б/о мгс 1*3_Маяк</t>
  </si>
  <si>
    <t>Полукопченые колбасы</t>
  </si>
  <si>
    <t>БОЯNСКАЯ Папа может п/к в/у 0.28кг_СНГ</t>
  </si>
  <si>
    <t>БОЯРСКАЯ ПМ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</si>
  <si>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</si>
  <si>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</si>
  <si>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</si>
  <si>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</si>
  <si>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</si>
  <si>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КАРЕЛЬС.вк в/у 0.28кг_СНГ_209к</t>
  </si>
  <si>
    <t>СЕРВЕЛАТ ОХОТНИЧИЙ ПМ в/к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</si>
  <si>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</si>
  <si>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</si>
  <si>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</si>
  <si>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</si>
  <si>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</si>
  <si>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</si>
  <si>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ФИНСКИЙ ПМ в/к в/у 0.35кг_СНГ</t>
  </si>
  <si>
    <t>СЕРВЕЛАТ ФИНСКИЙ в/к в/у_СНГ</t>
  </si>
  <si>
    <t>СЕРВЕЛАТ КРЕМЛЕВСКИЙ в/к в/у 0.33кг 8шт.</t>
  </si>
  <si>
    <t>СЕРВЕЛАТ ЕВРОПЕЙСКИЙ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</si>
  <si>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</si>
  <si>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</si>
  <si>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</si>
  <si>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</si>
  <si>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</si>
  <si>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</si>
  <si>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АРОМАТНАЯ с/к с/н в/у 1/100_СНГ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</si>
  <si>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</si>
  <si>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</si>
  <si>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</si>
  <si>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в/у_А</t>
  </si>
  <si>
    <t>ЮБИЛЕЙНАЯ с/к в/у_Ашан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</si>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</sst>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7" name="Picture 7406">
          <a:extLst>
            <a:ext uri="{FF2B5EF4-FFF2-40B4-BE49-F238E27FC236}">
              <a16:creationId xmlns:a16="http://schemas.microsoft.com/office/drawing/2014/main" id="{00000000-0008-0000-0000-000057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8" name="Picture 7406">
          <a:extLst>
            <a:ext uri="{FF2B5EF4-FFF2-40B4-BE49-F238E27FC236}">
              <a16:creationId xmlns:a16="http://schemas.microsoft.com/office/drawing/2014/main" id="{00000000-0008-0000-0000-000058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5689" name="Picture 7406">
          <a:extLst>
            <a:ext uri="{FF2B5EF4-FFF2-40B4-BE49-F238E27FC236}">
              <a16:creationId xmlns:a16="http://schemas.microsoft.com/office/drawing/2014/main" id="{00000000-0008-0000-0000-000059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6"/>
  <sheetViews>
    <sheetView tabSelected="1" zoomScaleNormal="100" workbookViewId="0">
      <pane ySplit="9" topLeftCell="A99" activePane="bottomLeft" state="frozen"/>
      <selection pane="bottomLeft" activeCell="D4" sqref="D4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4" t="s">
        <v>1</v>
      </c>
      <c r="F1" s="75"/>
      <c r="G1" s="75"/>
      <c r="H1" s="75"/>
      <c r="I1" s="76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46049</v>
      </c>
      <c r="E3" s="50" t="s">
        <v>3</v>
      </c>
      <c r="F3" s="77" t="s">
        <v>4</v>
      </c>
      <c r="G3" s="75"/>
      <c r="H3" s="75"/>
      <c r="I3" s="76"/>
    </row>
    <row r="4" spans="1:18" ht="17.25" customHeight="1" thickTop="1" thickBot="1" x14ac:dyDescent="0.3">
      <c r="E4" s="41" t="s">
        <v>5</v>
      </c>
      <c r="F4" s="77"/>
      <c r="G4" s="75"/>
      <c r="H4" s="75"/>
      <c r="I4" s="76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9" si="0">RIGHT(D16,4)</f>
        <v>6334</v>
      </c>
      <c r="B16" s="63" t="s">
        <v>28</v>
      </c>
      <c r="C16" s="4" t="s">
        <v>22</v>
      </c>
      <c r="D16" s="64">
        <v>1001012486334</v>
      </c>
      <c r="E16" s="55"/>
      <c r="F16" s="14">
        <f>E16*0.4</f>
        <v>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/>
      <c r="F17" s="14">
        <f>E17</f>
        <v>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63" t="str">
        <f t="shared" si="0"/>
        <v>6345</v>
      </c>
      <c r="B19" s="63" t="s">
        <v>31</v>
      </c>
      <c r="C19" s="4" t="s">
        <v>22</v>
      </c>
      <c r="D19" s="64">
        <v>1001012566345</v>
      </c>
      <c r="E19" s="55"/>
      <c r="F19" s="14">
        <f>E19*0.5</f>
        <v>0</v>
      </c>
      <c r="G19" s="14"/>
      <c r="H19" s="16"/>
      <c r="I19" s="1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/>
      <c r="F20" s="14">
        <f>E20</f>
        <v>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/>
      <c r="F21" s="14">
        <f>E21*0.4</f>
        <v>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6220</v>
      </c>
      <c r="B26" s="63" t="s">
        <v>38</v>
      </c>
      <c r="C26" s="4" t="s">
        <v>24</v>
      </c>
      <c r="D26" s="64">
        <v>1001012426220</v>
      </c>
      <c r="E26" s="55"/>
      <c r="F26" s="14">
        <f>E26</f>
        <v>0</v>
      </c>
      <c r="G26" s="14"/>
      <c r="H26" s="15"/>
      <c r="I26" s="16"/>
    </row>
    <row r="27" spans="1:18" x14ac:dyDescent="0.2">
      <c r="A27" s="63" t="str">
        <f t="shared" si="0"/>
        <v>6268</v>
      </c>
      <c r="B27" s="63" t="s">
        <v>39</v>
      </c>
      <c r="C27" s="4" t="s">
        <v>22</v>
      </c>
      <c r="D27" s="64">
        <v>1001012426268</v>
      </c>
      <c r="E27" s="55"/>
      <c r="F27" s="70">
        <f>E27*0.4</f>
        <v>0</v>
      </c>
      <c r="G27" s="14"/>
      <c r="H27" s="15"/>
      <c r="I27" s="16"/>
    </row>
    <row r="28" spans="1:18" x14ac:dyDescent="0.2">
      <c r="A28" s="63" t="str">
        <f t="shared" si="0"/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 t="shared" si="0"/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/>
      <c r="F39" s="14">
        <f>E39</f>
        <v>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71" t="str">
        <f t="shared" si="1"/>
        <v>7255</v>
      </c>
      <c r="B41" s="71" t="s">
        <v>53</v>
      </c>
      <c r="C41" s="73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66" t="s">
        <v>54</v>
      </c>
      <c r="C42" s="61" t="s">
        <v>24</v>
      </c>
      <c r="D42" s="69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6870</v>
      </c>
      <c r="B44" s="63" t="s">
        <v>56</v>
      </c>
      <c r="C44" s="61" t="s">
        <v>22</v>
      </c>
      <c r="D44" s="69">
        <v>1001024976616</v>
      </c>
      <c r="E44" s="55"/>
      <c r="F44" s="14">
        <f>E44*0.3</f>
        <v>0</v>
      </c>
      <c r="G44" s="14"/>
      <c r="H44" s="16"/>
      <c r="I44" s="16"/>
    </row>
    <row r="45" spans="1:9" x14ac:dyDescent="0.2">
      <c r="A45" s="65">
        <v>6759</v>
      </c>
      <c r="B45" s="66" t="s">
        <v>57</v>
      </c>
      <c r="C45" s="61" t="s">
        <v>22</v>
      </c>
      <c r="D45" s="69">
        <v>1001020836759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58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59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60</v>
      </c>
      <c r="C48" s="61" t="s">
        <v>24</v>
      </c>
      <c r="D48" s="69">
        <v>1001022377070</v>
      </c>
      <c r="E48" s="55"/>
      <c r="F48" s="14">
        <f>E48</f>
        <v>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61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62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63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64</v>
      </c>
      <c r="C52" s="61" t="s">
        <v>22</v>
      </c>
      <c r="D52" s="64">
        <v>1001022556837</v>
      </c>
      <c r="E52" s="55"/>
      <c r="F52" s="14">
        <f>E52*0.4</f>
        <v>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65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66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67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68</v>
      </c>
      <c r="C56" s="61" t="s">
        <v>22</v>
      </c>
      <c r="D56" s="69">
        <v>1001035277059</v>
      </c>
      <c r="E56" s="55"/>
      <c r="F56" s="14">
        <f>E56*0.3</f>
        <v>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69</v>
      </c>
      <c r="C57" s="61" t="s">
        <v>24</v>
      </c>
      <c r="D57" s="69">
        <v>1001035277058</v>
      </c>
      <c r="E57" s="55"/>
      <c r="F57" s="14">
        <f>E57</f>
        <v>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70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71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72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73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7332</v>
      </c>
      <c r="B62" s="66" t="s">
        <v>74</v>
      </c>
      <c r="C62" s="61" t="s">
        <v>22</v>
      </c>
      <c r="D62" s="69">
        <v>1001301777332</v>
      </c>
      <c r="E62" s="55"/>
      <c r="F62" s="14">
        <f>E62*0.28</f>
        <v>0</v>
      </c>
      <c r="G62" s="14"/>
      <c r="H62" s="16"/>
      <c r="I62" s="16"/>
    </row>
    <row r="63" spans="1:9" x14ac:dyDescent="0.2">
      <c r="A63" s="63" t="str">
        <f>RIGHT(D63,4)</f>
        <v>7241</v>
      </c>
      <c r="B63" s="66" t="s">
        <v>75</v>
      </c>
      <c r="C63" s="61" t="s">
        <v>22</v>
      </c>
      <c r="D63" s="69">
        <v>1001303107241</v>
      </c>
      <c r="E63" s="55"/>
      <c r="F63" s="14">
        <f>E63*0.28</f>
        <v>0</v>
      </c>
      <c r="G63" s="14"/>
      <c r="H63" s="16"/>
      <c r="I63" s="16"/>
    </row>
    <row r="64" spans="1:9" ht="15" customHeight="1" thickBot="1" x14ac:dyDescent="0.25">
      <c r="A64" s="63" t="str">
        <f>RIGHT(D64,4)</f>
        <v>7176</v>
      </c>
      <c r="B64" s="66" t="s">
        <v>76</v>
      </c>
      <c r="C64" s="61" t="s">
        <v>22</v>
      </c>
      <c r="D64" s="69">
        <v>1001302347176</v>
      </c>
      <c r="E64" s="55"/>
      <c r="F64" s="14">
        <f>E64*0.35</f>
        <v>0</v>
      </c>
      <c r="G64" s="14"/>
      <c r="H64" s="16"/>
      <c r="I64" s="16"/>
    </row>
    <row r="65" spans="1:9" ht="15.75" customHeight="1" thickTop="1" thickBot="1" x14ac:dyDescent="0.25">
      <c r="A65" s="35"/>
      <c r="B65" s="3" t="s">
        <v>77</v>
      </c>
      <c r="C65" s="2"/>
      <c r="D65" s="2"/>
      <c r="E65" s="56"/>
      <c r="F65" s="21"/>
      <c r="G65" s="21"/>
      <c r="H65" s="13"/>
      <c r="I65" s="13"/>
    </row>
    <row r="66" spans="1:9" ht="15" customHeight="1" thickTop="1" x14ac:dyDescent="0.2">
      <c r="A66" s="63" t="str">
        <f t="shared" ref="A66:A80" si="4">RIGHT(D66,4)</f>
        <v>7158</v>
      </c>
      <c r="B66" s="66" t="s">
        <v>78</v>
      </c>
      <c r="C66" s="61" t="s">
        <v>22</v>
      </c>
      <c r="D66" s="69">
        <v>1001304237158</v>
      </c>
      <c r="E66" s="55"/>
      <c r="F66" s="14">
        <f>E66*0.35</f>
        <v>0</v>
      </c>
      <c r="G66" s="19"/>
      <c r="H66" s="16"/>
      <c r="I66" s="16"/>
    </row>
    <row r="67" spans="1:9" x14ac:dyDescent="0.2">
      <c r="A67" s="63" t="str">
        <f t="shared" si="4"/>
        <v>7159</v>
      </c>
      <c r="B67" s="66" t="s">
        <v>79</v>
      </c>
      <c r="C67" s="61" t="s">
        <v>24</v>
      </c>
      <c r="D67" s="69">
        <v>1001304237159</v>
      </c>
      <c r="E67" s="55"/>
      <c r="F67" s="14">
        <f>E67</f>
        <v>0</v>
      </c>
      <c r="G67" s="19"/>
      <c r="H67" s="16"/>
      <c r="I67" s="16"/>
    </row>
    <row r="68" spans="1:9" x14ac:dyDescent="0.2">
      <c r="A68" s="63" t="str">
        <f t="shared" si="4"/>
        <v>7230</v>
      </c>
      <c r="B68" s="66" t="s">
        <v>80</v>
      </c>
      <c r="C68" s="61" t="s">
        <v>22</v>
      </c>
      <c r="D68" s="69">
        <v>1001304507230</v>
      </c>
      <c r="E68" s="55"/>
      <c r="F68" s="14">
        <f>E68*0.28</f>
        <v>0</v>
      </c>
      <c r="G68" s="19"/>
      <c r="H68" s="16"/>
      <c r="I68" s="16"/>
    </row>
    <row r="69" spans="1:9" x14ac:dyDescent="0.2">
      <c r="A69" s="63" t="str">
        <f t="shared" si="4"/>
        <v>7333</v>
      </c>
      <c r="B69" s="66" t="s">
        <v>81</v>
      </c>
      <c r="C69" s="61" t="s">
        <v>22</v>
      </c>
      <c r="D69" s="69">
        <v>1001303987333</v>
      </c>
      <c r="E69" s="55"/>
      <c r="F69" s="14">
        <f>E69*0.28</f>
        <v>0</v>
      </c>
      <c r="G69" s="19"/>
      <c r="H69" s="16"/>
      <c r="I69" s="16"/>
    </row>
    <row r="70" spans="1:9" x14ac:dyDescent="0.2">
      <c r="A70" s="63" t="str">
        <f t="shared" si="4"/>
        <v>6790</v>
      </c>
      <c r="B70" s="66" t="s">
        <v>82</v>
      </c>
      <c r="C70" s="61" t="s">
        <v>24</v>
      </c>
      <c r="D70" s="69">
        <v>1001300366790</v>
      </c>
      <c r="E70" s="55"/>
      <c r="F70" s="14">
        <f>E70</f>
        <v>0</v>
      </c>
      <c r="G70" s="19"/>
      <c r="H70" s="16"/>
      <c r="I70" s="16"/>
    </row>
    <row r="71" spans="1:9" x14ac:dyDescent="0.2">
      <c r="A71" s="63" t="str">
        <f t="shared" si="4"/>
        <v>6566</v>
      </c>
      <c r="B71" s="66" t="s">
        <v>83</v>
      </c>
      <c r="C71" s="61" t="s">
        <v>22</v>
      </c>
      <c r="D71" s="69">
        <v>1001305306566</v>
      </c>
      <c r="E71" s="55"/>
      <c r="F71" s="14">
        <f>E71*0.31</f>
        <v>0</v>
      </c>
      <c r="G71" s="19"/>
      <c r="H71" s="16"/>
      <c r="I71" s="16"/>
    </row>
    <row r="72" spans="1:9" x14ac:dyDescent="0.2">
      <c r="A72" s="63" t="str">
        <f t="shared" si="4"/>
        <v>7238</v>
      </c>
      <c r="B72" s="66" t="s">
        <v>84</v>
      </c>
      <c r="C72" s="61" t="s">
        <v>22</v>
      </c>
      <c r="D72" s="69">
        <v>1001305197238</v>
      </c>
      <c r="E72" s="55"/>
      <c r="F72" s="14">
        <f>E72*0.31</f>
        <v>0</v>
      </c>
      <c r="G72" s="14"/>
      <c r="H72" s="15"/>
      <c r="I72" s="16"/>
    </row>
    <row r="73" spans="1:9" x14ac:dyDescent="0.2">
      <c r="A73" s="63" t="str">
        <f t="shared" si="4"/>
        <v>6565</v>
      </c>
      <c r="B73" s="66" t="s">
        <v>85</v>
      </c>
      <c r="C73" s="61" t="s">
        <v>22</v>
      </c>
      <c r="D73" s="69">
        <v>1001305316565</v>
      </c>
      <c r="E73" s="55"/>
      <c r="F73" s="14">
        <f>E73*0.31</f>
        <v>0</v>
      </c>
      <c r="G73" s="14"/>
      <c r="H73" s="16"/>
      <c r="I73" s="16"/>
    </row>
    <row r="74" spans="1:9" x14ac:dyDescent="0.2">
      <c r="A74" s="63" t="str">
        <f t="shared" si="4"/>
        <v>7162</v>
      </c>
      <c r="B74" s="66" t="s">
        <v>86</v>
      </c>
      <c r="C74" s="61" t="s">
        <v>22</v>
      </c>
      <c r="D74" s="69">
        <v>1001303987162</v>
      </c>
      <c r="E74" s="55"/>
      <c r="F74" s="14">
        <f>E74*0.35</f>
        <v>0</v>
      </c>
      <c r="G74" s="14"/>
      <c r="H74" s="15"/>
      <c r="I74" s="16"/>
    </row>
    <row r="75" spans="1:9" x14ac:dyDescent="0.2">
      <c r="A75" s="63" t="str">
        <f t="shared" si="4"/>
        <v>7165</v>
      </c>
      <c r="B75" s="66" t="s">
        <v>87</v>
      </c>
      <c r="C75" s="61" t="s">
        <v>24</v>
      </c>
      <c r="D75" s="69">
        <v>1001303987165</v>
      </c>
      <c r="E75" s="55"/>
      <c r="F75" s="14">
        <f>E75</f>
        <v>0</v>
      </c>
      <c r="G75" s="14"/>
      <c r="H75" s="22"/>
      <c r="I75" s="16"/>
    </row>
    <row r="76" spans="1:9" x14ac:dyDescent="0.2">
      <c r="A76" s="63" t="str">
        <f t="shared" si="4"/>
        <v>6698</v>
      </c>
      <c r="B76" s="66" t="s">
        <v>88</v>
      </c>
      <c r="C76" s="61" t="s">
        <v>22</v>
      </c>
      <c r="D76" s="69">
        <v>1001301876698</v>
      </c>
      <c r="E76" s="55"/>
      <c r="F76" s="14">
        <f>E76*0.35</f>
        <v>0</v>
      </c>
      <c r="G76" s="14"/>
      <c r="H76" s="15"/>
      <c r="I76" s="16"/>
    </row>
    <row r="77" spans="1:9" ht="15.75" customHeight="1" x14ac:dyDescent="0.2">
      <c r="A77" s="63" t="str">
        <f t="shared" si="4"/>
        <v>5607</v>
      </c>
      <c r="B77" s="66" t="s">
        <v>89</v>
      </c>
      <c r="C77" s="61" t="s">
        <v>24</v>
      </c>
      <c r="D77" s="69">
        <v>1001051875607</v>
      </c>
      <c r="E77" s="55"/>
      <c r="F77" s="14">
        <f>E77</f>
        <v>0</v>
      </c>
      <c r="G77" s="14"/>
      <c r="H77" s="15"/>
      <c r="I77" s="16"/>
    </row>
    <row r="78" spans="1:9" ht="15.75" customHeight="1" x14ac:dyDescent="0.2">
      <c r="A78" s="63" t="str">
        <f t="shared" si="4"/>
        <v>6787</v>
      </c>
      <c r="B78" s="66" t="s">
        <v>90</v>
      </c>
      <c r="C78" s="61" t="s">
        <v>22</v>
      </c>
      <c r="D78" s="69">
        <v>1001300456787</v>
      </c>
      <c r="E78" s="55"/>
      <c r="F78" s="14">
        <f>E78*0.33</f>
        <v>0</v>
      </c>
      <c r="G78" s="26"/>
      <c r="H78" s="62"/>
      <c r="I78" s="24"/>
    </row>
    <row r="79" spans="1:9" ht="15.75" customHeight="1" x14ac:dyDescent="0.2">
      <c r="A79" s="63" t="str">
        <f t="shared" si="4"/>
        <v>6807</v>
      </c>
      <c r="B79" s="66" t="s">
        <v>91</v>
      </c>
      <c r="C79" s="61" t="s">
        <v>22</v>
      </c>
      <c r="D79" s="69">
        <v>1001300366807</v>
      </c>
      <c r="E79" s="55"/>
      <c r="F79" s="14">
        <f>E79*0.33</f>
        <v>0</v>
      </c>
      <c r="G79" s="26"/>
      <c r="H79" s="62"/>
      <c r="I79" s="24"/>
    </row>
    <row r="80" spans="1:9" ht="15.75" customHeight="1" thickBot="1" x14ac:dyDescent="0.25">
      <c r="A80" s="63" t="str">
        <f t="shared" si="4"/>
        <v>6946</v>
      </c>
      <c r="B80" s="66" t="s">
        <v>92</v>
      </c>
      <c r="C80" s="61" t="s">
        <v>24</v>
      </c>
      <c r="D80" s="69">
        <v>1001300456946</v>
      </c>
      <c r="E80" s="55"/>
      <c r="F80" s="14">
        <f>E80</f>
        <v>0</v>
      </c>
      <c r="G80" s="26"/>
      <c r="H80" s="62"/>
      <c r="I80" s="24"/>
    </row>
    <row r="81" spans="1:9" ht="15.75" customHeight="1" thickTop="1" thickBot="1" x14ac:dyDescent="0.25">
      <c r="A81" s="35"/>
      <c r="B81" s="3" t="s">
        <v>93</v>
      </c>
      <c r="C81" s="2"/>
      <c r="D81" s="2"/>
      <c r="E81" s="56"/>
      <c r="F81" s="21"/>
      <c r="G81" s="21"/>
      <c r="H81" s="13"/>
      <c r="I81" s="13"/>
    </row>
    <row r="82" spans="1:9" ht="15" customHeight="1" thickTop="1" x14ac:dyDescent="0.2">
      <c r="A82" s="63" t="str">
        <f t="shared" ref="A82:A92" si="5">RIGHT(D82,4)</f>
        <v>5738</v>
      </c>
      <c r="B82" s="63" t="s">
        <v>94</v>
      </c>
      <c r="C82" s="61" t="s">
        <v>22</v>
      </c>
      <c r="D82" s="64">
        <v>1001061975738</v>
      </c>
      <c r="E82" s="55">
        <v>1000</v>
      </c>
      <c r="F82" s="14">
        <f>E82*0.25</f>
        <v>250</v>
      </c>
      <c r="G82" s="14"/>
      <c r="H82" s="20"/>
      <c r="I82" s="20"/>
    </row>
    <row r="83" spans="1:9" x14ac:dyDescent="0.2">
      <c r="A83" s="63" t="str">
        <f t="shared" si="5"/>
        <v>5708</v>
      </c>
      <c r="B83" s="66" t="s">
        <v>95</v>
      </c>
      <c r="C83" s="61" t="s">
        <v>24</v>
      </c>
      <c r="D83" s="69">
        <v>1001063145708</v>
      </c>
      <c r="E83" s="55"/>
      <c r="F83" s="14">
        <f>E83</f>
        <v>0</v>
      </c>
      <c r="G83" s="14"/>
      <c r="H83" s="20"/>
      <c r="I83" s="20"/>
    </row>
    <row r="84" spans="1:9" x14ac:dyDescent="0.2">
      <c r="A84" s="63" t="str">
        <f t="shared" si="5"/>
        <v>4993</v>
      </c>
      <c r="B84" s="66" t="s">
        <v>96</v>
      </c>
      <c r="C84" s="61" t="s">
        <v>22</v>
      </c>
      <c r="D84" s="69">
        <v>1001060764993</v>
      </c>
      <c r="E84" s="55"/>
      <c r="F84" s="14">
        <f>E84*0.25</f>
        <v>0</v>
      </c>
      <c r="G84" s="14"/>
      <c r="H84" s="20"/>
      <c r="I84" s="20"/>
    </row>
    <row r="85" spans="1:9" x14ac:dyDescent="0.2">
      <c r="A85" s="63" t="str">
        <f t="shared" si="5"/>
        <v>6453</v>
      </c>
      <c r="B85" s="66" t="s">
        <v>97</v>
      </c>
      <c r="C85" s="61" t="s">
        <v>22</v>
      </c>
      <c r="D85" s="69">
        <v>1001202506453</v>
      </c>
      <c r="E85" s="55"/>
      <c r="F85" s="14">
        <f>E85*0.1</f>
        <v>0</v>
      </c>
      <c r="G85" s="14"/>
      <c r="H85" s="20"/>
      <c r="I85" s="20"/>
    </row>
    <row r="86" spans="1:9" x14ac:dyDescent="0.2">
      <c r="A86" s="63" t="str">
        <f t="shared" si="5"/>
        <v>5179</v>
      </c>
      <c r="B86" s="66" t="s">
        <v>98</v>
      </c>
      <c r="C86" s="61" t="s">
        <v>22</v>
      </c>
      <c r="D86" s="69">
        <v>1001191975179</v>
      </c>
      <c r="E86" s="55"/>
      <c r="F86" s="14">
        <f>E86*0.1</f>
        <v>0</v>
      </c>
      <c r="G86" s="14"/>
      <c r="H86" s="20"/>
      <c r="I86" s="20"/>
    </row>
    <row r="87" spans="1:9" x14ac:dyDescent="0.2">
      <c r="A87" s="63" t="str">
        <f t="shared" si="5"/>
        <v>4117</v>
      </c>
      <c r="B87" s="66" t="s">
        <v>99</v>
      </c>
      <c r="C87" s="61" t="s">
        <v>24</v>
      </c>
      <c r="D87" s="69">
        <v>1001062504117</v>
      </c>
      <c r="E87" s="55"/>
      <c r="F87" s="14">
        <f>E87</f>
        <v>0</v>
      </c>
      <c r="G87" s="14"/>
      <c r="H87" s="15"/>
      <c r="I87" s="20"/>
    </row>
    <row r="88" spans="1:9" x14ac:dyDescent="0.2">
      <c r="A88" s="63" t="str">
        <f t="shared" si="5"/>
        <v>5681</v>
      </c>
      <c r="B88" s="66" t="s">
        <v>100</v>
      </c>
      <c r="C88" s="61" t="s">
        <v>22</v>
      </c>
      <c r="D88" s="69">
        <v>1001190765681</v>
      </c>
      <c r="E88" s="55"/>
      <c r="F88" s="14">
        <f>E88*0.15</f>
        <v>0</v>
      </c>
      <c r="G88" s="14"/>
      <c r="H88" s="16"/>
      <c r="I88" s="16"/>
    </row>
    <row r="89" spans="1:9" x14ac:dyDescent="0.2">
      <c r="A89" s="63" t="str">
        <f t="shared" si="5"/>
        <v>5739</v>
      </c>
      <c r="B89" s="66" t="s">
        <v>101</v>
      </c>
      <c r="C89" s="61" t="s">
        <v>22</v>
      </c>
      <c r="D89" s="69">
        <v>1001062475739</v>
      </c>
      <c r="E89" s="55">
        <v>1000</v>
      </c>
      <c r="F89" s="14">
        <f>E89*0.25</f>
        <v>250</v>
      </c>
      <c r="G89" s="14"/>
      <c r="H89" s="15"/>
      <c r="I89" s="24"/>
    </row>
    <row r="90" spans="1:9" x14ac:dyDescent="0.2">
      <c r="A90" s="63" t="str">
        <f t="shared" si="5"/>
        <v>3582</v>
      </c>
      <c r="B90" s="71" t="s">
        <v>102</v>
      </c>
      <c r="C90" s="73" t="s">
        <v>24</v>
      </c>
      <c r="D90" s="72">
        <v>1001061973582</v>
      </c>
      <c r="E90" s="55"/>
      <c r="F90" s="14">
        <f>E90</f>
        <v>0</v>
      </c>
      <c r="G90" s="26"/>
      <c r="H90" s="62"/>
      <c r="I90" s="24"/>
    </row>
    <row r="91" spans="1:9" x14ac:dyDescent="0.2">
      <c r="A91" s="63" t="str">
        <f t="shared" si="5"/>
        <v>3970</v>
      </c>
      <c r="B91" s="71" t="s">
        <v>103</v>
      </c>
      <c r="C91" s="73" t="s">
        <v>24</v>
      </c>
      <c r="D91" s="72">
        <v>1001062473970</v>
      </c>
      <c r="E91" s="55"/>
      <c r="F91" s="14">
        <f>E91</f>
        <v>0</v>
      </c>
      <c r="G91" s="26"/>
      <c r="H91" s="62"/>
      <c r="I91" s="24"/>
    </row>
    <row r="92" spans="1:9" ht="15" customHeight="1" thickBot="1" x14ac:dyDescent="0.25">
      <c r="A92" s="63" t="str">
        <f t="shared" si="5"/>
        <v>6835</v>
      </c>
      <c r="B92" s="63" t="s">
        <v>104</v>
      </c>
      <c r="C92" s="61" t="s">
        <v>22</v>
      </c>
      <c r="D92" s="64">
        <v>1001203146835</v>
      </c>
      <c r="E92" s="55"/>
      <c r="F92" s="14">
        <f>E92*0.1</f>
        <v>0</v>
      </c>
      <c r="G92" s="26"/>
      <c r="H92" s="62"/>
      <c r="I92" s="24"/>
    </row>
    <row r="93" spans="1:9" ht="15.75" customHeight="1" thickTop="1" thickBot="1" x14ac:dyDescent="0.25">
      <c r="A93" s="35"/>
      <c r="B93" s="3" t="s">
        <v>105</v>
      </c>
      <c r="C93" s="25"/>
      <c r="D93" s="25"/>
      <c r="E93" s="56"/>
      <c r="F93" s="21"/>
      <c r="G93" s="21"/>
      <c r="H93" s="13"/>
      <c r="I93" s="13"/>
    </row>
    <row r="94" spans="1:9" ht="15.75" customHeight="1" thickTop="1" x14ac:dyDescent="0.2">
      <c r="A94" s="63" t="str">
        <f t="shared" ref="A94:A101" si="6">RIGHT(D94,4)</f>
        <v>3215</v>
      </c>
      <c r="B94" s="63" t="s">
        <v>106</v>
      </c>
      <c r="C94" s="61" t="s">
        <v>22</v>
      </c>
      <c r="D94" s="64">
        <v>1001094053215</v>
      </c>
      <c r="E94" s="55"/>
      <c r="F94" s="14">
        <f>E94*0.4</f>
        <v>0</v>
      </c>
      <c r="G94" s="14"/>
      <c r="H94" s="15"/>
      <c r="I94" s="24"/>
    </row>
    <row r="95" spans="1:9" ht="15.75" customHeight="1" thickBot="1" x14ac:dyDescent="0.25">
      <c r="A95" s="63" t="str">
        <f t="shared" si="6"/>
        <v>5452</v>
      </c>
      <c r="B95" s="63" t="s">
        <v>107</v>
      </c>
      <c r="C95" s="61" t="s">
        <v>24</v>
      </c>
      <c r="D95" s="64">
        <v>1001092485452</v>
      </c>
      <c r="E95" s="55"/>
      <c r="F95" s="14">
        <f>E95</f>
        <v>0</v>
      </c>
      <c r="G95" s="14"/>
      <c r="H95" s="15"/>
      <c r="I95" s="24"/>
    </row>
    <row r="96" spans="1:9" ht="15.75" customHeight="1" thickTop="1" thickBot="1" x14ac:dyDescent="0.25">
      <c r="A96" s="35" t="str">
        <f t="shared" si="6"/>
        <v/>
      </c>
      <c r="B96" s="3" t="s">
        <v>108</v>
      </c>
      <c r="C96" s="2"/>
      <c r="D96" s="25"/>
      <c r="E96" s="56"/>
      <c r="F96" s="21"/>
      <c r="G96" s="21"/>
      <c r="H96" s="13"/>
      <c r="I96" s="13"/>
    </row>
    <row r="97" spans="1:9" ht="15" customHeight="1" thickTop="1" x14ac:dyDescent="0.2">
      <c r="A97" s="63" t="str">
        <f t="shared" si="6"/>
        <v>5074</v>
      </c>
      <c r="B97" s="66" t="s">
        <v>109</v>
      </c>
      <c r="C97" s="61" t="s">
        <v>24</v>
      </c>
      <c r="D97" s="69">
        <v>1001080345074</v>
      </c>
      <c r="E97" s="55"/>
      <c r="F97" s="14">
        <f>E97</f>
        <v>0</v>
      </c>
      <c r="G97" s="14"/>
      <c r="H97" s="15"/>
      <c r="I97" s="16"/>
    </row>
    <row r="98" spans="1:9" x14ac:dyDescent="0.2">
      <c r="A98" s="63" t="str">
        <f t="shared" si="6"/>
        <v>6207</v>
      </c>
      <c r="B98" s="66" t="s">
        <v>110</v>
      </c>
      <c r="C98" s="61" t="s">
        <v>22</v>
      </c>
      <c r="D98" s="69">
        <v>1001083446207</v>
      </c>
      <c r="E98" s="55"/>
      <c r="F98" s="14">
        <f>E98*0.3</f>
        <v>0</v>
      </c>
      <c r="G98" s="14"/>
      <c r="H98" s="15"/>
      <c r="I98" s="16"/>
    </row>
    <row r="99" spans="1:9" x14ac:dyDescent="0.2">
      <c r="A99" s="63" t="str">
        <f t="shared" si="6"/>
        <v>7089</v>
      </c>
      <c r="B99" s="66" t="s">
        <v>111</v>
      </c>
      <c r="C99" s="61" t="s">
        <v>22</v>
      </c>
      <c r="D99" s="69">
        <v>1001084217089</v>
      </c>
      <c r="E99" s="55"/>
      <c r="F99" s="14">
        <f>E99*0.3</f>
        <v>0</v>
      </c>
      <c r="G99" s="14"/>
      <c r="H99" s="15"/>
      <c r="I99" s="16"/>
    </row>
    <row r="100" spans="1:9" x14ac:dyDescent="0.2">
      <c r="A100" s="63" t="str">
        <f t="shared" si="6"/>
        <v>7187</v>
      </c>
      <c r="B100" s="66" t="s">
        <v>112</v>
      </c>
      <c r="C100" s="61" t="s">
        <v>22</v>
      </c>
      <c r="D100" s="69">
        <v>1001085637187</v>
      </c>
      <c r="E100" s="55"/>
      <c r="F100" s="14">
        <f>E100*0.3</f>
        <v>0</v>
      </c>
      <c r="G100" s="14"/>
      <c r="H100" s="15"/>
      <c r="I100" s="16"/>
    </row>
    <row r="101" spans="1:9" ht="15" customHeight="1" thickBot="1" x14ac:dyDescent="0.25">
      <c r="A101" s="63" t="str">
        <f t="shared" si="6"/>
        <v>7104</v>
      </c>
      <c r="B101" s="66" t="s">
        <v>113</v>
      </c>
      <c r="C101" s="61" t="s">
        <v>22</v>
      </c>
      <c r="D101" s="69">
        <v>1001223297104</v>
      </c>
      <c r="E101" s="55"/>
      <c r="F101" s="14">
        <f>E101*0.18</f>
        <v>0</v>
      </c>
      <c r="G101" s="14"/>
      <c r="H101" s="15"/>
      <c r="I101" s="16"/>
    </row>
    <row r="102" spans="1:9" ht="15.75" customHeight="1" thickTop="1" thickBot="1" x14ac:dyDescent="0.25">
      <c r="A102" s="27"/>
      <c r="B102" s="27" t="s">
        <v>114</v>
      </c>
      <c r="C102" s="27"/>
      <c r="D102" s="27"/>
      <c r="E102" s="57">
        <f>SUM(E10:E101)</f>
        <v>2000</v>
      </c>
      <c r="F102" s="28">
        <f>SUM(F10:F101)</f>
        <v>500</v>
      </c>
      <c r="G102" s="37"/>
      <c r="H102" s="28"/>
      <c r="I102" s="29"/>
    </row>
    <row r="103" spans="1:9" ht="15" customHeight="1" thickTop="1" x14ac:dyDescent="0.2">
      <c r="B103" s="30"/>
      <c r="C103" s="31"/>
      <c r="D103" s="31"/>
      <c r="F103" s="60"/>
      <c r="G103" s="33"/>
      <c r="H103" s="33"/>
      <c r="I103" s="59"/>
    </row>
    <row r="104" spans="1:9" x14ac:dyDescent="0.2">
      <c r="B104" s="30"/>
      <c r="C104" s="31"/>
      <c r="D104" s="31"/>
      <c r="F104" s="60"/>
      <c r="G104" s="33"/>
      <c r="H104" s="33"/>
      <c r="I104" s="34"/>
    </row>
    <row r="105" spans="1:9" x14ac:dyDescent="0.2">
      <c r="B105" s="30"/>
      <c r="C105" s="31"/>
      <c r="D105" s="31"/>
      <c r="F105" s="60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  <row r="1625" spans="2:9" x14ac:dyDescent="0.2">
      <c r="B1625" s="30"/>
      <c r="C1625" s="31"/>
      <c r="D1625" s="31"/>
      <c r="F1625" s="32"/>
      <c r="G1625" s="33"/>
      <c r="H1625" s="33"/>
      <c r="I1625" s="34"/>
    </row>
    <row r="1626" spans="2:9" x14ac:dyDescent="0.2">
      <c r="B1626" s="30"/>
      <c r="C1626" s="31"/>
      <c r="D1626" s="31"/>
      <c r="F1626" s="32"/>
      <c r="G1626" s="33"/>
      <c r="H1626" s="33"/>
      <c r="I1626" s="34"/>
    </row>
  </sheetData>
  <autoFilter ref="A9:I104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2026-01-22T09:32:39Z</dcterms:modified>
</cp:coreProperties>
</file>