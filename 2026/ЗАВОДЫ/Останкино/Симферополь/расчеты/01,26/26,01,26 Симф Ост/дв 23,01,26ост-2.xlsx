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J8" i="1" l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7" i="1"/>
  <c r="AJ6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7" i="1"/>
  <c r="AD8" i="1"/>
  <c r="AD9" i="1"/>
  <c r="AD10" i="1"/>
  <c r="AD11" i="1"/>
  <c r="AD12" i="1"/>
  <c r="AD13" i="1"/>
  <c r="AD14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91" i="1"/>
  <c r="AD93" i="1"/>
  <c r="AD94" i="1"/>
  <c r="AD7" i="1"/>
  <c r="AG23" i="1" l="1"/>
  <c r="AG39" i="1"/>
  <c r="AG51" i="1"/>
  <c r="AG59" i="1"/>
  <c r="AG63" i="1"/>
  <c r="AG67" i="1"/>
  <c r="AG71" i="1"/>
  <c r="AG75" i="1"/>
  <c r="AG79" i="1"/>
  <c r="AG83" i="1"/>
  <c r="AG87" i="1"/>
  <c r="AG91" i="1"/>
  <c r="AG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7" i="1"/>
  <c r="AG8" i="1"/>
  <c r="AG9" i="1"/>
  <c r="AG10" i="1"/>
  <c r="AG12" i="1"/>
  <c r="AG13" i="1"/>
  <c r="AG14" i="1"/>
  <c r="AG16" i="1"/>
  <c r="AG17" i="1"/>
  <c r="AG18" i="1"/>
  <c r="AG20" i="1"/>
  <c r="AG21" i="1"/>
  <c r="AG22" i="1"/>
  <c r="AG24" i="1"/>
  <c r="AG25" i="1"/>
  <c r="AG26" i="1"/>
  <c r="AG28" i="1"/>
  <c r="AG29" i="1"/>
  <c r="AG30" i="1"/>
  <c r="AG32" i="1"/>
  <c r="AG33" i="1"/>
  <c r="AG34" i="1"/>
  <c r="AG36" i="1"/>
  <c r="AG37" i="1"/>
  <c r="AG38" i="1"/>
  <c r="AG40" i="1"/>
  <c r="AG41" i="1"/>
  <c r="AG42" i="1"/>
  <c r="AG44" i="1"/>
  <c r="AG45" i="1"/>
  <c r="AG46" i="1"/>
  <c r="AG48" i="1"/>
  <c r="AG49" i="1"/>
  <c r="AG50" i="1"/>
  <c r="AG52" i="1"/>
  <c r="AG53" i="1"/>
  <c r="AG54" i="1"/>
  <c r="AG56" i="1"/>
  <c r="AG57" i="1"/>
  <c r="AG58" i="1"/>
  <c r="AG60" i="1"/>
  <c r="AG61" i="1"/>
  <c r="AG62" i="1"/>
  <c r="AG64" i="1"/>
  <c r="AG65" i="1"/>
  <c r="AG66" i="1"/>
  <c r="AG68" i="1"/>
  <c r="AG69" i="1"/>
  <c r="AG70" i="1"/>
  <c r="AG72" i="1"/>
  <c r="AG73" i="1"/>
  <c r="AG74" i="1"/>
  <c r="AG76" i="1"/>
  <c r="AG77" i="1"/>
  <c r="AG78" i="1"/>
  <c r="AG80" i="1"/>
  <c r="AG81" i="1"/>
  <c r="AG82" i="1"/>
  <c r="AG84" i="1"/>
  <c r="AG85" i="1"/>
  <c r="AG86" i="1"/>
  <c r="AG88" i="1"/>
  <c r="AG89" i="1"/>
  <c r="AG90" i="1"/>
  <c r="AG92" i="1"/>
  <c r="AG93" i="1"/>
  <c r="AG94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7" i="1"/>
  <c r="AD6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7" i="1"/>
  <c r="AC6" i="1" s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7" i="1"/>
  <c r="AB6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7" i="1"/>
  <c r="AA6" i="1" s="1"/>
  <c r="Z8" i="1"/>
  <c r="Z9" i="1"/>
  <c r="Z10" i="1"/>
  <c r="Z11" i="1"/>
  <c r="Z12" i="1"/>
  <c r="Z13" i="1"/>
  <c r="Z14" i="1"/>
  <c r="Z15" i="1"/>
  <c r="Z16" i="1"/>
  <c r="Z17" i="1"/>
  <c r="Z18" i="1"/>
  <c r="Z19" i="1"/>
  <c r="Z6" i="1" s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V51" i="1" s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7" i="1"/>
  <c r="L6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7" i="1"/>
  <c r="K6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7" i="1"/>
  <c r="J6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7" i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7" i="1"/>
  <c r="AI6" i="1" l="1"/>
  <c r="AH6" i="1"/>
  <c r="Q6" i="1"/>
  <c r="AG55" i="1"/>
  <c r="AG47" i="1"/>
  <c r="AG43" i="1"/>
  <c r="AG35" i="1"/>
  <c r="AG31" i="1"/>
  <c r="AG27" i="1"/>
  <c r="AG19" i="1"/>
  <c r="AG15" i="1"/>
  <c r="AG11" i="1"/>
  <c r="S6" i="1"/>
  <c r="I6" i="1"/>
  <c r="AG6" i="1" l="1"/>
</calcChain>
</file>

<file path=xl/sharedStrings.xml><?xml version="1.0" encoding="utf-8"?>
<sst xmlns="http://schemas.openxmlformats.org/spreadsheetml/2006/main" count="238" uniqueCount="127">
  <si>
    <t>Период: 16.01.2026 - 23.01.2026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</si>
  <si>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</si>
  <si>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</si>
  <si>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</si>
  <si>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</si>
  <si>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</si>
  <si>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</si>
  <si>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</si>
  <si>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</si>
  <si>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</si>
  <si>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</si>
  <si>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</si>
  <si>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</si>
  <si>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</si>
  <si>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</si>
  <si>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</si>
  <si>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</si>
  <si>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</si>
  <si>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</si>
  <si>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</si>
  <si>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</si>
  <si>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</si>
  <si>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</si>
  <si>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</si>
  <si>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</si>
  <si>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</si>
  <si>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</si>
  <si>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</si>
  <si>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</si>
  <si>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</si>
  <si>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</si>
  <si>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</si>
  <si>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</si>
  <si>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</si>
  <si>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</si>
  <si>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</si>
  <si>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</si>
  <si>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</si>
  <si>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</si>
  <si>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</si>
  <si>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</si>
  <si>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</si>
  <si>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</si>
  <si>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</si>
  <si>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</si>
  <si>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</si>
  <si>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</si>
  <si>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</si>
  <si>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</si>
  <si>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</si>
  <si>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</si>
  <si>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</si>
  <si>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</si>
  <si>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</si>
  <si>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</si>
  <si>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</si>
  <si>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</si>
  <si>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</si>
  <si>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</si>
  <si>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</si>
  <si>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</si>
  <si>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</si>
  <si>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</si>
  <si>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</si>
  <si>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</si>
  <si>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</si>
  <si>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</si>
  <si>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</si>
  <si>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</si>
  <si>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</si>
  <si>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</si>
  <si>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</si>
  <si>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</si>
  <si>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</si>
  <si>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</si>
  <si>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</si>
  <si>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</si>
  <si>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</si>
  <si>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</si>
  <si>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</si>
  <si>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</si>
  <si>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</si>
  <si>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</si>
  <si>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</si>
  <si>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</si>
  <si>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</si>
  <si>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</si>
  <si>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</si>
  <si>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</si>
  <si>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</si>
  <si>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</si>
  <si>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</si>
  <si>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</si>
  <si>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</si>
  <si>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</si>
  <si>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</si>
  <si>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</si>
  <si>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</si>
  <si>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</si>
  <si>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</si>
  <si>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</si>
  <si>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</si>
  <si>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</si>
  <si>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</si>
  <si>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</si>
  <si>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</si>
  <si>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</si>
  <si>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</si>
  <si>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</si>
  <si>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</si>
  <si>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24,01,</t>
  </si>
  <si>
    <t>27,01,</t>
  </si>
  <si>
    <t>28,01г</t>
  </si>
  <si>
    <t>29,01,</t>
  </si>
  <si>
    <t>30,01,</t>
  </si>
  <si>
    <t>19,12,</t>
  </si>
  <si>
    <t>25,12,</t>
  </si>
  <si>
    <t>10,01,</t>
  </si>
  <si>
    <t>16,01,</t>
  </si>
  <si>
    <t>17т</t>
  </si>
  <si>
    <t>6т</t>
  </si>
  <si>
    <t>8т</t>
  </si>
  <si>
    <t>увел</t>
  </si>
  <si>
    <t>кор</t>
  </si>
  <si>
    <t>31,01,</t>
  </si>
  <si>
    <t>2,5т</t>
  </si>
  <si>
    <t>0,2рагу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</si>
</sst>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6" fontId="0" fillId="0" borderId="0" xfId="0" applyNumberFormat="1" applyAlignment="1">
      <alignment horizontal="left"/>
    </xf>
    <xf numFmtId="0" fontId="8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7-23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4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15.01.2026 - 22.01.2026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23,01,</v>
          </cell>
          <cell r="L5" t="str">
            <v>24,01,</v>
          </cell>
          <cell r="T5" t="str">
            <v>27,01,</v>
          </cell>
          <cell r="W5" t="str">
            <v>27,01,</v>
          </cell>
          <cell r="Z5" t="str">
            <v>19,12,</v>
          </cell>
          <cell r="AA5" t="str">
            <v>25,12,</v>
          </cell>
          <cell r="AB5" t="str">
            <v>10,01,</v>
          </cell>
          <cell r="AC5" t="str">
            <v>16,01,</v>
          </cell>
          <cell r="AD5" t="str">
            <v>22,01,</v>
          </cell>
        </row>
        <row r="6">
          <cell r="E6">
            <v>74079.840999999986</v>
          </cell>
          <cell r="F6">
            <v>70372.700999999986</v>
          </cell>
          <cell r="I6">
            <v>76118.574000000008</v>
          </cell>
          <cell r="J6">
            <v>-2038.7330000000004</v>
          </cell>
          <cell r="K6">
            <v>18314</v>
          </cell>
          <cell r="L6">
            <v>10800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14815.968200000003</v>
          </cell>
          <cell r="T6">
            <v>6752</v>
          </cell>
          <cell r="W6">
            <v>6752</v>
          </cell>
          <cell r="X6">
            <v>0</v>
          </cell>
          <cell r="Y6">
            <v>0</v>
          </cell>
          <cell r="Z6">
            <v>15605.927199999996</v>
          </cell>
          <cell r="AA6">
            <v>20241.092199999999</v>
          </cell>
          <cell r="AB6">
            <v>13793.862500000001</v>
          </cell>
          <cell r="AC6">
            <v>14400.205000000002</v>
          </cell>
          <cell r="AD6">
            <v>11091.696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291</v>
          </cell>
          <cell r="D7">
            <v>1028</v>
          </cell>
          <cell r="E7">
            <v>726</v>
          </cell>
          <cell r="F7">
            <v>569</v>
          </cell>
          <cell r="G7">
            <v>0.4</v>
          </cell>
          <cell r="H7">
            <v>60</v>
          </cell>
          <cell r="I7">
            <v>772</v>
          </cell>
          <cell r="J7">
            <v>-46</v>
          </cell>
          <cell r="K7">
            <v>240</v>
          </cell>
          <cell r="L7">
            <v>120</v>
          </cell>
          <cell r="S7">
            <v>145.19999999999999</v>
          </cell>
          <cell r="U7">
            <v>6.398071625344353</v>
          </cell>
          <cell r="V7">
            <v>3.9187327823691462</v>
          </cell>
          <cell r="Z7">
            <v>145.4</v>
          </cell>
          <cell r="AA7">
            <v>198.4</v>
          </cell>
          <cell r="AB7">
            <v>158.75</v>
          </cell>
          <cell r="AC7">
            <v>144.19999999999999</v>
          </cell>
          <cell r="AD7">
            <v>168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106</v>
          </cell>
          <cell r="D8">
            <v>40</v>
          </cell>
          <cell r="E8">
            <v>52</v>
          </cell>
          <cell r="F8">
            <v>92</v>
          </cell>
          <cell r="G8">
            <v>0.25</v>
          </cell>
          <cell r="H8">
            <v>120</v>
          </cell>
          <cell r="I8">
            <v>55</v>
          </cell>
          <cell r="J8">
            <v>-3</v>
          </cell>
          <cell r="K8">
            <v>40</v>
          </cell>
          <cell r="L8">
            <v>0</v>
          </cell>
          <cell r="S8">
            <v>10.4</v>
          </cell>
          <cell r="U8">
            <v>12.692307692307692</v>
          </cell>
          <cell r="V8">
            <v>8.8461538461538467</v>
          </cell>
          <cell r="Z8">
            <v>13</v>
          </cell>
          <cell r="AA8">
            <v>19.399999999999999</v>
          </cell>
          <cell r="AB8">
            <v>13.75</v>
          </cell>
          <cell r="AC8">
            <v>12.6</v>
          </cell>
          <cell r="AD8">
            <v>8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1191</v>
          </cell>
          <cell r="D9">
            <v>219</v>
          </cell>
          <cell r="E9">
            <v>556</v>
          </cell>
          <cell r="F9">
            <v>835</v>
          </cell>
          <cell r="G9">
            <v>0.25</v>
          </cell>
          <cell r="H9" t="e">
            <v>#N/A</v>
          </cell>
          <cell r="I9">
            <v>579</v>
          </cell>
          <cell r="J9">
            <v>-23</v>
          </cell>
          <cell r="K9">
            <v>400</v>
          </cell>
          <cell r="L9">
            <v>0</v>
          </cell>
          <cell r="S9">
            <v>111.2</v>
          </cell>
          <cell r="U9">
            <v>11.106115107913668</v>
          </cell>
          <cell r="V9">
            <v>7.5089928057553958</v>
          </cell>
          <cell r="Z9">
            <v>135</v>
          </cell>
          <cell r="AA9">
            <v>211.8</v>
          </cell>
          <cell r="AB9">
            <v>100.5</v>
          </cell>
          <cell r="AC9">
            <v>106.8</v>
          </cell>
          <cell r="AD9">
            <v>144</v>
          </cell>
          <cell r="AE9">
            <v>0</v>
          </cell>
          <cell r="AF9">
            <v>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1747.654</v>
          </cell>
          <cell r="D10">
            <v>1233.462</v>
          </cell>
          <cell r="E10">
            <v>1273.758</v>
          </cell>
          <cell r="F10">
            <v>1630.396</v>
          </cell>
          <cell r="G10">
            <v>1</v>
          </cell>
          <cell r="H10">
            <v>60</v>
          </cell>
          <cell r="I10">
            <v>1303.345</v>
          </cell>
          <cell r="J10">
            <v>-29.586999999999989</v>
          </cell>
          <cell r="K10">
            <v>200</v>
          </cell>
          <cell r="L10">
            <v>500</v>
          </cell>
          <cell r="S10">
            <v>254.7516</v>
          </cell>
          <cell r="U10">
            <v>9.1477187974481797</v>
          </cell>
          <cell r="V10">
            <v>6.3999441024119177</v>
          </cell>
          <cell r="Z10">
            <v>309.3526</v>
          </cell>
          <cell r="AA10">
            <v>430.13059999999996</v>
          </cell>
          <cell r="AB10">
            <v>313.11700000000002</v>
          </cell>
          <cell r="AC10">
            <v>285.77300000000002</v>
          </cell>
          <cell r="AD10">
            <v>181.97200000000001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139.04599999999999</v>
          </cell>
          <cell r="D11">
            <v>16.872</v>
          </cell>
          <cell r="E11">
            <v>18.148</v>
          </cell>
          <cell r="F11">
            <v>121.898</v>
          </cell>
          <cell r="G11">
            <v>1</v>
          </cell>
          <cell r="H11">
            <v>120</v>
          </cell>
          <cell r="I11">
            <v>30.3</v>
          </cell>
          <cell r="J11">
            <v>-12.152000000000001</v>
          </cell>
          <cell r="K11">
            <v>0</v>
          </cell>
          <cell r="L11">
            <v>0</v>
          </cell>
          <cell r="S11">
            <v>3.6295999999999999</v>
          </cell>
          <cell r="U11">
            <v>33.584417015649109</v>
          </cell>
          <cell r="V11">
            <v>33.584417015649109</v>
          </cell>
          <cell r="Z11">
            <v>10.632400000000001</v>
          </cell>
          <cell r="AA11">
            <v>14.130799999999999</v>
          </cell>
          <cell r="AB11">
            <v>12.317</v>
          </cell>
          <cell r="AC11">
            <v>7.1075999999999997</v>
          </cell>
          <cell r="AD11">
            <v>2.9740000000000002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61.459000000000003</v>
          </cell>
          <cell r="D12">
            <v>120.395</v>
          </cell>
          <cell r="E12">
            <v>105.32599999999999</v>
          </cell>
          <cell r="F12">
            <v>75.162000000000006</v>
          </cell>
          <cell r="G12">
            <v>1</v>
          </cell>
          <cell r="H12">
            <v>60</v>
          </cell>
          <cell r="I12">
            <v>105.3</v>
          </cell>
          <cell r="J12">
            <v>2.5999999999996248E-2</v>
          </cell>
          <cell r="K12">
            <v>20</v>
          </cell>
          <cell r="L12">
            <v>0</v>
          </cell>
          <cell r="S12">
            <v>21.065199999999997</v>
          </cell>
          <cell r="T12">
            <v>30</v>
          </cell>
          <cell r="U12">
            <v>5.9416478362417644</v>
          </cell>
          <cell r="V12">
            <v>3.5680648652754314</v>
          </cell>
          <cell r="W12">
            <v>30</v>
          </cell>
          <cell r="Z12">
            <v>22.8704</v>
          </cell>
          <cell r="AA12">
            <v>25.218799999999998</v>
          </cell>
          <cell r="AB12">
            <v>24.420500000000001</v>
          </cell>
          <cell r="AC12">
            <v>17.1706</v>
          </cell>
          <cell r="AD12">
            <v>24.268999999999998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635.47299999999996</v>
          </cell>
          <cell r="D13">
            <v>390.80500000000001</v>
          </cell>
          <cell r="E13">
            <v>433.21699999999998</v>
          </cell>
          <cell r="F13">
            <v>561.79200000000003</v>
          </cell>
          <cell r="G13">
            <v>1</v>
          </cell>
          <cell r="H13">
            <v>60</v>
          </cell>
          <cell r="I13">
            <v>431.12200000000001</v>
          </cell>
          <cell r="J13">
            <v>2.0949999999999704</v>
          </cell>
          <cell r="K13">
            <v>100</v>
          </cell>
          <cell r="L13">
            <v>100</v>
          </cell>
          <cell r="S13">
            <v>86.6434</v>
          </cell>
          <cell r="U13">
            <v>8.7922680781225111</v>
          </cell>
          <cell r="V13">
            <v>6.4839560774392515</v>
          </cell>
          <cell r="Z13">
            <v>109.07059999999998</v>
          </cell>
          <cell r="AA13">
            <v>157.797</v>
          </cell>
          <cell r="AB13">
            <v>124.94525</v>
          </cell>
          <cell r="AC13">
            <v>91.473399999999998</v>
          </cell>
          <cell r="AD13">
            <v>64.861999999999995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1017</v>
          </cell>
          <cell r="D14">
            <v>9</v>
          </cell>
          <cell r="E14">
            <v>282</v>
          </cell>
          <cell r="F14">
            <v>737</v>
          </cell>
          <cell r="G14">
            <v>0.25</v>
          </cell>
          <cell r="H14">
            <v>120</v>
          </cell>
          <cell r="I14">
            <v>293</v>
          </cell>
          <cell r="J14">
            <v>-11</v>
          </cell>
          <cell r="K14">
            <v>200</v>
          </cell>
          <cell r="L14">
            <v>0</v>
          </cell>
          <cell r="S14">
            <v>56.4</v>
          </cell>
          <cell r="U14">
            <v>16.613475177304966</v>
          </cell>
          <cell r="V14">
            <v>13.067375886524824</v>
          </cell>
          <cell r="Z14">
            <v>64.8</v>
          </cell>
          <cell r="AA14">
            <v>126.2</v>
          </cell>
          <cell r="AB14">
            <v>72.75</v>
          </cell>
          <cell r="AC14">
            <v>70.599999999999994</v>
          </cell>
          <cell r="AD14">
            <v>71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34.567</v>
          </cell>
          <cell r="D15">
            <v>68.927999999999997</v>
          </cell>
          <cell r="E15">
            <v>91.525000000000006</v>
          </cell>
          <cell r="F15">
            <v>11.97</v>
          </cell>
          <cell r="G15">
            <v>1</v>
          </cell>
          <cell r="H15">
            <v>30</v>
          </cell>
          <cell r="I15">
            <v>92.7</v>
          </cell>
          <cell r="J15">
            <v>-1.1749999999999972</v>
          </cell>
          <cell r="K15">
            <v>0</v>
          </cell>
          <cell r="L15">
            <v>50</v>
          </cell>
          <cell r="S15">
            <v>18.305</v>
          </cell>
          <cell r="T15">
            <v>20</v>
          </cell>
          <cell r="U15">
            <v>4.4780114722753348</v>
          </cell>
          <cell r="V15">
            <v>0.65391969407265782</v>
          </cell>
          <cell r="W15">
            <v>20</v>
          </cell>
          <cell r="Z15">
            <v>14.012799999999999</v>
          </cell>
          <cell r="AA15">
            <v>18.4986</v>
          </cell>
          <cell r="AB15">
            <v>17.0975</v>
          </cell>
          <cell r="AC15">
            <v>4.2134</v>
          </cell>
          <cell r="AD15">
            <v>3.016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1.5009999999999999</v>
          </cell>
          <cell r="D16">
            <v>21.082000000000001</v>
          </cell>
          <cell r="E16">
            <v>24.053999999999998</v>
          </cell>
          <cell r="F16">
            <v>-1.4710000000000001</v>
          </cell>
          <cell r="G16">
            <v>1</v>
          </cell>
          <cell r="H16">
            <v>30</v>
          </cell>
          <cell r="I16">
            <v>22.5</v>
          </cell>
          <cell r="J16">
            <v>1.5539999999999985</v>
          </cell>
          <cell r="K16">
            <v>10</v>
          </cell>
          <cell r="L16">
            <v>50</v>
          </cell>
          <cell r="S16">
            <v>4.8107999999999995</v>
          </cell>
          <cell r="U16">
            <v>12.166167789141099</v>
          </cell>
          <cell r="V16">
            <v>-0.3057703500457305</v>
          </cell>
          <cell r="Z16">
            <v>3.5884</v>
          </cell>
          <cell r="AA16">
            <v>8.7018000000000004</v>
          </cell>
          <cell r="AB16">
            <v>3.7162500000000001</v>
          </cell>
          <cell r="AC16">
            <v>4.1818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1829</v>
          </cell>
          <cell r="D17">
            <v>230</v>
          </cell>
          <cell r="E17">
            <v>677</v>
          </cell>
          <cell r="F17">
            <v>1362</v>
          </cell>
          <cell r="G17">
            <v>0.25</v>
          </cell>
          <cell r="H17">
            <v>120</v>
          </cell>
          <cell r="I17">
            <v>701</v>
          </cell>
          <cell r="J17">
            <v>-24</v>
          </cell>
          <cell r="K17">
            <v>400</v>
          </cell>
          <cell r="L17">
            <v>0</v>
          </cell>
          <cell r="S17">
            <v>135.4</v>
          </cell>
          <cell r="U17">
            <v>13.013293943870014</v>
          </cell>
          <cell r="V17">
            <v>10.059084194977842</v>
          </cell>
          <cell r="Z17">
            <v>175</v>
          </cell>
          <cell r="AA17">
            <v>268.60000000000002</v>
          </cell>
          <cell r="AB17">
            <v>160.75</v>
          </cell>
          <cell r="AC17">
            <v>143.6</v>
          </cell>
          <cell r="AD17">
            <v>136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940.81600000000003</v>
          </cell>
          <cell r="D18">
            <v>791.13099999999997</v>
          </cell>
          <cell r="E18">
            <v>854.28300000000002</v>
          </cell>
          <cell r="F18">
            <v>856.48299999999995</v>
          </cell>
          <cell r="G18">
            <v>1</v>
          </cell>
          <cell r="H18">
            <v>45</v>
          </cell>
          <cell r="I18">
            <v>857.19899999999996</v>
          </cell>
          <cell r="J18">
            <v>-2.91599999999994</v>
          </cell>
          <cell r="K18">
            <v>200</v>
          </cell>
          <cell r="L18">
            <v>300</v>
          </cell>
          <cell r="S18">
            <v>170.85660000000001</v>
          </cell>
          <cell r="U18">
            <v>7.9393069977981527</v>
          </cell>
          <cell r="V18">
            <v>5.0128762950919068</v>
          </cell>
          <cell r="Z18">
            <v>178.64339999999999</v>
          </cell>
          <cell r="AA18">
            <v>292.82139999999998</v>
          </cell>
          <cell r="AB18">
            <v>132.84925000000001</v>
          </cell>
          <cell r="AC18">
            <v>170.76300000000001</v>
          </cell>
          <cell r="AD18">
            <v>48.843000000000004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199</v>
          </cell>
          <cell r="D19">
            <v>331</v>
          </cell>
          <cell r="E19">
            <v>249</v>
          </cell>
          <cell r="F19">
            <v>269</v>
          </cell>
          <cell r="G19">
            <v>0.15</v>
          </cell>
          <cell r="H19">
            <v>60</v>
          </cell>
          <cell r="I19">
            <v>271</v>
          </cell>
          <cell r="J19">
            <v>-22</v>
          </cell>
          <cell r="K19">
            <v>80</v>
          </cell>
          <cell r="L19">
            <v>40</v>
          </cell>
          <cell r="S19">
            <v>49.8</v>
          </cell>
          <cell r="U19">
            <v>7.811244979919679</v>
          </cell>
          <cell r="V19">
            <v>5.4016064257028118</v>
          </cell>
          <cell r="Z19">
            <v>64.2</v>
          </cell>
          <cell r="AA19">
            <v>90.6</v>
          </cell>
          <cell r="AB19">
            <v>59.75</v>
          </cell>
          <cell r="AC19">
            <v>55.2</v>
          </cell>
          <cell r="AD19">
            <v>46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158.65600000000001</v>
          </cell>
          <cell r="D20">
            <v>0.99399999999999999</v>
          </cell>
          <cell r="E20">
            <v>22.984000000000002</v>
          </cell>
          <cell r="F20">
            <v>136.666</v>
          </cell>
          <cell r="G20">
            <v>1</v>
          </cell>
          <cell r="H20">
            <v>120</v>
          </cell>
          <cell r="I20">
            <v>22.6</v>
          </cell>
          <cell r="J20">
            <v>0.38400000000000034</v>
          </cell>
          <cell r="K20">
            <v>0</v>
          </cell>
          <cell r="L20">
            <v>0</v>
          </cell>
          <cell r="S20">
            <v>4.5968</v>
          </cell>
          <cell r="U20">
            <v>29.730682213713887</v>
          </cell>
          <cell r="V20">
            <v>29.730682213713887</v>
          </cell>
          <cell r="Z20">
            <v>14.2392</v>
          </cell>
          <cell r="AA20">
            <v>14.5532</v>
          </cell>
          <cell r="AB20">
            <v>13.509499999999999</v>
          </cell>
          <cell r="AC20">
            <v>6.6372</v>
          </cell>
          <cell r="AD20">
            <v>4.5119999999999996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275.39100000000002</v>
          </cell>
          <cell r="D21">
            <v>214.23500000000001</v>
          </cell>
          <cell r="E21">
            <v>184.684</v>
          </cell>
          <cell r="F21">
            <v>287.3</v>
          </cell>
          <cell r="G21">
            <v>1</v>
          </cell>
          <cell r="H21">
            <v>60</v>
          </cell>
          <cell r="I21">
            <v>197.8</v>
          </cell>
          <cell r="J21">
            <v>-13.116000000000014</v>
          </cell>
          <cell r="K21">
            <v>50</v>
          </cell>
          <cell r="L21">
            <v>0</v>
          </cell>
          <cell r="S21">
            <v>36.936799999999998</v>
          </cell>
          <cell r="U21">
            <v>9.1318143423360993</v>
          </cell>
          <cell r="V21">
            <v>7.7781507872907243</v>
          </cell>
          <cell r="Z21">
            <v>54.565800000000003</v>
          </cell>
          <cell r="AA21">
            <v>81.504600000000011</v>
          </cell>
          <cell r="AB21">
            <v>72.723249999999993</v>
          </cell>
          <cell r="AC21">
            <v>39.423999999999999</v>
          </cell>
          <cell r="AD21">
            <v>44.488999999999997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3200</v>
          </cell>
          <cell r="D22">
            <v>27</v>
          </cell>
          <cell r="E22">
            <v>1152</v>
          </cell>
          <cell r="F22">
            <v>2057</v>
          </cell>
          <cell r="G22">
            <v>0.22</v>
          </cell>
          <cell r="H22">
            <v>120</v>
          </cell>
          <cell r="I22">
            <v>1191</v>
          </cell>
          <cell r="J22">
            <v>-39</v>
          </cell>
          <cell r="K22">
            <v>400</v>
          </cell>
          <cell r="L22">
            <v>0</v>
          </cell>
          <cell r="S22">
            <v>230.4</v>
          </cell>
          <cell r="U22">
            <v>10.6640625</v>
          </cell>
          <cell r="V22">
            <v>8.9279513888888893</v>
          </cell>
          <cell r="Z22">
            <v>292.2</v>
          </cell>
          <cell r="AA22">
            <v>380.8</v>
          </cell>
          <cell r="AB22">
            <v>234.25</v>
          </cell>
          <cell r="AC22">
            <v>218.8</v>
          </cell>
          <cell r="AD22">
            <v>183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6.7290000000000001</v>
          </cell>
          <cell r="D23">
            <v>36.656999999999996</v>
          </cell>
          <cell r="E23">
            <v>12.237</v>
          </cell>
          <cell r="F23">
            <v>31.149000000000001</v>
          </cell>
          <cell r="G23">
            <v>1</v>
          </cell>
          <cell r="H23" t="e">
            <v>#N/A</v>
          </cell>
          <cell r="I23">
            <v>11.5</v>
          </cell>
          <cell r="J23">
            <v>0.7370000000000001</v>
          </cell>
          <cell r="K23">
            <v>0</v>
          </cell>
          <cell r="L23">
            <v>0</v>
          </cell>
          <cell r="S23">
            <v>2.4474</v>
          </cell>
          <cell r="U23">
            <v>12.727384162784997</v>
          </cell>
          <cell r="V23">
            <v>12.727384162784997</v>
          </cell>
          <cell r="Z23">
            <v>2.7042000000000002</v>
          </cell>
          <cell r="AA23">
            <v>6.5171999999999999</v>
          </cell>
          <cell r="AB23">
            <v>5.4337499999999999</v>
          </cell>
          <cell r="AC23">
            <v>3.5173999999999999</v>
          </cell>
          <cell r="AD23">
            <v>4.09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462</v>
          </cell>
          <cell r="D24">
            <v>705</v>
          </cell>
          <cell r="E24">
            <v>480</v>
          </cell>
          <cell r="F24">
            <v>677</v>
          </cell>
          <cell r="G24">
            <v>0.09</v>
          </cell>
          <cell r="H24" t="e">
            <v>#N/A</v>
          </cell>
          <cell r="I24">
            <v>480</v>
          </cell>
          <cell r="J24">
            <v>0</v>
          </cell>
          <cell r="K24">
            <v>0</v>
          </cell>
          <cell r="L24">
            <v>120</v>
          </cell>
          <cell r="S24">
            <v>96</v>
          </cell>
          <cell r="U24">
            <v>8.3020833333333339</v>
          </cell>
          <cell r="V24">
            <v>7.052083333333333</v>
          </cell>
          <cell r="Z24">
            <v>122.4</v>
          </cell>
          <cell r="AA24">
            <v>187</v>
          </cell>
          <cell r="AB24">
            <v>168</v>
          </cell>
          <cell r="AC24">
            <v>107.6</v>
          </cell>
          <cell r="AD24">
            <v>45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327</v>
          </cell>
          <cell r="D25">
            <v>639</v>
          </cell>
          <cell r="E25">
            <v>439</v>
          </cell>
          <cell r="F25">
            <v>510</v>
          </cell>
          <cell r="G25">
            <v>0.09</v>
          </cell>
          <cell r="H25">
            <v>45</v>
          </cell>
          <cell r="I25">
            <v>442</v>
          </cell>
          <cell r="J25">
            <v>-3</v>
          </cell>
          <cell r="K25">
            <v>0</v>
          </cell>
          <cell r="L25">
            <v>0</v>
          </cell>
          <cell r="S25">
            <v>87.8</v>
          </cell>
          <cell r="T25">
            <v>70</v>
          </cell>
          <cell r="U25">
            <v>6.6059225512528474</v>
          </cell>
          <cell r="V25">
            <v>5.808656036446469</v>
          </cell>
          <cell r="W25">
            <v>70</v>
          </cell>
          <cell r="Z25">
            <v>84.4</v>
          </cell>
          <cell r="AA25">
            <v>123</v>
          </cell>
          <cell r="AB25">
            <v>135</v>
          </cell>
          <cell r="AC25">
            <v>75.8</v>
          </cell>
          <cell r="AD25">
            <v>56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74</v>
          </cell>
          <cell r="D26">
            <v>164</v>
          </cell>
          <cell r="E26">
            <v>133</v>
          </cell>
          <cell r="F26">
            <v>102</v>
          </cell>
          <cell r="G26">
            <v>0.4</v>
          </cell>
          <cell r="H26">
            <v>60</v>
          </cell>
          <cell r="I26">
            <v>128</v>
          </cell>
          <cell r="J26">
            <v>5</v>
          </cell>
          <cell r="K26">
            <v>40</v>
          </cell>
          <cell r="L26">
            <v>40</v>
          </cell>
          <cell r="S26">
            <v>26.6</v>
          </cell>
          <cell r="U26">
            <v>6.8421052631578947</v>
          </cell>
          <cell r="V26">
            <v>3.8345864661654132</v>
          </cell>
          <cell r="Z26">
            <v>21</v>
          </cell>
          <cell r="AA26">
            <v>27.4</v>
          </cell>
          <cell r="AB26">
            <v>28.75</v>
          </cell>
          <cell r="AC26">
            <v>24.6</v>
          </cell>
          <cell r="AD26">
            <v>20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249</v>
          </cell>
          <cell r="D27">
            <v>980</v>
          </cell>
          <cell r="E27">
            <v>692</v>
          </cell>
          <cell r="F27">
            <v>519</v>
          </cell>
          <cell r="G27">
            <v>0.4</v>
          </cell>
          <cell r="H27">
            <v>60</v>
          </cell>
          <cell r="I27">
            <v>726</v>
          </cell>
          <cell r="J27">
            <v>-34</v>
          </cell>
          <cell r="K27">
            <v>240</v>
          </cell>
          <cell r="L27">
            <v>120</v>
          </cell>
          <cell r="S27">
            <v>138.4</v>
          </cell>
          <cell r="T27">
            <v>40</v>
          </cell>
          <cell r="U27">
            <v>6.6401734104046239</v>
          </cell>
          <cell r="V27">
            <v>3.75</v>
          </cell>
          <cell r="W27">
            <v>40</v>
          </cell>
          <cell r="Z27">
            <v>154.6</v>
          </cell>
          <cell r="AA27">
            <v>204.6</v>
          </cell>
          <cell r="AB27">
            <v>175.25</v>
          </cell>
          <cell r="AC27">
            <v>137</v>
          </cell>
          <cell r="AD27">
            <v>149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478</v>
          </cell>
          <cell r="D28">
            <v>713</v>
          </cell>
          <cell r="E28">
            <v>568</v>
          </cell>
          <cell r="F28">
            <v>596</v>
          </cell>
          <cell r="G28">
            <v>0.15</v>
          </cell>
          <cell r="H28" t="e">
            <v>#N/A</v>
          </cell>
          <cell r="I28">
            <v>550</v>
          </cell>
          <cell r="J28">
            <v>18</v>
          </cell>
          <cell r="K28">
            <v>100</v>
          </cell>
          <cell r="L28">
            <v>80</v>
          </cell>
          <cell r="S28">
            <v>113.6</v>
          </cell>
          <cell r="U28">
            <v>6.830985915492958</v>
          </cell>
          <cell r="V28">
            <v>5.246478873239437</v>
          </cell>
          <cell r="Z28">
            <v>105.6</v>
          </cell>
          <cell r="AA28">
            <v>161</v>
          </cell>
          <cell r="AB28">
            <v>166.75</v>
          </cell>
          <cell r="AC28">
            <v>109.2</v>
          </cell>
          <cell r="AD28">
            <v>66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255.166</v>
          </cell>
          <cell r="D29">
            <v>638.11800000000005</v>
          </cell>
          <cell r="E29">
            <v>589.95000000000005</v>
          </cell>
          <cell r="F29">
            <v>292.28300000000002</v>
          </cell>
          <cell r="G29">
            <v>1</v>
          </cell>
          <cell r="H29">
            <v>45</v>
          </cell>
          <cell r="I29">
            <v>571.9</v>
          </cell>
          <cell r="J29">
            <v>18.050000000000068</v>
          </cell>
          <cell r="K29">
            <v>150</v>
          </cell>
          <cell r="L29">
            <v>60</v>
          </cell>
          <cell r="S29">
            <v>117.99000000000001</v>
          </cell>
          <cell r="T29">
            <v>200</v>
          </cell>
          <cell r="U29">
            <v>5.9520552589202476</v>
          </cell>
          <cell r="V29">
            <v>2.4771845071616236</v>
          </cell>
          <cell r="W29">
            <v>200</v>
          </cell>
          <cell r="Z29">
            <v>84.791200000000003</v>
          </cell>
          <cell r="AA29">
            <v>97.918399999999991</v>
          </cell>
          <cell r="AB29">
            <v>49.542749999999998</v>
          </cell>
          <cell r="AC29">
            <v>94.280200000000008</v>
          </cell>
          <cell r="AD29">
            <v>250.71299999999999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24</v>
          </cell>
          <cell r="D30">
            <v>160</v>
          </cell>
          <cell r="E30">
            <v>64</v>
          </cell>
          <cell r="F30">
            <v>120</v>
          </cell>
          <cell r="G30">
            <v>0.4</v>
          </cell>
          <cell r="H30">
            <v>60</v>
          </cell>
          <cell r="I30">
            <v>64</v>
          </cell>
          <cell r="J30">
            <v>0</v>
          </cell>
          <cell r="K30">
            <v>0</v>
          </cell>
          <cell r="L30">
            <v>0</v>
          </cell>
          <cell r="S30">
            <v>12.8</v>
          </cell>
          <cell r="U30">
            <v>9.375</v>
          </cell>
          <cell r="V30">
            <v>9.375</v>
          </cell>
          <cell r="Z30">
            <v>15.4</v>
          </cell>
          <cell r="AA30">
            <v>33.200000000000003</v>
          </cell>
          <cell r="AB30">
            <v>14.25</v>
          </cell>
          <cell r="AC30">
            <v>18.8</v>
          </cell>
          <cell r="AD30">
            <v>32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772</v>
          </cell>
          <cell r="D31">
            <v>1908</v>
          </cell>
          <cell r="E31">
            <v>1484</v>
          </cell>
          <cell r="F31">
            <v>1150</v>
          </cell>
          <cell r="G31">
            <v>0.4</v>
          </cell>
          <cell r="H31">
            <v>60</v>
          </cell>
          <cell r="I31">
            <v>1555</v>
          </cell>
          <cell r="J31">
            <v>-71</v>
          </cell>
          <cell r="K31">
            <v>600</v>
          </cell>
          <cell r="L31">
            <v>200</v>
          </cell>
          <cell r="S31">
            <v>296.8</v>
          </cell>
          <cell r="U31">
            <v>6.5700808625336924</v>
          </cell>
          <cell r="V31">
            <v>3.8746630727762801</v>
          </cell>
          <cell r="Z31">
            <v>311.2</v>
          </cell>
          <cell r="AA31">
            <v>421.8</v>
          </cell>
          <cell r="AB31">
            <v>325.5</v>
          </cell>
          <cell r="AC31">
            <v>292.8</v>
          </cell>
          <cell r="AD31">
            <v>267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4437</v>
          </cell>
          <cell r="D32">
            <v>4327</v>
          </cell>
          <cell r="E32">
            <v>4113</v>
          </cell>
          <cell r="F32">
            <v>4552</v>
          </cell>
          <cell r="G32">
            <v>0.4</v>
          </cell>
          <cell r="H32">
            <v>60</v>
          </cell>
          <cell r="I32">
            <v>4248</v>
          </cell>
          <cell r="J32">
            <v>-135</v>
          </cell>
          <cell r="K32">
            <v>1000</v>
          </cell>
          <cell r="L32">
            <v>1000</v>
          </cell>
          <cell r="S32">
            <v>822.6</v>
          </cell>
          <cell r="U32">
            <v>7.9649890590809624</v>
          </cell>
          <cell r="V32">
            <v>5.5336737174811574</v>
          </cell>
          <cell r="Z32">
            <v>891</v>
          </cell>
          <cell r="AA32">
            <v>1223.5999999999999</v>
          </cell>
          <cell r="AB32">
            <v>945.5</v>
          </cell>
          <cell r="AC32">
            <v>864.2</v>
          </cell>
          <cell r="AD32">
            <v>529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188</v>
          </cell>
          <cell r="D33">
            <v>491</v>
          </cell>
          <cell r="E33">
            <v>199</v>
          </cell>
          <cell r="F33">
            <v>475</v>
          </cell>
          <cell r="G33">
            <v>0.5</v>
          </cell>
          <cell r="H33" t="e">
            <v>#N/A</v>
          </cell>
          <cell r="I33">
            <v>196</v>
          </cell>
          <cell r="J33">
            <v>3</v>
          </cell>
          <cell r="K33">
            <v>0</v>
          </cell>
          <cell r="L33">
            <v>40</v>
          </cell>
          <cell r="S33">
            <v>39.799999999999997</v>
          </cell>
          <cell r="U33">
            <v>12.939698492462313</v>
          </cell>
          <cell r="V33">
            <v>11.934673366834172</v>
          </cell>
          <cell r="Z33">
            <v>60</v>
          </cell>
          <cell r="AA33">
            <v>76.2</v>
          </cell>
          <cell r="AB33">
            <v>59</v>
          </cell>
          <cell r="AC33">
            <v>60</v>
          </cell>
          <cell r="AD33">
            <v>35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1274</v>
          </cell>
          <cell r="D34">
            <v>1174</v>
          </cell>
          <cell r="E34">
            <v>1257</v>
          </cell>
          <cell r="F34">
            <v>1134</v>
          </cell>
          <cell r="G34">
            <v>0.4</v>
          </cell>
          <cell r="H34">
            <v>60</v>
          </cell>
          <cell r="I34">
            <v>1336</v>
          </cell>
          <cell r="J34">
            <v>-79</v>
          </cell>
          <cell r="K34">
            <v>200</v>
          </cell>
          <cell r="L34">
            <v>200</v>
          </cell>
          <cell r="S34">
            <v>251.4</v>
          </cell>
          <cell r="T34">
            <v>120</v>
          </cell>
          <cell r="U34">
            <v>6.5791567223548126</v>
          </cell>
          <cell r="V34">
            <v>4.5107398568019095</v>
          </cell>
          <cell r="W34">
            <v>120</v>
          </cell>
          <cell r="Z34">
            <v>300</v>
          </cell>
          <cell r="AA34">
            <v>424.8</v>
          </cell>
          <cell r="AB34">
            <v>285.5</v>
          </cell>
          <cell r="AC34">
            <v>236.8</v>
          </cell>
          <cell r="AD34">
            <v>256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2693</v>
          </cell>
          <cell r="D35">
            <v>2604</v>
          </cell>
          <cell r="E35">
            <v>2737</v>
          </cell>
          <cell r="F35">
            <v>2460</v>
          </cell>
          <cell r="G35">
            <v>0.4</v>
          </cell>
          <cell r="H35">
            <v>60</v>
          </cell>
          <cell r="I35">
            <v>2874</v>
          </cell>
          <cell r="J35">
            <v>-137</v>
          </cell>
          <cell r="K35">
            <v>400</v>
          </cell>
          <cell r="L35">
            <v>600</v>
          </cell>
          <cell r="S35">
            <v>547.4</v>
          </cell>
          <cell r="T35">
            <v>120</v>
          </cell>
          <cell r="U35">
            <v>6.5400073072707343</v>
          </cell>
          <cell r="V35">
            <v>4.4939715016441362</v>
          </cell>
          <cell r="W35">
            <v>120</v>
          </cell>
          <cell r="Z35">
            <v>622.20000000000005</v>
          </cell>
          <cell r="AA35">
            <v>758.4</v>
          </cell>
          <cell r="AB35">
            <v>540.5</v>
          </cell>
          <cell r="AC35">
            <v>517</v>
          </cell>
          <cell r="AD35">
            <v>472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1097</v>
          </cell>
          <cell r="D36">
            <v>1889</v>
          </cell>
          <cell r="E36">
            <v>1583</v>
          </cell>
          <cell r="F36">
            <v>1366</v>
          </cell>
          <cell r="G36">
            <v>0.1</v>
          </cell>
          <cell r="H36">
            <v>60</v>
          </cell>
          <cell r="I36">
            <v>1620</v>
          </cell>
          <cell r="J36">
            <v>-37</v>
          </cell>
          <cell r="K36">
            <v>700</v>
          </cell>
          <cell r="L36">
            <v>140</v>
          </cell>
          <cell r="S36">
            <v>316.60000000000002</v>
          </cell>
          <cell r="U36">
            <v>6.9677826910928609</v>
          </cell>
          <cell r="V36">
            <v>4.3145925457991154</v>
          </cell>
          <cell r="Z36">
            <v>367.8</v>
          </cell>
          <cell r="AA36">
            <v>477.8</v>
          </cell>
          <cell r="AB36">
            <v>341.25</v>
          </cell>
          <cell r="AC36">
            <v>324</v>
          </cell>
          <cell r="AD36">
            <v>264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1047</v>
          </cell>
          <cell r="D37">
            <v>1611</v>
          </cell>
          <cell r="E37">
            <v>1458</v>
          </cell>
          <cell r="F37">
            <v>1164</v>
          </cell>
          <cell r="G37">
            <v>0.1</v>
          </cell>
          <cell r="H37" t="e">
            <v>#N/A</v>
          </cell>
          <cell r="I37">
            <v>1540</v>
          </cell>
          <cell r="J37">
            <v>-82</v>
          </cell>
          <cell r="K37">
            <v>550</v>
          </cell>
          <cell r="L37">
            <v>150</v>
          </cell>
          <cell r="S37">
            <v>291.60000000000002</v>
          </cell>
          <cell r="T37">
            <v>100</v>
          </cell>
          <cell r="U37">
            <v>6.7352537722908092</v>
          </cell>
          <cell r="V37">
            <v>3.9917695473251027</v>
          </cell>
          <cell r="W37">
            <v>100</v>
          </cell>
          <cell r="Z37">
            <v>335.6</v>
          </cell>
          <cell r="AA37">
            <v>463.8</v>
          </cell>
          <cell r="AB37">
            <v>328.25</v>
          </cell>
          <cell r="AC37">
            <v>288.60000000000002</v>
          </cell>
          <cell r="AD37">
            <v>246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804</v>
          </cell>
          <cell r="D38">
            <v>1142</v>
          </cell>
          <cell r="E38">
            <v>1074</v>
          </cell>
          <cell r="F38">
            <v>840</v>
          </cell>
          <cell r="G38">
            <v>0.1</v>
          </cell>
          <cell r="H38" t="e">
            <v>#N/A</v>
          </cell>
          <cell r="I38">
            <v>1096</v>
          </cell>
          <cell r="J38">
            <v>-22</v>
          </cell>
          <cell r="K38">
            <v>400</v>
          </cell>
          <cell r="L38">
            <v>100</v>
          </cell>
          <cell r="S38">
            <v>214.8</v>
          </cell>
          <cell r="T38">
            <v>100</v>
          </cell>
          <cell r="U38">
            <v>6.7039106145251397</v>
          </cell>
          <cell r="V38">
            <v>3.9106145251396645</v>
          </cell>
          <cell r="W38">
            <v>100</v>
          </cell>
          <cell r="Z38">
            <v>254.8</v>
          </cell>
          <cell r="AA38">
            <v>332</v>
          </cell>
          <cell r="AB38">
            <v>258.25</v>
          </cell>
          <cell r="AC38">
            <v>205.4</v>
          </cell>
          <cell r="AD38">
            <v>125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4.9969999999999999</v>
          </cell>
          <cell r="D39">
            <v>53.784999999999997</v>
          </cell>
          <cell r="E39">
            <v>24.465</v>
          </cell>
          <cell r="F39">
            <v>33.076999999999998</v>
          </cell>
          <cell r="G39">
            <v>1</v>
          </cell>
          <cell r="H39">
            <v>45</v>
          </cell>
          <cell r="I39">
            <v>39.14</v>
          </cell>
          <cell r="J39">
            <v>-14.675000000000001</v>
          </cell>
          <cell r="K39">
            <v>10</v>
          </cell>
          <cell r="L39">
            <v>0</v>
          </cell>
          <cell r="S39">
            <v>4.8929999999999998</v>
          </cell>
          <cell r="U39">
            <v>8.8038013488657274</v>
          </cell>
          <cell r="V39">
            <v>6.7600653995503777</v>
          </cell>
          <cell r="Z39">
            <v>5.0739999999999998</v>
          </cell>
          <cell r="AA39">
            <v>6.5959999999999992</v>
          </cell>
          <cell r="AB39">
            <v>5.1112500000000001</v>
          </cell>
          <cell r="AC39">
            <v>5.9790000000000001</v>
          </cell>
          <cell r="AD39">
            <v>8.6300000000000008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216</v>
          </cell>
          <cell r="D40">
            <v>305</v>
          </cell>
          <cell r="E40">
            <v>308</v>
          </cell>
          <cell r="F40">
            <v>206</v>
          </cell>
          <cell r="G40">
            <v>0.3</v>
          </cell>
          <cell r="H40">
            <v>45</v>
          </cell>
          <cell r="I40">
            <v>319</v>
          </cell>
          <cell r="J40">
            <v>-11</v>
          </cell>
          <cell r="K40">
            <v>90</v>
          </cell>
          <cell r="L40">
            <v>30</v>
          </cell>
          <cell r="S40">
            <v>61.6</v>
          </cell>
          <cell r="T40">
            <v>60</v>
          </cell>
          <cell r="U40">
            <v>6.2662337662337659</v>
          </cell>
          <cell r="V40">
            <v>3.3441558441558441</v>
          </cell>
          <cell r="W40">
            <v>60</v>
          </cell>
          <cell r="Z40">
            <v>64.8</v>
          </cell>
          <cell r="AA40">
            <v>91.4</v>
          </cell>
          <cell r="AB40">
            <v>58.5</v>
          </cell>
          <cell r="AC40">
            <v>54.2</v>
          </cell>
          <cell r="AD40">
            <v>51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112.30500000000001</v>
          </cell>
          <cell r="D41">
            <v>483.78699999999998</v>
          </cell>
          <cell r="E41">
            <v>291.09300000000002</v>
          </cell>
          <cell r="F41">
            <v>294.64100000000002</v>
          </cell>
          <cell r="G41">
            <v>1</v>
          </cell>
          <cell r="H41">
            <v>45</v>
          </cell>
          <cell r="I41">
            <v>300.89999999999998</v>
          </cell>
          <cell r="J41">
            <v>-9.8069999999999595</v>
          </cell>
          <cell r="K41">
            <v>100</v>
          </cell>
          <cell r="L41">
            <v>50</v>
          </cell>
          <cell r="S41">
            <v>58.218600000000002</v>
          </cell>
          <cell r="U41">
            <v>7.6374388940991365</v>
          </cell>
          <cell r="V41">
            <v>5.0609427227724471</v>
          </cell>
          <cell r="Z41">
            <v>63.638599999999997</v>
          </cell>
          <cell r="AA41">
            <v>70.495399999999989</v>
          </cell>
          <cell r="AB41">
            <v>60.826000000000001</v>
          </cell>
          <cell r="AC41">
            <v>61.340800000000002</v>
          </cell>
          <cell r="AD41">
            <v>58.024000000000001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C42">
            <v>12</v>
          </cell>
          <cell r="D42">
            <v>36</v>
          </cell>
          <cell r="E42">
            <v>32</v>
          </cell>
          <cell r="F42">
            <v>16</v>
          </cell>
          <cell r="G42">
            <v>0.4</v>
          </cell>
          <cell r="H42" t="e">
            <v>#N/A</v>
          </cell>
          <cell r="I42">
            <v>45</v>
          </cell>
          <cell r="J42">
            <v>-13</v>
          </cell>
          <cell r="K42">
            <v>0</v>
          </cell>
          <cell r="L42">
            <v>0</v>
          </cell>
          <cell r="S42">
            <v>6.4</v>
          </cell>
          <cell r="T42">
            <v>24</v>
          </cell>
          <cell r="U42">
            <v>6.25</v>
          </cell>
          <cell r="V42">
            <v>2.5</v>
          </cell>
          <cell r="W42">
            <v>24</v>
          </cell>
          <cell r="Z42">
            <v>6</v>
          </cell>
          <cell r="AA42">
            <v>9.4</v>
          </cell>
          <cell r="AB42">
            <v>3</v>
          </cell>
          <cell r="AC42">
            <v>7.2</v>
          </cell>
          <cell r="AD42">
            <v>17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892</v>
          </cell>
          <cell r="D43">
            <v>2684</v>
          </cell>
          <cell r="E43">
            <v>2179</v>
          </cell>
          <cell r="F43">
            <v>1597</v>
          </cell>
          <cell r="G43">
            <v>0.3</v>
          </cell>
          <cell r="H43">
            <v>45</v>
          </cell>
          <cell r="I43">
            <v>2204</v>
          </cell>
          <cell r="J43">
            <v>-25</v>
          </cell>
          <cell r="K43">
            <v>720</v>
          </cell>
          <cell r="L43">
            <v>240</v>
          </cell>
          <cell r="S43">
            <v>435.8</v>
          </cell>
          <cell r="T43">
            <v>320</v>
          </cell>
          <cell r="U43">
            <v>6.6016521340064251</v>
          </cell>
          <cell r="V43">
            <v>3.6645250114731529</v>
          </cell>
          <cell r="W43">
            <v>320</v>
          </cell>
          <cell r="Z43">
            <v>418.2</v>
          </cell>
          <cell r="AA43">
            <v>464.8</v>
          </cell>
          <cell r="AB43">
            <v>316.75</v>
          </cell>
          <cell r="AC43">
            <v>407.4</v>
          </cell>
          <cell r="AD43">
            <v>244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2674</v>
          </cell>
          <cell r="D44">
            <v>4316</v>
          </cell>
          <cell r="E44">
            <v>3995</v>
          </cell>
          <cell r="F44">
            <v>2877</v>
          </cell>
          <cell r="G44">
            <v>0.35</v>
          </cell>
          <cell r="H44">
            <v>45</v>
          </cell>
          <cell r="I44">
            <v>4151</v>
          </cell>
          <cell r="J44">
            <v>-156</v>
          </cell>
          <cell r="K44">
            <v>800</v>
          </cell>
          <cell r="L44">
            <v>600</v>
          </cell>
          <cell r="S44">
            <v>799</v>
          </cell>
          <cell r="T44">
            <v>600</v>
          </cell>
          <cell r="U44">
            <v>6.1038798498122651</v>
          </cell>
          <cell r="V44">
            <v>3.6007509386733418</v>
          </cell>
          <cell r="W44">
            <v>600</v>
          </cell>
          <cell r="Z44">
            <v>830.4</v>
          </cell>
          <cell r="AA44">
            <v>1036</v>
          </cell>
          <cell r="AB44">
            <v>633.25</v>
          </cell>
          <cell r="AC44">
            <v>720.4</v>
          </cell>
          <cell r="AD44">
            <v>700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1011</v>
          </cell>
          <cell r="D45">
            <v>1947</v>
          </cell>
          <cell r="E45">
            <v>1288</v>
          </cell>
          <cell r="F45">
            <v>1633</v>
          </cell>
          <cell r="G45">
            <v>0.41</v>
          </cell>
          <cell r="H45">
            <v>45</v>
          </cell>
          <cell r="I45">
            <v>1305</v>
          </cell>
          <cell r="J45">
            <v>-17</v>
          </cell>
          <cell r="K45">
            <v>480</v>
          </cell>
          <cell r="L45">
            <v>240</v>
          </cell>
          <cell r="S45">
            <v>257.60000000000002</v>
          </cell>
          <cell r="U45">
            <v>9.1343167701863344</v>
          </cell>
          <cell r="V45">
            <v>6.3392857142857135</v>
          </cell>
          <cell r="Z45">
            <v>335.6</v>
          </cell>
          <cell r="AA45">
            <v>404.4</v>
          </cell>
          <cell r="AB45">
            <v>245.5</v>
          </cell>
          <cell r="AC45">
            <v>311.39999999999998</v>
          </cell>
          <cell r="AD45">
            <v>119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105</v>
          </cell>
          <cell r="D46">
            <v>1101</v>
          </cell>
          <cell r="E46">
            <v>747</v>
          </cell>
          <cell r="F46">
            <v>421</v>
          </cell>
          <cell r="G46">
            <v>0.41</v>
          </cell>
          <cell r="H46" t="e">
            <v>#N/A</v>
          </cell>
          <cell r="I46">
            <v>799</v>
          </cell>
          <cell r="J46">
            <v>-52</v>
          </cell>
          <cell r="K46">
            <v>240</v>
          </cell>
          <cell r="L46">
            <v>80</v>
          </cell>
          <cell r="S46">
            <v>149.4</v>
          </cell>
          <cell r="T46">
            <v>200</v>
          </cell>
          <cell r="U46">
            <v>6.2985274431057565</v>
          </cell>
          <cell r="V46">
            <v>2.8179384203480589</v>
          </cell>
          <cell r="W46">
            <v>200</v>
          </cell>
          <cell r="Z46">
            <v>115.8</v>
          </cell>
          <cell r="AA46">
            <v>133.80000000000001</v>
          </cell>
          <cell r="AB46">
            <v>133</v>
          </cell>
          <cell r="AC46">
            <v>134.19999999999999</v>
          </cell>
          <cell r="AD46">
            <v>198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211</v>
          </cell>
          <cell r="D47">
            <v>531</v>
          </cell>
          <cell r="E47">
            <v>508</v>
          </cell>
          <cell r="F47">
            <v>209</v>
          </cell>
          <cell r="G47">
            <v>0.36</v>
          </cell>
          <cell r="H47" t="e">
            <v>#N/A</v>
          </cell>
          <cell r="I47">
            <v>532</v>
          </cell>
          <cell r="J47">
            <v>-24</v>
          </cell>
          <cell r="K47">
            <v>150</v>
          </cell>
          <cell r="L47">
            <v>30</v>
          </cell>
          <cell r="S47">
            <v>101.6</v>
          </cell>
          <cell r="T47">
            <v>210</v>
          </cell>
          <cell r="U47">
            <v>5.8956692913385833</v>
          </cell>
          <cell r="V47">
            <v>2.0570866141732282</v>
          </cell>
          <cell r="W47">
            <v>210</v>
          </cell>
          <cell r="Z47">
            <v>93.2</v>
          </cell>
          <cell r="AA47">
            <v>101.6</v>
          </cell>
          <cell r="AB47">
            <v>85.5</v>
          </cell>
          <cell r="AC47">
            <v>77.8</v>
          </cell>
          <cell r="AD47">
            <v>98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170</v>
          </cell>
          <cell r="D48">
            <v>45</v>
          </cell>
          <cell r="E48">
            <v>109</v>
          </cell>
          <cell r="F48">
            <v>99</v>
          </cell>
          <cell r="G48">
            <v>0.33</v>
          </cell>
          <cell r="H48" t="e">
            <v>#N/A</v>
          </cell>
          <cell r="I48">
            <v>114</v>
          </cell>
          <cell r="J48">
            <v>-5</v>
          </cell>
          <cell r="K48">
            <v>0</v>
          </cell>
          <cell r="L48">
            <v>40</v>
          </cell>
          <cell r="S48">
            <v>21.8</v>
          </cell>
          <cell r="U48">
            <v>6.3761467889908259</v>
          </cell>
          <cell r="V48">
            <v>4.5412844036697244</v>
          </cell>
          <cell r="Z48">
            <v>32.6</v>
          </cell>
          <cell r="AA48">
            <v>43.4</v>
          </cell>
          <cell r="AB48">
            <v>18.75</v>
          </cell>
          <cell r="AC48">
            <v>20.2</v>
          </cell>
          <cell r="AD48">
            <v>28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112</v>
          </cell>
          <cell r="D49">
            <v>164</v>
          </cell>
          <cell r="E49">
            <v>168</v>
          </cell>
          <cell r="F49">
            <v>104</v>
          </cell>
          <cell r="G49">
            <v>0.33</v>
          </cell>
          <cell r="H49" t="e">
            <v>#N/A</v>
          </cell>
          <cell r="I49">
            <v>184</v>
          </cell>
          <cell r="J49">
            <v>-16</v>
          </cell>
          <cell r="K49">
            <v>0</v>
          </cell>
          <cell r="L49">
            <v>40</v>
          </cell>
          <cell r="S49">
            <v>33.6</v>
          </cell>
          <cell r="T49">
            <v>80</v>
          </cell>
          <cell r="U49">
            <v>6.6666666666666661</v>
          </cell>
          <cell r="V49">
            <v>3.0952380952380949</v>
          </cell>
          <cell r="W49">
            <v>80</v>
          </cell>
          <cell r="Z49">
            <v>30.8</v>
          </cell>
          <cell r="AA49">
            <v>51.4</v>
          </cell>
          <cell r="AB49">
            <v>24.5</v>
          </cell>
          <cell r="AC49">
            <v>25.8</v>
          </cell>
          <cell r="AD49">
            <v>27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228</v>
          </cell>
          <cell r="D50">
            <v>207</v>
          </cell>
          <cell r="E50">
            <v>270</v>
          </cell>
          <cell r="F50">
            <v>158</v>
          </cell>
          <cell r="G50">
            <v>0.33</v>
          </cell>
          <cell r="H50" t="e">
            <v>#N/A</v>
          </cell>
          <cell r="I50">
            <v>275</v>
          </cell>
          <cell r="J50">
            <v>-5</v>
          </cell>
          <cell r="K50">
            <v>40</v>
          </cell>
          <cell r="L50">
            <v>40</v>
          </cell>
          <cell r="S50">
            <v>54</v>
          </cell>
          <cell r="T50">
            <v>120</v>
          </cell>
          <cell r="U50">
            <v>6.6296296296296298</v>
          </cell>
          <cell r="V50">
            <v>2.925925925925926</v>
          </cell>
          <cell r="W50">
            <v>120</v>
          </cell>
          <cell r="Z50">
            <v>60.2</v>
          </cell>
          <cell r="AA50">
            <v>79.599999999999994</v>
          </cell>
          <cell r="AB50">
            <v>38.5</v>
          </cell>
          <cell r="AC50">
            <v>41.8</v>
          </cell>
          <cell r="AD50">
            <v>36</v>
          </cell>
          <cell r="AE50">
            <v>0</v>
          </cell>
          <cell r="AF50">
            <v>0</v>
          </cell>
        </row>
        <row r="51">
          <cell r="A51" t="str">
            <v>6829 МОЛОЧНЫЕ КЛАССИЧЕСКИЕ сос п/о мгс 2*4_С  ОСТАНКИНО</v>
          </cell>
          <cell r="B51" t="str">
            <v>кг</v>
          </cell>
          <cell r="C51">
            <v>-29.757999999999999</v>
          </cell>
          <cell r="D51">
            <v>1381.1559999999999</v>
          </cell>
          <cell r="E51">
            <v>585</v>
          </cell>
          <cell r="F51">
            <v>824</v>
          </cell>
          <cell r="G51">
            <v>1</v>
          </cell>
          <cell r="H51">
            <v>45</v>
          </cell>
          <cell r="I51">
            <v>558.29999999999995</v>
          </cell>
          <cell r="J51">
            <v>26.700000000000045</v>
          </cell>
          <cell r="K51">
            <v>300</v>
          </cell>
          <cell r="L51">
            <v>200</v>
          </cell>
          <cell r="S51">
            <v>117</v>
          </cell>
          <cell r="U51">
            <v>11.316239316239317</v>
          </cell>
          <cell r="V51">
            <v>7.0427350427350426</v>
          </cell>
          <cell r="Z51">
            <v>115.4</v>
          </cell>
          <cell r="AA51">
            <v>156.80000000000001</v>
          </cell>
          <cell r="AB51">
            <v>121.25</v>
          </cell>
          <cell r="AC51">
            <v>156.80000000000001</v>
          </cell>
          <cell r="AD51">
            <v>66.147999999999996</v>
          </cell>
          <cell r="AE51" t="str">
            <v>увел</v>
          </cell>
          <cell r="AF51">
            <v>0</v>
          </cell>
        </row>
        <row r="52">
          <cell r="A52" t="str">
            <v>6832 АССОРТИ СЫРОКОПЧЕНЫХ КОЛБАС Коровино в/у  ОСТАНКИНО</v>
          </cell>
          <cell r="B52" t="str">
            <v>кг</v>
          </cell>
          <cell r="C52">
            <v>8.6189999999999998</v>
          </cell>
          <cell r="E52">
            <v>6.6959999999999997</v>
          </cell>
          <cell r="F52">
            <v>1.2270000000000001</v>
          </cell>
          <cell r="G52">
            <v>0</v>
          </cell>
          <cell r="H52" t="e">
            <v>#N/A</v>
          </cell>
          <cell r="I52">
            <v>15.2</v>
          </cell>
          <cell r="J52">
            <v>-8.5039999999999996</v>
          </cell>
          <cell r="K52">
            <v>0</v>
          </cell>
          <cell r="L52">
            <v>0</v>
          </cell>
          <cell r="S52">
            <v>1.3391999999999999</v>
          </cell>
          <cell r="U52">
            <v>0.91621863799283165</v>
          </cell>
          <cell r="V52">
            <v>0.91621863799283165</v>
          </cell>
          <cell r="Z52">
            <v>1.8472000000000002</v>
          </cell>
          <cell r="AA52">
            <v>1.9248000000000001</v>
          </cell>
          <cell r="AB52">
            <v>1.77125</v>
          </cell>
          <cell r="AC52">
            <v>2.0724</v>
          </cell>
          <cell r="AD52">
            <v>0</v>
          </cell>
          <cell r="AE52" t="str">
            <v>Вит</v>
          </cell>
          <cell r="AF52" t="str">
            <v>вывод</v>
          </cell>
        </row>
        <row r="53">
          <cell r="A53" t="str">
            <v>6837 ФИЛЕЙНЫЕ Папа Может сос ц/о мгс 0.4кг  ОСТАНКИНО</v>
          </cell>
          <cell r="B53" t="str">
            <v>шт</v>
          </cell>
          <cell r="C53">
            <v>386</v>
          </cell>
          <cell r="D53">
            <v>1742</v>
          </cell>
          <cell r="E53">
            <v>1076</v>
          </cell>
          <cell r="F53">
            <v>990</v>
          </cell>
          <cell r="G53">
            <v>0.4</v>
          </cell>
          <cell r="H53" t="e">
            <v>#N/A</v>
          </cell>
          <cell r="I53">
            <v>1115</v>
          </cell>
          <cell r="J53">
            <v>-39</v>
          </cell>
          <cell r="K53">
            <v>240</v>
          </cell>
          <cell r="L53">
            <v>120</v>
          </cell>
          <cell r="S53">
            <v>215.2</v>
          </cell>
          <cell r="T53">
            <v>120</v>
          </cell>
          <cell r="U53">
            <v>6.8308550185873607</v>
          </cell>
          <cell r="V53">
            <v>4.6003717472118959</v>
          </cell>
          <cell r="W53">
            <v>120</v>
          </cell>
          <cell r="Z53">
            <v>208</v>
          </cell>
          <cell r="AA53">
            <v>231.2</v>
          </cell>
          <cell r="AB53">
            <v>191.25</v>
          </cell>
          <cell r="AC53">
            <v>207.2</v>
          </cell>
          <cell r="AD53">
            <v>153</v>
          </cell>
          <cell r="AE53">
            <v>0</v>
          </cell>
          <cell r="AF53">
            <v>0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1563.5419999999999</v>
          </cell>
          <cell r="D54">
            <v>9.7680000000000007</v>
          </cell>
          <cell r="E54">
            <v>695.73699999999997</v>
          </cell>
          <cell r="F54">
            <v>857.91200000000003</v>
          </cell>
          <cell r="G54">
            <v>1</v>
          </cell>
          <cell r="H54">
            <v>60</v>
          </cell>
          <cell r="I54">
            <v>669</v>
          </cell>
          <cell r="J54">
            <v>26.736999999999966</v>
          </cell>
          <cell r="K54">
            <v>100</v>
          </cell>
          <cell r="L54">
            <v>100</v>
          </cell>
          <cell r="S54">
            <v>139.1474</v>
          </cell>
          <cell r="U54">
            <v>7.6028154316932977</v>
          </cell>
          <cell r="V54">
            <v>6.1654906954783204</v>
          </cell>
          <cell r="Z54">
            <v>215.72020000000003</v>
          </cell>
          <cell r="AA54">
            <v>236.048</v>
          </cell>
          <cell r="AB54">
            <v>112.11575000000001</v>
          </cell>
          <cell r="AC54">
            <v>145.52619999999999</v>
          </cell>
          <cell r="AD54">
            <v>19.838000000000001</v>
          </cell>
          <cell r="AE54">
            <v>0</v>
          </cell>
          <cell r="AF54" t="str">
            <v>увел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80.067999999999998</v>
          </cell>
          <cell r="D55">
            <v>237.00700000000001</v>
          </cell>
          <cell r="E55">
            <v>152.38</v>
          </cell>
          <cell r="F55">
            <v>149.38499999999999</v>
          </cell>
          <cell r="G55">
            <v>1</v>
          </cell>
          <cell r="H55">
            <v>60</v>
          </cell>
          <cell r="I55">
            <v>153.80000000000001</v>
          </cell>
          <cell r="J55">
            <v>-1.4200000000000159</v>
          </cell>
          <cell r="K55">
            <v>50</v>
          </cell>
          <cell r="L55">
            <v>20</v>
          </cell>
          <cell r="S55">
            <v>30.475999999999999</v>
          </cell>
          <cell r="T55">
            <v>30</v>
          </cell>
          <cell r="U55">
            <v>8.1829964562278512</v>
          </cell>
          <cell r="V55">
            <v>4.9017259482871767</v>
          </cell>
          <cell r="W55">
            <v>30</v>
          </cell>
          <cell r="Z55">
            <v>30.469000000000001</v>
          </cell>
          <cell r="AA55">
            <v>38.948999999999998</v>
          </cell>
          <cell r="AB55">
            <v>33.369250000000001</v>
          </cell>
          <cell r="AC55">
            <v>30.992000000000001</v>
          </cell>
          <cell r="AD55">
            <v>16.420000000000002</v>
          </cell>
          <cell r="AE55" t="str">
            <v>Вит</v>
          </cell>
          <cell r="AF55">
            <v>0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49.368000000000002</v>
          </cell>
          <cell r="D56">
            <v>291.55599999999998</v>
          </cell>
          <cell r="E56">
            <v>168.339</v>
          </cell>
          <cell r="F56">
            <v>166.381</v>
          </cell>
          <cell r="G56">
            <v>1</v>
          </cell>
          <cell r="H56" t="e">
            <v>#N/A</v>
          </cell>
          <cell r="I56">
            <v>174.3</v>
          </cell>
          <cell r="J56">
            <v>-5.9610000000000127</v>
          </cell>
          <cell r="K56">
            <v>60</v>
          </cell>
          <cell r="L56">
            <v>30</v>
          </cell>
          <cell r="S56">
            <v>33.6678</v>
          </cell>
          <cell r="U56">
            <v>7.6150208804852104</v>
          </cell>
          <cell r="V56">
            <v>4.9418435419005693</v>
          </cell>
          <cell r="Z56">
            <v>34.812599999999996</v>
          </cell>
          <cell r="AA56">
            <v>33.420400000000001</v>
          </cell>
          <cell r="AB56">
            <v>37.340000000000003</v>
          </cell>
          <cell r="AC56">
            <v>36.837000000000003</v>
          </cell>
          <cell r="AD56">
            <v>35.063000000000002</v>
          </cell>
          <cell r="AE56">
            <v>0</v>
          </cell>
          <cell r="AF56">
            <v>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174</v>
          </cell>
          <cell r="D57">
            <v>84</v>
          </cell>
          <cell r="E57">
            <v>149</v>
          </cell>
          <cell r="F57">
            <v>105</v>
          </cell>
          <cell r="G57">
            <v>0.27</v>
          </cell>
          <cell r="H57" t="e">
            <v>#N/A</v>
          </cell>
          <cell r="I57">
            <v>156</v>
          </cell>
          <cell r="J57">
            <v>-7</v>
          </cell>
          <cell r="K57">
            <v>40</v>
          </cell>
          <cell r="L57">
            <v>0</v>
          </cell>
          <cell r="S57">
            <v>29.8</v>
          </cell>
          <cell r="T57">
            <v>40</v>
          </cell>
          <cell r="U57">
            <v>6.2080536912751674</v>
          </cell>
          <cell r="V57">
            <v>3.523489932885906</v>
          </cell>
          <cell r="W57">
            <v>40</v>
          </cell>
          <cell r="Z57">
            <v>43.6</v>
          </cell>
          <cell r="AA57">
            <v>50.4</v>
          </cell>
          <cell r="AB57">
            <v>27.25</v>
          </cell>
          <cell r="AC57">
            <v>26.6</v>
          </cell>
          <cell r="AD57">
            <v>34</v>
          </cell>
          <cell r="AE57">
            <v>0</v>
          </cell>
          <cell r="AF57" t="str">
            <v>увел</v>
          </cell>
        </row>
        <row r="58">
          <cell r="A58" t="str">
            <v>7059 ШПИКАЧКИ СОЧНЫЕ С БЕК. п/о мгс 0.3кг_60с  ОСТАНКИНО</v>
          </cell>
          <cell r="B58" t="str">
            <v>шт</v>
          </cell>
          <cell r="C58">
            <v>247</v>
          </cell>
          <cell r="D58">
            <v>382</v>
          </cell>
          <cell r="E58">
            <v>370</v>
          </cell>
          <cell r="F58">
            <v>237</v>
          </cell>
          <cell r="G58">
            <v>0.3</v>
          </cell>
          <cell r="H58" t="e">
            <v>#N/A</v>
          </cell>
          <cell r="I58">
            <v>391</v>
          </cell>
          <cell r="J58">
            <v>-21</v>
          </cell>
          <cell r="K58">
            <v>80</v>
          </cell>
          <cell r="L58">
            <v>0</v>
          </cell>
          <cell r="S58">
            <v>74</v>
          </cell>
          <cell r="T58">
            <v>160</v>
          </cell>
          <cell r="U58">
            <v>6.4459459459459456</v>
          </cell>
          <cell r="V58">
            <v>3.2027027027027026</v>
          </cell>
          <cell r="W58">
            <v>160</v>
          </cell>
          <cell r="Z58">
            <v>67.599999999999994</v>
          </cell>
          <cell r="AA58">
            <v>76.599999999999994</v>
          </cell>
          <cell r="AB58">
            <v>46.25</v>
          </cell>
          <cell r="AC58">
            <v>58.4</v>
          </cell>
          <cell r="AD58">
            <v>59</v>
          </cell>
          <cell r="AE58">
            <v>0</v>
          </cell>
          <cell r="AF58">
            <v>0</v>
          </cell>
        </row>
        <row r="59">
          <cell r="A59" t="str">
            <v>7066 СОЧНЫЕ ПМ сос п/о мгс 0.41кг 10шт_50с  ОСТАНКИНО</v>
          </cell>
          <cell r="B59" t="str">
            <v>шт</v>
          </cell>
          <cell r="C59">
            <v>2233</v>
          </cell>
          <cell r="D59">
            <v>9447</v>
          </cell>
          <cell r="E59">
            <v>6666</v>
          </cell>
          <cell r="F59">
            <v>5529</v>
          </cell>
          <cell r="G59">
            <v>0.41</v>
          </cell>
          <cell r="H59" t="e">
            <v>#N/A</v>
          </cell>
          <cell r="I59">
            <v>6810</v>
          </cell>
          <cell r="J59">
            <v>-144</v>
          </cell>
          <cell r="K59">
            <v>1200</v>
          </cell>
          <cell r="L59">
            <v>1000</v>
          </cell>
          <cell r="S59">
            <v>1333.2</v>
          </cell>
          <cell r="T59">
            <v>500</v>
          </cell>
          <cell r="U59">
            <v>6.1723672367236722</v>
          </cell>
          <cell r="V59">
            <v>4.1471647164716474</v>
          </cell>
          <cell r="W59">
            <v>500</v>
          </cell>
          <cell r="Z59">
            <v>1128.8</v>
          </cell>
          <cell r="AA59">
            <v>1325</v>
          </cell>
          <cell r="AB59">
            <v>934.5</v>
          </cell>
          <cell r="AC59">
            <v>1252.4000000000001</v>
          </cell>
          <cell r="AD59">
            <v>768</v>
          </cell>
          <cell r="AE59">
            <v>0</v>
          </cell>
          <cell r="AF59">
            <v>0</v>
          </cell>
        </row>
        <row r="60">
          <cell r="A60" t="str">
            <v>7070 СОЧНЫЕ ПМ сос п/о мгс 1.5*4_А_50с  ОСТАНКИНО</v>
          </cell>
          <cell r="B60" t="str">
            <v>кг</v>
          </cell>
          <cell r="C60">
            <v>1571.047</v>
          </cell>
          <cell r="D60">
            <v>6612.4830000000002</v>
          </cell>
          <cell r="E60">
            <v>3518</v>
          </cell>
          <cell r="F60">
            <v>4229</v>
          </cell>
          <cell r="G60">
            <v>1</v>
          </cell>
          <cell r="H60" t="e">
            <v>#N/A</v>
          </cell>
          <cell r="I60">
            <v>3302.1680000000001</v>
          </cell>
          <cell r="J60">
            <v>215.83199999999988</v>
          </cell>
          <cell r="K60">
            <v>700</v>
          </cell>
          <cell r="L60">
            <v>700</v>
          </cell>
          <cell r="S60">
            <v>703.6</v>
          </cell>
          <cell r="U60">
            <v>8.0002842524161455</v>
          </cell>
          <cell r="V60">
            <v>6.010517339397385</v>
          </cell>
          <cell r="Z60">
            <v>600.20000000000005</v>
          </cell>
          <cell r="AA60">
            <v>787.6</v>
          </cell>
          <cell r="AB60">
            <v>557</v>
          </cell>
          <cell r="AC60">
            <v>750</v>
          </cell>
          <cell r="AD60">
            <v>332.44499999999999</v>
          </cell>
          <cell r="AE60" t="str">
            <v>м900кр</v>
          </cell>
          <cell r="AF60">
            <v>0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598</v>
          </cell>
          <cell r="D61">
            <v>2585</v>
          </cell>
          <cell r="E61">
            <v>1624</v>
          </cell>
          <cell r="F61">
            <v>1503</v>
          </cell>
          <cell r="G61">
            <v>0.35</v>
          </cell>
          <cell r="H61" t="e">
            <v>#N/A</v>
          </cell>
          <cell r="I61">
            <v>1672</v>
          </cell>
          <cell r="J61">
            <v>-48</v>
          </cell>
          <cell r="K61">
            <v>720</v>
          </cell>
          <cell r="L61">
            <v>120</v>
          </cell>
          <cell r="S61">
            <v>324.8</v>
          </cell>
          <cell r="U61">
            <v>7.2136699507389164</v>
          </cell>
          <cell r="V61">
            <v>4.6274630541871922</v>
          </cell>
          <cell r="Z61">
            <v>299.2</v>
          </cell>
          <cell r="AA61">
            <v>361.4</v>
          </cell>
          <cell r="AB61">
            <v>287</v>
          </cell>
          <cell r="AC61">
            <v>334.2</v>
          </cell>
          <cell r="AD61">
            <v>237</v>
          </cell>
          <cell r="AE61">
            <v>0</v>
          </cell>
          <cell r="AF61">
            <v>0</v>
          </cell>
        </row>
        <row r="62">
          <cell r="A62" t="str">
            <v>7075 МОЛОЧ.ПРЕМИУМ ПМ сос п/о мгс 1.5*4_О_50с  ОСТАНКИНО</v>
          </cell>
          <cell r="B62" t="str">
            <v>кг</v>
          </cell>
          <cell r="C62">
            <v>63.703000000000003</v>
          </cell>
          <cell r="D62">
            <v>106.818</v>
          </cell>
          <cell r="E62">
            <v>78.843000000000004</v>
          </cell>
          <cell r="F62">
            <v>82.376000000000005</v>
          </cell>
          <cell r="G62">
            <v>1</v>
          </cell>
          <cell r="H62" t="e">
            <v>#N/A</v>
          </cell>
          <cell r="I62">
            <v>84.5</v>
          </cell>
          <cell r="J62">
            <v>-5.6569999999999965</v>
          </cell>
          <cell r="K62">
            <v>0</v>
          </cell>
          <cell r="L62">
            <v>0</v>
          </cell>
          <cell r="S62">
            <v>15.768600000000001</v>
          </cell>
          <cell r="T62">
            <v>20</v>
          </cell>
          <cell r="U62">
            <v>6.4923962812171023</v>
          </cell>
          <cell r="V62">
            <v>5.2240528645536068</v>
          </cell>
          <cell r="W62">
            <v>20</v>
          </cell>
          <cell r="Z62">
            <v>14.2286</v>
          </cell>
          <cell r="AA62">
            <v>16.107800000000001</v>
          </cell>
          <cell r="AB62">
            <v>23.638249999999999</v>
          </cell>
          <cell r="AC62">
            <v>11.7628</v>
          </cell>
          <cell r="AD62">
            <v>9.2769999999999992</v>
          </cell>
          <cell r="AE62">
            <v>0</v>
          </cell>
          <cell r="AF62">
            <v>0</v>
          </cell>
        </row>
        <row r="63">
          <cell r="A63" t="str">
            <v>7080 СЛИВОЧНЫЕ ПМ сос п/о мгс 0.41кг 10шт. 50с  ОСТАНКИНО</v>
          </cell>
          <cell r="B63" t="str">
            <v>шт</v>
          </cell>
          <cell r="C63">
            <v>768</v>
          </cell>
          <cell r="D63">
            <v>5195</v>
          </cell>
          <cell r="E63">
            <v>3208</v>
          </cell>
          <cell r="F63">
            <v>2661</v>
          </cell>
          <cell r="G63">
            <v>0.41</v>
          </cell>
          <cell r="H63" t="e">
            <v>#N/A</v>
          </cell>
          <cell r="I63">
            <v>3317</v>
          </cell>
          <cell r="J63">
            <v>-109</v>
          </cell>
          <cell r="K63">
            <v>800</v>
          </cell>
          <cell r="L63">
            <v>600</v>
          </cell>
          <cell r="S63">
            <v>641.6</v>
          </cell>
          <cell r="T63">
            <v>200</v>
          </cell>
          <cell r="U63">
            <v>6.6412094763092266</v>
          </cell>
          <cell r="V63">
            <v>4.1474438902743138</v>
          </cell>
          <cell r="W63">
            <v>200</v>
          </cell>
          <cell r="Z63">
            <v>581.79999999999995</v>
          </cell>
          <cell r="AA63">
            <v>648.20000000000005</v>
          </cell>
          <cell r="AB63">
            <v>534</v>
          </cell>
          <cell r="AC63">
            <v>629.20000000000005</v>
          </cell>
          <cell r="AD63">
            <v>568</v>
          </cell>
          <cell r="AE63">
            <v>0</v>
          </cell>
          <cell r="AF63">
            <v>0</v>
          </cell>
        </row>
        <row r="64">
          <cell r="A64" t="str">
            <v>7082 СЛИВОЧНЫЕ ПМ сос п/о мгс 1.5*4_50с  ОСТАНКИНО</v>
          </cell>
          <cell r="B64" t="str">
            <v>кг</v>
          </cell>
          <cell r="C64">
            <v>4.6840000000000002</v>
          </cell>
          <cell r="D64">
            <v>330.09500000000003</v>
          </cell>
          <cell r="E64">
            <v>191.80799999999999</v>
          </cell>
          <cell r="F64">
            <v>130.54599999999999</v>
          </cell>
          <cell r="G64">
            <v>1</v>
          </cell>
          <cell r="H64" t="e">
            <v>#N/A</v>
          </cell>
          <cell r="I64">
            <v>196.4</v>
          </cell>
          <cell r="J64">
            <v>-4.592000000000013</v>
          </cell>
          <cell r="K64">
            <v>60</v>
          </cell>
          <cell r="L64">
            <v>30</v>
          </cell>
          <cell r="S64">
            <v>38.361599999999996</v>
          </cell>
          <cell r="T64">
            <v>20</v>
          </cell>
          <cell r="U64">
            <v>6.2704892392392395</v>
          </cell>
          <cell r="V64">
            <v>3.4030384551217887</v>
          </cell>
          <cell r="W64">
            <v>20</v>
          </cell>
          <cell r="Z64">
            <v>25.4648</v>
          </cell>
          <cell r="AA64">
            <v>31.206</v>
          </cell>
          <cell r="AB64">
            <v>36.199249999999999</v>
          </cell>
          <cell r="AC64">
            <v>35.078400000000002</v>
          </cell>
          <cell r="AD64">
            <v>34.267000000000003</v>
          </cell>
          <cell r="AE64">
            <v>0</v>
          </cell>
          <cell r="AF64">
            <v>0</v>
          </cell>
        </row>
        <row r="65">
          <cell r="A65" t="str">
            <v>7087 ШПИК С ЧЕСНОК.И ПЕРЦЕМ к/в в/у 0.3кг_50с  ОСТАНКИНО</v>
          </cell>
          <cell r="B65" t="str">
            <v>шт</v>
          </cell>
          <cell r="C65">
            <v>51</v>
          </cell>
          <cell r="D65">
            <v>317</v>
          </cell>
          <cell r="E65">
            <v>265</v>
          </cell>
          <cell r="F65">
            <v>97</v>
          </cell>
          <cell r="G65">
            <v>0.3</v>
          </cell>
          <cell r="H65">
            <v>50</v>
          </cell>
          <cell r="I65">
            <v>261</v>
          </cell>
          <cell r="J65">
            <v>4</v>
          </cell>
          <cell r="K65">
            <v>80</v>
          </cell>
          <cell r="L65">
            <v>40</v>
          </cell>
          <cell r="S65">
            <v>53</v>
          </cell>
          <cell r="T65">
            <v>120</v>
          </cell>
          <cell r="U65">
            <v>6.3584905660377355</v>
          </cell>
          <cell r="V65">
            <v>1.8301886792452831</v>
          </cell>
          <cell r="W65">
            <v>120</v>
          </cell>
          <cell r="Z65">
            <v>47.8</v>
          </cell>
          <cell r="AA65">
            <v>86.6</v>
          </cell>
          <cell r="AB65">
            <v>65.5</v>
          </cell>
          <cell r="AC65">
            <v>41</v>
          </cell>
          <cell r="AD65">
            <v>28</v>
          </cell>
          <cell r="AE65">
            <v>0</v>
          </cell>
          <cell r="AF65">
            <v>0</v>
          </cell>
        </row>
        <row r="66">
          <cell r="A66" t="str">
            <v>7090 СВИНИНА ПО-ДОМ. к/в мл/к в/у 0.3кг_50с  ОСТАНКИНО</v>
          </cell>
          <cell r="B66" t="str">
            <v>шт</v>
          </cell>
          <cell r="C66">
            <v>703</v>
          </cell>
          <cell r="D66">
            <v>270</v>
          </cell>
          <cell r="E66">
            <v>631</v>
          </cell>
          <cell r="F66">
            <v>316</v>
          </cell>
          <cell r="G66">
            <v>0.3</v>
          </cell>
          <cell r="H66" t="e">
            <v>#N/A</v>
          </cell>
          <cell r="I66">
            <v>647</v>
          </cell>
          <cell r="J66">
            <v>-16</v>
          </cell>
          <cell r="K66">
            <v>240</v>
          </cell>
          <cell r="L66">
            <v>0</v>
          </cell>
          <cell r="S66">
            <v>126.2</v>
          </cell>
          <cell r="T66">
            <v>240</v>
          </cell>
          <cell r="U66">
            <v>6.307448494453249</v>
          </cell>
          <cell r="V66">
            <v>2.5039619651347067</v>
          </cell>
          <cell r="W66">
            <v>240</v>
          </cell>
          <cell r="Z66">
            <v>132</v>
          </cell>
          <cell r="AA66">
            <v>191.8</v>
          </cell>
          <cell r="AB66">
            <v>90.75</v>
          </cell>
          <cell r="AC66">
            <v>95.2</v>
          </cell>
          <cell r="AD66">
            <v>34</v>
          </cell>
          <cell r="AE66">
            <v>0</v>
          </cell>
          <cell r="AF66">
            <v>0</v>
          </cell>
        </row>
        <row r="67">
          <cell r="A67" t="str">
            <v>7092 БЕКОН Папа может с/к с/н в/у 1/140_50с  ОСТАНКИНО</v>
          </cell>
          <cell r="B67" t="str">
            <v>шт</v>
          </cell>
          <cell r="C67">
            <v>378</v>
          </cell>
          <cell r="D67">
            <v>1354</v>
          </cell>
          <cell r="E67">
            <v>918</v>
          </cell>
          <cell r="F67">
            <v>770</v>
          </cell>
          <cell r="G67">
            <v>0.14000000000000001</v>
          </cell>
          <cell r="H67" t="e">
            <v>#N/A</v>
          </cell>
          <cell r="I67">
            <v>979</v>
          </cell>
          <cell r="J67">
            <v>-61</v>
          </cell>
          <cell r="K67">
            <v>360</v>
          </cell>
          <cell r="L67">
            <v>0</v>
          </cell>
          <cell r="S67">
            <v>183.6</v>
          </cell>
          <cell r="T67">
            <v>120</v>
          </cell>
          <cell r="U67">
            <v>6.8082788671023966</v>
          </cell>
          <cell r="V67">
            <v>4.1938997821350767</v>
          </cell>
          <cell r="W67">
            <v>120</v>
          </cell>
          <cell r="Z67">
            <v>170.4</v>
          </cell>
          <cell r="AA67">
            <v>301</v>
          </cell>
          <cell r="AB67">
            <v>216.75</v>
          </cell>
          <cell r="AC67">
            <v>187</v>
          </cell>
          <cell r="AD67">
            <v>207</v>
          </cell>
          <cell r="AE67">
            <v>0</v>
          </cell>
          <cell r="AF67">
            <v>0</v>
          </cell>
        </row>
        <row r="68">
          <cell r="A68" t="str">
            <v>7147 САЛЬЧИЧОН Останкино с/к в/у 1/220 8шт.  ОСТАНКИНО</v>
          </cell>
          <cell r="B68" t="str">
            <v>шт</v>
          </cell>
          <cell r="C68">
            <v>208</v>
          </cell>
          <cell r="D68">
            <v>2</v>
          </cell>
          <cell r="E68">
            <v>22</v>
          </cell>
          <cell r="F68">
            <v>186</v>
          </cell>
          <cell r="G68">
            <v>0.22</v>
          </cell>
          <cell r="H68">
            <v>60</v>
          </cell>
          <cell r="I68">
            <v>24</v>
          </cell>
          <cell r="J68">
            <v>-2</v>
          </cell>
          <cell r="K68">
            <v>0</v>
          </cell>
          <cell r="L68">
            <v>0</v>
          </cell>
          <cell r="S68">
            <v>4.4000000000000004</v>
          </cell>
          <cell r="U68">
            <v>42.272727272727266</v>
          </cell>
          <cell r="V68">
            <v>42.272727272727266</v>
          </cell>
          <cell r="Z68">
            <v>20.2</v>
          </cell>
          <cell r="AA68">
            <v>14.4</v>
          </cell>
          <cell r="AB68">
            <v>3.25</v>
          </cell>
          <cell r="AC68">
            <v>6</v>
          </cell>
          <cell r="AD68">
            <v>7</v>
          </cell>
          <cell r="AE68" t="e">
            <v>#N/A</v>
          </cell>
          <cell r="AF68" t="str">
            <v>увел</v>
          </cell>
        </row>
        <row r="69">
          <cell r="A69" t="str">
            <v>7149 БАЛЫКОВАЯ Коровино п/к в/у 0.84кг_50с  ОСТАНКИНО</v>
          </cell>
          <cell r="B69" t="str">
            <v>шт</v>
          </cell>
          <cell r="C69">
            <v>39</v>
          </cell>
          <cell r="D69">
            <v>2</v>
          </cell>
          <cell r="E69">
            <v>44</v>
          </cell>
          <cell r="F69">
            <v>-3</v>
          </cell>
          <cell r="G69">
            <v>0.84</v>
          </cell>
          <cell r="H69">
            <v>50</v>
          </cell>
          <cell r="I69">
            <v>47</v>
          </cell>
          <cell r="J69">
            <v>-3</v>
          </cell>
          <cell r="K69">
            <v>18</v>
          </cell>
          <cell r="L69">
            <v>0</v>
          </cell>
          <cell r="S69">
            <v>8.8000000000000007</v>
          </cell>
          <cell r="T69">
            <v>30</v>
          </cell>
          <cell r="U69">
            <v>5.1136363636363633</v>
          </cell>
          <cell r="V69">
            <v>-0.34090909090909088</v>
          </cell>
          <cell r="W69">
            <v>30</v>
          </cell>
          <cell r="Z69">
            <v>6.8</v>
          </cell>
          <cell r="AA69">
            <v>9.8000000000000007</v>
          </cell>
          <cell r="AB69">
            <v>4.25</v>
          </cell>
          <cell r="AC69">
            <v>5.4</v>
          </cell>
          <cell r="AD69">
            <v>1</v>
          </cell>
          <cell r="AE69" t="str">
            <v>увел</v>
          </cell>
          <cell r="AF69">
            <v>0</v>
          </cell>
        </row>
        <row r="70">
          <cell r="A70" t="str">
            <v>7154 СЕРВЕЛАТ ЗЕРНИСТЫЙ ПМ в/к в/у 0.35кг_50с  ОСТАНКИНО</v>
          </cell>
          <cell r="B70" t="str">
            <v>шт</v>
          </cell>
          <cell r="C70">
            <v>2029</v>
          </cell>
          <cell r="D70">
            <v>3081</v>
          </cell>
          <cell r="E70">
            <v>2766</v>
          </cell>
          <cell r="F70">
            <v>2265</v>
          </cell>
          <cell r="G70">
            <v>0.35</v>
          </cell>
          <cell r="H70" t="e">
            <v>#N/A</v>
          </cell>
          <cell r="I70">
            <v>2885</v>
          </cell>
          <cell r="J70">
            <v>-119</v>
          </cell>
          <cell r="K70">
            <v>400</v>
          </cell>
          <cell r="L70">
            <v>400</v>
          </cell>
          <cell r="S70">
            <v>553.20000000000005</v>
          </cell>
          <cell r="T70">
            <v>320</v>
          </cell>
          <cell r="U70">
            <v>6.1189443239334773</v>
          </cell>
          <cell r="V70">
            <v>4.094360086767896</v>
          </cell>
          <cell r="W70">
            <v>320</v>
          </cell>
          <cell r="Z70">
            <v>528</v>
          </cell>
          <cell r="AA70">
            <v>739.8</v>
          </cell>
          <cell r="AB70">
            <v>433.25</v>
          </cell>
          <cell r="AC70">
            <v>497.4</v>
          </cell>
          <cell r="AD70">
            <v>459</v>
          </cell>
          <cell r="AE70">
            <v>0</v>
          </cell>
          <cell r="AF70">
            <v>0</v>
          </cell>
        </row>
        <row r="71">
          <cell r="A71" t="str">
            <v>7157 СЕРВЕЛАТ ЗЕРНИСНЫЙ ПМ в/к в/у_50с  ОСТАНКИНО</v>
          </cell>
          <cell r="B71" t="str">
            <v>кг</v>
          </cell>
          <cell r="C71">
            <v>294.95</v>
          </cell>
          <cell r="D71">
            <v>8.7089999999999996</v>
          </cell>
          <cell r="E71">
            <v>139.941</v>
          </cell>
          <cell r="F71">
            <v>161.58099999999999</v>
          </cell>
          <cell r="G71">
            <v>1</v>
          </cell>
          <cell r="H71" t="e">
            <v>#N/A</v>
          </cell>
          <cell r="I71">
            <v>137.69999999999999</v>
          </cell>
          <cell r="J71">
            <v>2.2410000000000139</v>
          </cell>
          <cell r="K71">
            <v>0</v>
          </cell>
          <cell r="L71">
            <v>30</v>
          </cell>
          <cell r="S71">
            <v>27.988199999999999</v>
          </cell>
          <cell r="U71">
            <v>6.8450632766665951</v>
          </cell>
          <cell r="V71">
            <v>5.7731829842576516</v>
          </cell>
          <cell r="Z71">
            <v>47.561999999999998</v>
          </cell>
          <cell r="AA71">
            <v>59.527200000000008</v>
          </cell>
          <cell r="AB71">
            <v>19.10275</v>
          </cell>
          <cell r="AC71">
            <v>28.232199999999999</v>
          </cell>
          <cell r="AD71">
            <v>22.47</v>
          </cell>
          <cell r="AE71" t="str">
            <v>Вит</v>
          </cell>
          <cell r="AF71" t="str">
            <v>увел</v>
          </cell>
        </row>
        <row r="72">
          <cell r="A72" t="str">
            <v>7166 СЕРВЕЛТ ОХОТНИЧИЙ ПМ в/к в/у_50с  ОСТАНКИНО</v>
          </cell>
          <cell r="B72" t="str">
            <v>кг</v>
          </cell>
          <cell r="C72">
            <v>545.68899999999996</v>
          </cell>
          <cell r="D72">
            <v>272.71699999999998</v>
          </cell>
          <cell r="E72">
            <v>451.99200000000002</v>
          </cell>
          <cell r="F72">
            <v>345.97300000000001</v>
          </cell>
          <cell r="G72">
            <v>1</v>
          </cell>
          <cell r="H72" t="e">
            <v>#N/A</v>
          </cell>
          <cell r="I72">
            <v>436.3</v>
          </cell>
          <cell r="J72">
            <v>15.692000000000007</v>
          </cell>
          <cell r="K72">
            <v>150</v>
          </cell>
          <cell r="L72">
            <v>0</v>
          </cell>
          <cell r="S72">
            <v>90.398400000000009</v>
          </cell>
          <cell r="T72">
            <v>60</v>
          </cell>
          <cell r="U72">
            <v>6.1502526593391025</v>
          </cell>
          <cell r="V72">
            <v>3.8272026938529882</v>
          </cell>
          <cell r="W72">
            <v>60</v>
          </cell>
          <cell r="Z72">
            <v>94.7012</v>
          </cell>
          <cell r="AA72">
            <v>133.83959999999999</v>
          </cell>
          <cell r="AB72">
            <v>60.731499999999997</v>
          </cell>
          <cell r="AC72">
            <v>76.876000000000005</v>
          </cell>
          <cell r="AD72">
            <v>39.450000000000003</v>
          </cell>
          <cell r="AE72">
            <v>0</v>
          </cell>
          <cell r="AF72">
            <v>0</v>
          </cell>
        </row>
        <row r="73">
          <cell r="A73" t="str">
            <v>7169 СЕРВЕЛАТ ОХОТНИЧИЙ ПМ в/к в/у 0.35кг_50с  ОСТАНКИНО</v>
          </cell>
          <cell r="B73" t="str">
            <v>шт</v>
          </cell>
          <cell r="C73">
            <v>3046</v>
          </cell>
          <cell r="D73">
            <v>3300</v>
          </cell>
          <cell r="E73">
            <v>3542</v>
          </cell>
          <cell r="F73">
            <v>2705</v>
          </cell>
          <cell r="G73">
            <v>0.35</v>
          </cell>
          <cell r="H73" t="e">
            <v>#N/A</v>
          </cell>
          <cell r="I73">
            <v>3693</v>
          </cell>
          <cell r="J73">
            <v>-151</v>
          </cell>
          <cell r="K73">
            <v>600</v>
          </cell>
          <cell r="L73">
            <v>600</v>
          </cell>
          <cell r="S73">
            <v>708.4</v>
          </cell>
          <cell r="T73">
            <v>480</v>
          </cell>
          <cell r="U73">
            <v>6.1900056465273856</v>
          </cell>
          <cell r="V73">
            <v>3.8184641445511014</v>
          </cell>
          <cell r="W73">
            <v>480</v>
          </cell>
          <cell r="Z73">
            <v>762</v>
          </cell>
          <cell r="AA73">
            <v>943.4</v>
          </cell>
          <cell r="AB73">
            <v>595.25</v>
          </cell>
          <cell r="AC73">
            <v>642.6</v>
          </cell>
          <cell r="AD73">
            <v>559</v>
          </cell>
          <cell r="AE73">
            <v>0</v>
          </cell>
          <cell r="AF73">
            <v>0</v>
          </cell>
        </row>
        <row r="74">
          <cell r="A74" t="str">
            <v>7187 ГРУДИНКА ПРЕМИУМ к/в мл/к в/у 0,3кг_50с ОСТАНКИНО</v>
          </cell>
          <cell r="B74" t="str">
            <v>шт</v>
          </cell>
          <cell r="C74">
            <v>503</v>
          </cell>
          <cell r="D74">
            <v>1098</v>
          </cell>
          <cell r="E74">
            <v>966</v>
          </cell>
          <cell r="F74">
            <v>615</v>
          </cell>
          <cell r="G74">
            <v>0.3</v>
          </cell>
          <cell r="H74" t="e">
            <v>#N/A</v>
          </cell>
          <cell r="I74">
            <v>971</v>
          </cell>
          <cell r="J74">
            <v>-5</v>
          </cell>
          <cell r="K74">
            <v>240</v>
          </cell>
          <cell r="L74">
            <v>120</v>
          </cell>
          <cell r="S74">
            <v>193.2</v>
          </cell>
          <cell r="T74">
            <v>240</v>
          </cell>
          <cell r="U74">
            <v>6.2888198757763982</v>
          </cell>
          <cell r="V74">
            <v>3.1832298136645965</v>
          </cell>
          <cell r="W74">
            <v>240</v>
          </cell>
          <cell r="Z74">
            <v>182.2</v>
          </cell>
          <cell r="AA74">
            <v>290.2</v>
          </cell>
          <cell r="AB74">
            <v>171</v>
          </cell>
          <cell r="AC74">
            <v>163.80000000000001</v>
          </cell>
          <cell r="AD74">
            <v>86</v>
          </cell>
          <cell r="AE74">
            <v>0</v>
          </cell>
          <cell r="AF74">
            <v>0</v>
          </cell>
        </row>
        <row r="75">
          <cell r="A75" t="str">
            <v>7227 САЛЯМИ ФИНСКАЯ Папа может с/к в/у 1/180  ОСТАНКИНО</v>
          </cell>
          <cell r="B75" t="str">
            <v>шт</v>
          </cell>
          <cell r="C75">
            <v>21</v>
          </cell>
          <cell r="D75">
            <v>2</v>
          </cell>
          <cell r="E75">
            <v>16</v>
          </cell>
          <cell r="F75">
            <v>5</v>
          </cell>
          <cell r="G75">
            <v>0</v>
          </cell>
          <cell r="H75" t="e">
            <v>#N/A</v>
          </cell>
          <cell r="I75">
            <v>26</v>
          </cell>
          <cell r="J75">
            <v>-10</v>
          </cell>
          <cell r="K75">
            <v>0</v>
          </cell>
          <cell r="L75">
            <v>0</v>
          </cell>
          <cell r="S75">
            <v>3.2</v>
          </cell>
          <cell r="U75">
            <v>1.5625</v>
          </cell>
          <cell r="V75">
            <v>1.5625</v>
          </cell>
          <cell r="Z75">
            <v>19.399999999999999</v>
          </cell>
          <cell r="AA75">
            <v>27.8</v>
          </cell>
          <cell r="AB75">
            <v>7.5</v>
          </cell>
          <cell r="AC75">
            <v>8.6</v>
          </cell>
          <cell r="AD75">
            <v>0</v>
          </cell>
          <cell r="AE75" t="str">
            <v>Вит</v>
          </cell>
          <cell r="AF75" t="str">
            <v>увел</v>
          </cell>
        </row>
        <row r="76">
          <cell r="A76" t="str">
            <v>7231 КЛАССИЧЕСКАЯ ПМ вар п/о 0,3кг 8шт_209к ОСТАНКИНО</v>
          </cell>
          <cell r="B76" t="str">
            <v>шт</v>
          </cell>
          <cell r="C76">
            <v>1326</v>
          </cell>
          <cell r="D76">
            <v>952</v>
          </cell>
          <cell r="E76">
            <v>1006</v>
          </cell>
          <cell r="F76">
            <v>1235</v>
          </cell>
          <cell r="G76">
            <v>0.3</v>
          </cell>
          <cell r="H76" t="e">
            <v>#N/A</v>
          </cell>
          <cell r="I76">
            <v>1043</v>
          </cell>
          <cell r="J76">
            <v>-37</v>
          </cell>
          <cell r="K76">
            <v>240</v>
          </cell>
          <cell r="L76">
            <v>80</v>
          </cell>
          <cell r="S76">
            <v>201.2</v>
          </cell>
          <cell r="U76">
            <v>7.7286282306163026</v>
          </cell>
          <cell r="V76">
            <v>6.1381709741550701</v>
          </cell>
          <cell r="Z76">
            <v>283.60000000000002</v>
          </cell>
          <cell r="AA76">
            <v>363.2</v>
          </cell>
          <cell r="AB76">
            <v>192.75</v>
          </cell>
          <cell r="AC76">
            <v>219.6</v>
          </cell>
          <cell r="AD76">
            <v>116</v>
          </cell>
          <cell r="AE76">
            <v>0</v>
          </cell>
          <cell r="AF76">
            <v>0</v>
          </cell>
        </row>
        <row r="77">
          <cell r="A77" t="str">
            <v>7232 БОЯNСКАЯ ПМ п/к в/у 0,28кг 8шт_209к ОСТАНКИНО</v>
          </cell>
          <cell r="B77" t="str">
            <v>шт</v>
          </cell>
          <cell r="C77">
            <v>833</v>
          </cell>
          <cell r="D77">
            <v>1574</v>
          </cell>
          <cell r="E77">
            <v>1339</v>
          </cell>
          <cell r="F77">
            <v>1030</v>
          </cell>
          <cell r="G77">
            <v>0.28000000000000003</v>
          </cell>
          <cell r="H77" t="e">
            <v>#N/A</v>
          </cell>
          <cell r="I77">
            <v>1403</v>
          </cell>
          <cell r="J77">
            <v>-64</v>
          </cell>
          <cell r="K77">
            <v>200</v>
          </cell>
          <cell r="L77">
            <v>120</v>
          </cell>
          <cell r="S77">
            <v>267.8</v>
          </cell>
          <cell r="T77">
            <v>360</v>
          </cell>
          <cell r="U77">
            <v>6.3853622106049288</v>
          </cell>
          <cell r="V77">
            <v>3.8461538461538458</v>
          </cell>
          <cell r="W77">
            <v>360</v>
          </cell>
          <cell r="Z77">
            <v>291.39999999999998</v>
          </cell>
          <cell r="AA77">
            <v>439.8</v>
          </cell>
          <cell r="AB77">
            <v>217.5</v>
          </cell>
          <cell r="AC77">
            <v>240.6</v>
          </cell>
          <cell r="AD77">
            <v>292</v>
          </cell>
          <cell r="AE77">
            <v>0</v>
          </cell>
          <cell r="AF77">
            <v>0</v>
          </cell>
        </row>
        <row r="78">
          <cell r="A78" t="str">
            <v>7236 СЕРВЕЛАТ КАРЕЛЬСКИЙ в/к в/у 0,28кг_209к ОСТАНКИНО</v>
          </cell>
          <cell r="B78" t="str">
            <v>шт</v>
          </cell>
          <cell r="C78">
            <v>3296</v>
          </cell>
          <cell r="D78">
            <v>2493</v>
          </cell>
          <cell r="E78">
            <v>3268</v>
          </cell>
          <cell r="F78">
            <v>2413</v>
          </cell>
          <cell r="G78">
            <v>0.28000000000000003</v>
          </cell>
          <cell r="H78">
            <v>45</v>
          </cell>
          <cell r="I78">
            <v>3416</v>
          </cell>
          <cell r="J78">
            <v>-148</v>
          </cell>
          <cell r="K78">
            <v>400</v>
          </cell>
          <cell r="L78">
            <v>600</v>
          </cell>
          <cell r="S78">
            <v>653.6</v>
          </cell>
          <cell r="T78">
            <v>720</v>
          </cell>
          <cell r="U78">
            <v>6.3234394124847002</v>
          </cell>
          <cell r="V78">
            <v>3.691860465116279</v>
          </cell>
          <cell r="W78">
            <v>720</v>
          </cell>
          <cell r="Z78">
            <v>711.4</v>
          </cell>
          <cell r="AA78">
            <v>842.6</v>
          </cell>
          <cell r="AB78">
            <v>494.5</v>
          </cell>
          <cell r="AC78">
            <v>562.79999999999995</v>
          </cell>
          <cell r="AD78">
            <v>498</v>
          </cell>
          <cell r="AE78">
            <v>0</v>
          </cell>
          <cell r="AF78">
            <v>0</v>
          </cell>
        </row>
        <row r="79">
          <cell r="A79" t="str">
            <v>7241 САЛЯМИ Папа может п/к в/у 0,28кг_209к ОСТАНКИНО</v>
          </cell>
          <cell r="B79" t="str">
            <v>шт</v>
          </cell>
          <cell r="C79">
            <v>593</v>
          </cell>
          <cell r="D79">
            <v>1400</v>
          </cell>
          <cell r="E79">
            <v>1006</v>
          </cell>
          <cell r="F79">
            <v>941</v>
          </cell>
          <cell r="G79">
            <v>0.28000000000000003</v>
          </cell>
          <cell r="H79" t="e">
            <v>#N/A</v>
          </cell>
          <cell r="I79">
            <v>1071</v>
          </cell>
          <cell r="J79">
            <v>-65</v>
          </cell>
          <cell r="K79">
            <v>240</v>
          </cell>
          <cell r="L79">
            <v>120</v>
          </cell>
          <cell r="S79">
            <v>201.2</v>
          </cell>
          <cell r="T79">
            <v>80</v>
          </cell>
          <cell r="U79">
            <v>6.8638170974155077</v>
          </cell>
          <cell r="V79">
            <v>4.6769383697813121</v>
          </cell>
          <cell r="W79">
            <v>80</v>
          </cell>
          <cell r="Z79">
            <v>222.8</v>
          </cell>
          <cell r="AA79">
            <v>318</v>
          </cell>
          <cell r="AB79">
            <v>176.75</v>
          </cell>
          <cell r="AC79">
            <v>201.4</v>
          </cell>
          <cell r="AD79">
            <v>189</v>
          </cell>
          <cell r="AE79">
            <v>0</v>
          </cell>
          <cell r="AF79">
            <v>0</v>
          </cell>
        </row>
        <row r="80">
          <cell r="A80" t="str">
            <v>7245 ВЕТЧ.ФИЛЕЙНАЯ ПМ п/о 0,4кг 8шт ОСТАНКИНО</v>
          </cell>
          <cell r="B80" t="str">
            <v>шт</v>
          </cell>
          <cell r="C80">
            <v>36</v>
          </cell>
          <cell r="D80">
            <v>89</v>
          </cell>
          <cell r="E80">
            <v>48</v>
          </cell>
          <cell r="F80">
            <v>72</v>
          </cell>
          <cell r="G80">
            <v>0.4</v>
          </cell>
          <cell r="H80" t="e">
            <v>#N/A</v>
          </cell>
          <cell r="I80">
            <v>54</v>
          </cell>
          <cell r="J80">
            <v>-6</v>
          </cell>
          <cell r="K80">
            <v>0</v>
          </cell>
          <cell r="L80">
            <v>0</v>
          </cell>
          <cell r="S80">
            <v>9.6</v>
          </cell>
          <cell r="U80">
            <v>7.5</v>
          </cell>
          <cell r="V80">
            <v>7.5</v>
          </cell>
          <cell r="Z80">
            <v>10.8</v>
          </cell>
          <cell r="AA80">
            <v>13</v>
          </cell>
          <cell r="AB80">
            <v>14.75</v>
          </cell>
          <cell r="AC80">
            <v>11.8</v>
          </cell>
          <cell r="AD80">
            <v>10</v>
          </cell>
          <cell r="AE80" t="str">
            <v>увел</v>
          </cell>
          <cell r="AF80">
            <v>0</v>
          </cell>
        </row>
        <row r="81">
          <cell r="A81" t="str">
            <v>7255 МЯСНЫЕ С ГОВЯД. ПМ сос п/о мгс 0,4кг 6шт.  ОСТАНКИНО</v>
          </cell>
          <cell r="B81" t="str">
            <v>шт</v>
          </cell>
          <cell r="C81">
            <v>298</v>
          </cell>
          <cell r="D81">
            <v>3329</v>
          </cell>
          <cell r="E81">
            <v>1823</v>
          </cell>
          <cell r="F81">
            <v>1755</v>
          </cell>
          <cell r="G81">
            <v>0.4</v>
          </cell>
          <cell r="H81" t="e">
            <v>#N/A</v>
          </cell>
          <cell r="I81">
            <v>1874</v>
          </cell>
          <cell r="J81">
            <v>-51</v>
          </cell>
          <cell r="K81">
            <v>720</v>
          </cell>
          <cell r="L81">
            <v>120</v>
          </cell>
          <cell r="S81">
            <v>364.6</v>
          </cell>
          <cell r="U81">
            <v>7.1173889193636857</v>
          </cell>
          <cell r="V81">
            <v>4.8134942402633021</v>
          </cell>
          <cell r="Z81">
            <v>357</v>
          </cell>
          <cell r="AA81">
            <v>340.8</v>
          </cell>
          <cell r="AB81">
            <v>318.5</v>
          </cell>
          <cell r="AC81">
            <v>393.8</v>
          </cell>
          <cell r="AD81">
            <v>340</v>
          </cell>
          <cell r="AE81" t="str">
            <v>увел</v>
          </cell>
          <cell r="AF81" t="str">
            <v>дубльз</v>
          </cell>
        </row>
        <row r="82">
          <cell r="A82" t="str">
            <v>7271 МЯСНЫЕ С ГОВЯДИНОЙ ПМ сос п/о мгс 1.5*4 ВЕС  ОСТАНКИНО</v>
          </cell>
          <cell r="B82" t="str">
            <v>кг</v>
          </cell>
          <cell r="C82">
            <v>-1.0169999999999999</v>
          </cell>
          <cell r="D82">
            <v>227.16800000000001</v>
          </cell>
          <cell r="E82">
            <v>134.483</v>
          </cell>
          <cell r="F82">
            <v>91.668000000000006</v>
          </cell>
          <cell r="G82">
            <v>1</v>
          </cell>
          <cell r="H82" t="e">
            <v>#N/A</v>
          </cell>
          <cell r="I82">
            <v>139.5</v>
          </cell>
          <cell r="J82">
            <v>-5.0169999999999959</v>
          </cell>
          <cell r="K82">
            <v>40</v>
          </cell>
          <cell r="L82">
            <v>20</v>
          </cell>
          <cell r="S82">
            <v>26.896599999999999</v>
          </cell>
          <cell r="T82">
            <v>30</v>
          </cell>
          <cell r="U82">
            <v>6.7543109538008528</v>
          </cell>
          <cell r="V82">
            <v>3.4081631135533863</v>
          </cell>
          <cell r="W82">
            <v>30</v>
          </cell>
          <cell r="Z82">
            <v>22.528200000000002</v>
          </cell>
          <cell r="AA82">
            <v>23.1236</v>
          </cell>
          <cell r="AB82">
            <v>21.235499999999998</v>
          </cell>
          <cell r="AC82">
            <v>26.058</v>
          </cell>
          <cell r="AD82">
            <v>25.923999999999999</v>
          </cell>
          <cell r="AE82" t="str">
            <v>увел</v>
          </cell>
          <cell r="AF82">
            <v>0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46</v>
          </cell>
          <cell r="D83">
            <v>186</v>
          </cell>
          <cell r="E83">
            <v>180</v>
          </cell>
          <cell r="F83">
            <v>47</v>
          </cell>
          <cell r="G83">
            <v>0.33</v>
          </cell>
          <cell r="H83">
            <v>30</v>
          </cell>
          <cell r="I83">
            <v>189</v>
          </cell>
          <cell r="J83">
            <v>-9</v>
          </cell>
          <cell r="K83">
            <v>30</v>
          </cell>
          <cell r="L83">
            <v>0</v>
          </cell>
          <cell r="S83">
            <v>36</v>
          </cell>
          <cell r="T83">
            <v>120</v>
          </cell>
          <cell r="U83">
            <v>5.4722222222222223</v>
          </cell>
          <cell r="V83">
            <v>1.3055555555555556</v>
          </cell>
          <cell r="W83">
            <v>120</v>
          </cell>
          <cell r="Z83">
            <v>21.4</v>
          </cell>
          <cell r="AA83">
            <v>26.8</v>
          </cell>
          <cell r="AB83">
            <v>25.5</v>
          </cell>
          <cell r="AC83">
            <v>22.4</v>
          </cell>
          <cell r="AD83">
            <v>29</v>
          </cell>
          <cell r="AE83">
            <v>0</v>
          </cell>
          <cell r="AF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-0.86</v>
          </cell>
          <cell r="D84">
            <v>8.7140000000000004</v>
          </cell>
          <cell r="E84">
            <v>8.2270000000000003</v>
          </cell>
          <cell r="F84">
            <v>-0.373</v>
          </cell>
          <cell r="G84">
            <v>0</v>
          </cell>
          <cell r="H84" t="e">
            <v>#N/A</v>
          </cell>
          <cell r="I84">
            <v>8.8000000000000007</v>
          </cell>
          <cell r="J84">
            <v>-0.5730000000000004</v>
          </cell>
          <cell r="K84">
            <v>0</v>
          </cell>
          <cell r="L84">
            <v>0</v>
          </cell>
          <cell r="S84">
            <v>1.6454</v>
          </cell>
          <cell r="U84">
            <v>-0.22669259754467</v>
          </cell>
          <cell r="V84">
            <v>-0.22669259754467</v>
          </cell>
          <cell r="Z84">
            <v>0.58419999999999994</v>
          </cell>
          <cell r="AA84">
            <v>1.3821999999999999</v>
          </cell>
          <cell r="AB84">
            <v>0.54500000000000004</v>
          </cell>
          <cell r="AC84">
            <v>0.874</v>
          </cell>
          <cell r="AD84">
            <v>0</v>
          </cell>
          <cell r="AE84" t="str">
            <v>выв</v>
          </cell>
          <cell r="AF84" t="e">
            <v>#N/A</v>
          </cell>
        </row>
        <row r="85">
          <cell r="A85" t="str">
            <v>7317 ПРЕСИЖН с/к дек.спец. мгс 0,54кг  ОСТАНКИНО</v>
          </cell>
          <cell r="B85" t="str">
            <v>шт</v>
          </cell>
          <cell r="C85">
            <v>25</v>
          </cell>
          <cell r="D85">
            <v>1</v>
          </cell>
          <cell r="E85">
            <v>0</v>
          </cell>
          <cell r="F85">
            <v>25</v>
          </cell>
          <cell r="G85">
            <v>0.54</v>
          </cell>
          <cell r="H85" t="e">
            <v>#N/A</v>
          </cell>
          <cell r="I85">
            <v>2</v>
          </cell>
          <cell r="J85">
            <v>-2</v>
          </cell>
          <cell r="K85">
            <v>0</v>
          </cell>
          <cell r="L85">
            <v>0</v>
          </cell>
          <cell r="S85">
            <v>0</v>
          </cell>
          <cell r="U85" t="e">
            <v>#DIV/0!</v>
          </cell>
          <cell r="V85" t="e">
            <v>#DIV/0!</v>
          </cell>
          <cell r="Z85">
            <v>3</v>
          </cell>
          <cell r="AA85">
            <v>6.4</v>
          </cell>
          <cell r="AB85">
            <v>1.25</v>
          </cell>
          <cell r="AC85">
            <v>0.8</v>
          </cell>
          <cell r="AD85">
            <v>0</v>
          </cell>
          <cell r="AE85" t="str">
            <v>увел</v>
          </cell>
          <cell r="AF85" t="e">
            <v>#N/A</v>
          </cell>
        </row>
        <row r="86">
          <cell r="A86" t="str">
            <v>7332 БОЯРСКАЯ ПМ п/к в/у 0.28кг_СНГ  ОСТАНКИНО</v>
          </cell>
          <cell r="B86" t="str">
            <v>шт</v>
          </cell>
          <cell r="C86">
            <v>52</v>
          </cell>
          <cell r="D86">
            <v>21</v>
          </cell>
          <cell r="E86">
            <v>49</v>
          </cell>
          <cell r="F86">
            <v>20</v>
          </cell>
          <cell r="G86">
            <v>0.28000000000000003</v>
          </cell>
          <cell r="H86" t="e">
            <v>#N/A</v>
          </cell>
          <cell r="I86">
            <v>58</v>
          </cell>
          <cell r="J86">
            <v>-9</v>
          </cell>
          <cell r="K86">
            <v>16</v>
          </cell>
          <cell r="L86">
            <v>0</v>
          </cell>
          <cell r="S86">
            <v>9.8000000000000007</v>
          </cell>
          <cell r="T86">
            <v>24</v>
          </cell>
          <cell r="U86">
            <v>6.1224489795918364</v>
          </cell>
          <cell r="V86">
            <v>2.0408163265306123</v>
          </cell>
          <cell r="W86">
            <v>24</v>
          </cell>
          <cell r="Z86">
            <v>11.8</v>
          </cell>
          <cell r="AA86">
            <v>17</v>
          </cell>
          <cell r="AB86">
            <v>6.75</v>
          </cell>
          <cell r="AC86">
            <v>8</v>
          </cell>
          <cell r="AD86">
            <v>8</v>
          </cell>
          <cell r="AE86">
            <v>0</v>
          </cell>
          <cell r="AF86" t="e">
            <v>#N/A</v>
          </cell>
        </row>
        <row r="87">
          <cell r="A87" t="str">
            <v>7333 СЕРВЕЛАТ ОХОТНИЧИЙ ПМ в/к в/у 0.28кг_СНГ  ОСТАНКИНО</v>
          </cell>
          <cell r="B87" t="str">
            <v>шт</v>
          </cell>
          <cell r="C87">
            <v>53</v>
          </cell>
          <cell r="D87">
            <v>82</v>
          </cell>
          <cell r="E87">
            <v>67</v>
          </cell>
          <cell r="F87">
            <v>64</v>
          </cell>
          <cell r="G87">
            <v>0.28000000000000003</v>
          </cell>
          <cell r="H87" t="e">
            <v>#N/A</v>
          </cell>
          <cell r="I87">
            <v>73</v>
          </cell>
          <cell r="J87">
            <v>-6</v>
          </cell>
          <cell r="K87">
            <v>0</v>
          </cell>
          <cell r="L87">
            <v>0</v>
          </cell>
          <cell r="S87">
            <v>13.4</v>
          </cell>
          <cell r="T87">
            <v>24</v>
          </cell>
          <cell r="U87">
            <v>6.567164179104477</v>
          </cell>
          <cell r="V87">
            <v>4.7761194029850742</v>
          </cell>
          <cell r="W87">
            <v>24</v>
          </cell>
          <cell r="Z87">
            <v>15</v>
          </cell>
          <cell r="AA87">
            <v>21.4</v>
          </cell>
          <cell r="AB87">
            <v>14.5</v>
          </cell>
          <cell r="AC87">
            <v>9.6</v>
          </cell>
          <cell r="AD87">
            <v>19</v>
          </cell>
          <cell r="AE87">
            <v>0</v>
          </cell>
          <cell r="AF87" t="e">
            <v>#N/A</v>
          </cell>
        </row>
        <row r="88">
          <cell r="A88" t="str">
            <v>7343 СЕЙЧАС СЕЗОН ПМ вар п/о 0,4кг  ОСТАНКИНО</v>
          </cell>
          <cell r="B88" t="str">
            <v>шт</v>
          </cell>
          <cell r="C88">
            <v>1575</v>
          </cell>
          <cell r="D88">
            <v>556</v>
          </cell>
          <cell r="E88">
            <v>1080</v>
          </cell>
          <cell r="F88">
            <v>1045</v>
          </cell>
          <cell r="G88">
            <v>0.4</v>
          </cell>
          <cell r="H88" t="e">
            <v>#N/A</v>
          </cell>
          <cell r="I88">
            <v>1081</v>
          </cell>
          <cell r="J88">
            <v>-1</v>
          </cell>
          <cell r="K88">
            <v>0</v>
          </cell>
          <cell r="L88">
            <v>0</v>
          </cell>
          <cell r="S88">
            <v>216</v>
          </cell>
          <cell r="T88">
            <v>280</v>
          </cell>
          <cell r="U88">
            <v>6.1342592592592595</v>
          </cell>
          <cell r="V88">
            <v>4.8379629629629628</v>
          </cell>
          <cell r="W88">
            <v>280</v>
          </cell>
          <cell r="Z88">
            <v>330.8</v>
          </cell>
          <cell r="AA88">
            <v>487.2</v>
          </cell>
          <cell r="AB88">
            <v>272.25</v>
          </cell>
          <cell r="AC88">
            <v>178.8</v>
          </cell>
          <cell r="AD88">
            <v>37</v>
          </cell>
          <cell r="AE88" t="str">
            <v>пл0112,</v>
          </cell>
          <cell r="AF88" t="str">
            <v>м-900</v>
          </cell>
        </row>
        <row r="89">
          <cell r="A89" t="str">
            <v>7364 ЧОРИЗО Останкино с/к в/у 1/220 8шт.  ОСТАНКИНО</v>
          </cell>
          <cell r="B89" t="str">
            <v>шт</v>
          </cell>
          <cell r="C89">
            <v>68</v>
          </cell>
          <cell r="D89">
            <v>7</v>
          </cell>
          <cell r="E89">
            <v>28</v>
          </cell>
          <cell r="F89">
            <v>41</v>
          </cell>
          <cell r="G89">
            <v>0.22</v>
          </cell>
          <cell r="H89" t="e">
            <v>#N/A</v>
          </cell>
          <cell r="I89">
            <v>37</v>
          </cell>
          <cell r="J89">
            <v>-9</v>
          </cell>
          <cell r="K89">
            <v>0</v>
          </cell>
          <cell r="L89">
            <v>0</v>
          </cell>
          <cell r="S89">
            <v>5.6</v>
          </cell>
          <cell r="U89">
            <v>7.3214285714285721</v>
          </cell>
          <cell r="V89">
            <v>7.3214285714285721</v>
          </cell>
          <cell r="Z89">
            <v>9.1999999999999993</v>
          </cell>
          <cell r="AA89">
            <v>11.4</v>
          </cell>
          <cell r="AB89">
            <v>2.75</v>
          </cell>
          <cell r="AC89">
            <v>3</v>
          </cell>
          <cell r="AD89">
            <v>8</v>
          </cell>
          <cell r="AE89" t="e">
            <v>#N/A</v>
          </cell>
          <cell r="AF89" t="e">
            <v>#N/A</v>
          </cell>
        </row>
        <row r="90">
          <cell r="A90" t="str">
            <v>7377 ВЕТЧ.С ИНДЕЙКОЙ ПМ в/у срез 0,3кг 6шт.  ОСТАНКИНО</v>
          </cell>
          <cell r="B90" t="str">
            <v>шт</v>
          </cell>
          <cell r="C90">
            <v>49</v>
          </cell>
          <cell r="D90">
            <v>188</v>
          </cell>
          <cell r="E90">
            <v>97</v>
          </cell>
          <cell r="F90">
            <v>134</v>
          </cell>
          <cell r="G90">
            <v>0.3</v>
          </cell>
          <cell r="H90" t="e">
            <v>#N/A</v>
          </cell>
          <cell r="I90">
            <v>105</v>
          </cell>
          <cell r="J90">
            <v>-8</v>
          </cell>
          <cell r="K90">
            <v>40</v>
          </cell>
          <cell r="L90">
            <v>30</v>
          </cell>
          <cell r="S90">
            <v>19.399999999999999</v>
          </cell>
          <cell r="U90">
            <v>10.515463917525773</v>
          </cell>
          <cell r="V90">
            <v>6.9072164948453612</v>
          </cell>
          <cell r="Z90">
            <v>30.8</v>
          </cell>
          <cell r="AA90">
            <v>35.200000000000003</v>
          </cell>
          <cell r="AB90">
            <v>31.5</v>
          </cell>
          <cell r="AC90">
            <v>25.4</v>
          </cell>
          <cell r="AD90">
            <v>20</v>
          </cell>
          <cell r="AE90" t="e">
            <v>#N/A</v>
          </cell>
          <cell r="AF90" t="e">
            <v>#N/A</v>
          </cell>
        </row>
        <row r="91">
          <cell r="A91" t="str">
            <v>7382 САЛЯМИ МЕЛКОЗЕРНЕНАЯ с/к в/у 1/120 8шт.  ОСТАНКИНО</v>
          </cell>
          <cell r="B91" t="str">
            <v>шт</v>
          </cell>
          <cell r="C91">
            <v>1296</v>
          </cell>
          <cell r="D91">
            <v>2442</v>
          </cell>
          <cell r="E91">
            <v>1847</v>
          </cell>
          <cell r="F91">
            <v>1845</v>
          </cell>
          <cell r="G91">
            <v>0.12</v>
          </cell>
          <cell r="H91" t="e">
            <v>#N/A</v>
          </cell>
          <cell r="I91">
            <v>1883</v>
          </cell>
          <cell r="J91">
            <v>-36</v>
          </cell>
          <cell r="K91">
            <v>600</v>
          </cell>
          <cell r="L91">
            <v>200</v>
          </cell>
          <cell r="S91">
            <v>369.4</v>
          </cell>
          <cell r="U91">
            <v>7.160259880887927</v>
          </cell>
          <cell r="V91">
            <v>4.9945858148348679</v>
          </cell>
          <cell r="Z91">
            <v>424.6</v>
          </cell>
          <cell r="AA91">
            <v>515</v>
          </cell>
          <cell r="AB91">
            <v>388.5</v>
          </cell>
          <cell r="AC91">
            <v>389.2</v>
          </cell>
          <cell r="AD91">
            <v>192</v>
          </cell>
          <cell r="AE91" t="e">
            <v>#N/A</v>
          </cell>
          <cell r="AF91" t="e">
            <v>#N/A</v>
          </cell>
        </row>
        <row r="92">
          <cell r="A92" t="str">
            <v>БОНУС МОЛОЧНЫЕ КЛАССИЧЕСКИЕ сос п/о в/у 0.3кг (6084)  ОСТАНКИНО</v>
          </cell>
          <cell r="B92" t="str">
            <v>шт</v>
          </cell>
          <cell r="C92">
            <v>241</v>
          </cell>
          <cell r="D92">
            <v>4</v>
          </cell>
          <cell r="E92">
            <v>0</v>
          </cell>
          <cell r="F92">
            <v>245</v>
          </cell>
          <cell r="G92">
            <v>0</v>
          </cell>
          <cell r="H92" t="e">
            <v>#N/A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S92">
            <v>0</v>
          </cell>
          <cell r="U92" t="e">
            <v>#DIV/0!</v>
          </cell>
          <cell r="V92" t="e">
            <v>#DIV/0!</v>
          </cell>
          <cell r="Z92">
            <v>7.4</v>
          </cell>
          <cell r="AA92">
            <v>11.8</v>
          </cell>
          <cell r="AB92">
            <v>0.5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БОНУС МОЛОЧНЫЕ КЛАССИЧЕСКИЕ сос п/о мгс 2*4_С (4980)  ОСТАНКИНО</v>
          </cell>
          <cell r="B93" t="str">
            <v>кг</v>
          </cell>
          <cell r="C93">
            <v>57.604999999999997</v>
          </cell>
          <cell r="E93">
            <v>6.3390000000000004</v>
          </cell>
          <cell r="F93">
            <v>51.265999999999998</v>
          </cell>
          <cell r="G93">
            <v>0</v>
          </cell>
          <cell r="H93" t="e">
            <v>#N/A</v>
          </cell>
          <cell r="I93">
            <v>6</v>
          </cell>
          <cell r="J93">
            <v>0.33900000000000041</v>
          </cell>
          <cell r="K93">
            <v>0</v>
          </cell>
          <cell r="L93">
            <v>0</v>
          </cell>
          <cell r="S93">
            <v>1.2678</v>
          </cell>
          <cell r="U93">
            <v>40.436977441236785</v>
          </cell>
          <cell r="V93">
            <v>40.436977441236785</v>
          </cell>
          <cell r="Z93">
            <v>2.0544000000000002</v>
          </cell>
          <cell r="AA93">
            <v>3.3466</v>
          </cell>
          <cell r="AB93">
            <v>1.06775</v>
          </cell>
          <cell r="AC93">
            <v>1.6640000000000001</v>
          </cell>
          <cell r="AD93">
            <v>0</v>
          </cell>
          <cell r="AE93">
            <v>0</v>
          </cell>
          <cell r="AF93">
            <v>0</v>
          </cell>
        </row>
        <row r="94">
          <cell r="A94" t="str">
            <v>БОНУС СОЧНЫЕ Папа может сос п/о мгс 1.5*4 (6954)  ОСТАНКИНО</v>
          </cell>
          <cell r="B94" t="str">
            <v>кг</v>
          </cell>
          <cell r="C94">
            <v>334.2</v>
          </cell>
          <cell r="D94">
            <v>503.09300000000002</v>
          </cell>
          <cell r="E94">
            <v>304.33199999999999</v>
          </cell>
          <cell r="F94">
            <v>531.41300000000001</v>
          </cell>
          <cell r="G94">
            <v>0</v>
          </cell>
          <cell r="H94" t="e">
            <v>#N/A</v>
          </cell>
          <cell r="I94">
            <v>290.3</v>
          </cell>
          <cell r="J94">
            <v>14.031999999999982</v>
          </cell>
          <cell r="K94">
            <v>0</v>
          </cell>
          <cell r="L94">
            <v>0</v>
          </cell>
          <cell r="S94">
            <v>60.866399999999999</v>
          </cell>
          <cell r="U94">
            <v>8.7308104307138255</v>
          </cell>
          <cell r="V94">
            <v>8.7308104307138255</v>
          </cell>
          <cell r="Z94">
            <v>45.371200000000002</v>
          </cell>
          <cell r="AA94">
            <v>80.933199999999999</v>
          </cell>
          <cell r="AB94">
            <v>27.137</v>
          </cell>
          <cell r="AC94">
            <v>59.770600000000002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БОНУС СОЧНЫЕ сос п/о мгс 0.41кг_UZ (6087)  ОСТАНКИНО</v>
          </cell>
          <cell r="B95" t="str">
            <v>шт</v>
          </cell>
          <cell r="C95">
            <v>652</v>
          </cell>
          <cell r="E95">
            <v>32</v>
          </cell>
          <cell r="F95">
            <v>620</v>
          </cell>
          <cell r="G95">
            <v>0</v>
          </cell>
          <cell r="H95">
            <v>0</v>
          </cell>
          <cell r="I95">
            <v>32</v>
          </cell>
          <cell r="J95">
            <v>0</v>
          </cell>
          <cell r="K95">
            <v>0</v>
          </cell>
          <cell r="L95">
            <v>0</v>
          </cell>
          <cell r="S95">
            <v>6.4</v>
          </cell>
          <cell r="U95">
            <v>96.875</v>
          </cell>
          <cell r="V95">
            <v>96.875</v>
          </cell>
          <cell r="Z95">
            <v>29.8</v>
          </cell>
          <cell r="AA95">
            <v>38.6</v>
          </cell>
          <cell r="AB95">
            <v>10.25</v>
          </cell>
          <cell r="AC95">
            <v>9.6</v>
          </cell>
          <cell r="AD95">
            <v>0</v>
          </cell>
          <cell r="AE95">
            <v>0</v>
          </cell>
          <cell r="AF9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17.01.2026 - 23.01.2026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5.35</v>
          </cell>
          <cell r="F7">
            <v>648.85299999999995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28.05</v>
          </cell>
          <cell r="F8">
            <v>1826.444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82.65</v>
          </cell>
          <cell r="F9">
            <v>1865.627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4396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  <cell r="F11">
            <v>5682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2534</v>
          </cell>
          <cell r="F13">
            <v>8018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91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</v>
          </cell>
          <cell r="F15">
            <v>361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</v>
          </cell>
          <cell r="F16">
            <v>342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25</v>
          </cell>
          <cell r="F18">
            <v>1422</v>
          </cell>
        </row>
        <row r="19">
          <cell r="A19" t="str">
            <v xml:space="preserve"> 112  Сосиски Филейбургские, 0,55 кг, БАВАРУШКА ПОКОМ</v>
          </cell>
          <cell r="F19">
            <v>1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4</v>
          </cell>
          <cell r="F20">
            <v>317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3</v>
          </cell>
          <cell r="F21">
            <v>112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</v>
          </cell>
          <cell r="F22">
            <v>217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5</v>
          </cell>
          <cell r="F23">
            <v>552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13.78</v>
          </cell>
          <cell r="F24">
            <v>751.798</v>
          </cell>
        </row>
        <row r="25">
          <cell r="A25" t="str">
            <v xml:space="preserve"> 201  Ветчина Нежная ТМ Особый рецепт, (2,5кг), ПОКОМ</v>
          </cell>
          <cell r="D25">
            <v>188.4</v>
          </cell>
          <cell r="F25">
            <v>5865.6120000000001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23.01</v>
          </cell>
          <cell r="F26">
            <v>409.411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0.75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26.15</v>
          </cell>
          <cell r="F28">
            <v>916.48500000000001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3.28</v>
          </cell>
          <cell r="F29">
            <v>295.07299999999998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3.33</v>
          </cell>
          <cell r="F30">
            <v>376.64800000000002</v>
          </cell>
        </row>
        <row r="31">
          <cell r="A31" t="str">
            <v xml:space="preserve"> 240  Колбаса Салями охотничья, ВЕС. ПОКОМ</v>
          </cell>
          <cell r="F31">
            <v>4.55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8.33</v>
          </cell>
          <cell r="F32">
            <v>396.10300000000001</v>
          </cell>
        </row>
        <row r="33">
          <cell r="A33" t="str">
            <v xml:space="preserve"> 247  Сардельки Нежные, ВЕС.  ПОКОМ</v>
          </cell>
          <cell r="D33">
            <v>5.5</v>
          </cell>
          <cell r="F33">
            <v>153.602</v>
          </cell>
        </row>
        <row r="34">
          <cell r="A34" t="str">
            <v xml:space="preserve"> 248  Сардельки Сочные ТМ Особый рецепт,   ПОКОМ</v>
          </cell>
          <cell r="D34">
            <v>4.2</v>
          </cell>
          <cell r="F34">
            <v>163.351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45.5</v>
          </cell>
          <cell r="F35">
            <v>2108.2890000000002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1.4</v>
          </cell>
          <cell r="F36">
            <v>110.312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80.900000000000006</v>
          </cell>
        </row>
        <row r="38">
          <cell r="A38" t="str">
            <v xml:space="preserve"> 263  Шпикачки Стародворские, ВЕС.  ПОКОМ</v>
          </cell>
          <cell r="D38">
            <v>12.1</v>
          </cell>
          <cell r="F38">
            <v>1058.9110000000001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0.7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0.7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1431</v>
          </cell>
          <cell r="F41">
            <v>3473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592</v>
          </cell>
          <cell r="F42">
            <v>3952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272</v>
          </cell>
          <cell r="F43">
            <v>3709</v>
          </cell>
        </row>
        <row r="44">
          <cell r="A44" t="str">
            <v xml:space="preserve"> 278  Сосиски Сочинки с сочным окороком, МГС 0.4кг,   ПОКОМ</v>
          </cell>
          <cell r="D44">
            <v>1</v>
          </cell>
          <cell r="F44">
            <v>1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F45">
            <v>5</v>
          </cell>
        </row>
        <row r="46">
          <cell r="A46" t="str">
            <v xml:space="preserve"> 283  Сосиски Сочинки, ВЕС, ТМ Стародворье ПОКОМ</v>
          </cell>
          <cell r="D46">
            <v>13.9</v>
          </cell>
          <cell r="F46">
            <v>640.38199999999995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34</v>
          </cell>
          <cell r="F47">
            <v>1068</v>
          </cell>
        </row>
        <row r="48">
          <cell r="A48" t="str">
            <v xml:space="preserve"> 291  Сосиски Молокуши миникушай ТМ Вязанка, 0.33кг, ПОКОМ</v>
          </cell>
          <cell r="F48">
            <v>22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22</v>
          </cell>
          <cell r="F49">
            <v>1157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3.5</v>
          </cell>
          <cell r="F50">
            <v>247.82</v>
          </cell>
        </row>
        <row r="51">
          <cell r="A51" t="str">
            <v xml:space="preserve"> 298  Колбаса Сливушка ТМ Вязанка, 0,375кг,  ПОКОМ</v>
          </cell>
          <cell r="D51">
            <v>1</v>
          </cell>
          <cell r="F51">
            <v>38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19</v>
          </cell>
          <cell r="F52">
            <v>1012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13</v>
          </cell>
          <cell r="F53">
            <v>2009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D54">
            <v>1.4</v>
          </cell>
          <cell r="F54">
            <v>173.45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D55">
            <v>13.2</v>
          </cell>
          <cell r="F55">
            <v>388.68700000000001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D56">
            <v>28</v>
          </cell>
          <cell r="F56">
            <v>1551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D57">
            <v>47</v>
          </cell>
          <cell r="F57">
            <v>2274</v>
          </cell>
        </row>
        <row r="58">
          <cell r="A58" t="str">
            <v xml:space="preserve"> 309  Сосиски Сочинки с сыром 0,4 кг ТМ Стародворье  ПОКОМ</v>
          </cell>
          <cell r="D58">
            <v>17</v>
          </cell>
          <cell r="F58">
            <v>1297</v>
          </cell>
        </row>
        <row r="59">
          <cell r="A59" t="str">
            <v xml:space="preserve"> 312  Ветчина Филейская ВЕС ТМ  Вязанка ТС Столичная  ПОКОМ</v>
          </cell>
          <cell r="D59">
            <v>15.85</v>
          </cell>
          <cell r="F59">
            <v>950.40800000000002</v>
          </cell>
        </row>
        <row r="60">
          <cell r="A60" t="str">
            <v xml:space="preserve"> 315  Колбаса вареная Молокуша ТМ Вязанка ВЕС, ПОКОМ</v>
          </cell>
          <cell r="D60">
            <v>9.35</v>
          </cell>
          <cell r="F60">
            <v>757.26700000000005</v>
          </cell>
        </row>
        <row r="61">
          <cell r="A61" t="str">
            <v xml:space="preserve"> 316  Колбаса Нежная ТМ Зареченские ВЕС  ПОКОМ</v>
          </cell>
          <cell r="F61">
            <v>116.9</v>
          </cell>
        </row>
        <row r="62">
          <cell r="A62" t="str">
            <v xml:space="preserve"> 318  Сосиски Датские ТМ Зареченские, ВЕС  ПОКОМ</v>
          </cell>
          <cell r="D62">
            <v>33.200000000000003</v>
          </cell>
          <cell r="F62">
            <v>5353.95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D63">
            <v>1555</v>
          </cell>
          <cell r="F63">
            <v>5932</v>
          </cell>
        </row>
        <row r="64">
          <cell r="A64" t="str">
            <v xml:space="preserve"> 322  Колбаса вареная Молокуша 0,45кг ТМ Вязанка  ПОКОМ</v>
          </cell>
          <cell r="D64">
            <v>856</v>
          </cell>
          <cell r="F64">
            <v>5334</v>
          </cell>
        </row>
        <row r="65">
          <cell r="A65" t="str">
            <v xml:space="preserve"> 324  Ветчина Филейская ТМ Вязанка Столичная 0,45 кг ПОКОМ</v>
          </cell>
          <cell r="D65">
            <v>29</v>
          </cell>
          <cell r="F65">
            <v>1696</v>
          </cell>
        </row>
        <row r="66">
          <cell r="A66" t="str">
            <v xml:space="preserve"> 328  Сардельки Сочинки Стародворье ТМ  0,4 кг ПОКОМ</v>
          </cell>
          <cell r="D66">
            <v>6</v>
          </cell>
          <cell r="F66">
            <v>351</v>
          </cell>
        </row>
        <row r="67">
          <cell r="A67" t="str">
            <v xml:space="preserve"> 329  Сардельки Сочинки с сыром Стародворье ТМ, 0,4 кг. ПОКОМ</v>
          </cell>
          <cell r="D67">
            <v>5</v>
          </cell>
          <cell r="F67">
            <v>331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D68">
            <v>29.05</v>
          </cell>
          <cell r="F68">
            <v>1007.924</v>
          </cell>
        </row>
        <row r="69">
          <cell r="A69" t="str">
            <v xml:space="preserve"> 333  Колбаса Балыковая, Вязанка фиброуз в/у, ВЕС ПОКОМ</v>
          </cell>
          <cell r="D69">
            <v>5</v>
          </cell>
          <cell r="F69">
            <v>139.59</v>
          </cell>
        </row>
        <row r="70">
          <cell r="A70" t="str">
            <v xml:space="preserve"> 334  Паштет Любительский ТМ Стародворье ламистер 0,1 кг  ПОКОМ</v>
          </cell>
          <cell r="D70">
            <v>19</v>
          </cell>
          <cell r="F70">
            <v>731</v>
          </cell>
        </row>
        <row r="71">
          <cell r="A71" t="str">
            <v xml:space="preserve"> 335  Колбаса Сливушка ТМ Вязанка. ВЕС.  ПОКОМ </v>
          </cell>
          <cell r="F71">
            <v>233.15</v>
          </cell>
        </row>
        <row r="72">
          <cell r="A72" t="str">
            <v xml:space="preserve"> 338  Паштет печеночный с морковью ТМ Стародворье ламистер 0,1 кг.  ПОКОМ</v>
          </cell>
          <cell r="D72">
            <v>1</v>
          </cell>
          <cell r="F72">
            <v>211</v>
          </cell>
        </row>
        <row r="73">
          <cell r="A73" t="str">
            <v xml:space="preserve"> 342 Сосиски Сочинки Молочные ТМ Стародворье 0,4 кг ПОКОМ</v>
          </cell>
          <cell r="D73">
            <v>849</v>
          </cell>
          <cell r="F73">
            <v>4217</v>
          </cell>
        </row>
        <row r="74">
          <cell r="A74" t="str">
            <v xml:space="preserve"> 343 Сосиски Сочинки Сливочные ТМ Стародворье  0,4 кг</v>
          </cell>
          <cell r="D74">
            <v>50</v>
          </cell>
          <cell r="F74">
            <v>2802</v>
          </cell>
        </row>
        <row r="75">
          <cell r="A75" t="str">
            <v xml:space="preserve"> 344  Колбаса Сочинка по-европейски с сочной грудинкой ТМ Стародворье, ВЕС ПОКОМ</v>
          </cell>
          <cell r="D75">
            <v>10.4</v>
          </cell>
          <cell r="F75">
            <v>528.68600000000004</v>
          </cell>
        </row>
        <row r="76">
          <cell r="A76" t="str">
            <v xml:space="preserve"> 345  Колбаса Сочинка по-фински с сочным окроком ТМ Стародворье ВЕС ПОКОМ</v>
          </cell>
          <cell r="D76">
            <v>3.3</v>
          </cell>
          <cell r="F76">
            <v>193.16800000000001</v>
          </cell>
        </row>
        <row r="77">
          <cell r="A77" t="str">
            <v xml:space="preserve"> 346  Колбаса Сочинка зернистая с сочной грудинкой ТМ Стародворье.ВЕС ПОКОМ</v>
          </cell>
          <cell r="D77">
            <v>40.299999999999997</v>
          </cell>
          <cell r="F77">
            <v>1949.325</v>
          </cell>
        </row>
        <row r="78">
          <cell r="A78" t="str">
            <v xml:space="preserve"> 347  Колбаса Сочинка рубленая с сочным окороком ТМ Стародворье ВЕС ПОКОМ</v>
          </cell>
          <cell r="D78">
            <v>3.3</v>
          </cell>
          <cell r="F78">
            <v>270.791</v>
          </cell>
        </row>
        <row r="79">
          <cell r="A79" t="str">
            <v xml:space="preserve"> 353  Колбаса Салями запеченная ТМ Стародворье ТС Дугушка. 0,6 кг ПОКОМ</v>
          </cell>
          <cell r="D79">
            <v>1</v>
          </cell>
          <cell r="F79">
            <v>119</v>
          </cell>
        </row>
        <row r="80">
          <cell r="A80" t="str">
            <v xml:space="preserve"> 354  Колбаса Рубленая запеченная ТМ Стародворье,ТС Дугушка  0,6 кг ПОКОМ</v>
          </cell>
          <cell r="D80">
            <v>3</v>
          </cell>
          <cell r="F80">
            <v>331</v>
          </cell>
        </row>
        <row r="81">
          <cell r="A81" t="str">
            <v xml:space="preserve"> 355  Колбаса Сервелат запеченный ТМ Стародворье ТС Дугушка. 0,6 кг. ПОКОМ</v>
          </cell>
          <cell r="D81">
            <v>3</v>
          </cell>
          <cell r="F81">
            <v>567</v>
          </cell>
        </row>
        <row r="82">
          <cell r="A82" t="str">
            <v xml:space="preserve"> 364  Сардельки Филейские Вязанка ВЕС NDX ТМ Вязанка  ПОКОМ</v>
          </cell>
          <cell r="D82">
            <v>2.7</v>
          </cell>
          <cell r="F82">
            <v>213.46</v>
          </cell>
        </row>
        <row r="83">
          <cell r="A83" t="str">
            <v xml:space="preserve"> 376  Колбаса Докторская Дугушка 0,6кг ГОСТ ТМ Стародворье  ПОКОМ </v>
          </cell>
          <cell r="D83">
            <v>12</v>
          </cell>
          <cell r="F83">
            <v>935</v>
          </cell>
        </row>
        <row r="84">
          <cell r="A84" t="str">
            <v xml:space="preserve"> 377  Колбаса Молочная Дугушка 0,6кг ТМ Стародворье  ПОКОМ</v>
          </cell>
          <cell r="D84">
            <v>15</v>
          </cell>
          <cell r="F84">
            <v>1011</v>
          </cell>
        </row>
        <row r="85">
          <cell r="A85" t="str">
            <v xml:space="preserve"> 387  Колбаса вареная Мусульманская Халяль ТМ Вязанка, 0,4 кг ПОКОМ</v>
          </cell>
          <cell r="D85">
            <v>12</v>
          </cell>
          <cell r="F85">
            <v>1032</v>
          </cell>
        </row>
        <row r="86">
          <cell r="A86" t="str">
            <v xml:space="preserve"> 388  Сосиски Восточные Халяль ТМ Вязанка 0,33 кг АК. ПОКОМ</v>
          </cell>
          <cell r="D86">
            <v>9</v>
          </cell>
          <cell r="F86">
            <v>989</v>
          </cell>
        </row>
        <row r="87">
          <cell r="A87" t="str">
            <v xml:space="preserve"> 394 Колбаса полукопченая Аль-Ислами халяль ТМ Вязанка оболочка фиброуз в в/у 0,35 кг  ПОКОМ</v>
          </cell>
          <cell r="D87">
            <v>25</v>
          </cell>
          <cell r="F87">
            <v>773</v>
          </cell>
        </row>
        <row r="88">
          <cell r="A88" t="str">
            <v xml:space="preserve"> 405  Сардельки Сливушки ТМ Вязанка в оболочке айпил 0,33 кг. ПОКОМ</v>
          </cell>
          <cell r="D88">
            <v>7</v>
          </cell>
          <cell r="F88">
            <v>758</v>
          </cell>
        </row>
        <row r="89">
          <cell r="A89" t="str">
            <v xml:space="preserve"> 410  Сосиски Баварские с сыром ТМ Стародворье 0,35 кг. ПОКОМ</v>
          </cell>
          <cell r="D89">
            <v>2491</v>
          </cell>
          <cell r="F89">
            <v>10122</v>
          </cell>
        </row>
        <row r="90">
          <cell r="A90" t="str">
            <v xml:space="preserve"> 412  Сосиски Баварские ТМ Стародворье 0,35 кг ПОКОМ</v>
          </cell>
          <cell r="D90">
            <v>593</v>
          </cell>
          <cell r="F90">
            <v>9329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D91">
            <v>7</v>
          </cell>
          <cell r="F91">
            <v>484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D92">
            <v>5.34</v>
          </cell>
          <cell r="F92">
            <v>262.31099999999998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D93">
            <v>5</v>
          </cell>
          <cell r="F93">
            <v>237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D94">
            <v>2.7</v>
          </cell>
          <cell r="F94">
            <v>95.95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D95">
            <v>9</v>
          </cell>
          <cell r="F95">
            <v>604</v>
          </cell>
        </row>
        <row r="96">
          <cell r="A96" t="str">
            <v xml:space="preserve"> 448  Сосиски Сливушки по-венски ТМ Вязанка. 0,3 кг ПОКОМ</v>
          </cell>
          <cell r="D96">
            <v>1</v>
          </cell>
          <cell r="F96">
            <v>442</v>
          </cell>
        </row>
        <row r="97">
          <cell r="A97" t="str">
            <v xml:space="preserve"> 449  Колбаса Дугушка Стародворская ВЕС ТС Дугушка ПОКОМ</v>
          </cell>
          <cell r="D97">
            <v>1.6</v>
          </cell>
          <cell r="F97">
            <v>643.51700000000005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D98">
            <v>122.5</v>
          </cell>
          <cell r="F98">
            <v>4912.3429999999998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D99">
            <v>145</v>
          </cell>
          <cell r="F99">
            <v>7121.4939999999997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D100">
            <v>172.501</v>
          </cell>
          <cell r="F100">
            <v>7132.8159999999998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F101">
            <v>4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D102">
            <v>8.1999999999999993</v>
          </cell>
          <cell r="F102">
            <v>240.2</v>
          </cell>
        </row>
        <row r="103">
          <cell r="A103" t="str">
            <v xml:space="preserve"> 467  Колбаса Филейная 0,5кг ТМ Особый рецепт  ПОКОМ</v>
          </cell>
          <cell r="D103">
            <v>2</v>
          </cell>
          <cell r="F103">
            <v>156</v>
          </cell>
        </row>
        <row r="104">
          <cell r="A104" t="str">
            <v xml:space="preserve"> 469  Колбаса Филедворская по-стародворски ТМ Стародворье в оболочке полиамид.ВЕС  ПОКОМ </v>
          </cell>
          <cell r="F104">
            <v>51.6</v>
          </cell>
        </row>
        <row r="105">
          <cell r="A105" t="str">
            <v xml:space="preserve"> 474  Колбаса Молочная 0,4кг ТМ Зареченские  ПОКОМ</v>
          </cell>
          <cell r="D105">
            <v>1000</v>
          </cell>
          <cell r="F105">
            <v>1002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482</v>
          </cell>
          <cell r="F106">
            <v>1984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8</v>
          </cell>
          <cell r="F107">
            <v>812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402</v>
          </cell>
          <cell r="F108">
            <v>1645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16</v>
          </cell>
          <cell r="F109">
            <v>982</v>
          </cell>
        </row>
        <row r="110">
          <cell r="A110" t="str">
            <v xml:space="preserve"> 505  Ветчина Стародворская ТМ Стародворье брикет 0,33 кг.  ПОКОМ</v>
          </cell>
          <cell r="D110">
            <v>90</v>
          </cell>
          <cell r="F110">
            <v>90</v>
          </cell>
        </row>
        <row r="111">
          <cell r="A111" t="str">
            <v xml:space="preserve"> 519  Грудинка 0,12 кг нарезка ТМ Стародворье  ПОКОМ</v>
          </cell>
          <cell r="D111">
            <v>8</v>
          </cell>
          <cell r="F111">
            <v>254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D112">
            <v>4</v>
          </cell>
          <cell r="F112">
            <v>313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D113">
            <v>14</v>
          </cell>
          <cell r="F113">
            <v>450</v>
          </cell>
        </row>
        <row r="114">
          <cell r="A114" t="str">
            <v xml:space="preserve"> 523  Колбаса Сальчичон нарезка 0,07кг ТМ Стародворье  ПОКОМ </v>
          </cell>
          <cell r="D114">
            <v>11</v>
          </cell>
          <cell r="F114">
            <v>477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D115">
            <v>17</v>
          </cell>
          <cell r="F115">
            <v>721</v>
          </cell>
        </row>
        <row r="116">
          <cell r="A116" t="str">
            <v xml:space="preserve"> 525  Колбаса Фуэт нарезка 0,07кг ТМ Стародворье  ПОКОМ</v>
          </cell>
          <cell r="D116">
            <v>10</v>
          </cell>
          <cell r="F116">
            <v>342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D117">
            <v>9</v>
          </cell>
          <cell r="F117">
            <v>172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F118">
            <v>16</v>
          </cell>
        </row>
        <row r="119">
          <cell r="A119" t="str">
            <v xml:space="preserve"> 546  Колбаса Чесночная 0,4 кг срез ТМ Стародворье  ПОКОМ</v>
          </cell>
          <cell r="F119">
            <v>15</v>
          </cell>
        </row>
        <row r="120">
          <cell r="A120" t="str">
            <v xml:space="preserve"> 549  Колбаса Докторская ТМ Особый рецепт в оболочке полиамид.ВЕС  ПОКОМ</v>
          </cell>
          <cell r="D120">
            <v>87.501000000000005</v>
          </cell>
          <cell r="F120">
            <v>2490.011</v>
          </cell>
        </row>
        <row r="121">
          <cell r="A121" t="str">
            <v xml:space="preserve"> 551  Колбаса Сливушка ТМ Вязанка в модифицированной газовой среде 0,11 кг нарезка  ПОКОМ</v>
          </cell>
          <cell r="D121">
            <v>1</v>
          </cell>
          <cell r="F121">
            <v>87</v>
          </cell>
        </row>
        <row r="122">
          <cell r="A122" t="str">
            <v xml:space="preserve"> 552  Ветчина Сливушка с индейкой ТМ Вязанка в модифицированной газовой среде 0,1 кг нарезка  ПОКОМ</v>
          </cell>
          <cell r="D122">
            <v>1</v>
          </cell>
          <cell r="F122">
            <v>127</v>
          </cell>
        </row>
        <row r="123">
          <cell r="A123" t="str">
            <v xml:space="preserve"> 553  Ассорти колбас Мясорубская коллекция: Сервелат Делюкс, С балыком 0,08 кг нарезка  ПОКОМ</v>
          </cell>
          <cell r="F123">
            <v>280</v>
          </cell>
        </row>
        <row r="124">
          <cell r="A124" t="str">
            <v xml:space="preserve"> 554  Колбаса Сервелат Мясорубский ТМ Стародворье в упаковке скин 0,08 кг нарезка  ПОКОМ</v>
          </cell>
          <cell r="D124">
            <v>2</v>
          </cell>
          <cell r="F124">
            <v>204</v>
          </cell>
        </row>
        <row r="125">
          <cell r="A125" t="str">
            <v xml:space="preserve"> 556  Колбаса Сервелат Ореховый ТМ Вязанка в оболочке фиброуз в вакуумной упаковке, ВЕС  ПОКОМ</v>
          </cell>
          <cell r="D125">
            <v>2.9</v>
          </cell>
          <cell r="F125">
            <v>307.142</v>
          </cell>
        </row>
        <row r="126">
          <cell r="A126" t="str">
            <v xml:space="preserve"> 557  Колбаса Сервелат Финский ТМ Вязанка в оболочке фиброуз в вакуумной упаковке, ВЕС  ПОКОМ</v>
          </cell>
          <cell r="D126">
            <v>5.234</v>
          </cell>
          <cell r="F126">
            <v>321.28399999999999</v>
          </cell>
        </row>
        <row r="127">
          <cell r="A127" t="str">
            <v xml:space="preserve"> 558  Колбаса Балыковая НОВАЯ ВЕС Вязанка фиброуз в/у ПОКОМ</v>
          </cell>
          <cell r="F127">
            <v>5.4</v>
          </cell>
        </row>
        <row r="128">
          <cell r="A128" t="str">
            <v xml:space="preserve"> 560  Сосиски Вязанка Молочные ТМ Вязанка в оболочке амицел в мод. газовой среде 0,37 кг  ПОКОМ</v>
          </cell>
          <cell r="D128">
            <v>23</v>
          </cell>
          <cell r="F128">
            <v>1070</v>
          </cell>
        </row>
        <row r="129">
          <cell r="A129" t="str">
            <v>0447 Сыр Голландский 45% Нарезка 125г ТМ Папа может ОСТАНКИНО</v>
          </cell>
          <cell r="D129">
            <v>2</v>
          </cell>
          <cell r="F129">
            <v>2</v>
          </cell>
        </row>
        <row r="130">
          <cell r="A130" t="str">
            <v>1577 Спред растительно-сливочный "Сливочный вкус" 82,5% 180гр  ОСТАНКИНО</v>
          </cell>
          <cell r="D130">
            <v>65</v>
          </cell>
          <cell r="F130">
            <v>65</v>
          </cell>
        </row>
        <row r="131">
          <cell r="A131" t="str">
            <v>1584 Спред растительно-сливочный "Сливочный вкус" 72,5% 180гр  ОСТАНКИНО</v>
          </cell>
          <cell r="D131">
            <v>65</v>
          </cell>
          <cell r="F131">
            <v>65</v>
          </cell>
        </row>
        <row r="132">
          <cell r="A132" t="str">
            <v>2712 Сыр тертый Три сыра Папа может 200 гр  ОСТАНКИНО</v>
          </cell>
          <cell r="D132">
            <v>1</v>
          </cell>
          <cell r="F132">
            <v>1</v>
          </cell>
        </row>
        <row r="133">
          <cell r="A133" t="str">
            <v>3215 ВЕТЧ.МЯСНАЯ Папа может п/о 0.4кг 8шт.    ОСТАНКИНО</v>
          </cell>
          <cell r="D133">
            <v>812</v>
          </cell>
          <cell r="F133">
            <v>812</v>
          </cell>
        </row>
        <row r="134">
          <cell r="A134" t="str">
            <v>3680 ПРЕСИЖН с/к дек. спец мгс ОСТАНКИНО</v>
          </cell>
          <cell r="D134">
            <v>0.5</v>
          </cell>
          <cell r="F134">
            <v>0.5</v>
          </cell>
        </row>
        <row r="135">
          <cell r="A135" t="str">
            <v>3684 ПРЕСИЖН с/к в/у 1/250 8шт.   ОСТАНКИНО</v>
          </cell>
          <cell r="D135">
            <v>40</v>
          </cell>
          <cell r="F135">
            <v>41</v>
          </cell>
        </row>
        <row r="136">
          <cell r="A136" t="str">
            <v>3811 Сыч/Прод Коровино Российский Оригин 50% ВЕС (5 кг)  ОСТАНКИНО</v>
          </cell>
          <cell r="D136">
            <v>4</v>
          </cell>
          <cell r="F136">
            <v>4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4</v>
          </cell>
          <cell r="F137">
            <v>4</v>
          </cell>
        </row>
        <row r="138">
          <cell r="A138" t="str">
            <v>3986 Ароматная с/к в/у 1/250 ОСТАНКИНО</v>
          </cell>
          <cell r="D138">
            <v>592</v>
          </cell>
          <cell r="F138">
            <v>592</v>
          </cell>
        </row>
        <row r="139">
          <cell r="A139" t="str">
            <v>4063 МЯСНАЯ Папа может вар п/о_Л   ОСТАНКИНО</v>
          </cell>
          <cell r="D139">
            <v>1281.3</v>
          </cell>
          <cell r="F139">
            <v>1281.3</v>
          </cell>
        </row>
        <row r="140">
          <cell r="A140" t="str">
            <v>4117 ЭКСТРА Папа может с/к в/у_Л   ОСТАНКИНО</v>
          </cell>
          <cell r="D140">
            <v>28.9</v>
          </cell>
          <cell r="F140">
            <v>28.9</v>
          </cell>
        </row>
        <row r="141">
          <cell r="A141" t="str">
            <v>4163 Сыр Боккончини копченый 40% 100 гр.  ОСТАНКИНО</v>
          </cell>
          <cell r="D141">
            <v>79</v>
          </cell>
          <cell r="F141">
            <v>79</v>
          </cell>
        </row>
        <row r="142">
          <cell r="A142" t="str">
            <v>4170 Сыр Скаморца свежий 40% 100 гр.  ОСТАНКИНО</v>
          </cell>
          <cell r="D142">
            <v>61</v>
          </cell>
          <cell r="F142">
            <v>62</v>
          </cell>
        </row>
        <row r="143">
          <cell r="A143" t="str">
            <v>4187 Сыр рассольный жирный Чечил 45% 100 гр  ОСТАНКИНО</v>
          </cell>
          <cell r="D143">
            <v>2</v>
          </cell>
          <cell r="F143">
            <v>2</v>
          </cell>
        </row>
        <row r="144">
          <cell r="A144" t="str">
            <v>4187 Сыр Чечил свежий 45% 100г/6шт ТМ Папа Может  ОСТАНКИНО</v>
          </cell>
          <cell r="D144">
            <v>232</v>
          </cell>
          <cell r="F144">
            <v>232</v>
          </cell>
        </row>
        <row r="145">
          <cell r="A145" t="str">
            <v>4194 Сыр рассольный жирный Чечил копченый 45% 100 гр  ОСТАНКИНО</v>
          </cell>
          <cell r="D145">
            <v>7</v>
          </cell>
          <cell r="F145">
            <v>7</v>
          </cell>
        </row>
        <row r="146">
          <cell r="A146" t="str">
            <v>4194 Сыр Чечил копченый 43% 100г/6шт ТМ Папа Может  ОСТАНКИНО</v>
          </cell>
          <cell r="D146">
            <v>153</v>
          </cell>
          <cell r="F146">
            <v>153</v>
          </cell>
        </row>
        <row r="147">
          <cell r="A147" t="str">
            <v>4574 Колбаса вар Мясная со шпиком 1кг Папа может п/о (код покуп. 24784) Останкино</v>
          </cell>
          <cell r="D147">
            <v>119.6</v>
          </cell>
          <cell r="F147">
            <v>119.6</v>
          </cell>
        </row>
        <row r="148">
          <cell r="A148" t="str">
            <v>4574 Мясная со шпиком Папа может вар п/о ОСТАНКИНО</v>
          </cell>
          <cell r="D148">
            <v>2.7</v>
          </cell>
          <cell r="F148">
            <v>2.7</v>
          </cell>
        </row>
        <row r="149">
          <cell r="A149" t="str">
            <v>4813 ФИЛЕЙНАЯ Папа может вар п/о_Л   ОСТАНКИНО</v>
          </cell>
          <cell r="D149">
            <v>444.6</v>
          </cell>
          <cell r="F149">
            <v>447.322</v>
          </cell>
        </row>
        <row r="150">
          <cell r="A150" t="str">
            <v>4819 Сыр "Пармезан" 40% кусок 180 гр  ОСТАНКИНО</v>
          </cell>
          <cell r="D150">
            <v>119</v>
          </cell>
          <cell r="F150">
            <v>119</v>
          </cell>
        </row>
        <row r="151">
          <cell r="A151" t="str">
            <v>4903 Сыр Перлини 40% 100гр (8шт)  ОСТАНКИНО</v>
          </cell>
          <cell r="D151">
            <v>44</v>
          </cell>
          <cell r="F151">
            <v>44</v>
          </cell>
        </row>
        <row r="152">
          <cell r="A152" t="str">
            <v>4910 Сыр Перлини копченый 40% 100гр (8шт)  ОСТАНКИНО</v>
          </cell>
          <cell r="D152">
            <v>57</v>
          </cell>
          <cell r="F152">
            <v>58</v>
          </cell>
        </row>
        <row r="153">
          <cell r="A153" t="str">
            <v>4927 Сыр Перлини со вкусом Васаби 40% 100гр (8шт)  ОСТАНКИНО</v>
          </cell>
          <cell r="D153">
            <v>26</v>
          </cell>
          <cell r="F153">
            <v>27</v>
          </cell>
        </row>
        <row r="154">
          <cell r="A154" t="str">
            <v>4993 САЛЯМИ ИТАЛЬЯНСКАЯ с/к в/у 1/250*8_120c ОСТАНКИНО</v>
          </cell>
          <cell r="D154">
            <v>283</v>
          </cell>
          <cell r="F154">
            <v>283</v>
          </cell>
        </row>
        <row r="155">
          <cell r="A155" t="str">
            <v>5160 Мясной пашт п/о 0,150 ОСТАНКИНО</v>
          </cell>
          <cell r="D155">
            <v>1</v>
          </cell>
          <cell r="F155">
            <v>1</v>
          </cell>
        </row>
        <row r="156">
          <cell r="A156" t="str">
            <v>5160 Сыр Косичка сырная 45% 100г/8шт ТМ Папа Может  ОСТАНКИНО</v>
          </cell>
          <cell r="D156">
            <v>29</v>
          </cell>
          <cell r="F156">
            <v>29</v>
          </cell>
        </row>
        <row r="157">
          <cell r="A157" t="str">
            <v>5177 Сыр Косичка сырная  копченая 43% 100г/8шт ТМ Папа Может  ОСТАНКИНО</v>
          </cell>
          <cell r="D157">
            <v>30</v>
          </cell>
          <cell r="F157">
            <v>30</v>
          </cell>
        </row>
        <row r="158">
          <cell r="A158" t="str">
            <v>5198 Сыр Папа Может "Сметанковый" 50% вес (=3кг)  ОСТАНКИНО</v>
          </cell>
          <cell r="D158">
            <v>30.9</v>
          </cell>
          <cell r="F158">
            <v>30.9</v>
          </cell>
        </row>
        <row r="159">
          <cell r="A159" t="str">
            <v>5204 Сыр полутвердый "Российский", ВЕС брус, с массовой долей жира 50%  ОСТАНКИНО</v>
          </cell>
          <cell r="D159">
            <v>115.6</v>
          </cell>
          <cell r="F159">
            <v>115.6</v>
          </cell>
        </row>
        <row r="160">
          <cell r="A160" t="str">
            <v>5242 Сыр полутвердый "Гауда", 45%, ВЕС брус из блока 1/5  ОСТАНКИНО</v>
          </cell>
          <cell r="D160">
            <v>12.3</v>
          </cell>
          <cell r="F160">
            <v>12.3</v>
          </cell>
        </row>
        <row r="161">
          <cell r="A161" t="str">
            <v>5246 ДОКТОРСКАЯ ПРЕМИУМ вар б/о мгс_30с ОСТАНКИНО</v>
          </cell>
          <cell r="D161">
            <v>87</v>
          </cell>
          <cell r="F161">
            <v>87</v>
          </cell>
        </row>
        <row r="162">
          <cell r="A162" t="str">
            <v>5247 РУССКАЯ ПРЕМИУМ вар б/о мгс_30с ОСТАНКИНО</v>
          </cell>
          <cell r="D162">
            <v>21</v>
          </cell>
          <cell r="F162">
            <v>21</v>
          </cell>
        </row>
        <row r="163">
          <cell r="A163" t="str">
            <v>5483 ЭКСТРА Папа может с/к в/у 1/250 8шт.   ОСТАНКИНО</v>
          </cell>
          <cell r="D163">
            <v>737</v>
          </cell>
          <cell r="F163">
            <v>737</v>
          </cell>
        </row>
        <row r="164">
          <cell r="A164" t="str">
            <v>5544 Сервелат Финский в/к в/у_45с НОВАЯ ОСТАНКИНО</v>
          </cell>
          <cell r="D164">
            <v>742.40899999999999</v>
          </cell>
          <cell r="F164">
            <v>743.00800000000004</v>
          </cell>
        </row>
        <row r="165">
          <cell r="A165" t="str">
            <v>5579 БЛИНЧ.КРУГЛЫЕ С САД.ЯБЛОК.1/420 зам_ПОСТ  ОСТАНКИНО</v>
          </cell>
          <cell r="D165">
            <v>2</v>
          </cell>
          <cell r="F165">
            <v>2</v>
          </cell>
        </row>
        <row r="166">
          <cell r="A166" t="str">
            <v>5679 САЛЯМИ ИТАЛЬЯНСКАЯ с/к в/у 1/150_60с ОСТАНКИНО</v>
          </cell>
          <cell r="D166">
            <v>267</v>
          </cell>
          <cell r="F166">
            <v>267</v>
          </cell>
        </row>
        <row r="167">
          <cell r="A167" t="str">
            <v>5682 САЛЯМИ МЕЛКОЗЕРНЕНАЯ с/к в/у 1/120_60с   ОСТАНКИНО</v>
          </cell>
          <cell r="D167">
            <v>40</v>
          </cell>
          <cell r="F167">
            <v>40</v>
          </cell>
        </row>
        <row r="168">
          <cell r="A168" t="str">
            <v>5706 АРОМАТНАЯ Папа может с/к в/у 1/250 8шт.  ОСТАНКИНО</v>
          </cell>
          <cell r="D168">
            <v>5</v>
          </cell>
          <cell r="F168">
            <v>5</v>
          </cell>
        </row>
        <row r="169">
          <cell r="A169" t="str">
            <v>5708 ПОСОЛЬСКАЯ Папа может с/к в/у ОСТАНКИНО</v>
          </cell>
          <cell r="D169">
            <v>24.6</v>
          </cell>
          <cell r="F169">
            <v>24.6</v>
          </cell>
        </row>
        <row r="170">
          <cell r="A170" t="str">
            <v>5851 ЭКСТРА Папа может вар п/о   ОСТАНКИНО</v>
          </cell>
          <cell r="D170">
            <v>243.13</v>
          </cell>
          <cell r="F170">
            <v>243.13</v>
          </cell>
        </row>
        <row r="171">
          <cell r="A171" t="str">
            <v>5931 ОХОТНИЧЬЯ Папа может с/к в/у 1/220 8шт.   ОСТАНКИНО</v>
          </cell>
          <cell r="D171">
            <v>1182</v>
          </cell>
          <cell r="F171">
            <v>1182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152</v>
          </cell>
          <cell r="F173">
            <v>152</v>
          </cell>
        </row>
        <row r="174">
          <cell r="A174" t="str">
            <v>6148 БЛИНЧ.КРУГЛЫЕ С ВЕТЧ.И СЫР.ПМ 1/300 зам.  ОСТАНКИНО</v>
          </cell>
          <cell r="D174">
            <v>9</v>
          </cell>
          <cell r="F174">
            <v>9</v>
          </cell>
        </row>
        <row r="175">
          <cell r="A175" t="str">
            <v>6168 БЛИНЧ.С МЯСОМ пл.1/350 зам  ОСТАНКИНО</v>
          </cell>
          <cell r="D175">
            <v>22</v>
          </cell>
          <cell r="F175">
            <v>22</v>
          </cell>
        </row>
        <row r="176">
          <cell r="A176" t="str">
            <v>6202 БЛИНЧ.КРУГЛЫЕ С ТВОРОГОМ ПМ 1/300 зам.  ОСТАНКИНО</v>
          </cell>
          <cell r="D176">
            <v>25</v>
          </cell>
          <cell r="F176">
            <v>25</v>
          </cell>
        </row>
        <row r="177">
          <cell r="A177" t="str">
            <v>6209 БЛИНЧ.С КУРИНЫМ МЯСОМ пл.1/350 зам.  ОСТАНКИНО</v>
          </cell>
          <cell r="D177">
            <v>7</v>
          </cell>
          <cell r="F177">
            <v>7</v>
          </cell>
        </row>
        <row r="178">
          <cell r="A178" t="str">
            <v>6220 ГОВЯЖЬЯ Папа может вар п/о  ОСТАНКИНО</v>
          </cell>
          <cell r="D178">
            <v>11.5</v>
          </cell>
          <cell r="F178">
            <v>11.5</v>
          </cell>
        </row>
        <row r="179">
          <cell r="A179" t="str">
            <v>6221 НЕАПОЛИТАНСКИЙ ДУЭТ с/к с/н мгс 1/90  ОСТАНКИНО</v>
          </cell>
          <cell r="D179">
            <v>435</v>
          </cell>
          <cell r="F179">
            <v>435</v>
          </cell>
        </row>
        <row r="180">
          <cell r="A180" t="str">
            <v>6228 МЯСНОЕ АССОРТИ к/з с/н мгс 1/90 10шт.  ОСТАНКИНО</v>
          </cell>
          <cell r="D180">
            <v>428</v>
          </cell>
          <cell r="F180">
            <v>428</v>
          </cell>
        </row>
        <row r="181">
          <cell r="A181" t="str">
            <v>6247 ДОМАШНЯЯ Папа может вар п/о 0,4кг 8шт.  ОСТАНКИНО</v>
          </cell>
          <cell r="D181">
            <v>121</v>
          </cell>
          <cell r="F181">
            <v>121</v>
          </cell>
        </row>
        <row r="182">
          <cell r="A182" t="str">
            <v>6268 ГОВЯЖЬЯ Папа может вар п/о 0,4кг 8 шт.  ОСТАНКИНО</v>
          </cell>
          <cell r="D182">
            <v>742</v>
          </cell>
          <cell r="F182">
            <v>742</v>
          </cell>
        </row>
        <row r="183">
          <cell r="A183" t="str">
            <v>6279 КОРЕЙКА ПО-ОСТ.к/в в/с с/н в/у 1/150_45с  ОСТАНКИНО</v>
          </cell>
          <cell r="D183">
            <v>470</v>
          </cell>
          <cell r="F183">
            <v>470</v>
          </cell>
        </row>
        <row r="184">
          <cell r="A184" t="str">
            <v>6303 МЯСНЫЕ Папа может сос п/о мгс 1.5*3  ОСТАНКИНО</v>
          </cell>
          <cell r="D184">
            <v>585.9</v>
          </cell>
          <cell r="F184">
            <v>585.9</v>
          </cell>
        </row>
        <row r="185">
          <cell r="A185" t="str">
            <v>6324 ДОКТОРСКАЯ ГОСТ вар п/о 0.4кг 8шт.  ОСТАНКИНО</v>
          </cell>
          <cell r="D185">
            <v>56</v>
          </cell>
          <cell r="F185">
            <v>56</v>
          </cell>
        </row>
        <row r="186">
          <cell r="A186" t="str">
            <v>6325 ДОКТОРСКАЯ ПРЕМИУМ вар п/о 0.4кг 8шт.  ОСТАНКИНО</v>
          </cell>
          <cell r="D186">
            <v>1622</v>
          </cell>
          <cell r="F186">
            <v>1622</v>
          </cell>
        </row>
        <row r="187">
          <cell r="A187" t="str">
            <v>6333 МЯСНАЯ Папа может вар п/о 0.4кг 8шт.  ОСТАНКИНО</v>
          </cell>
          <cell r="D187">
            <v>4047</v>
          </cell>
          <cell r="F187">
            <v>4047</v>
          </cell>
        </row>
        <row r="188">
          <cell r="A188" t="str">
            <v>6340 ДОМАШНИЙ РЕЦЕПТ Коровино 0.5кг 8шт.  ОСТАНКИНО</v>
          </cell>
          <cell r="D188">
            <v>207</v>
          </cell>
          <cell r="F188">
            <v>207</v>
          </cell>
        </row>
        <row r="189">
          <cell r="A189" t="str">
            <v>6352 Масло "Папа может" 82,5% 180 гр. Фольга ОСТАНКИНО</v>
          </cell>
          <cell r="F189">
            <v>2</v>
          </cell>
        </row>
        <row r="190">
          <cell r="A190" t="str">
            <v>6353 ЭКСТРА Папа может вар п/о 0.4кг 8шт.  ОСТАНКИНО</v>
          </cell>
          <cell r="D190">
            <v>1403</v>
          </cell>
          <cell r="F190">
            <v>1403</v>
          </cell>
        </row>
        <row r="191">
          <cell r="A191" t="str">
            <v>6392 ФИЛЕЙНАЯ Папа может вар п/о 0.4кг. ОСТАНКИНО</v>
          </cell>
          <cell r="D191">
            <v>2967</v>
          </cell>
          <cell r="F191">
            <v>2967</v>
          </cell>
        </row>
        <row r="192">
          <cell r="A192" t="str">
            <v>6448 СВИНИНА МАДЕРА с/к с/н в/у 1/100 10шт.   ОСТАНКИНО</v>
          </cell>
          <cell r="D192">
            <v>30</v>
          </cell>
          <cell r="F192">
            <v>30</v>
          </cell>
        </row>
        <row r="193">
          <cell r="A193" t="str">
            <v>6453 ЭКСТРА Папа может с/к с/н в/у 1/100 14шт.   ОСТАНКИНО</v>
          </cell>
          <cell r="D193">
            <v>1605</v>
          </cell>
          <cell r="F193">
            <v>1605</v>
          </cell>
        </row>
        <row r="194">
          <cell r="A194" t="str">
            <v>6454 АРОМАТНАЯ с/к с/н в/у 1/100 10шт.  ОСТАНКИНО</v>
          </cell>
          <cell r="D194">
            <v>1527</v>
          </cell>
          <cell r="F194">
            <v>1527</v>
          </cell>
        </row>
        <row r="195">
          <cell r="A195" t="str">
            <v>6459 СЕРВЕЛАТ ШВЕЙЦАРСК. в/к с/н в/у 1/100*10  ОСТАНКИНО</v>
          </cell>
          <cell r="D195">
            <v>1091</v>
          </cell>
          <cell r="F195">
            <v>1091</v>
          </cell>
        </row>
        <row r="196">
          <cell r="A196" t="str">
            <v>6470 ВЕТЧ.МРАМОРНАЯ в/у_45с  ОСТАНКИНО</v>
          </cell>
          <cell r="D196">
            <v>41.44</v>
          </cell>
          <cell r="F196">
            <v>41.44</v>
          </cell>
        </row>
        <row r="197">
          <cell r="A197" t="str">
            <v>6495 ВЕТЧ.МРАМОРНАЯ в/у срез 0.3кг 6шт_45с  ОСТАНКИНО</v>
          </cell>
          <cell r="D197">
            <v>326</v>
          </cell>
          <cell r="F197">
            <v>326</v>
          </cell>
        </row>
        <row r="198">
          <cell r="A198" t="str">
            <v>6527 ШПИКАЧКИ СОЧНЫЕ ПМ сар б/о мгс 1*3 45с ОСТАНКИНО</v>
          </cell>
          <cell r="D198">
            <v>305</v>
          </cell>
          <cell r="F198">
            <v>305</v>
          </cell>
        </row>
        <row r="199">
          <cell r="A199" t="str">
            <v>6528 ШПИКАЧКИ СОЧНЫЕ ПМ сар б/о мгс 0.4кг 45с  ОСТАНКИНО</v>
          </cell>
          <cell r="D199">
            <v>4</v>
          </cell>
          <cell r="F199">
            <v>4</v>
          </cell>
        </row>
        <row r="200">
          <cell r="A200" t="str">
            <v>6586 МРАМОРНАЯ И БАЛЫКОВАЯ в/к с/н мгс 1/90 ОСТАНКИНО</v>
          </cell>
          <cell r="D200">
            <v>13</v>
          </cell>
          <cell r="F200">
            <v>13</v>
          </cell>
        </row>
        <row r="201">
          <cell r="A201" t="str">
            <v>6609 С ГОВЯДИНОЙ ПМ сар б/о мгс 0.4кг_45с ОСТАНКИНО</v>
          </cell>
          <cell r="D201">
            <v>34</v>
          </cell>
          <cell r="F201">
            <v>34</v>
          </cell>
        </row>
        <row r="202">
          <cell r="A202" t="str">
            <v>6616 МОЛОЧНЫЕ КЛАССИЧЕСКИЕ сос п/о в/у 0.3кг  ОСТАНКИНО</v>
          </cell>
          <cell r="D202">
            <v>2283</v>
          </cell>
          <cell r="F202">
            <v>2283</v>
          </cell>
        </row>
        <row r="203">
          <cell r="A203" t="str">
            <v>6697 СЕРВЕЛАТ ФИНСКИЙ ПМ в/к в/у 0,35кг 8шт.  ОСТАНКИНО</v>
          </cell>
          <cell r="D203">
            <v>4297</v>
          </cell>
          <cell r="F203">
            <v>4297</v>
          </cell>
        </row>
        <row r="204">
          <cell r="A204" t="str">
            <v>6713 СОЧНЫЙ ГРИЛЬ ПМ сос п/о мгс 0.41кг 8шт.  ОСТАНКИНО</v>
          </cell>
          <cell r="D204">
            <v>1183</v>
          </cell>
          <cell r="F204">
            <v>1183</v>
          </cell>
        </row>
        <row r="205">
          <cell r="A205" t="str">
            <v>6724 МОЛОЧНЫЕ ПМ сос п/о мгс 0.41кг 10шт.  ОСТАНКИНО</v>
          </cell>
          <cell r="D205">
            <v>853</v>
          </cell>
          <cell r="F205">
            <v>853</v>
          </cell>
        </row>
        <row r="206">
          <cell r="A206" t="str">
            <v>6765 РУБЛЕНЫЕ сос ц/о мгс 0.36кг 6шт.  ОСТАНКИНО</v>
          </cell>
          <cell r="D206">
            <v>496</v>
          </cell>
          <cell r="F206">
            <v>496</v>
          </cell>
        </row>
        <row r="207">
          <cell r="A207" t="str">
            <v>6785 ВЕНСКАЯ САЛЯМИ п/к в/у 0.33кг 8шт.  ОСТАНКИНО</v>
          </cell>
          <cell r="D207">
            <v>132</v>
          </cell>
          <cell r="F207">
            <v>132</v>
          </cell>
        </row>
        <row r="208">
          <cell r="A208" t="str">
            <v>6787 СЕРВЕЛАТ КРЕМЛЕВСКИЙ в/к в/у 0,33кг 8шт.  ОСТАНКИНО</v>
          </cell>
          <cell r="D208">
            <v>175</v>
          </cell>
          <cell r="F208">
            <v>175</v>
          </cell>
        </row>
        <row r="209">
          <cell r="A209" t="str">
            <v>6793 БАЛЫКОВАЯ в/к в/у 0,33кг 8шт.  ОСТАНКИНО</v>
          </cell>
          <cell r="D209">
            <v>253</v>
          </cell>
          <cell r="F209">
            <v>253</v>
          </cell>
        </row>
        <row r="210">
          <cell r="A210" t="str">
            <v>6797 С ИНДЕЙКОЙ Папа может вар п/о 0,4кг 8шт.  ОСТАНКИНО</v>
          </cell>
          <cell r="D210">
            <v>10</v>
          </cell>
          <cell r="F210">
            <v>10</v>
          </cell>
        </row>
        <row r="211">
          <cell r="A211" t="str">
            <v>6819 БЛИНЧ.КРУГЛЫЕ С САД.ЯБЛОК. пл.1/300 зам.  ОСТАНКИНО</v>
          </cell>
          <cell r="D211">
            <v>17</v>
          </cell>
          <cell r="F211">
            <v>17</v>
          </cell>
        </row>
        <row r="212">
          <cell r="A212" t="str">
            <v>6829 МОЛОЧНЫЕ КЛАССИЧЕСКИЕ сос п/о мгс 2*4_С  ОСТАНКИНО</v>
          </cell>
          <cell r="D212">
            <v>661.8</v>
          </cell>
          <cell r="F212">
            <v>661.8</v>
          </cell>
        </row>
        <row r="213">
          <cell r="A213" t="str">
            <v>6832 АССОРТИ СЫРОКОПЧЕНЫХ КОЛБАС Коровино в/у  ОСТАНКИНО</v>
          </cell>
          <cell r="D213">
            <v>13.9</v>
          </cell>
          <cell r="F213">
            <v>13.9</v>
          </cell>
        </row>
        <row r="214">
          <cell r="A214" t="str">
            <v>6837 ФИЛЕЙНЫЕ Папа Может сос ц/о мгс 0.4кг  ОСТАНКИНО</v>
          </cell>
          <cell r="D214">
            <v>1113</v>
          </cell>
          <cell r="F214">
            <v>1113</v>
          </cell>
        </row>
        <row r="215">
          <cell r="A215" t="str">
            <v>6842 ДЫМОВИЦА ИЗ ОКОРОКА к/в мл/к в/у 0,3кг  ОСТАНКИНО</v>
          </cell>
          <cell r="D215">
            <v>100</v>
          </cell>
          <cell r="F215">
            <v>100</v>
          </cell>
        </row>
        <row r="216">
          <cell r="A216" t="str">
            <v>6861 ДОМАШНИЙ РЕЦЕПТ Коровино вар п/о  ОСТАНКИНО</v>
          </cell>
          <cell r="D216">
            <v>664.6</v>
          </cell>
          <cell r="F216">
            <v>664.6</v>
          </cell>
        </row>
        <row r="217">
          <cell r="A217" t="str">
            <v>6866 ВЕТЧ.НЕЖНАЯ Коровино п/о_Маяк  ОСТАНКИНО</v>
          </cell>
          <cell r="D217">
            <v>209.9</v>
          </cell>
          <cell r="F217">
            <v>209.9</v>
          </cell>
        </row>
        <row r="218">
          <cell r="A218" t="str">
            <v>6928 Сыр твердый "Пармезан", с массовой долей жира 35%, цилиндр 1/4  ОСТАНКИНО</v>
          </cell>
          <cell r="D218">
            <v>7.5</v>
          </cell>
          <cell r="F218">
            <v>7.5</v>
          </cell>
        </row>
        <row r="219">
          <cell r="A219" t="str">
            <v>7001 Грудинка Особая Мясной Посол (Панский дворик МХ)  МК</v>
          </cell>
          <cell r="D219">
            <v>1</v>
          </cell>
          <cell r="F219">
            <v>1</v>
          </cell>
        </row>
        <row r="220">
          <cell r="A220" t="str">
            <v>7001 КЛАССИЧЕСКИЕ Папа может сар б/о мгс 1*3  ОСТАНКИНО</v>
          </cell>
          <cell r="D220">
            <v>186.2</v>
          </cell>
          <cell r="F220">
            <v>186.2</v>
          </cell>
        </row>
        <row r="221">
          <cell r="A221" t="str">
            <v>7040 С ИНДЕЙКОЙ ПМ сос ц/о в/у 1/270 8шт.  ОСТАНКИНО</v>
          </cell>
          <cell r="D221">
            <v>197</v>
          </cell>
          <cell r="F221">
            <v>197</v>
          </cell>
        </row>
        <row r="222">
          <cell r="A222" t="str">
            <v>7059 ШПИКАЧКИ СОЧНЫЕ С БЕК. п/о мгс 0.3кг_60с  ОСТАНКИНО</v>
          </cell>
          <cell r="D222">
            <v>360</v>
          </cell>
          <cell r="F222">
            <v>360</v>
          </cell>
        </row>
        <row r="223">
          <cell r="A223" t="str">
            <v>7066 СОЧНЫЕ ПМ сос п/о мгс 0.41кг 10шт_50с  ОСТАНКИНО</v>
          </cell>
          <cell r="D223">
            <v>6822</v>
          </cell>
          <cell r="F223">
            <v>6822</v>
          </cell>
        </row>
        <row r="224">
          <cell r="A224" t="str">
            <v>7070 СОЧНЫЕ ПМ сос п/о мгс 1.5*4_А_50с  ОСТАНКИНО</v>
          </cell>
          <cell r="D224">
            <v>2814</v>
          </cell>
          <cell r="F224">
            <v>2814</v>
          </cell>
        </row>
        <row r="225">
          <cell r="A225" t="str">
            <v>7073 МОЛОЧ.ПРЕМИУМ ПМ сос п/о в/у 1/350_50с  ОСТАНКИНО</v>
          </cell>
          <cell r="D225">
            <v>1624</v>
          </cell>
          <cell r="F225">
            <v>1624</v>
          </cell>
        </row>
        <row r="226">
          <cell r="A226" t="str">
            <v>7075 МОЛОЧ.ПРЕМИУМ ПМ сос п/о мгс 1.5*4_О_50с  ОСТАНКИНО</v>
          </cell>
          <cell r="D226">
            <v>96.9</v>
          </cell>
          <cell r="F226">
            <v>96.9</v>
          </cell>
        </row>
        <row r="227">
          <cell r="A227" t="str">
            <v>7077 МЯСНЫЕ С ГОВЯД.ПМ сос п/о мгс 0.4кг_50с  ОСТАНКИНО</v>
          </cell>
          <cell r="D227">
            <v>94</v>
          </cell>
          <cell r="F227">
            <v>94</v>
          </cell>
        </row>
        <row r="228">
          <cell r="A228" t="str">
            <v>7080 СЛИВОЧНЫЕ ПМ сос п/о мгс 0.41кг 10шт. 50с  ОСТАНКИНО</v>
          </cell>
          <cell r="D228">
            <v>3353</v>
          </cell>
          <cell r="F228">
            <v>3353</v>
          </cell>
        </row>
        <row r="229">
          <cell r="A229" t="str">
            <v>7082 СЛИВОЧНЫЕ ПМ сос п/о мгс 1.5*4_50с  ОСТАНКИНО</v>
          </cell>
          <cell r="D229">
            <v>189</v>
          </cell>
          <cell r="F229">
            <v>189</v>
          </cell>
        </row>
        <row r="230">
          <cell r="A230" t="str">
            <v>7087 ШПИК С ЧЕСНОК.И ПЕРЦЕМ к/в в/у 0.3кг_50с  ОСТАНКИНО</v>
          </cell>
          <cell r="D230">
            <v>275</v>
          </cell>
          <cell r="F230">
            <v>275</v>
          </cell>
        </row>
        <row r="231">
          <cell r="A231" t="str">
            <v>7090 СВИНИНА ПО-ДОМ. к/в мл/к в/у 0.3кг_50с  ОСТАНКИНО</v>
          </cell>
          <cell r="D231">
            <v>611</v>
          </cell>
          <cell r="F231">
            <v>611</v>
          </cell>
        </row>
        <row r="232">
          <cell r="A232" t="str">
            <v>7092 БЕКОН Папа может с/к с/н в/у 1/140_50с  ОСТАНКИНО</v>
          </cell>
          <cell r="D232">
            <v>1031</v>
          </cell>
          <cell r="F232">
            <v>1031</v>
          </cell>
        </row>
        <row r="233">
          <cell r="A233" t="str">
            <v>7106 ТОСКАНО с/к с/н мгс 1/90 12шт.  ОСТАНКИНО</v>
          </cell>
          <cell r="D233">
            <v>11</v>
          </cell>
          <cell r="F233">
            <v>11</v>
          </cell>
        </row>
        <row r="234">
          <cell r="A234" t="str">
            <v>7107 САН-РЕМО с/в с/н мгс 1/90 12шт.  ОСТАНКИНО</v>
          </cell>
          <cell r="D234">
            <v>10</v>
          </cell>
          <cell r="F234">
            <v>10</v>
          </cell>
        </row>
        <row r="235">
          <cell r="A235" t="str">
            <v>7147 САЛЬЧИЧОН Останкино с/к в/у 1/220 8шт.  ОСТАНКИНО</v>
          </cell>
          <cell r="D235">
            <v>20</v>
          </cell>
          <cell r="F235">
            <v>20</v>
          </cell>
        </row>
        <row r="236">
          <cell r="A236" t="str">
            <v>7149 БАЛЫКОВАЯ Коровино п/к в/у 0.84кг_50с  ОСТАНКИНО</v>
          </cell>
          <cell r="D236">
            <v>43</v>
          </cell>
          <cell r="F236">
            <v>44</v>
          </cell>
        </row>
        <row r="237">
          <cell r="A237" t="str">
            <v>7154 СЕРВЕЛАТ ЗЕРНИСТЫЙ ПМ в/к в/у 0.35кг_50с  ОСТАНКИНО</v>
          </cell>
          <cell r="D237">
            <v>2968</v>
          </cell>
          <cell r="F237">
            <v>2968</v>
          </cell>
        </row>
        <row r="238">
          <cell r="A238" t="str">
            <v>7157 СЕРВЕЛАТ ЗЕРНИСНЫЙ ПМ в/к в/у_50с  ОСТАНКИНО</v>
          </cell>
          <cell r="D238">
            <v>134.9</v>
          </cell>
          <cell r="F238">
            <v>134.9</v>
          </cell>
        </row>
        <row r="239">
          <cell r="A239" t="str">
            <v>7166 СЕРВЕЛТ ОХОТНИЧИЙ ПМ в/к в/у_50с  ОСТАНКИНО</v>
          </cell>
          <cell r="D239">
            <v>425.3</v>
          </cell>
          <cell r="F239">
            <v>425.3</v>
          </cell>
        </row>
        <row r="240">
          <cell r="A240" t="str">
            <v>7169 СЕРВЕЛАТ ОХОТНИЧИЙ ПМ в/к в/у 0.35кг_50с  ОСТАНКИНО</v>
          </cell>
          <cell r="D240">
            <v>3761</v>
          </cell>
          <cell r="F240">
            <v>3761</v>
          </cell>
        </row>
        <row r="241">
          <cell r="A241" t="str">
            <v>7187 ГРУДИНКА ПРЕМИУМ к/в мл/к в/у 0,3кг_50с ОСТАНКИНО</v>
          </cell>
          <cell r="D241">
            <v>961</v>
          </cell>
          <cell r="F241">
            <v>962</v>
          </cell>
        </row>
        <row r="242">
          <cell r="A242" t="str">
            <v>7225 ТОСКАНО ПРЕМИУМ Останкино с/к в/у 1/180  ОСТАНКИНО</v>
          </cell>
          <cell r="D242">
            <v>1</v>
          </cell>
          <cell r="F242">
            <v>1</v>
          </cell>
        </row>
        <row r="243">
          <cell r="A243" t="str">
            <v>7226 ЧОРИЗО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7227 САЛЯМИ ФИНСКАЯ Папа может с/к в/у 1/180  ОСТАНКИНО</v>
          </cell>
          <cell r="D244">
            <v>24</v>
          </cell>
          <cell r="F244">
            <v>24</v>
          </cell>
        </row>
        <row r="245">
          <cell r="A245" t="str">
            <v>7229 САЛЬЧИЧОН Останкино с/к в/у 1/180 ОСТАНКИНО</v>
          </cell>
          <cell r="D245">
            <v>8</v>
          </cell>
          <cell r="F245">
            <v>8</v>
          </cell>
        </row>
        <row r="246">
          <cell r="A246" t="str">
            <v>7231 КЛАССИЧЕСКАЯ ПМ вар п/о 0,3кг 8шт_209к ОСТАНКИНО</v>
          </cell>
          <cell r="D246">
            <v>1140</v>
          </cell>
          <cell r="F246">
            <v>1140</v>
          </cell>
        </row>
        <row r="247">
          <cell r="A247" t="str">
            <v>7232 БОЯNСКАЯ ПМ п/к в/у 0,28кг 8шт_209к ОСТАНКИНО</v>
          </cell>
          <cell r="D247">
            <v>1466</v>
          </cell>
          <cell r="F247">
            <v>1466</v>
          </cell>
        </row>
        <row r="248">
          <cell r="A248" t="str">
            <v>7235 ВЕТЧ.КЛАССИЧЕСКАЯ ПМ п/о 0,35кг 8шт_209к ОСТАНКИНО</v>
          </cell>
          <cell r="D248">
            <v>3</v>
          </cell>
          <cell r="F248">
            <v>3</v>
          </cell>
        </row>
        <row r="249">
          <cell r="A249" t="str">
            <v>7236 СЕРВЕЛАТ КАРЕЛЬСКИЙ в/к в/у 0,28кг_209к ОСТАНКИНО</v>
          </cell>
          <cell r="D249">
            <v>3456</v>
          </cell>
          <cell r="F249">
            <v>3456</v>
          </cell>
        </row>
        <row r="250">
          <cell r="A250" t="str">
            <v>7241 САЛЯМИ Папа может п/к в/у 0,28кг_209к ОСТАНКИНО</v>
          </cell>
          <cell r="D250">
            <v>1116</v>
          </cell>
          <cell r="F250">
            <v>1116</v>
          </cell>
        </row>
        <row r="251">
          <cell r="A251" t="str">
            <v>7245 ВЕТЧ.ФИЛЕЙНАЯ ПМ п/о 0,4кг 8шт ОСТАНКИНО</v>
          </cell>
          <cell r="D251">
            <v>67</v>
          </cell>
          <cell r="F251">
            <v>67</v>
          </cell>
        </row>
        <row r="252">
          <cell r="A252" t="str">
            <v>7255 МЯСНЫЕ С ГОВЯД. ПМ сос п/о мгс 0,4кг 6шт.  ОСТАНКИНО</v>
          </cell>
          <cell r="D252">
            <v>2019</v>
          </cell>
          <cell r="F252">
            <v>2019</v>
          </cell>
        </row>
        <row r="253">
          <cell r="A253" t="str">
            <v>7271 МЯСНЫЕ С ГОВЯДИНОЙ ПМ сос п/о мгс 1.5*4 ВЕС  ОСТАНКИНО</v>
          </cell>
          <cell r="D253">
            <v>138</v>
          </cell>
          <cell r="F253">
            <v>138</v>
          </cell>
        </row>
        <row r="254">
          <cell r="A254" t="str">
            <v>7284 ДЛЯ ДЕТЕЙ сос п/о мгс 0,33кг 6шт  ОСТАНКИНО</v>
          </cell>
          <cell r="D254">
            <v>160</v>
          </cell>
          <cell r="F254">
            <v>160</v>
          </cell>
        </row>
        <row r="255">
          <cell r="A255" t="str">
            <v>7299 НАБОР ДЛЯ ПИЦЦЫ Папа может с/к в/у  ОСТАНКИНО</v>
          </cell>
          <cell r="D255">
            <v>4.8</v>
          </cell>
          <cell r="F255">
            <v>4.8</v>
          </cell>
        </row>
        <row r="256">
          <cell r="A256" t="str">
            <v>7317 ПРЕСИЖН с/к дек.спец. мгс 0,54кг  ОСТАНКИНО</v>
          </cell>
          <cell r="D256">
            <v>1</v>
          </cell>
          <cell r="F256">
            <v>1</v>
          </cell>
        </row>
        <row r="257">
          <cell r="A257" t="str">
            <v>7332 БОЯРСКАЯ ПМ п/к в/у 0.28кг_СНГ  ОСТАНКИНО</v>
          </cell>
          <cell r="D257">
            <v>55</v>
          </cell>
          <cell r="F257">
            <v>55</v>
          </cell>
        </row>
        <row r="258">
          <cell r="A258" t="str">
            <v>7333 СЕРВЕЛАТ ОХОТНИЧИЙ ПМ в/к в/у 0.28кг_СНГ  ОСТАНКИНО</v>
          </cell>
          <cell r="D258">
            <v>68</v>
          </cell>
          <cell r="F258">
            <v>68</v>
          </cell>
        </row>
        <row r="259">
          <cell r="A259" t="str">
            <v>7343 СЕЙЧАС СЕЗОН ПМ вар п/о 0,4кг  ОСТАНКИНО</v>
          </cell>
          <cell r="D259">
            <v>1158</v>
          </cell>
          <cell r="F259">
            <v>1158</v>
          </cell>
        </row>
        <row r="260">
          <cell r="A260" t="str">
            <v>7364 ЧОРИЗО Останкино с/к в/у 1/220 8шт.  ОСТАНКИНО</v>
          </cell>
          <cell r="D260">
            <v>38</v>
          </cell>
          <cell r="F260">
            <v>38</v>
          </cell>
        </row>
        <row r="261">
          <cell r="A261" t="str">
            <v>7377 ВЕТЧ.С ИНДЕЙКОЙ ПМ в/у срез 0,3кг 6шт.  ОСТАНКИНО</v>
          </cell>
          <cell r="D261">
            <v>121</v>
          </cell>
          <cell r="F261">
            <v>121</v>
          </cell>
        </row>
        <row r="262">
          <cell r="A262" t="str">
            <v>7382 САЛЯМИ МЕЛКОЗЕРНЕНАЯ с/к в/у 1/120 8шт.  ОСТАНКИНО</v>
          </cell>
          <cell r="D262">
            <v>1785</v>
          </cell>
          <cell r="F262">
            <v>1785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9</v>
          </cell>
          <cell r="F263">
            <v>9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284</v>
          </cell>
          <cell r="F264">
            <v>284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88</v>
          </cell>
          <cell r="F265">
            <v>88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574</v>
          </cell>
          <cell r="F266">
            <v>574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194</v>
          </cell>
          <cell r="F267">
            <v>194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398</v>
          </cell>
          <cell r="F268">
            <v>398</v>
          </cell>
        </row>
        <row r="269">
          <cell r="A269" t="str">
            <v>8391 Сыр творожный с зеленью 60% Папа может 140 гр.  ОСТАНКИНО</v>
          </cell>
          <cell r="D269">
            <v>138</v>
          </cell>
          <cell r="F269">
            <v>138</v>
          </cell>
        </row>
        <row r="270">
          <cell r="A270" t="str">
            <v>8398 Сыр ПАПА МОЖЕТ "Тильзитер" 45% 180 г  ОСТАНКИНО</v>
          </cell>
          <cell r="D270">
            <v>424</v>
          </cell>
          <cell r="F270">
            <v>424</v>
          </cell>
        </row>
        <row r="271">
          <cell r="A271" t="str">
            <v>8411 Сыр ПАПА МОЖЕТ "Гауда Голд" 45% 180 г  ОСТАНКИНО</v>
          </cell>
          <cell r="D271">
            <v>330</v>
          </cell>
          <cell r="F271">
            <v>330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29</v>
          </cell>
          <cell r="F272">
            <v>29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1072</v>
          </cell>
          <cell r="F273">
            <v>1072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56</v>
          </cell>
          <cell r="F274">
            <v>56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39</v>
          </cell>
          <cell r="F275">
            <v>39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992</v>
          </cell>
          <cell r="F277">
            <v>992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12</v>
          </cell>
          <cell r="F278">
            <v>12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25</v>
          </cell>
          <cell r="F279">
            <v>25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112</v>
          </cell>
          <cell r="F280">
            <v>112</v>
          </cell>
        </row>
        <row r="281">
          <cell r="A281" t="str">
            <v>8831 Сыр ПАПА МОЖЕТ "Министерский" 180гр, 45 %  ОСТАНКИНО</v>
          </cell>
          <cell r="D281">
            <v>82</v>
          </cell>
          <cell r="F281">
            <v>82</v>
          </cell>
        </row>
        <row r="282">
          <cell r="A282" t="str">
            <v>8855 Сыр ПАПА МОЖЕТ "Папин завтрак" 180гр, 45 %  ОСТАНКИНО</v>
          </cell>
          <cell r="D282">
            <v>64</v>
          </cell>
          <cell r="F282">
            <v>64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99</v>
          </cell>
          <cell r="F283">
            <v>99</v>
          </cell>
        </row>
        <row r="284">
          <cell r="A284" t="str">
            <v>8967 Масло "Папа может" 82,5% 180гр  ОСТАНКИНО</v>
          </cell>
          <cell r="D284">
            <v>88</v>
          </cell>
          <cell r="F284">
            <v>88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114</v>
          </cell>
          <cell r="F285">
            <v>117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181</v>
          </cell>
          <cell r="F286">
            <v>181</v>
          </cell>
        </row>
        <row r="287">
          <cell r="A287" t="str">
            <v>Балыковая с/к 200 гр. срез "Эликатессе" термоформ.пак.  СПК</v>
          </cell>
          <cell r="D287">
            <v>95</v>
          </cell>
          <cell r="F287">
            <v>95</v>
          </cell>
        </row>
        <row r="288">
          <cell r="A288" t="str">
            <v>БЛИНЧ.КРУГЛЫЕ С ГРУШЕЙ пл.1/420 зам.   ОСТАНКИНО</v>
          </cell>
          <cell r="D288">
            <v>12</v>
          </cell>
          <cell r="F288">
            <v>12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212.3</v>
          </cell>
          <cell r="F290">
            <v>212.3</v>
          </cell>
        </row>
        <row r="291">
          <cell r="A291" t="str">
            <v>БОНУС СОЧНЫЕ сос п/о мгс 0.41кг_UZ (6087)  ОСТАНКИНО</v>
          </cell>
          <cell r="D291">
            <v>20</v>
          </cell>
          <cell r="F291">
            <v>20</v>
          </cell>
        </row>
        <row r="292">
          <cell r="A292" t="str">
            <v>БОНУС_334  Паштет Любительский ТМ Стародворье ламистер 0,1 кг  ПОКОМ</v>
          </cell>
          <cell r="F292">
            <v>146</v>
          </cell>
        </row>
        <row r="293">
          <cell r="A293" t="str">
            <v>Бутербродная вареная 0,47 кг шт.  СПК</v>
          </cell>
          <cell r="D293">
            <v>48</v>
          </cell>
          <cell r="F293">
            <v>48</v>
          </cell>
        </row>
        <row r="294">
          <cell r="A294" t="str">
            <v>Вацлавская п/к (черева) 390 гр.шт. термоус.пак  СПК</v>
          </cell>
          <cell r="D294">
            <v>55</v>
          </cell>
          <cell r="F294">
            <v>55</v>
          </cell>
        </row>
        <row r="295">
          <cell r="A295" t="str">
            <v>Ветчина Альтаирская Столовая (для ХОРЕКА)  СПК</v>
          </cell>
          <cell r="D295">
            <v>2.222</v>
          </cell>
          <cell r="F295">
            <v>2.222</v>
          </cell>
        </row>
        <row r="296">
          <cell r="A296" t="str">
            <v>Готовые бельмеши сочные с мясом ТМ Горячая штучка 0,3кг зам  ПОКОМ</v>
          </cell>
          <cell r="D296">
            <v>7</v>
          </cell>
          <cell r="F296">
            <v>365</v>
          </cell>
        </row>
        <row r="297">
          <cell r="A297" t="str">
            <v>Готовые чебупели острые с мясом 0,24кг ТМ Горячая штучка  ПОКОМ</v>
          </cell>
          <cell r="D297">
            <v>14</v>
          </cell>
          <cell r="F297">
            <v>576</v>
          </cell>
        </row>
        <row r="298">
          <cell r="A298" t="str">
            <v>Готовые чебупели с ветчиной и сыром ТМ Горячая штучка флоу-пак 0,24 кг.  ПОКОМ</v>
          </cell>
          <cell r="D298">
            <v>1218</v>
          </cell>
          <cell r="F298">
            <v>3225</v>
          </cell>
        </row>
        <row r="299">
          <cell r="A299" t="str">
            <v>Готовые чебупели сочные с мясом ТМ Горячая штучка  0,3кг зам  ПОКОМ</v>
          </cell>
          <cell r="F299">
            <v>1</v>
          </cell>
        </row>
        <row r="300">
          <cell r="A300" t="str">
            <v>Готовые чебупели сочные с мясом ТМ Горячая штучка флоу-пак 0,24 кг  ПОКОМ</v>
          </cell>
          <cell r="D300">
            <v>1593</v>
          </cell>
          <cell r="F300">
            <v>3158</v>
          </cell>
        </row>
        <row r="301">
          <cell r="A301" t="str">
            <v>Готовые чебуреки с мясом ТМ Горячая штучка 0,09 кг флоу-пак ПОКОМ</v>
          </cell>
          <cell r="D301">
            <v>4</v>
          </cell>
          <cell r="F301">
            <v>582</v>
          </cell>
        </row>
        <row r="302">
          <cell r="A302" t="str">
            <v>Грудинка Деревенская в аджике к/в 150 гр.шт. нарезка (лоток с ср.защ.атм.)  СПК</v>
          </cell>
          <cell r="D302">
            <v>3</v>
          </cell>
          <cell r="F302">
            <v>3</v>
          </cell>
        </row>
        <row r="303">
          <cell r="A303" t="str">
            <v>Гуцульская с/к "КолбасГрад" 160 гр.шт. термоус. пак  СПК</v>
          </cell>
          <cell r="D303">
            <v>136</v>
          </cell>
          <cell r="F303">
            <v>136</v>
          </cell>
        </row>
        <row r="304">
          <cell r="A304" t="str">
            <v>Дельгаро с/в "Эликатессе" 140 гр.шт.  СПК</v>
          </cell>
          <cell r="D304">
            <v>70</v>
          </cell>
          <cell r="F304">
            <v>70</v>
          </cell>
        </row>
        <row r="305">
          <cell r="A305" t="str">
            <v>Деревенская с чесночком и сальцем п/к (черева) 390 гр.шт. термоус. пак.  СПК</v>
          </cell>
          <cell r="D305">
            <v>176</v>
          </cell>
          <cell r="F305">
            <v>176</v>
          </cell>
        </row>
        <row r="306">
          <cell r="A306" t="str">
            <v>Докторская вареная в/с 0,47 кг шт.  СПК</v>
          </cell>
          <cell r="D306">
            <v>59</v>
          </cell>
          <cell r="F306">
            <v>59</v>
          </cell>
        </row>
        <row r="307">
          <cell r="A307" t="str">
            <v>Докторская вареная вес. (белк.об.) термоус.пак.  СПК</v>
          </cell>
          <cell r="D307">
            <v>10</v>
          </cell>
          <cell r="F307">
            <v>10</v>
          </cell>
        </row>
        <row r="308">
          <cell r="A308" t="str">
            <v>Докторская вареная термоус.пак. "Высокий вкус"  СПК</v>
          </cell>
          <cell r="D308">
            <v>26</v>
          </cell>
          <cell r="F308">
            <v>28.14</v>
          </cell>
        </row>
        <row r="309">
          <cell r="A309" t="str">
            <v>Европоддон (невозвратный)</v>
          </cell>
          <cell r="F309">
            <v>301</v>
          </cell>
        </row>
        <row r="310">
          <cell r="A310" t="str">
            <v>ЖАР-ладушки с мясом 0,2кг ТМ Стародворье  ПОКОМ</v>
          </cell>
          <cell r="D310">
            <v>2</v>
          </cell>
          <cell r="F310">
            <v>297</v>
          </cell>
        </row>
        <row r="311">
          <cell r="A311" t="str">
            <v>Жареные вареники с картофелем и беконом Добросельские 0,2 кг. ТМ Стародворье  ПОКОМ</v>
          </cell>
          <cell r="F311">
            <v>4</v>
          </cell>
        </row>
        <row r="312">
          <cell r="A312" t="str">
            <v>Жареные вареники с картофелем и беконом ТМ Стародворье 0,2 кг  ПОКОМ</v>
          </cell>
          <cell r="D312">
            <v>3</v>
          </cell>
          <cell r="F312">
            <v>153</v>
          </cell>
        </row>
        <row r="313">
          <cell r="A313" t="str">
            <v>К798 Сыч/Прод Коровино Российский 50% 200г НОВАЯ СЗМЖ  ОСТАНКИНО</v>
          </cell>
          <cell r="D313">
            <v>1260</v>
          </cell>
          <cell r="F313">
            <v>1260</v>
          </cell>
        </row>
        <row r="314">
          <cell r="A314" t="str">
            <v>К801 Сыч/Прод Коровино Тильзитер 50% 200г НОВАЯ СЗМЖ  ОСТАНКИНО</v>
          </cell>
          <cell r="D314">
            <v>1034</v>
          </cell>
          <cell r="F314">
            <v>1034</v>
          </cell>
        </row>
        <row r="315">
          <cell r="A315" t="str">
            <v>К811 Сыч/Прод Коровино Российский Оригин 50% ВЕС НОВАЯ (5 кг)  ОСТАНКИНО</v>
          </cell>
          <cell r="D315">
            <v>174.7</v>
          </cell>
          <cell r="F315">
            <v>174.7</v>
          </cell>
        </row>
        <row r="316">
          <cell r="A316" t="str">
            <v>К825 Сыч/Прод Коровино Тильзитер Оригин 50% ВЕС НОВАЯ (5 кг брус) СЗМЖ  ОСТАНКИНО</v>
          </cell>
          <cell r="D316">
            <v>92.7</v>
          </cell>
          <cell r="F316">
            <v>92.7</v>
          </cell>
        </row>
        <row r="317">
          <cell r="A317" t="str">
            <v>Карбонад Юбилейный термоус.пак.  СПК</v>
          </cell>
          <cell r="D317">
            <v>13.223000000000001</v>
          </cell>
          <cell r="F317">
            <v>13.223000000000001</v>
          </cell>
        </row>
        <row r="318">
          <cell r="A318" t="str">
            <v>Классическая вареная 400 гр.шт.  СПК</v>
          </cell>
          <cell r="D318">
            <v>7</v>
          </cell>
          <cell r="F318">
            <v>7</v>
          </cell>
        </row>
        <row r="319">
          <cell r="A319" t="str">
            <v>Классическая с/к 80 гр.шт.нар. (лоток с ср.защ.атм.)  СПК</v>
          </cell>
          <cell r="D319">
            <v>151</v>
          </cell>
          <cell r="F319">
            <v>151</v>
          </cell>
        </row>
        <row r="320">
          <cell r="A320" t="str">
            <v>Колбаски Мяснули оригинальные с/к 50 гр.шт. (в ср.защ.атм.)  СПК</v>
          </cell>
          <cell r="D320">
            <v>15</v>
          </cell>
          <cell r="F320">
            <v>15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455</v>
          </cell>
          <cell r="F321">
            <v>455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391</v>
          </cell>
          <cell r="F322">
            <v>401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84</v>
          </cell>
          <cell r="F323">
            <v>84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3</v>
          </cell>
          <cell r="F324">
            <v>3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10</v>
          </cell>
          <cell r="F325">
            <v>755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489</v>
          </cell>
          <cell r="F327">
            <v>1447</v>
          </cell>
        </row>
        <row r="328">
          <cell r="A328" t="str">
            <v>Ла Фаворте с/в "Эликатессе" 140 гр.шт.  СПК</v>
          </cell>
          <cell r="D328">
            <v>170</v>
          </cell>
          <cell r="F328">
            <v>170</v>
          </cell>
        </row>
        <row r="329">
          <cell r="A329" t="str">
            <v>Ливерная Печеночная 250 гр.шт.  СПК</v>
          </cell>
          <cell r="D329">
            <v>62</v>
          </cell>
          <cell r="F329">
            <v>62</v>
          </cell>
        </row>
        <row r="330">
          <cell r="A330" t="str">
            <v>Любительская вареная термоус.пак. "Высокий вкус"  СПК</v>
          </cell>
          <cell r="D330">
            <v>55.2</v>
          </cell>
          <cell r="F330">
            <v>55.2</v>
          </cell>
        </row>
        <row r="331">
          <cell r="A331" t="str">
            <v>Мини-пицца с ветчиной и сыром ТМ Зареченские ВЕС,  ПОКОМ</v>
          </cell>
          <cell r="D331">
            <v>1</v>
          </cell>
          <cell r="F331">
            <v>33.700000000000003</v>
          </cell>
        </row>
        <row r="332">
          <cell r="A332" t="str">
            <v>Мини-сосиски в тесте "Фрайпики" 3,7кг ВЕС, ТМ Зареченские  ПОКОМ</v>
          </cell>
          <cell r="D332">
            <v>3.7</v>
          </cell>
          <cell r="F332">
            <v>3.7</v>
          </cell>
        </row>
        <row r="333">
          <cell r="A333" t="str">
            <v>Мини-сосиски в тесте 3,7кг ВЕС заморож. ТМ Зареченские  ПОКОМ</v>
          </cell>
          <cell r="F333">
            <v>230.5</v>
          </cell>
        </row>
        <row r="334">
          <cell r="A334" t="str">
            <v>Мини-чебуречки с мясом ВЕС 5,5кг ТМ Зареченские  ПОКОМ</v>
          </cell>
          <cell r="D334">
            <v>17.5</v>
          </cell>
          <cell r="F334">
            <v>78</v>
          </cell>
        </row>
        <row r="335">
          <cell r="A335" t="str">
            <v>Мини-шарики с курочкой и сыром ТМ Зареченские ВЕС  ПОКОМ</v>
          </cell>
          <cell r="D335">
            <v>4</v>
          </cell>
          <cell r="F335">
            <v>422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1225</v>
          </cell>
          <cell r="F336">
            <v>3617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380</v>
          </cell>
          <cell r="F337">
            <v>1954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469</v>
          </cell>
          <cell r="F338">
            <v>2458</v>
          </cell>
        </row>
        <row r="339">
          <cell r="A339" t="str">
            <v>Наггетсы с куриным филе и сыром ТМ Вязанка 0,25 кг ПОКОМ</v>
          </cell>
          <cell r="D339">
            <v>1218</v>
          </cell>
          <cell r="F339">
            <v>3271</v>
          </cell>
        </row>
        <row r="340">
          <cell r="A340" t="str">
            <v>Наггетсы хрустящие п/ф ЗАО "Мясная галерея" ВЕС ПОКОМ</v>
          </cell>
          <cell r="F340">
            <v>6</v>
          </cell>
        </row>
        <row r="341">
          <cell r="A341" t="str">
            <v>Наггетсы Хрустящие ТМ Зареченские. ВЕС ПОКОМ</v>
          </cell>
          <cell r="D341">
            <v>48</v>
          </cell>
          <cell r="F341">
            <v>1941</v>
          </cell>
        </row>
        <row r="342">
          <cell r="A342" t="str">
            <v>Наггетсы Хрустящие ТМ Стародворье с сочной курочкой 0,23 кг  ПОКОМ</v>
          </cell>
          <cell r="D342">
            <v>5</v>
          </cell>
          <cell r="F342">
            <v>619</v>
          </cell>
        </row>
        <row r="343">
          <cell r="A343" t="str">
            <v>Оригинальная с перцем с/к  СПК</v>
          </cell>
          <cell r="D343">
            <v>142</v>
          </cell>
          <cell r="F343">
            <v>142</v>
          </cell>
        </row>
        <row r="344">
          <cell r="A344" t="str">
            <v>Паштет печеночный 140 гр.шт.  СПК</v>
          </cell>
          <cell r="D344">
            <v>38</v>
          </cell>
          <cell r="F344">
            <v>38</v>
          </cell>
        </row>
        <row r="345">
          <cell r="A345" t="str">
            <v>Пекерсы с индейкой в сливочном соусе ТМ Горячая штучка 0,25 кг зам  ПОКОМ</v>
          </cell>
          <cell r="D345">
            <v>6</v>
          </cell>
          <cell r="F345">
            <v>402</v>
          </cell>
        </row>
        <row r="346">
          <cell r="A346" t="str">
            <v>Пельмени Grandmeni с говядиной и свининой 0,7кг ТМ Горячая штучка  ПОКОМ</v>
          </cell>
          <cell r="D346">
            <v>4</v>
          </cell>
          <cell r="F346">
            <v>209</v>
          </cell>
        </row>
        <row r="347">
          <cell r="A347" t="str">
            <v>Пельмени Бигбули #МЕГАВКУСИЩЕ с сочной грудинкой ТМ Горячая штучка 0,7 кг. ПОКОМ</v>
          </cell>
          <cell r="D347">
            <v>4</v>
          </cell>
          <cell r="F347">
            <v>773</v>
          </cell>
        </row>
        <row r="348">
          <cell r="A348" t="str">
            <v>Пельмени Бигбули с мясом ТМ Горячая штучка. флоу-пак сфера 0,4 кг. ПОКОМ</v>
          </cell>
          <cell r="D348">
            <v>7</v>
          </cell>
          <cell r="F348">
            <v>173</v>
          </cell>
        </row>
        <row r="349">
          <cell r="A349" t="str">
            <v>Пельмени Бигбули с мясом ТМ Горячая штучка. флоу-пак сфера 0,7 кг ПОКОМ</v>
          </cell>
          <cell r="D349">
            <v>1006</v>
          </cell>
          <cell r="F349">
            <v>2105</v>
          </cell>
        </row>
        <row r="350">
          <cell r="A350" t="str">
            <v>Пельмени Бигбули со сливоч.маслом (Мегамаслище) ТМ БУЛЬМЕНИ сфера 0,43. замор. ПОКОМ</v>
          </cell>
          <cell r="F350">
            <v>1</v>
          </cell>
        </row>
        <row r="351">
          <cell r="A351" t="str">
            <v>Пельмени Бигбули со сливочным маслом #МЕГАМАСЛИЩЕ Горячая штучка 0,9 кг  ПОКОМ</v>
          </cell>
          <cell r="F351">
            <v>2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10</v>
          </cell>
          <cell r="F352">
            <v>1559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5</v>
          </cell>
          <cell r="F353">
            <v>172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12</v>
          </cell>
          <cell r="F354">
            <v>935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D355">
            <v>1</v>
          </cell>
          <cell r="F355">
            <v>94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30</v>
          </cell>
          <cell r="F356">
            <v>2145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2</v>
          </cell>
          <cell r="F357">
            <v>853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28</v>
          </cell>
          <cell r="F358">
            <v>1169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1030</v>
          </cell>
          <cell r="F359">
            <v>3579</v>
          </cell>
        </row>
        <row r="360">
          <cell r="A360" t="str">
            <v>Пельмени Бульмени со сливочным маслом Горячая штучка 0,9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шт. 0,43 кг  ПОКОМ</v>
          </cell>
          <cell r="F361">
            <v>1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35</v>
          </cell>
          <cell r="F362">
            <v>1441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1234</v>
          </cell>
          <cell r="F363">
            <v>4128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3</v>
          </cell>
          <cell r="F364">
            <v>178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42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6</v>
          </cell>
          <cell r="F366">
            <v>524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14</v>
          </cell>
          <cell r="F367">
            <v>871</v>
          </cell>
        </row>
        <row r="368">
          <cell r="A368" t="str">
            <v>Пельмени С говядиной и свининой, ВЕС, сфера пуговки Мясная Галерея  ПОКОМ</v>
          </cell>
          <cell r="D368">
            <v>30</v>
          </cell>
          <cell r="F368">
            <v>576</v>
          </cell>
        </row>
        <row r="369">
          <cell r="A369" t="str">
            <v>Пельмени Со свининой и говядиной ТМ Особый рецепт Любимая ложка 1,0 кг  ПОКОМ</v>
          </cell>
          <cell r="D369">
            <v>31</v>
          </cell>
          <cell r="F369">
            <v>729</v>
          </cell>
        </row>
        <row r="370">
          <cell r="A370" t="str">
            <v>Пельмени Сочные сфера 0,8 кг ТМ Стародворье  ПОКОМ</v>
          </cell>
          <cell r="D370">
            <v>3</v>
          </cell>
          <cell r="F370">
            <v>209</v>
          </cell>
        </row>
        <row r="371">
          <cell r="A371" t="str">
            <v>Пельмени Сочные сфера 0,9 кг ТМ Стародворье ПОКОМ</v>
          </cell>
          <cell r="F371">
            <v>1</v>
          </cell>
        </row>
        <row r="372">
          <cell r="A372" t="str">
            <v>Пирожки с мясом 3,7кг ВЕС ТМ Зареченские  ПОКОМ</v>
          </cell>
          <cell r="D372">
            <v>3.7</v>
          </cell>
          <cell r="F372">
            <v>133.20099999999999</v>
          </cell>
        </row>
        <row r="373">
          <cell r="A373" t="str">
            <v>Ричеза с/к 230 гр.шт.  СПК</v>
          </cell>
          <cell r="D373">
            <v>122</v>
          </cell>
          <cell r="F373">
            <v>122</v>
          </cell>
        </row>
        <row r="374">
          <cell r="A374" t="str">
            <v>Сальчетти с/к 230 гр.шт.  СПК</v>
          </cell>
          <cell r="D374">
            <v>125</v>
          </cell>
          <cell r="F374">
            <v>125</v>
          </cell>
        </row>
        <row r="375">
          <cell r="A375" t="str">
            <v>Салями с перчиком с/к "КолбасГрад" 160 гр.шт. термоус. пак.  СПК</v>
          </cell>
          <cell r="D375">
            <v>171</v>
          </cell>
          <cell r="F375">
            <v>171</v>
          </cell>
        </row>
        <row r="376">
          <cell r="A376" t="str">
            <v>Салями с/к 100 гр.шт.нар. (лоток с ср.защ.атм.)  СПК</v>
          </cell>
          <cell r="D376">
            <v>147</v>
          </cell>
          <cell r="F376">
            <v>147</v>
          </cell>
        </row>
        <row r="377">
          <cell r="A377" t="str">
            <v>Салями Трюфель с/в "Эликатессе" 0,16 кг.шт.  СПК</v>
          </cell>
          <cell r="D377">
            <v>198</v>
          </cell>
          <cell r="F377">
            <v>198</v>
          </cell>
        </row>
        <row r="378">
          <cell r="A378" t="str">
            <v>Сардельки "Докторские" (черева) ( в ср.защ.атм.) 1.0 кг. "Высокий вкус"  СПК</v>
          </cell>
          <cell r="D378">
            <v>47.1</v>
          </cell>
          <cell r="F378">
            <v>47.1</v>
          </cell>
        </row>
        <row r="379">
          <cell r="A379" t="str">
            <v>Сардельки из говядины (черева) (в ср.защ.атм.) "Высокий вкус"  СПК</v>
          </cell>
          <cell r="D379">
            <v>18</v>
          </cell>
          <cell r="F379">
            <v>18</v>
          </cell>
        </row>
        <row r="380">
          <cell r="A380" t="str">
            <v>Сардельки Необыкновенные (черева) 400 гр.шт. (лоток с ср.защ.атм.)  СПК</v>
          </cell>
          <cell r="D380">
            <v>22</v>
          </cell>
          <cell r="F380">
            <v>22</v>
          </cell>
        </row>
        <row r="381">
          <cell r="A381" t="str">
            <v>Семейная с чесночком Экстра вареная  СПК</v>
          </cell>
          <cell r="D381">
            <v>15</v>
          </cell>
          <cell r="F381">
            <v>15</v>
          </cell>
        </row>
        <row r="382">
          <cell r="A382" t="str">
            <v>Сервелат Европейский в/к, в/с 0,38 кг.шт.термофор.пак  СПК</v>
          </cell>
          <cell r="D382">
            <v>55</v>
          </cell>
          <cell r="F382">
            <v>55</v>
          </cell>
        </row>
        <row r="383">
          <cell r="A383" t="str">
            <v>Сервелат мелкозернистый в/к 0,5 кг.шт. термоус.пак. "Высокий вкус"  СПК</v>
          </cell>
          <cell r="D383">
            <v>66</v>
          </cell>
          <cell r="F383">
            <v>66</v>
          </cell>
        </row>
        <row r="384">
          <cell r="A384" t="str">
            <v>Сервелат Финский в/к 0,38 кг.шт. термофор.пак.  СПК</v>
          </cell>
          <cell r="D384">
            <v>51</v>
          </cell>
          <cell r="F384">
            <v>51</v>
          </cell>
        </row>
        <row r="385">
          <cell r="A385" t="str">
            <v>Сервелат Фирменный в/к 0,10 кг.шт. нарезка (лоток с ср.защ.атм.)  СПК</v>
          </cell>
          <cell r="D385">
            <v>177</v>
          </cell>
          <cell r="F385">
            <v>177</v>
          </cell>
        </row>
        <row r="386">
          <cell r="A386" t="str">
            <v>Сибирская особая с/к 0,10 кг.шт. нарезка (лоток с ср.защ.атм.)  СПК</v>
          </cell>
          <cell r="D386">
            <v>100</v>
          </cell>
          <cell r="F386">
            <v>100</v>
          </cell>
        </row>
        <row r="387">
          <cell r="A387" t="str">
            <v>Сибирская особая с/к 0,235 кг шт.  СПК</v>
          </cell>
          <cell r="D387">
            <v>146</v>
          </cell>
          <cell r="F387">
            <v>146</v>
          </cell>
        </row>
        <row r="388">
          <cell r="A388" t="str">
            <v>Сосиски "Баварские" 0,36 кг.шт. вак.упак.  СПК</v>
          </cell>
          <cell r="D388">
            <v>3</v>
          </cell>
          <cell r="F388">
            <v>3</v>
          </cell>
        </row>
        <row r="389">
          <cell r="A389" t="str">
            <v>Сосиски "Молочные" 0,36 кг.шт. вак.упак.  СПК</v>
          </cell>
          <cell r="D389">
            <v>3</v>
          </cell>
          <cell r="F389">
            <v>3</v>
          </cell>
        </row>
        <row r="390">
          <cell r="A390" t="str">
            <v>Сосиски Классические (в ср.защ.атм.) СПК</v>
          </cell>
          <cell r="D390">
            <v>14</v>
          </cell>
          <cell r="F390">
            <v>14</v>
          </cell>
        </row>
        <row r="391">
          <cell r="A391" t="str">
            <v>Сосиски Мусульманские "Просто выгодно" (в ср.защ.атм.)  СПК</v>
          </cell>
          <cell r="D391">
            <v>5</v>
          </cell>
          <cell r="F391">
            <v>5</v>
          </cell>
        </row>
        <row r="392">
          <cell r="A392" t="str">
            <v>Сосиски Хот-дог подкопченные (лоток с ср.защ.атм.)  СПК</v>
          </cell>
          <cell r="D392">
            <v>6</v>
          </cell>
          <cell r="F392">
            <v>6</v>
          </cell>
        </row>
        <row r="393">
          <cell r="A393" t="str">
            <v>Сочный мегачебурек ТМ Зареченские ВЕС ПОКОМ</v>
          </cell>
          <cell r="D393">
            <v>2.5</v>
          </cell>
          <cell r="F393">
            <v>113.85</v>
          </cell>
        </row>
        <row r="394">
          <cell r="A394" t="str">
            <v>Торо Неро с/в "Эликатессе" 140 гр.шт.  СПК</v>
          </cell>
          <cell r="D394">
            <v>63</v>
          </cell>
          <cell r="F394">
            <v>63</v>
          </cell>
        </row>
        <row r="395">
          <cell r="A395" t="str">
            <v>Уши свиные копченые к пиву 0,15кг нар. д/ф шт.  СПК</v>
          </cell>
          <cell r="D395">
            <v>16</v>
          </cell>
          <cell r="F395">
            <v>16</v>
          </cell>
        </row>
        <row r="396">
          <cell r="A396" t="str">
            <v>Фестивальная пора с/к 100 гр.шт.нар. (лоток с ср.защ.атм.)  СПК</v>
          </cell>
          <cell r="D396">
            <v>97</v>
          </cell>
          <cell r="F396">
            <v>103</v>
          </cell>
        </row>
        <row r="397">
          <cell r="A397" t="str">
            <v>Фестивальная пора с/к 235 гр.шт.  СПК</v>
          </cell>
          <cell r="D397">
            <v>531</v>
          </cell>
          <cell r="F397">
            <v>531</v>
          </cell>
        </row>
        <row r="398">
          <cell r="A398" t="str">
            <v>Фестивальная пора с/к термоус.пак  СПК</v>
          </cell>
          <cell r="D398">
            <v>16.3</v>
          </cell>
          <cell r="F398">
            <v>16.3</v>
          </cell>
        </row>
        <row r="399">
          <cell r="A399" t="str">
            <v>Фирменная с/к 200 гр. срез "Эликатессе" термоформ.пак.  СПК</v>
          </cell>
          <cell r="D399">
            <v>154</v>
          </cell>
          <cell r="F399">
            <v>154</v>
          </cell>
        </row>
        <row r="400">
          <cell r="A400" t="str">
            <v>Фуэт с/в "Эликатессе" 160 гр.шт.  СПК</v>
          </cell>
          <cell r="D400">
            <v>160</v>
          </cell>
          <cell r="F400">
            <v>160</v>
          </cell>
        </row>
        <row r="401">
          <cell r="A401" t="str">
            <v>Хот-догстер ТМ Горячая штучка ТС Хот-Догстер флоу-пак 0,09 кг. ПОКОМ</v>
          </cell>
          <cell r="F401">
            <v>314</v>
          </cell>
        </row>
        <row r="402">
          <cell r="A402" t="str">
            <v>Хотстеры с сыром 0,25кг ТМ Горячая штучка  ПОКОМ</v>
          </cell>
          <cell r="D402">
            <v>10</v>
          </cell>
          <cell r="F402">
            <v>628</v>
          </cell>
        </row>
        <row r="403">
          <cell r="A403" t="str">
            <v>Хотстеры ТМ Горячая штучка ТС Хотстеры 0,25 кг зам  ПОКОМ</v>
          </cell>
          <cell r="D403">
            <v>1224</v>
          </cell>
          <cell r="F403">
            <v>3322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9</v>
          </cell>
          <cell r="F404">
            <v>793</v>
          </cell>
        </row>
        <row r="405">
          <cell r="A405" t="str">
            <v>Хрустящие крылышки ТМ Горячая штучка 0,3 кг зам  ПОКОМ</v>
          </cell>
          <cell r="D405">
            <v>12</v>
          </cell>
          <cell r="F405">
            <v>724</v>
          </cell>
        </row>
        <row r="406">
          <cell r="A406" t="str">
            <v>Чебупели Курочка гриль ТМ Горячая штучка, 0,3 кг зам  ПОКОМ</v>
          </cell>
          <cell r="D406">
            <v>2</v>
          </cell>
          <cell r="F406">
            <v>284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1831</v>
          </cell>
          <cell r="F407">
            <v>4002</v>
          </cell>
        </row>
        <row r="408">
          <cell r="A408" t="str">
            <v>Чебупицца Маргарита 0,2кг ТМ Горячая штучка ТС Foodgital  ПОКОМ</v>
          </cell>
          <cell r="D408">
            <v>5</v>
          </cell>
          <cell r="F408">
            <v>345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1113</v>
          </cell>
          <cell r="F409">
            <v>4786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4</v>
          </cell>
          <cell r="F410">
            <v>271</v>
          </cell>
        </row>
        <row r="411">
          <cell r="A411" t="str">
            <v>Чебуреки сочные ВЕС ТМ Зареченские  ПОКОМ</v>
          </cell>
          <cell r="D411">
            <v>20</v>
          </cell>
          <cell r="F411">
            <v>1413.5</v>
          </cell>
        </row>
        <row r="412">
          <cell r="A412" t="str">
            <v>Шпикачки Русские (черева) (в ср.защ.атм.) "Высокий вкус"  СПК</v>
          </cell>
          <cell r="D412">
            <v>29</v>
          </cell>
          <cell r="F412">
            <v>29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16</v>
          </cell>
          <cell r="F413">
            <v>16</v>
          </cell>
        </row>
        <row r="414">
          <cell r="A414" t="str">
            <v>Юбилейная с/к 0,235 кг.шт.  СПК</v>
          </cell>
          <cell r="D414">
            <v>458</v>
          </cell>
          <cell r="F414">
            <v>458</v>
          </cell>
        </row>
        <row r="415">
          <cell r="A415" t="str">
            <v>Итого</v>
          </cell>
          <cell r="D415">
            <v>122464.68</v>
          </cell>
          <cell r="F415">
            <v>314317.98100000003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24.01.2026 - 24.01.2026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119.92700000000001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275.69400000000002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325.55099999999999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442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850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37</v>
          </cell>
        </row>
        <row r="16">
          <cell r="A16" t="str">
            <v xml:space="preserve"> 079  Колбаса Сервелат Кремлевский,  0.35 кг,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215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28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14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95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85.247</v>
          </cell>
        </row>
        <row r="23">
          <cell r="A23" t="str">
            <v xml:space="preserve"> 201  Ветчина Нежная ТМ Особый рецепт, (2,5кг), ПОКОМ</v>
          </cell>
          <cell r="D23">
            <v>866.58100000000002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64.381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106.639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26.577000000000002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57.116999999999997</v>
          </cell>
        </row>
        <row r="28">
          <cell r="A28" t="str">
            <v xml:space="preserve"> 240  Колбаса Салями охотничья, ВЕС. ПОКОМ</v>
          </cell>
          <cell r="D28">
            <v>1.0900000000000001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79.757000000000005</v>
          </cell>
        </row>
        <row r="30">
          <cell r="A30" t="str">
            <v xml:space="preserve"> 247  Сардельки Нежные, ВЕС.  ПОКОМ</v>
          </cell>
          <cell r="D30">
            <v>20.152000000000001</v>
          </cell>
        </row>
        <row r="31">
          <cell r="A31" t="str">
            <v xml:space="preserve"> 248  Сардельки Сочные ТМ Особый рецепт,   ПОКОМ</v>
          </cell>
          <cell r="D31">
            <v>31.128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322.86500000000001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8.76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6.9480000000000004</v>
          </cell>
        </row>
        <row r="35">
          <cell r="A35" t="str">
            <v xml:space="preserve"> 263  Шпикачки Стародворские, ВЕС.  ПОКОМ</v>
          </cell>
          <cell r="D35">
            <v>174.101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361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485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329</v>
          </cell>
        </row>
        <row r="39">
          <cell r="A39" t="str">
            <v xml:space="preserve"> 283  Сосиски Сочинки, ВЕС, ТМ Стародворье ПОКОМ</v>
          </cell>
          <cell r="D39">
            <v>108.012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206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186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33.841999999999999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114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297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17.939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67.63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205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343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192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187.22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88.411000000000001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27.463999999999999</v>
          </cell>
        </row>
        <row r="53">
          <cell r="A53" t="str">
            <v xml:space="preserve"> 318  Сосиски Датские ТМ Зареченские, ВЕС  ПОКОМ</v>
          </cell>
          <cell r="D53">
            <v>774.66700000000003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658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606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297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40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192.333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19.564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154</v>
          </cell>
        </row>
        <row r="62">
          <cell r="A62" t="str">
            <v xml:space="preserve"> 335  Колбаса Сливушка ТМ Вязанка. ВЕС.  ПОКОМ </v>
          </cell>
          <cell r="D62">
            <v>22.06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36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555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442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58.6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32.607999999999997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322.56099999999998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36.29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23.224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177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133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136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151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135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71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1293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1450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43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50.576000000000001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21.510999999999999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79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44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65.92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631.23099999999999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1101.056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1152.7460000000001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22.452000000000002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8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216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111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186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126</v>
          </cell>
        </row>
        <row r="98">
          <cell r="A98" t="str">
            <v xml:space="preserve"> 519  Грудинка 0,12 кг нарезка ТМ Стародворье  ПОКОМ</v>
          </cell>
          <cell r="D98">
            <v>35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-1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47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80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66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37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23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326.48899999999998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D106">
            <v>20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D107">
            <v>21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D108">
            <v>28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D109">
            <v>38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D110">
            <v>32.279000000000003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D111">
            <v>45.694000000000003</v>
          </cell>
        </row>
        <row r="112">
          <cell r="A112" t="str">
            <v>1577 Спред растительно-сливочный "Сливочный вкус" 82,5% 180гр  ОСТАНКИНО</v>
          </cell>
          <cell r="D112">
            <v>38</v>
          </cell>
        </row>
        <row r="113">
          <cell r="A113" t="str">
            <v>1584 Спред растительно-сливочный "Сливочный вкус" 72,5% 180гр  ОСТАНКИНО</v>
          </cell>
          <cell r="D113">
            <v>42</v>
          </cell>
        </row>
        <row r="114">
          <cell r="A114" t="str">
            <v>3215 ВЕТЧ.МЯСНАЯ Папа может п/о 0.4кг 8шт.    ОСТАНКИНО</v>
          </cell>
          <cell r="D114">
            <v>101</v>
          </cell>
        </row>
        <row r="115">
          <cell r="A115" t="str">
            <v>3684 ПРЕСИЖН с/к в/у 1/250 8шт.   ОСТАНКИНО</v>
          </cell>
          <cell r="D115">
            <v>3</v>
          </cell>
        </row>
        <row r="116">
          <cell r="A116" t="str">
            <v>3986 Ароматная с/к в/у 1/250 ОСТАНКИНО</v>
          </cell>
          <cell r="D116">
            <v>62</v>
          </cell>
        </row>
        <row r="117">
          <cell r="A117" t="str">
            <v>4063 МЯСНАЯ Папа может вар п/о_Л   ОСТАНКИНО</v>
          </cell>
          <cell r="D117">
            <v>230.43799999999999</v>
          </cell>
        </row>
        <row r="118">
          <cell r="A118" t="str">
            <v>4117 ЭКСТРА Папа может с/к в/у_Л   ОСТАНКИНО</v>
          </cell>
          <cell r="D118">
            <v>11.842000000000001</v>
          </cell>
        </row>
        <row r="119">
          <cell r="A119" t="str">
            <v>4574 Колбаса вар Мясная со шпиком 1кг Папа может п/о (код покуп. 24784) Останкино</v>
          </cell>
          <cell r="D119">
            <v>16.209</v>
          </cell>
        </row>
        <row r="120">
          <cell r="A120" t="str">
            <v>4813 ФИЛЕЙНАЯ Папа может вар п/о_Л   ОСТАНКИНО</v>
          </cell>
          <cell r="D120">
            <v>85.064999999999998</v>
          </cell>
        </row>
        <row r="121">
          <cell r="A121" t="str">
            <v>4993 САЛЯМИ ИТАЛЬЯНСКАЯ с/к в/у 1/250*8_120c ОСТАНКИНО</v>
          </cell>
          <cell r="D121">
            <v>46</v>
          </cell>
        </row>
        <row r="122">
          <cell r="A122" t="str">
            <v>5246 ДОКТОРСКАЯ ПРЕМИУМ вар б/о мгс_30с ОСТАНКИНО</v>
          </cell>
          <cell r="D122">
            <v>-5.0000000000000001E-3</v>
          </cell>
        </row>
        <row r="123">
          <cell r="A123" t="str">
            <v>5483 ЭКСТРА Папа может с/к в/у 1/250 8шт.   ОСТАНКИНО</v>
          </cell>
          <cell r="D123">
            <v>93</v>
          </cell>
        </row>
        <row r="124">
          <cell r="A124" t="str">
            <v>5544 Сервелат Финский в/к в/у_45с НОВАЯ ОСТАНКИНО</v>
          </cell>
          <cell r="D124">
            <v>164.44</v>
          </cell>
        </row>
        <row r="125">
          <cell r="A125" t="str">
            <v>5579 БЛИНЧ.КРУГЛЫЕ С САД.ЯБЛОК.1/420 зам_ПОСТ  ОСТАНКИНО</v>
          </cell>
          <cell r="D125">
            <v>5</v>
          </cell>
        </row>
        <row r="126">
          <cell r="A126" t="str">
            <v>5679 САЛЯМИ ИТАЛЬЯНСКАЯ с/к в/у 1/150_60с ОСТАНКИНО</v>
          </cell>
          <cell r="D126">
            <v>36</v>
          </cell>
        </row>
        <row r="127">
          <cell r="A127" t="str">
            <v>5708 ПОСОЛЬСКАЯ Папа может с/к в/у ОСТАНКИНО</v>
          </cell>
          <cell r="D127">
            <v>0.496</v>
          </cell>
        </row>
        <row r="128">
          <cell r="A128" t="str">
            <v>5851 ЭКСТРА Папа может вар п/о   ОСТАНКИНО</v>
          </cell>
          <cell r="D128">
            <v>29.945</v>
          </cell>
        </row>
        <row r="129">
          <cell r="A129" t="str">
            <v>5931 ОХОТНИЧЬЯ Папа может с/к в/у 1/220 8шт.   ОСТАНКИНО</v>
          </cell>
          <cell r="D129">
            <v>159</v>
          </cell>
        </row>
        <row r="130">
          <cell r="A130" t="str">
            <v>6004 РАГУ СВИНОЕ 1кг 8шт.зам_120с ОСТАНКИНО</v>
          </cell>
          <cell r="D130">
            <v>40</v>
          </cell>
        </row>
        <row r="131">
          <cell r="A131" t="str">
            <v>6168 БЛИНЧ.С МЯСОМ пл.1/350 зам  ОСТАНКИНО</v>
          </cell>
          <cell r="D131">
            <v>7</v>
          </cell>
        </row>
        <row r="132">
          <cell r="A132" t="str">
            <v>6209 БЛИНЧ.С КУРИНЫМ МЯСОМ пл.1/350 зам.  ОСТАНКИНО</v>
          </cell>
          <cell r="D132">
            <v>5</v>
          </cell>
        </row>
        <row r="133">
          <cell r="A133" t="str">
            <v>6220 ГОВЯЖЬЯ Папа может вар п/о  ОСТАНКИНО</v>
          </cell>
          <cell r="D133">
            <v>2.359</v>
          </cell>
        </row>
        <row r="134">
          <cell r="A134" t="str">
            <v>6221 НЕАПОЛИТАНСКИЙ ДУЭТ с/к с/н мгс 1/90  ОСТАНКИНО</v>
          </cell>
          <cell r="D134">
            <v>49</v>
          </cell>
        </row>
        <row r="135">
          <cell r="A135" t="str">
            <v>6228 МЯСНОЕ АССОРТИ к/з с/н мгс 1/90 10шт.  ОСТАНКИНО</v>
          </cell>
          <cell r="D135">
            <v>63</v>
          </cell>
        </row>
        <row r="136">
          <cell r="A136" t="str">
            <v>6247 ДОМАШНЯЯ Папа может вар п/о 0,4кг 8шт.  ОСТАНКИНО</v>
          </cell>
          <cell r="D136">
            <v>7</v>
          </cell>
        </row>
        <row r="137">
          <cell r="A137" t="str">
            <v>6268 ГОВЯЖЬЯ Папа может вар п/о 0,4кг 8 шт.  ОСТАНКИНО</v>
          </cell>
          <cell r="D137">
            <v>103</v>
          </cell>
        </row>
        <row r="138">
          <cell r="A138" t="str">
            <v>6279 КОРЕЙКА ПО-ОСТ.к/в в/с с/н в/у 1/150_45с  ОСТАНКИНО</v>
          </cell>
          <cell r="D138">
            <v>41</v>
          </cell>
        </row>
        <row r="139">
          <cell r="A139" t="str">
            <v>6303 МЯСНЫЕ Папа может сос п/о мгс 1.5*3  ОСТАНКИНО</v>
          </cell>
          <cell r="D139">
            <v>51.156999999999996</v>
          </cell>
        </row>
        <row r="140">
          <cell r="A140" t="str">
            <v>6324 ДОКТОРСКАЯ ГОСТ вар п/о 0.4кг 8шт.  ОСТАНКИНО</v>
          </cell>
          <cell r="D140">
            <v>26</v>
          </cell>
        </row>
        <row r="141">
          <cell r="A141" t="str">
            <v>6325 ДОКТОРСКАЯ ПРЕМИУМ вар п/о 0.4кг 8шт.  ОСТАНКИНО</v>
          </cell>
          <cell r="D141">
            <v>254</v>
          </cell>
        </row>
        <row r="142">
          <cell r="A142" t="str">
            <v>6333 МЯСНАЯ Папа может вар п/о 0.4кг 8шт.  ОСТАНКИНО</v>
          </cell>
          <cell r="D142">
            <v>649</v>
          </cell>
        </row>
        <row r="143">
          <cell r="A143" t="str">
            <v>6340 ДОМАШНИЙ РЕЦЕПТ Коровино 0.5кг 8шт.  ОСТАНКИНО</v>
          </cell>
          <cell r="D143">
            <v>48</v>
          </cell>
        </row>
        <row r="144">
          <cell r="A144" t="str">
            <v>6353 ЭКСТРА Папа может вар п/о 0.4кг 8шт.  ОСТАНКИНО</v>
          </cell>
          <cell r="D144">
            <v>209</v>
          </cell>
        </row>
        <row r="145">
          <cell r="A145" t="str">
            <v>6392 ФИЛЕЙНАЯ Папа может вар п/о 0.4кг. ОСТАНКИНО</v>
          </cell>
          <cell r="D145">
            <v>425</v>
          </cell>
        </row>
        <row r="146">
          <cell r="A146" t="str">
            <v>6448 СВИНИНА МАДЕРА с/к с/н в/у 1/100 10шт.   ОСТАНКИНО</v>
          </cell>
          <cell r="D146">
            <v>-5</v>
          </cell>
        </row>
        <row r="147">
          <cell r="A147" t="str">
            <v>6453 ЭКСТРА Папа может с/к с/н в/у 1/100 14шт.   ОСТАНКИНО</v>
          </cell>
          <cell r="D147">
            <v>262</v>
          </cell>
        </row>
        <row r="148">
          <cell r="A148" t="str">
            <v>6454 АРОМАТНАЯ с/к с/н в/у 1/100 10шт.  ОСТАНКИНО</v>
          </cell>
          <cell r="D148">
            <v>192</v>
          </cell>
        </row>
        <row r="149">
          <cell r="A149" t="str">
            <v>6459 СЕРВЕЛАТ ШВЕЙЦАРСК. в/к с/н в/у 1/100*10  ОСТАНКИНО</v>
          </cell>
          <cell r="D149">
            <v>151</v>
          </cell>
        </row>
        <row r="150">
          <cell r="A150" t="str">
            <v>6470 ВЕТЧ.МРАМОРНАЯ в/у_45с  ОСТАНКИНО</v>
          </cell>
          <cell r="D150">
            <v>2.4700000000000002</v>
          </cell>
        </row>
        <row r="151">
          <cell r="A151" t="str">
            <v>6495 ВЕТЧ.МРАМОРНАЯ в/у срез 0.3кг 6шт_45с  ОСТАНКИНО</v>
          </cell>
          <cell r="D151">
            <v>37</v>
          </cell>
        </row>
        <row r="152">
          <cell r="A152" t="str">
            <v>6527 ШПИКАЧКИ СОЧНЫЕ ПМ сар б/о мгс 1*3 45с ОСТАНКИНО</v>
          </cell>
          <cell r="D152">
            <v>38.621000000000002</v>
          </cell>
        </row>
        <row r="153">
          <cell r="A153" t="str">
            <v>6609 С ГОВЯДИНОЙ ПМ сар б/о мгс 0.4кг_45с ОСТАНКИНО</v>
          </cell>
        </row>
        <row r="154">
          <cell r="A154" t="str">
            <v>6616 МОЛОЧНЫЕ КЛАССИЧЕСКИЕ сос п/о в/у 0.3кг  ОСТАНКИНО</v>
          </cell>
          <cell r="D154">
            <v>444</v>
          </cell>
        </row>
        <row r="155">
          <cell r="A155" t="str">
            <v>6697 СЕРВЕЛАТ ФИНСКИЙ ПМ в/к в/у 0,35кг 8шт.  ОСТАНКИНО</v>
          </cell>
          <cell r="D155">
            <v>648</v>
          </cell>
        </row>
        <row r="156">
          <cell r="A156" t="str">
            <v>6713 СОЧНЫЙ ГРИЛЬ ПМ сос п/о мгс 0.41кг 8шт.  ОСТАНКИНО</v>
          </cell>
          <cell r="D156">
            <v>178</v>
          </cell>
        </row>
        <row r="157">
          <cell r="A157" t="str">
            <v>6724 МОЛОЧНЫЕ ПМ сос п/о мгс 0.41кг 10шт.  ОСТАНКИНО</v>
          </cell>
          <cell r="D157">
            <v>138</v>
          </cell>
        </row>
        <row r="158">
          <cell r="A158" t="str">
            <v>6765 РУБЛЕНЫЕ сос ц/о мгс 0.36кг 6шт.  ОСТАНКИНО</v>
          </cell>
          <cell r="D158">
            <v>59</v>
          </cell>
        </row>
        <row r="159">
          <cell r="A159" t="str">
            <v>6785 ВЕНСКАЯ САЛЯМИ п/к в/у 0.33кг 8шт.  ОСТАНКИНО</v>
          </cell>
          <cell r="D159">
            <v>8</v>
          </cell>
        </row>
        <row r="160">
          <cell r="A160" t="str">
            <v>6787 СЕРВЕЛАТ КРЕМЛЕВСКИЙ в/к в/у 0,33кг 8шт.  ОСТАНКИНО</v>
          </cell>
          <cell r="D160">
            <v>-6</v>
          </cell>
        </row>
        <row r="161">
          <cell r="A161" t="str">
            <v>6793 БАЛЫКОВАЯ в/к в/у 0,33кг 8шт.  ОСТАНКИНО</v>
          </cell>
          <cell r="D161">
            <v>36</v>
          </cell>
        </row>
        <row r="162">
          <cell r="A162" t="str">
            <v>6819 БЛИНЧ.КРУГЛЫЕ С САД.ЯБЛОК. пл.1/300 зам.  ОСТАНКИНО</v>
          </cell>
          <cell r="D162">
            <v>3</v>
          </cell>
        </row>
        <row r="163">
          <cell r="A163" t="str">
            <v>6829 МОЛОЧНЫЕ КЛАССИЧЕСКИЕ сос п/о мгс 2*4_С  ОСТАНКИНО</v>
          </cell>
          <cell r="D163">
            <v>135.41999999999999</v>
          </cell>
        </row>
        <row r="164">
          <cell r="A164" t="str">
            <v>6837 ФИЛЕЙНЫЕ Папа Может сос ц/о мгс 0.4кг  ОСТАНКИНО</v>
          </cell>
          <cell r="D164">
            <v>106</v>
          </cell>
        </row>
        <row r="165">
          <cell r="A165" t="str">
            <v>6842 ДЫМОВИЦА ИЗ ОКОРОКА к/в мл/к в/у 0,3кг  ОСТАНКИНО</v>
          </cell>
          <cell r="D165">
            <v>-3</v>
          </cell>
        </row>
        <row r="166">
          <cell r="A166" t="str">
            <v>6861 ДОМАШНИЙ РЕЦЕПТ Коровино вар п/о  ОСТАНКИНО</v>
          </cell>
          <cell r="D166">
            <v>216.31200000000001</v>
          </cell>
        </row>
        <row r="167">
          <cell r="A167" t="str">
            <v>6866 ВЕТЧ.НЕЖНАЯ Коровино п/о_Маяк  ОСТАНКИНО</v>
          </cell>
          <cell r="D167">
            <v>24.533999999999999</v>
          </cell>
        </row>
        <row r="168">
          <cell r="A168" t="str">
            <v>7001 КЛАССИЧЕСКИЕ Папа может сар б/о мгс 1*3  ОСТАНКИНО</v>
          </cell>
          <cell r="D168">
            <v>24.776</v>
          </cell>
        </row>
        <row r="169">
          <cell r="A169" t="str">
            <v>7040 С ИНДЕЙКОЙ ПМ сос ц/о в/у 1/270 8шт.  ОСТАНКИНО</v>
          </cell>
          <cell r="D169">
            <v>26</v>
          </cell>
        </row>
        <row r="170">
          <cell r="A170" t="str">
            <v>7059 ШПИКАЧКИ СОЧНЫЕ С БЕК. п/о мгс 0.3кг_60с  ОСТАНКИНО</v>
          </cell>
          <cell r="D170">
            <v>68</v>
          </cell>
        </row>
        <row r="171">
          <cell r="A171" t="str">
            <v>7066 СОЧНЫЕ ПМ сос п/о мгс 0.41кг 10шт_50с  ОСТАНКИНО</v>
          </cell>
          <cell r="D171">
            <v>1096</v>
          </cell>
        </row>
        <row r="172">
          <cell r="A172" t="str">
            <v>7070 СОЧНЫЕ ПМ сос п/о мгс 1.5*4_А_50с  ОСТАНКИНО</v>
          </cell>
          <cell r="D172">
            <v>549.375</v>
          </cell>
        </row>
        <row r="173">
          <cell r="A173" t="str">
            <v>7073 МОЛОЧ.ПРЕМИУМ ПМ сос п/о в/у 1/350_50с  ОСТАНКИНО</v>
          </cell>
          <cell r="D173">
            <v>269</v>
          </cell>
        </row>
        <row r="174">
          <cell r="A174" t="str">
            <v>7075 МОЛОЧ.ПРЕМИУМ ПМ сос п/о мгс 1.5*4_О_50с  ОСТАНКИНО</v>
          </cell>
          <cell r="D174">
            <v>7.83</v>
          </cell>
        </row>
        <row r="175">
          <cell r="A175" t="str">
            <v>7077 МЯСНЫЕ С ГОВЯД.ПМ сос п/о мгс 0.4кг_50с  ОСТАНКИНО</v>
          </cell>
          <cell r="D175">
            <v>5</v>
          </cell>
        </row>
        <row r="176">
          <cell r="A176" t="str">
            <v>7080 СЛИВОЧНЫЕ ПМ сос п/о мгс 0.41кг 10шт. 50с  ОСТАНКИНО</v>
          </cell>
          <cell r="D176">
            <v>583</v>
          </cell>
        </row>
        <row r="177">
          <cell r="A177" t="str">
            <v>7082 СЛИВОЧНЫЕ ПМ сос п/о мгс 1.5*4_50с  ОСТАНКИНО</v>
          </cell>
          <cell r="D177">
            <v>28.276</v>
          </cell>
        </row>
        <row r="178">
          <cell r="A178" t="str">
            <v>7087 ШПИК С ЧЕСНОК.И ПЕРЦЕМ к/в в/у 0.3кг_50с  ОСТАНКИНО</v>
          </cell>
          <cell r="D178">
            <v>41</v>
          </cell>
        </row>
        <row r="179">
          <cell r="A179" t="str">
            <v>7090 СВИНИНА ПО-ДОМ. к/в мл/к в/у 0.3кг_50с  ОСТАНКИНО</v>
          </cell>
          <cell r="D179">
            <v>105</v>
          </cell>
        </row>
        <row r="180">
          <cell r="A180" t="str">
            <v>7092 БЕКОН Папа может с/к с/н в/у 1/140_50с  ОСТАНКИНО</v>
          </cell>
          <cell r="D180">
            <v>117</v>
          </cell>
        </row>
        <row r="181">
          <cell r="A181" t="str">
            <v>7147 САЛЬЧИЧОН Останкино с/к в/у 1/220 8шт.  ОСТАНКИНО</v>
          </cell>
          <cell r="D181">
            <v>5</v>
          </cell>
        </row>
        <row r="182">
          <cell r="A182" t="str">
            <v>7149 БАЛЫКОВАЯ Коровино п/к в/у 0.84кг_50с  ОСТАНКИНО</v>
          </cell>
          <cell r="D182">
            <v>1</v>
          </cell>
        </row>
        <row r="183">
          <cell r="A183" t="str">
            <v>7154 СЕРВЕЛАТ ЗЕРНИСТЫЙ ПМ в/к в/у 0.35кг_50с  ОСТАНКИНО</v>
          </cell>
          <cell r="D183">
            <v>411</v>
          </cell>
        </row>
        <row r="184">
          <cell r="A184" t="str">
            <v>7157 СЕРВЕЛАТ ЗЕРНИСНЫЙ ПМ в/к в/у_50с  ОСТАНКИНО</v>
          </cell>
          <cell r="D184">
            <v>24.17</v>
          </cell>
        </row>
        <row r="185">
          <cell r="A185" t="str">
            <v>7166 СЕРВЕЛТ ОХОТНИЧИЙ ПМ в/к в/у_50с  ОСТАНКИНО</v>
          </cell>
          <cell r="D185">
            <v>66.091999999999999</v>
          </cell>
        </row>
        <row r="186">
          <cell r="A186" t="str">
            <v>7169 СЕРВЕЛАТ ОХОТНИЧИЙ ПМ в/к в/у 0.35кг_50с  ОСТАНКИНО</v>
          </cell>
          <cell r="D186">
            <v>544</v>
          </cell>
        </row>
        <row r="187">
          <cell r="A187" t="str">
            <v>7187 ГРУДИНКА ПРЕМИУМ к/в мл/к в/у 0,3кг_50с ОСТАНКИНО</v>
          </cell>
          <cell r="D187">
            <v>136</v>
          </cell>
        </row>
        <row r="188">
          <cell r="A188" t="str">
            <v>7227 САЛЯМИ ФИНСКАЯ Папа может с/к в/у 1/180  ОСТАНКИНО</v>
          </cell>
          <cell r="D188">
            <v>1</v>
          </cell>
        </row>
        <row r="189">
          <cell r="A189" t="str">
            <v>7231 КЛАССИЧЕСКАЯ ПМ вар п/о 0,3кг 8шт_209к ОСТАНКИНО</v>
          </cell>
          <cell r="D189">
            <v>191</v>
          </cell>
        </row>
        <row r="190">
          <cell r="A190" t="str">
            <v>7232 БОЯNСКАЯ ПМ п/к в/у 0,28кг 8шт_209к ОСТАНКИНО</v>
          </cell>
          <cell r="D190">
            <v>221</v>
          </cell>
        </row>
        <row r="191">
          <cell r="A191" t="str">
            <v>7236 СЕРВЕЛАТ КАРЕЛЬСКИЙ в/к в/у 0,28кг_209к ОСТАНКИНО</v>
          </cell>
          <cell r="D191">
            <v>470</v>
          </cell>
        </row>
        <row r="192">
          <cell r="A192" t="str">
            <v>7241 САЛЯМИ Папа может п/к в/у 0,28кг_209к ОСТАНКИНО</v>
          </cell>
          <cell r="D192">
            <v>154</v>
          </cell>
        </row>
        <row r="193">
          <cell r="A193" t="str">
            <v>7245 ВЕТЧ.ФИЛЕЙНАЯ ПМ п/о 0,4кг 8шт ОСТАНКИНО</v>
          </cell>
          <cell r="D193">
            <v>6</v>
          </cell>
        </row>
        <row r="194">
          <cell r="A194" t="str">
            <v>7255 МЯСНЫЕ С ГОВЯД. ПМ сос п/о мгс 0,4кг 6шт.  ОСТАНКИНО</v>
          </cell>
          <cell r="D194">
            <v>269</v>
          </cell>
        </row>
        <row r="195">
          <cell r="A195" t="str">
            <v>7271 МЯСНЫЕ С ГОВЯДИНОЙ ПМ сос п/о мгс 1.5*4 ВЕС  ОСТАНКИНО</v>
          </cell>
          <cell r="D195">
            <v>64.253</v>
          </cell>
        </row>
        <row r="196">
          <cell r="A196" t="str">
            <v>7284 ДЛЯ ДЕТЕЙ сос п/о мгс 0,33кг 6шт  ОСТАНКИНО</v>
          </cell>
          <cell r="D196">
            <v>25</v>
          </cell>
        </row>
        <row r="197">
          <cell r="A197" t="str">
            <v>7332 БОЯРСКАЯ ПМ п/к в/у 0.28кг_СНГ  ОСТАНКИНО</v>
          </cell>
          <cell r="D197">
            <v>9</v>
          </cell>
        </row>
        <row r="198">
          <cell r="A198" t="str">
            <v>7333 СЕРВЕЛАТ ОХОТНИЧИЙ ПМ в/к в/у 0.28кг_СНГ  ОСТАНКИНО</v>
          </cell>
          <cell r="D198">
            <v>9</v>
          </cell>
        </row>
        <row r="199">
          <cell r="A199" t="str">
            <v>7343 СЕЙЧАС СЕЗОН ПМ вар п/о 0,4кг  ОСТАНКИНО</v>
          </cell>
          <cell r="D199">
            <v>107</v>
          </cell>
        </row>
        <row r="200">
          <cell r="A200" t="str">
            <v>7364 ЧОРИЗО Останкино с/к в/у 1/220 8шт.  ОСТАНКИНО</v>
          </cell>
          <cell r="D200">
            <v>1</v>
          </cell>
        </row>
        <row r="201">
          <cell r="A201" t="str">
            <v>7377 ВЕТЧ.С ИНДЕЙКОЙ ПМ в/у срез 0,3кг 6шт.  ОСТАНКИНО</v>
          </cell>
          <cell r="D201">
            <v>20</v>
          </cell>
        </row>
        <row r="202">
          <cell r="A202" t="str">
            <v>7382 САЛЯМИ МЕЛКОЗЕРНЕНАЯ с/к в/у 1/120 8шт.  ОСТАНКИНО</v>
          </cell>
          <cell r="D202">
            <v>211</v>
          </cell>
        </row>
        <row r="203">
          <cell r="A203" t="str">
            <v>8950 Масло сливочное ПАПА МОЖЕТ 72,5%, фас. в фольгу, 180гр  ОСТАНКИНО</v>
          </cell>
          <cell r="D203">
            <v>12</v>
          </cell>
        </row>
        <row r="204">
          <cell r="A204" t="str">
            <v>8967 Масло "Папа может" 82,5% 180гр  ОСТАНКИНО</v>
          </cell>
          <cell r="D204">
            <v>14</v>
          </cell>
        </row>
        <row r="205">
          <cell r="A205" t="str">
            <v>Балык свиной с/к "Эликатессе" 0,10 кг.шт. нарезка (лоток с ср.защ.атм.)  СПК</v>
          </cell>
          <cell r="D205">
            <v>24</v>
          </cell>
        </row>
        <row r="206">
          <cell r="A206" t="str">
            <v>БЛИНЧ.КРУГЛЫЕ С ГРУШЕЙ пл.1/420 зам.   ОСТАНКИНО</v>
          </cell>
          <cell r="D206">
            <v>6</v>
          </cell>
        </row>
        <row r="207">
          <cell r="A207" t="str">
            <v>БОНУС МОЛОЧНЫЕ КЛАССИЧЕСКИЕ сос п/о в/у 0.3кг (6084)  ОСТАНКИНО</v>
          </cell>
          <cell r="D207">
            <v>6</v>
          </cell>
        </row>
        <row r="208">
          <cell r="A208" t="str">
            <v>БОНУС СОЧНЫЕ Папа может сос п/о мгс 1.5*4 (6954)  ОСТАНКИНО</v>
          </cell>
          <cell r="D208">
            <v>43.305999999999997</v>
          </cell>
        </row>
        <row r="209">
          <cell r="A209" t="str">
            <v>БОНУС СОЧНЫЕ сос п/о мгс 0.41кг_UZ (6087)  ОСТАНКИНО</v>
          </cell>
          <cell r="D209">
            <v>2</v>
          </cell>
        </row>
        <row r="210">
          <cell r="A210" t="str">
            <v>БОНУС_334  Паштет Любительский ТМ Стародворье ламистер 0,1 кг  ПОКОМ</v>
          </cell>
          <cell r="D210">
            <v>30</v>
          </cell>
        </row>
        <row r="211">
          <cell r="A211" t="str">
            <v>Готовые бельмеши сочные с мясом ТМ Горячая штучка 0,3кг зам  ПОКОМ</v>
          </cell>
          <cell r="D211">
            <v>85</v>
          </cell>
        </row>
        <row r="212">
          <cell r="A212" t="str">
            <v>Готовые чебупели острые с мясом 0,24кг ТМ Горячая штучка  ПОКОМ</v>
          </cell>
          <cell r="D212">
            <v>93</v>
          </cell>
        </row>
        <row r="213">
          <cell r="A213" t="str">
            <v>Готовые чебупели с ветчиной и сыром ТМ Горячая штучка флоу-пак 0,24 кг.  ПОКОМ</v>
          </cell>
          <cell r="D213">
            <v>359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275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29</v>
          </cell>
        </row>
        <row r="216">
          <cell r="A216" t="str">
            <v>Грудинка Деревенская в аджике к/в 150 гр.шт. нарезка (лоток с ср.защ.атм.)  СПК</v>
          </cell>
          <cell r="D216">
            <v>-5</v>
          </cell>
        </row>
        <row r="217">
          <cell r="A217" t="str">
            <v>Гуцульская с/к "КолбасГрад" 160 гр.шт. термоус. пак  СПК</v>
          </cell>
          <cell r="D217">
            <v>18</v>
          </cell>
        </row>
        <row r="218">
          <cell r="A218" t="str">
            <v>Дельгаро с/в "Эликатессе" 140 гр.шт.  СПК</v>
          </cell>
          <cell r="D218">
            <v>30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16</v>
          </cell>
        </row>
        <row r="220">
          <cell r="A220" t="str">
            <v>Докторская вареная вес. (белк.об.) термоус.пак.  СПК</v>
          </cell>
          <cell r="D220">
            <v>2.278</v>
          </cell>
        </row>
        <row r="221">
          <cell r="A221" t="str">
            <v>Докторская вареная термоус.пак. "Высокий вкус"  СПК</v>
          </cell>
          <cell r="D221">
            <v>2.1139999999999999</v>
          </cell>
        </row>
        <row r="222">
          <cell r="A222" t="str">
            <v>ЖАР-ладушки с мясом 0,2кг ТМ Стародворье  ПОКОМ</v>
          </cell>
          <cell r="D222">
            <v>36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25</v>
          </cell>
        </row>
        <row r="224">
          <cell r="A224" t="str">
            <v>Классическая с/к 80 гр.шт.нар. (лоток с ср.защ.атм.)  СПК</v>
          </cell>
          <cell r="D224">
            <v>-1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62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17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133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140</v>
          </cell>
        </row>
        <row r="230">
          <cell r="A230" t="str">
            <v>Ла Фаворте с/в "Эликатессе" 140 гр.шт.  СПК</v>
          </cell>
          <cell r="D230">
            <v>29</v>
          </cell>
        </row>
        <row r="231">
          <cell r="A231" t="str">
            <v>Любительская вареная термоус.пак. "Высокий вкус"  СПК</v>
          </cell>
          <cell r="D231">
            <v>5.6920000000000002</v>
          </cell>
        </row>
        <row r="232">
          <cell r="A232" t="str">
            <v>Мини-пицца с ветчиной и сыром ТМ Зареченские ВЕС,  ПОКОМ</v>
          </cell>
          <cell r="D232">
            <v>12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33.6</v>
          </cell>
        </row>
        <row r="234">
          <cell r="A234" t="str">
            <v>Мини-чебуречки с мясом ВЕС 5,5кг ТМ Зареченские  ПОКОМ</v>
          </cell>
          <cell r="D234">
            <v>11</v>
          </cell>
        </row>
        <row r="235">
          <cell r="A235" t="str">
            <v>Мини-шарики с курочкой и сыром ТМ Зареченские ВЕС  ПОКОМ</v>
          </cell>
          <cell r="D235">
            <v>84</v>
          </cell>
        </row>
        <row r="236">
          <cell r="A236" t="str">
            <v>Наггетсы из печи 0,25кг ТМ Вязанка ТС Няняггетсы Сливушки замор.  ПОКОМ</v>
          </cell>
          <cell r="D236">
            <v>450</v>
          </cell>
        </row>
        <row r="237">
          <cell r="A237" t="str">
            <v>Наггетсы Нагетосы Сочная курочка ТМ Горячая штучка 0,25 кг зам  ПОКОМ</v>
          </cell>
          <cell r="D237">
            <v>224</v>
          </cell>
        </row>
        <row r="238">
          <cell r="A238" t="str">
            <v>Наггетсы с индейкой 0,25кг ТМ Вязанка ТС Няняггетсы Сливушки НД2 замор.  ПОКОМ</v>
          </cell>
          <cell r="D238">
            <v>441</v>
          </cell>
        </row>
        <row r="239">
          <cell r="A239" t="str">
            <v>Наггетсы с куриным филе и сыром ТМ Вязанка 0,25 кг ПОКОМ</v>
          </cell>
          <cell r="D239">
            <v>305</v>
          </cell>
        </row>
        <row r="240">
          <cell r="A240" t="str">
            <v>Наггетсы Сливушки в темпуре ТМ Вязанка флоу-пак 0,23 кг  ПОКОМ</v>
          </cell>
          <cell r="D240">
            <v>84</v>
          </cell>
        </row>
        <row r="241">
          <cell r="A241" t="str">
            <v>Наггетсы Хрустящие ТМ Зареченские. ВЕС ПОКОМ</v>
          </cell>
          <cell r="D241">
            <v>300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97</v>
          </cell>
        </row>
        <row r="243">
          <cell r="A243" t="str">
            <v>Оригинальная с перцем с/к  СПК</v>
          </cell>
          <cell r="D243">
            <v>19.326000000000001</v>
          </cell>
        </row>
        <row r="244">
          <cell r="A244" t="str">
            <v>Паштет печеночный 140 гр.шт.  СПК</v>
          </cell>
          <cell r="D244">
            <v>4</v>
          </cell>
        </row>
        <row r="245">
          <cell r="A245" t="str">
            <v>Пекерсы с индейкой в сливочном соусе ТМ Горячая штучка 0,25 кг зам  ПОКОМ</v>
          </cell>
          <cell r="D245">
            <v>70</v>
          </cell>
        </row>
        <row r="246">
          <cell r="A246" t="str">
            <v>Пельмени Grandmeni с говядиной и свининой 0,7кг ТМ Горячая штучка  ПОКОМ</v>
          </cell>
          <cell r="D246">
            <v>33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142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11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86</v>
          </cell>
        </row>
        <row r="250">
          <cell r="A250" t="str">
            <v>Пельмени Бигбули со сливочным маслом #МЕГАМАСЛИЩЕ Горячая штучка 0,9 кг  ПОКОМ</v>
          </cell>
          <cell r="D250">
            <v>1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209</v>
          </cell>
        </row>
        <row r="252">
          <cell r="A252" t="str">
            <v>Пельмени Бульмени мини с мясом и cыром ТМ Горячая штучка ТС Бульмени ГШ флоу-пак сфера 0,4 кг  ПОКОМ</v>
          </cell>
          <cell r="D252">
            <v>37</v>
          </cell>
        </row>
        <row r="253">
          <cell r="A253" t="str">
            <v>Пельмени Бульмени мини с мясом и оливковым маслом 0,7 кг ТМ Горячая штучка  ПОКОМ</v>
          </cell>
          <cell r="D253">
            <v>199</v>
          </cell>
        </row>
        <row r="254">
          <cell r="A254" t="str">
            <v>Пельмени Бульмени Нейробуст с мясом ТМ Горячая штучка ТС Бульмени ГШ сфера флоу-пак 0,6 кг.  ПОКОМ</v>
          </cell>
          <cell r="D254">
            <v>23</v>
          </cell>
        </row>
        <row r="255">
          <cell r="A255" t="str">
            <v>Пельмени Бульмени с говядиной и свининой Наваристые 5кг Горячая штучка ВЕС  ПОКОМ</v>
          </cell>
          <cell r="D255">
            <v>455</v>
          </cell>
        </row>
        <row r="256">
          <cell r="A256" t="str">
            <v>Пельмени Бульмени с говядиной и свининой СЕВЕРНАЯ КОЛЛЕКЦИЯ 0,7кг ТМ Горячая штучка сфера  ПОКОМ</v>
          </cell>
          <cell r="D256">
            <v>113</v>
          </cell>
        </row>
        <row r="257">
          <cell r="A257" t="str">
            <v>Пельмени Бульмени с говядиной и свининой ТМ Горячая штучка. флоу-пак сфера 0,4 кг ПОКОМ</v>
          </cell>
          <cell r="D257">
            <v>153</v>
          </cell>
        </row>
        <row r="258">
          <cell r="A258" t="str">
            <v>Пельмени Бульмени с говядиной и свининой ТМ Горячая штучка. флоу-пак сфера 0,7 кг ПОКОМ</v>
          </cell>
          <cell r="D258">
            <v>466</v>
          </cell>
        </row>
        <row r="259">
          <cell r="A259" t="str">
            <v>Пельмени Бульмени со сливочным маслом ТМ Горячая штучка. флоу-пак сфера 0,4 кг. ПОКОМ</v>
          </cell>
          <cell r="D259">
            <v>68</v>
          </cell>
        </row>
        <row r="260">
          <cell r="A260" t="str">
            <v>Пельмени Бульмени со сливочным маслом ТМ Горячая штучка.флоу-пак сфера 0,7 кг. ПОКОМ</v>
          </cell>
          <cell r="D260">
            <v>500</v>
          </cell>
        </row>
        <row r="261">
          <cell r="A261" t="str">
            <v>Пельмени Бульмени хрустящие с мясом 0,22 кг ТМ Горячая штучка  ПОКОМ</v>
          </cell>
          <cell r="D261">
            <v>28</v>
          </cell>
        </row>
        <row r="262">
          <cell r="A262" t="str">
            <v>Пельмени Добросельские со свининой и говядиной ТМ Стародворье флоу-пак клас. форма 0,65 кг.  ПОКОМ</v>
          </cell>
          <cell r="D262">
            <v>2</v>
          </cell>
        </row>
        <row r="263">
          <cell r="A263" t="str">
            <v>Пельмени Мясные с говядиной ТМ Стародворье сфера флоу-пак 1 кг  ПОКОМ</v>
          </cell>
          <cell r="D263">
            <v>92</v>
          </cell>
        </row>
        <row r="264">
          <cell r="A264" t="str">
            <v>Пельмени Отборные из свинины и говядины 0,9 кг ТМ Стародворье ТС Медвежье ушко  ПОКОМ</v>
          </cell>
          <cell r="D264">
            <v>142</v>
          </cell>
        </row>
        <row r="265">
          <cell r="A265" t="str">
            <v>Пельмени С говядиной и свининой, ВЕС, сфера пуговки Мясная Галерея  ПОКОМ</v>
          </cell>
          <cell r="D265">
            <v>110</v>
          </cell>
        </row>
        <row r="266">
          <cell r="A266" t="str">
            <v>Пельмени Со свининой и говядиной ТМ Особый рецепт Любимая ложка 1,0 кг  ПОКОМ</v>
          </cell>
          <cell r="D266">
            <v>129</v>
          </cell>
        </row>
        <row r="267">
          <cell r="A267" t="str">
            <v>Пельмени Сочные сфера 0,8 кг ТМ Стародворье  ПОКОМ</v>
          </cell>
          <cell r="D267">
            <v>50</v>
          </cell>
        </row>
        <row r="268">
          <cell r="A268" t="str">
            <v>Пирожки с мясом 3,7кг ВЕС ТМ Зареченские  ПОКОМ</v>
          </cell>
          <cell r="D268">
            <v>3.7</v>
          </cell>
        </row>
        <row r="269">
          <cell r="A269" t="str">
            <v>Ричеза с/к 230 гр.шт.  СПК</v>
          </cell>
          <cell r="D269">
            <v>14</v>
          </cell>
        </row>
        <row r="270">
          <cell r="A270" t="str">
            <v>Сальчетти с/к 230 гр.шт.  СПК</v>
          </cell>
          <cell r="D270">
            <v>22</v>
          </cell>
        </row>
        <row r="271">
          <cell r="A271" t="str">
            <v>Салями с перчиком с/к "КолбасГрад" 160 гр.шт. термоус. пак.  СПК</v>
          </cell>
          <cell r="D271">
            <v>14</v>
          </cell>
        </row>
        <row r="272">
          <cell r="A272" t="str">
            <v>Салями с/к 100 гр.шт.нар. (лоток с ср.защ.атм.)  СПК</v>
          </cell>
          <cell r="D272">
            <v>-5</v>
          </cell>
        </row>
        <row r="273">
          <cell r="A273" t="str">
            <v>Салями Трюфель с/в "Эликатессе" 0,16 кг.шт.  СПК</v>
          </cell>
          <cell r="D273">
            <v>52</v>
          </cell>
        </row>
        <row r="274">
          <cell r="A274" t="str">
            <v>Сардельки "Докторские" (черева) ( в ср.защ.атм.) 1.0 кг. "Высокий вкус"  СПК</v>
          </cell>
          <cell r="D274">
            <v>3.504</v>
          </cell>
        </row>
        <row r="275">
          <cell r="A275" t="str">
            <v>Сардельки из говядины (черева) (в ср.защ.атм.) "Высокий вкус"  СПК</v>
          </cell>
          <cell r="D275">
            <v>0.86799999999999999</v>
          </cell>
        </row>
        <row r="276">
          <cell r="A276" t="str">
            <v>Сардельки Необыкновенные (черева) 400 гр.шт. (лоток с ср.защ.атм.)  СПК</v>
          </cell>
          <cell r="D276">
            <v>5</v>
          </cell>
        </row>
        <row r="277">
          <cell r="A277" t="str">
            <v>Семейная с чесночком Экстра вареная  СПК</v>
          </cell>
          <cell r="D277">
            <v>1.294</v>
          </cell>
        </row>
        <row r="278">
          <cell r="A278" t="str">
            <v>Сервелат мелкозернистый в/к 0,5 кг.шт. термоус.пак. "Высокий вкус"  СПК</v>
          </cell>
          <cell r="D278">
            <v>1</v>
          </cell>
        </row>
        <row r="279">
          <cell r="A279" t="str">
            <v>Сервелат Фирменный в/к 0,10 кг.шт. нарезка (лоток с ср.защ.атм.)  СПК</v>
          </cell>
          <cell r="D279">
            <v>41</v>
          </cell>
        </row>
        <row r="280">
          <cell r="A280" t="str">
            <v>Сибирская особая с/к 0,10 кг.шт. нарезка (лоток с ср.защ.атм.)  СПК</v>
          </cell>
          <cell r="D280">
            <v>3</v>
          </cell>
        </row>
        <row r="281">
          <cell r="A281" t="str">
            <v>Сибирская особая с/к 0,235 кг шт.  СПК</v>
          </cell>
          <cell r="D281">
            <v>26</v>
          </cell>
        </row>
        <row r="282">
          <cell r="A282" t="str">
            <v>Сочный мегачебурек ТМ Зареченские ВЕС ПОКОМ</v>
          </cell>
          <cell r="D282">
            <v>13.44</v>
          </cell>
        </row>
        <row r="283">
          <cell r="A283" t="str">
            <v>Уши свиные копченые к пиву 0,15кг нар. д/ф шт.  СПК</v>
          </cell>
          <cell r="D283">
            <v>-3</v>
          </cell>
        </row>
        <row r="284">
          <cell r="A284" t="str">
            <v>Фестивальная пора с/к 100 гр.шт.нар. (лоток с ср.защ.атм.)  СПК</v>
          </cell>
          <cell r="D284">
            <v>7</v>
          </cell>
        </row>
        <row r="285">
          <cell r="A285" t="str">
            <v>Фестивальная пора с/к 235 гр.шт.  СПК</v>
          </cell>
          <cell r="D285">
            <v>173</v>
          </cell>
        </row>
        <row r="286">
          <cell r="A286" t="str">
            <v>Фестивальная пора с/к термоус.пак  СПК</v>
          </cell>
          <cell r="D286">
            <v>4.9320000000000004</v>
          </cell>
        </row>
        <row r="287">
          <cell r="A287" t="str">
            <v>Фирменная с/к 200 гр. срез "Эликатессе" термоформ.пак.  СПК</v>
          </cell>
          <cell r="D287">
            <v>39</v>
          </cell>
        </row>
        <row r="288">
          <cell r="A288" t="str">
            <v>Фуэт с/в "Эликатессе" 160 гр.шт.  СПК</v>
          </cell>
          <cell r="D288">
            <v>36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56</v>
          </cell>
        </row>
        <row r="290">
          <cell r="A290" t="str">
            <v>Хотстеры с сыром 0,25кг ТМ Горячая штучка  ПОКОМ</v>
          </cell>
          <cell r="D290">
            <v>109</v>
          </cell>
        </row>
        <row r="291">
          <cell r="A291" t="str">
            <v>Хотстеры ТМ Горячая штучка ТС Хотстеры 0,25 кг зам  ПОКОМ</v>
          </cell>
          <cell r="D291">
            <v>308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85</v>
          </cell>
        </row>
        <row r="293">
          <cell r="A293" t="str">
            <v>Хрустящие крылышки ТМ Горячая штучка 0,3 кг зам  ПОКОМ</v>
          </cell>
          <cell r="D293">
            <v>102</v>
          </cell>
        </row>
        <row r="294">
          <cell r="A294" t="str">
            <v>Чебупели Курочка гриль ТМ Горячая штучка, 0,3 кг зам  ПОКОМ</v>
          </cell>
          <cell r="D294">
            <v>50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353</v>
          </cell>
        </row>
        <row r="296">
          <cell r="A296" t="str">
            <v>Чебупицца Маргарита 0,2кг ТМ Горячая штучка ТС Foodgital  ПОКОМ</v>
          </cell>
          <cell r="D296">
            <v>71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626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69</v>
          </cell>
        </row>
        <row r="299">
          <cell r="A299" t="str">
            <v>Чебуреки сочные ВЕС ТМ Зареченские  ПОКОМ</v>
          </cell>
          <cell r="D299">
            <v>310</v>
          </cell>
        </row>
        <row r="300">
          <cell r="A300" t="str">
            <v>Шпикачки Русские (черева) (в ср.защ.атм.) "Высокий вкус"  СПК</v>
          </cell>
          <cell r="D300">
            <v>2.7879999999999998</v>
          </cell>
        </row>
        <row r="301">
          <cell r="A301" t="str">
            <v>Эликапреза с/в "Эликатессе" 85 гр.шт. нарезка (лоток с ср.защ.атм.)  СПК</v>
          </cell>
          <cell r="D301">
            <v>2</v>
          </cell>
        </row>
        <row r="302">
          <cell r="A302" t="str">
            <v>Юбилейная с/к 0,235 кг.шт.  СПК</v>
          </cell>
          <cell r="D302">
            <v>109</v>
          </cell>
        </row>
        <row r="303">
          <cell r="A303" t="str">
            <v>Итого</v>
          </cell>
          <cell r="D303">
            <v>42133.811000000002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M9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7" sqref="X7:X94"/>
    </sheetView>
  </sheetViews>
  <sheetFormatPr defaultColWidth="10.5" defaultRowHeight="11.45" customHeight="1" outlineLevelRow="1" x14ac:dyDescent="0.2"/>
  <cols>
    <col min="1" max="1" width="52.1640625" style="1" customWidth="1"/>
    <col min="2" max="2" width="3.83203125" style="1" customWidth="1"/>
    <col min="3" max="6" width="7.6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4" width="6.5" style="5" bestFit="1" customWidth="1"/>
    <col min="15" max="16" width="1.33203125" style="5" customWidth="1"/>
    <col min="17" max="18" width="6.5" style="5" bestFit="1" customWidth="1"/>
    <col min="19" max="20" width="6.6640625" style="5" bestFit="1" customWidth="1"/>
    <col min="21" max="21" width="6.5" style="5" customWidth="1"/>
    <col min="22" max="22" width="5.6640625" style="5" bestFit="1" customWidth="1"/>
    <col min="23" max="24" width="7.1640625" style="5" bestFit="1" customWidth="1"/>
    <col min="25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33203125" style="5" bestFit="1" customWidth="1"/>
    <col min="34" max="35" width="6.1640625" style="5" bestFit="1" customWidth="1"/>
    <col min="36" max="36" width="7.33203125" style="5" bestFit="1" customWidth="1"/>
    <col min="37" max="37" width="1.83203125" style="5" customWidth="1"/>
    <col min="38" max="38" width="1.5" style="5" customWidth="1"/>
    <col min="39" max="39" width="7" style="5" customWidth="1"/>
    <col min="40" max="40" width="3.6640625" style="5" customWidth="1"/>
    <col min="41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J2" s="1" t="s">
        <v>126</v>
      </c>
    </row>
    <row r="3" spans="1:39" s="1" customFormat="1" ht="9.9499999999999993" customHeight="1" x14ac:dyDescent="0.2">
      <c r="AG3" s="20" t="s">
        <v>119</v>
      </c>
      <c r="AH3" s="20" t="s">
        <v>120</v>
      </c>
      <c r="AI3" s="20" t="s">
        <v>121</v>
      </c>
      <c r="AJ3" s="1" t="s">
        <v>125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 t="s">
        <v>102</v>
      </c>
      <c r="M4" s="9" t="s">
        <v>102</v>
      </c>
      <c r="N4" s="9" t="s">
        <v>102</v>
      </c>
      <c r="O4" s="10" t="s">
        <v>102</v>
      </c>
      <c r="P4" s="11" t="s">
        <v>102</v>
      </c>
      <c r="Q4" s="11" t="s">
        <v>102</v>
      </c>
      <c r="R4" s="11" t="s">
        <v>102</v>
      </c>
      <c r="S4" s="9" t="s">
        <v>99</v>
      </c>
      <c r="T4" s="12" t="s">
        <v>102</v>
      </c>
      <c r="U4" s="9" t="s">
        <v>103</v>
      </c>
      <c r="V4" s="13" t="s">
        <v>104</v>
      </c>
      <c r="W4" s="9" t="s">
        <v>105</v>
      </c>
      <c r="X4" s="9" t="s">
        <v>105</v>
      </c>
      <c r="Y4" s="9" t="s">
        <v>105</v>
      </c>
      <c r="Z4" s="9" t="s">
        <v>99</v>
      </c>
      <c r="AA4" s="9" t="s">
        <v>99</v>
      </c>
      <c r="AB4" s="9" t="s">
        <v>99</v>
      </c>
      <c r="AC4" s="9" t="s">
        <v>99</v>
      </c>
      <c r="AD4" s="9" t="s">
        <v>106</v>
      </c>
      <c r="AE4" s="9" t="s">
        <v>107</v>
      </c>
      <c r="AF4" s="9" t="s">
        <v>108</v>
      </c>
      <c r="AG4" s="13" t="s">
        <v>109</v>
      </c>
      <c r="AH4" s="13" t="s">
        <v>109</v>
      </c>
      <c r="AI4" s="13" t="s">
        <v>109</v>
      </c>
      <c r="AJ4" s="13" t="s">
        <v>109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110</v>
      </c>
      <c r="L5" s="16" t="s">
        <v>111</v>
      </c>
      <c r="M5" s="16" t="s">
        <v>123</v>
      </c>
      <c r="N5" s="24" t="s">
        <v>124</v>
      </c>
      <c r="Q5" s="16" t="s">
        <v>112</v>
      </c>
      <c r="R5" s="16" t="s">
        <v>113</v>
      </c>
      <c r="T5" s="16" t="s">
        <v>114</v>
      </c>
      <c r="W5" s="16" t="s">
        <v>123</v>
      </c>
      <c r="X5" s="16" t="s">
        <v>124</v>
      </c>
      <c r="Y5" s="16"/>
      <c r="Z5" s="5" t="s">
        <v>115</v>
      </c>
      <c r="AA5" s="5" t="s">
        <v>116</v>
      </c>
      <c r="AB5" s="16" t="s">
        <v>117</v>
      </c>
      <c r="AC5" s="16" t="s">
        <v>118</v>
      </c>
      <c r="AD5" s="16" t="s">
        <v>110</v>
      </c>
      <c r="AG5" s="16" t="s">
        <v>112</v>
      </c>
      <c r="AH5" s="16" t="s">
        <v>113</v>
      </c>
      <c r="AI5" s="16" t="s">
        <v>114</v>
      </c>
      <c r="AJ5" s="16" t="s">
        <v>124</v>
      </c>
    </row>
    <row r="6" spans="1:39" ht="11.1" customHeight="1" x14ac:dyDescent="0.2">
      <c r="A6" s="6"/>
      <c r="B6" s="6"/>
      <c r="C6" s="3"/>
      <c r="D6" s="3"/>
      <c r="E6" s="14">
        <f>SUM(E7:E126)</f>
        <v>74332.048999999999</v>
      </c>
      <c r="F6" s="14">
        <f>SUM(F7:F126)</f>
        <v>73629.661999999997</v>
      </c>
      <c r="I6" s="14">
        <f>SUM(I7:I126)</f>
        <v>76193.400000000009</v>
      </c>
      <c r="J6" s="14">
        <f t="shared" ref="J6:T6" si="0">SUM(J7:J126)</f>
        <v>-1861.3510000000001</v>
      </c>
      <c r="K6" s="14">
        <f t="shared" si="0"/>
        <v>10800</v>
      </c>
      <c r="L6" s="14">
        <f t="shared" si="0"/>
        <v>6752</v>
      </c>
      <c r="M6" s="14">
        <f t="shared" si="0"/>
        <v>-500</v>
      </c>
      <c r="N6" s="14">
        <f t="shared" si="0"/>
        <v>5210</v>
      </c>
      <c r="O6" s="14">
        <f t="shared" si="0"/>
        <v>0</v>
      </c>
      <c r="P6" s="14">
        <f t="shared" si="0"/>
        <v>0</v>
      </c>
      <c r="Q6" s="14">
        <f t="shared" si="0"/>
        <v>43104</v>
      </c>
      <c r="R6" s="14">
        <f t="shared" si="0"/>
        <v>15170</v>
      </c>
      <c r="S6" s="14">
        <f t="shared" si="0"/>
        <v>14866.409799999996</v>
      </c>
      <c r="T6" s="14">
        <f t="shared" si="0"/>
        <v>19120</v>
      </c>
      <c r="W6" s="14">
        <f t="shared" ref="W6" si="1">SUM(W7:W126)</f>
        <v>-500</v>
      </c>
      <c r="X6" s="14">
        <f t="shared" ref="X6" si="2">SUM(X7:X126)</f>
        <v>5210</v>
      </c>
      <c r="Y6" s="14">
        <f t="shared" ref="Y6" si="3">SUM(Y7:Y126)</f>
        <v>0</v>
      </c>
      <c r="Z6" s="14">
        <f t="shared" ref="Z6" si="4">SUM(Z7:Z126)</f>
        <v>15604.079999999996</v>
      </c>
      <c r="AA6" s="14">
        <f t="shared" ref="AA6" si="5">SUM(AA7:AA126)</f>
        <v>20239.167399999998</v>
      </c>
      <c r="AB6" s="14">
        <f t="shared" ref="AB6" si="6">SUM(AB7:AB126)</f>
        <v>13792.091250000001</v>
      </c>
      <c r="AC6" s="14">
        <f t="shared" ref="AC6" si="7">SUM(AC7:AC126)</f>
        <v>14398.132600000001</v>
      </c>
      <c r="AD6" s="14">
        <f t="shared" ref="AD6" si="8">SUM(AD7:AD126)</f>
        <v>11548.386</v>
      </c>
      <c r="AE6" s="14"/>
      <c r="AF6" s="14"/>
      <c r="AG6" s="14">
        <f t="shared" ref="AG6" si="9">SUM(AG7:AG126)</f>
        <v>16998.100000000002</v>
      </c>
      <c r="AH6" s="14">
        <f t="shared" ref="AH6" si="10">SUM(AH7:AH126)</f>
        <v>6007.4999999999991</v>
      </c>
      <c r="AI6" s="14">
        <f t="shared" ref="AI6:AJ6" si="11">SUM(AI7:AI126)</f>
        <v>7995.0999999999995</v>
      </c>
      <c r="AJ6" s="14">
        <f t="shared" si="11"/>
        <v>2508.6</v>
      </c>
    </row>
    <row r="7" spans="1:39" s="1" customFormat="1" ht="11.1" customHeight="1" outlineLevel="1" x14ac:dyDescent="0.2">
      <c r="A7" s="7" t="s">
        <v>10</v>
      </c>
      <c r="B7" s="7" t="s">
        <v>8</v>
      </c>
      <c r="C7" s="8">
        <v>450</v>
      </c>
      <c r="D7" s="8">
        <v>1026</v>
      </c>
      <c r="E7" s="8">
        <v>760</v>
      </c>
      <c r="F7" s="8">
        <v>672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812</v>
      </c>
      <c r="J7" s="15">
        <f>E7-I7</f>
        <v>-52</v>
      </c>
      <c r="K7" s="15">
        <f>VLOOKUP(A:A,[1]TDSheet!$A:$L,12,0)</f>
        <v>120</v>
      </c>
      <c r="L7" s="15">
        <f>VLOOKUP(A:A,[1]TDSheet!$A:$T,20,0)</f>
        <v>0</v>
      </c>
      <c r="M7" s="15"/>
      <c r="N7" s="17">
        <v>120</v>
      </c>
      <c r="O7" s="15"/>
      <c r="P7" s="15"/>
      <c r="Q7" s="17">
        <v>480</v>
      </c>
      <c r="R7" s="17">
        <v>200</v>
      </c>
      <c r="S7" s="15">
        <f>E7/5</f>
        <v>152</v>
      </c>
      <c r="T7" s="17">
        <v>120</v>
      </c>
      <c r="U7" s="18">
        <f>(F7+K7+L7+M7+N7+Q7+R7+T7)/S7</f>
        <v>11.263157894736842</v>
      </c>
      <c r="V7" s="15">
        <f>F7/S7</f>
        <v>4.4210526315789478</v>
      </c>
      <c r="W7" s="15"/>
      <c r="X7" s="15">
        <v>120</v>
      </c>
      <c r="Y7" s="15"/>
      <c r="Z7" s="15">
        <f>VLOOKUP(A:A,[1]TDSheet!$A:$Z,26,0)</f>
        <v>145.4</v>
      </c>
      <c r="AA7" s="15">
        <f>VLOOKUP(A:A,[1]TDSheet!$A:$AA,27,0)</f>
        <v>198.4</v>
      </c>
      <c r="AB7" s="15">
        <f>VLOOKUP(A:A,[1]TDSheet!$A:$AB,28,0)</f>
        <v>158.75</v>
      </c>
      <c r="AC7" s="15">
        <f>VLOOKUP(A:A,[1]TDSheet!$A:$AC,29,0)</f>
        <v>144.19999999999999</v>
      </c>
      <c r="AD7" s="15">
        <f>VLOOKUP(A:A,[3]TDSheet!$A:$D,4,0)</f>
        <v>101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192</v>
      </c>
      <c r="AH7" s="15">
        <f>R7*G7</f>
        <v>80</v>
      </c>
      <c r="AI7" s="15">
        <f>T7*G7</f>
        <v>48</v>
      </c>
      <c r="AJ7" s="15">
        <f>N7*G7</f>
        <v>48</v>
      </c>
      <c r="AK7" s="15"/>
      <c r="AL7" s="15"/>
      <c r="AM7" s="23">
        <f>AD7/S7-1</f>
        <v>-0.33552631578947367</v>
      </c>
    </row>
    <row r="8" spans="1:39" s="1" customFormat="1" ht="11.1" customHeight="1" outlineLevel="1" x14ac:dyDescent="0.2">
      <c r="A8" s="7" t="s">
        <v>11</v>
      </c>
      <c r="B8" s="7" t="s">
        <v>8</v>
      </c>
      <c r="C8" s="8">
        <v>85</v>
      </c>
      <c r="D8" s="8">
        <v>82</v>
      </c>
      <c r="E8" s="8">
        <v>37</v>
      </c>
      <c r="F8" s="8">
        <v>127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41</v>
      </c>
      <c r="J8" s="15">
        <f t="shared" ref="J8:J71" si="12">E8-I8</f>
        <v>-4</v>
      </c>
      <c r="K8" s="15">
        <f>VLOOKUP(A:A,[1]TDSheet!$A:$L,12,0)</f>
        <v>0</v>
      </c>
      <c r="L8" s="15">
        <f>VLOOKUP(A:A,[1]TDSheet!$A:$T,20,0)</f>
        <v>0</v>
      </c>
      <c r="M8" s="15"/>
      <c r="N8" s="17"/>
      <c r="O8" s="15"/>
      <c r="P8" s="15"/>
      <c r="Q8" s="17"/>
      <c r="R8" s="17"/>
      <c r="S8" s="15">
        <f t="shared" ref="S8:S71" si="13">E8/5</f>
        <v>7.4</v>
      </c>
      <c r="T8" s="17"/>
      <c r="U8" s="18">
        <f t="shared" ref="U8:U71" si="14">(F8+K8+L8+M8+N8+Q8+R8+T8)/S8</f>
        <v>17.162162162162161</v>
      </c>
      <c r="V8" s="15">
        <f t="shared" ref="V8:V71" si="15">F8/S8</f>
        <v>17.162162162162161</v>
      </c>
      <c r="W8" s="15"/>
      <c r="X8" s="15"/>
      <c r="Y8" s="15"/>
      <c r="Z8" s="15">
        <f>VLOOKUP(A:A,[1]TDSheet!$A:$Z,26,0)</f>
        <v>13</v>
      </c>
      <c r="AA8" s="15">
        <f>VLOOKUP(A:A,[1]TDSheet!$A:$AA,27,0)</f>
        <v>19.399999999999999</v>
      </c>
      <c r="AB8" s="15">
        <f>VLOOKUP(A:A,[1]TDSheet!$A:$AB,28,0)</f>
        <v>13.75</v>
      </c>
      <c r="AC8" s="15">
        <f>VLOOKUP(A:A,[1]TDSheet!$A:$AC,29,0)</f>
        <v>12.6</v>
      </c>
      <c r="AD8" s="15">
        <f>VLOOKUP(A:A,[3]TDSheet!$A:$D,4,0)</f>
        <v>3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>
        <f t="shared" ref="AJ8:AJ71" si="19">N8*G8</f>
        <v>0</v>
      </c>
      <c r="AK8" s="15"/>
      <c r="AL8" s="15"/>
      <c r="AM8" s="23">
        <f t="shared" ref="AM8:AM71" si="20">AD8/S8-1</f>
        <v>-0.59459459459459463</v>
      </c>
    </row>
    <row r="9" spans="1:39" s="1" customFormat="1" ht="11.1" customHeight="1" outlineLevel="1" x14ac:dyDescent="0.2">
      <c r="A9" s="7" t="s">
        <v>12</v>
      </c>
      <c r="B9" s="7" t="s">
        <v>8</v>
      </c>
      <c r="C9" s="8">
        <v>1109</v>
      </c>
      <c r="D9" s="8">
        <v>623</v>
      </c>
      <c r="E9" s="8">
        <v>572</v>
      </c>
      <c r="F9" s="8">
        <v>1135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592</v>
      </c>
      <c r="J9" s="15">
        <f t="shared" si="12"/>
        <v>-20</v>
      </c>
      <c r="K9" s="15">
        <f>VLOOKUP(A:A,[1]TDSheet!$A:$L,12,0)</f>
        <v>0</v>
      </c>
      <c r="L9" s="15">
        <f>VLOOKUP(A:A,[1]TDSheet!$A:$T,20,0)</f>
        <v>0</v>
      </c>
      <c r="M9" s="15"/>
      <c r="N9" s="17"/>
      <c r="O9" s="15"/>
      <c r="P9" s="15"/>
      <c r="Q9" s="17"/>
      <c r="R9" s="17"/>
      <c r="S9" s="15">
        <f t="shared" si="13"/>
        <v>114.4</v>
      </c>
      <c r="T9" s="17">
        <v>600</v>
      </c>
      <c r="U9" s="18">
        <f t="shared" si="14"/>
        <v>15.166083916083915</v>
      </c>
      <c r="V9" s="15">
        <f t="shared" si="15"/>
        <v>9.9213286713286717</v>
      </c>
      <c r="W9" s="15"/>
      <c r="X9" s="15"/>
      <c r="Y9" s="15"/>
      <c r="Z9" s="15">
        <f>VLOOKUP(A:A,[1]TDSheet!$A:$Z,26,0)</f>
        <v>135</v>
      </c>
      <c r="AA9" s="15">
        <f>VLOOKUP(A:A,[1]TDSheet!$A:$AA,27,0)</f>
        <v>211.8</v>
      </c>
      <c r="AB9" s="15">
        <f>VLOOKUP(A:A,[1]TDSheet!$A:$AB,28,0)</f>
        <v>100.5</v>
      </c>
      <c r="AC9" s="15">
        <f>VLOOKUP(A:A,[1]TDSheet!$A:$AC,29,0)</f>
        <v>106.8</v>
      </c>
      <c r="AD9" s="15">
        <f>VLOOKUP(A:A,[3]TDSheet!$A:$D,4,0)</f>
        <v>62</v>
      </c>
      <c r="AE9" s="15">
        <f>VLOOKUP(A:A,[1]TDSheet!$A:$AE,31,0)</f>
        <v>0</v>
      </c>
      <c r="AF9" s="15">
        <f>VLOOKUP(A:A,[1]TDSheet!$A:$AF,32,0)</f>
        <v>0</v>
      </c>
      <c r="AG9" s="15">
        <f t="shared" si="16"/>
        <v>0</v>
      </c>
      <c r="AH9" s="15">
        <f t="shared" si="17"/>
        <v>0</v>
      </c>
      <c r="AI9" s="15">
        <f t="shared" si="18"/>
        <v>150</v>
      </c>
      <c r="AJ9" s="15">
        <f t="shared" si="19"/>
        <v>0</v>
      </c>
      <c r="AK9" s="15"/>
      <c r="AL9" s="15"/>
      <c r="AM9" s="23">
        <f t="shared" si="20"/>
        <v>-0.45804195804195802</v>
      </c>
    </row>
    <row r="10" spans="1:39" s="1" customFormat="1" ht="11.1" customHeight="1" outlineLevel="1" x14ac:dyDescent="0.2">
      <c r="A10" s="7" t="s">
        <v>13</v>
      </c>
      <c r="B10" s="7" t="s">
        <v>9</v>
      </c>
      <c r="C10" s="8">
        <v>1433.0840000000001</v>
      </c>
      <c r="D10" s="8">
        <v>1463.098</v>
      </c>
      <c r="E10" s="8">
        <v>1249.9469999999999</v>
      </c>
      <c r="F10" s="8">
        <v>1570.518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1281.3</v>
      </c>
      <c r="J10" s="15">
        <f t="shared" si="12"/>
        <v>-31.353000000000065</v>
      </c>
      <c r="K10" s="15">
        <f>VLOOKUP(A:A,[1]TDSheet!$A:$L,12,0)</f>
        <v>500</v>
      </c>
      <c r="L10" s="15">
        <f>VLOOKUP(A:A,[1]TDSheet!$A:$T,20,0)</f>
        <v>0</v>
      </c>
      <c r="M10" s="15">
        <v>-300</v>
      </c>
      <c r="N10" s="17">
        <v>400</v>
      </c>
      <c r="O10" s="15"/>
      <c r="P10" s="15"/>
      <c r="Q10" s="17">
        <v>300</v>
      </c>
      <c r="R10" s="17">
        <v>200</v>
      </c>
      <c r="S10" s="15">
        <f t="shared" si="13"/>
        <v>249.98939999999999</v>
      </c>
      <c r="T10" s="17">
        <v>500</v>
      </c>
      <c r="U10" s="18">
        <f t="shared" si="14"/>
        <v>12.682609742653089</v>
      </c>
      <c r="V10" s="15">
        <f t="shared" si="15"/>
        <v>6.2823383711469374</v>
      </c>
      <c r="W10" s="15">
        <v>-300</v>
      </c>
      <c r="X10" s="15">
        <v>400</v>
      </c>
      <c r="Y10" s="15"/>
      <c r="Z10" s="15">
        <f>VLOOKUP(A:A,[1]TDSheet!$A:$Z,26,0)</f>
        <v>309.3526</v>
      </c>
      <c r="AA10" s="15">
        <f>VLOOKUP(A:A,[1]TDSheet!$A:$AA,27,0)</f>
        <v>430.13059999999996</v>
      </c>
      <c r="AB10" s="15">
        <f>VLOOKUP(A:A,[1]TDSheet!$A:$AB,28,0)</f>
        <v>313.11700000000002</v>
      </c>
      <c r="AC10" s="15">
        <f>VLOOKUP(A:A,[1]TDSheet!$A:$AC,29,0)</f>
        <v>285.77300000000002</v>
      </c>
      <c r="AD10" s="15">
        <f>VLOOKUP(A:A,[3]TDSheet!$A:$D,4,0)</f>
        <v>230.43799999999999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300</v>
      </c>
      <c r="AH10" s="15">
        <f t="shared" si="17"/>
        <v>200</v>
      </c>
      <c r="AI10" s="15">
        <f t="shared" si="18"/>
        <v>500</v>
      </c>
      <c r="AJ10" s="15">
        <f t="shared" si="19"/>
        <v>400</v>
      </c>
      <c r="AK10" s="15"/>
      <c r="AL10" s="15"/>
      <c r="AM10" s="23">
        <f t="shared" si="20"/>
        <v>-7.8208916058040923E-2</v>
      </c>
    </row>
    <row r="11" spans="1:39" s="1" customFormat="1" ht="11.1" customHeight="1" outlineLevel="1" x14ac:dyDescent="0.2">
      <c r="A11" s="22" t="s">
        <v>14</v>
      </c>
      <c r="B11" s="7" t="s">
        <v>9</v>
      </c>
      <c r="C11" s="8">
        <v>130.72</v>
      </c>
      <c r="D11" s="8">
        <v>15.872</v>
      </c>
      <c r="E11" s="8">
        <v>17.765999999999998</v>
      </c>
      <c r="F11" s="8">
        <v>116.908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28.9</v>
      </c>
      <c r="J11" s="15">
        <f t="shared" si="12"/>
        <v>-11.134</v>
      </c>
      <c r="K11" s="15">
        <f>VLOOKUP(A:A,[1]TDSheet!$A:$L,12,0)</f>
        <v>0</v>
      </c>
      <c r="L11" s="15">
        <f>VLOOKUP(A:A,[1]TDSheet!$A:$T,20,0)</f>
        <v>0</v>
      </c>
      <c r="M11" s="15"/>
      <c r="N11" s="17"/>
      <c r="O11" s="15"/>
      <c r="P11" s="15"/>
      <c r="Q11" s="17"/>
      <c r="R11" s="17"/>
      <c r="S11" s="15">
        <f t="shared" si="13"/>
        <v>3.5531999999999995</v>
      </c>
      <c r="T11" s="17"/>
      <c r="U11" s="18">
        <f t="shared" si="14"/>
        <v>32.90217268940674</v>
      </c>
      <c r="V11" s="15">
        <f t="shared" si="15"/>
        <v>32.90217268940674</v>
      </c>
      <c r="W11" s="15"/>
      <c r="X11" s="15"/>
      <c r="Y11" s="15"/>
      <c r="Z11" s="15">
        <f>VLOOKUP(A:A,[1]TDSheet!$A:$Z,26,0)</f>
        <v>10.632400000000001</v>
      </c>
      <c r="AA11" s="15">
        <f>VLOOKUP(A:A,[1]TDSheet!$A:$AA,27,0)</f>
        <v>14.130799999999999</v>
      </c>
      <c r="AB11" s="15">
        <f>VLOOKUP(A:A,[1]TDSheet!$A:$AB,28,0)</f>
        <v>12.317</v>
      </c>
      <c r="AC11" s="15">
        <f>VLOOKUP(A:A,[1]TDSheet!$A:$AC,29,0)</f>
        <v>7.1075999999999997</v>
      </c>
      <c r="AD11" s="15">
        <f>VLOOKUP(A:A,[3]TDSheet!$A:$D,4,0)</f>
        <v>11.842000000000001</v>
      </c>
      <c r="AE11" s="15">
        <f>VLOOKUP(A:A,[1]TDSheet!$A:$AE,31,0)</f>
        <v>0</v>
      </c>
      <c r="AF11" s="21" t="s">
        <v>122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>
        <f t="shared" si="19"/>
        <v>0</v>
      </c>
      <c r="AK11" s="15"/>
      <c r="AL11" s="15"/>
      <c r="AM11" s="23">
        <f t="shared" si="20"/>
        <v>2.3327704604300354</v>
      </c>
    </row>
    <row r="12" spans="1:39" s="1" customFormat="1" ht="21.95" customHeight="1" outlineLevel="1" x14ac:dyDescent="0.2">
      <c r="A12" s="7" t="s">
        <v>15</v>
      </c>
      <c r="B12" s="7" t="s">
        <v>9</v>
      </c>
      <c r="C12" s="8">
        <v>111.63200000000001</v>
      </c>
      <c r="D12" s="8">
        <v>82.552000000000007</v>
      </c>
      <c r="E12" s="8">
        <v>120.35299999999999</v>
      </c>
      <c r="F12" s="8">
        <v>72.465000000000003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119.6</v>
      </c>
      <c r="J12" s="15">
        <f t="shared" si="12"/>
        <v>0.75300000000000011</v>
      </c>
      <c r="K12" s="15">
        <f>VLOOKUP(A:A,[1]TDSheet!$A:$L,12,0)</f>
        <v>0</v>
      </c>
      <c r="L12" s="15">
        <f>VLOOKUP(A:A,[1]TDSheet!$A:$T,20,0)</f>
        <v>30</v>
      </c>
      <c r="M12" s="15"/>
      <c r="N12" s="17">
        <v>20</v>
      </c>
      <c r="O12" s="15"/>
      <c r="P12" s="15"/>
      <c r="Q12" s="17">
        <v>100</v>
      </c>
      <c r="R12" s="17">
        <v>30</v>
      </c>
      <c r="S12" s="15">
        <f t="shared" si="13"/>
        <v>24.070599999999999</v>
      </c>
      <c r="T12" s="17">
        <v>30</v>
      </c>
      <c r="U12" s="18">
        <f t="shared" si="14"/>
        <v>11.734854968301581</v>
      </c>
      <c r="V12" s="15">
        <f t="shared" si="15"/>
        <v>3.0105190564422992</v>
      </c>
      <c r="W12" s="15"/>
      <c r="X12" s="15">
        <v>20</v>
      </c>
      <c r="Y12" s="15"/>
      <c r="Z12" s="15">
        <f>VLOOKUP(A:A,[1]TDSheet!$A:$Z,26,0)</f>
        <v>22.8704</v>
      </c>
      <c r="AA12" s="15">
        <f>VLOOKUP(A:A,[1]TDSheet!$A:$AA,27,0)</f>
        <v>25.218799999999998</v>
      </c>
      <c r="AB12" s="15">
        <f>VLOOKUP(A:A,[1]TDSheet!$A:$AB,28,0)</f>
        <v>24.420500000000001</v>
      </c>
      <c r="AC12" s="15">
        <f>VLOOKUP(A:A,[1]TDSheet!$A:$AC,29,0)</f>
        <v>17.1706</v>
      </c>
      <c r="AD12" s="15">
        <f>VLOOKUP(A:A,[3]TDSheet!$A:$D,4,0)</f>
        <v>16.209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100</v>
      </c>
      <c r="AH12" s="15">
        <f t="shared" si="17"/>
        <v>30</v>
      </c>
      <c r="AI12" s="15">
        <f t="shared" si="18"/>
        <v>30</v>
      </c>
      <c r="AJ12" s="15">
        <f t="shared" si="19"/>
        <v>20</v>
      </c>
      <c r="AK12" s="15"/>
      <c r="AL12" s="15"/>
      <c r="AM12" s="23">
        <f t="shared" si="20"/>
        <v>-0.32660590097463293</v>
      </c>
    </row>
    <row r="13" spans="1:39" s="1" customFormat="1" ht="11.1" customHeight="1" outlineLevel="1" x14ac:dyDescent="0.2">
      <c r="A13" s="7" t="s">
        <v>16</v>
      </c>
      <c r="B13" s="7" t="s">
        <v>9</v>
      </c>
      <c r="C13" s="8">
        <v>540.23800000000006</v>
      </c>
      <c r="D13" s="8">
        <v>493.97899999999998</v>
      </c>
      <c r="E13" s="8">
        <v>446.29599999999999</v>
      </c>
      <c r="F13" s="8">
        <v>558.04499999999996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447.322</v>
      </c>
      <c r="J13" s="15">
        <f t="shared" si="12"/>
        <v>-1.0260000000000105</v>
      </c>
      <c r="K13" s="15">
        <f>VLOOKUP(A:A,[1]TDSheet!$A:$L,12,0)</f>
        <v>100</v>
      </c>
      <c r="L13" s="15">
        <f>VLOOKUP(A:A,[1]TDSheet!$A:$T,20,0)</f>
        <v>0</v>
      </c>
      <c r="M13" s="15"/>
      <c r="N13" s="17"/>
      <c r="O13" s="15"/>
      <c r="P13" s="15"/>
      <c r="Q13" s="17">
        <v>200</v>
      </c>
      <c r="R13" s="17"/>
      <c r="S13" s="15">
        <f t="shared" si="13"/>
        <v>89.259199999999993</v>
      </c>
      <c r="T13" s="17">
        <v>200</v>
      </c>
      <c r="U13" s="18">
        <f t="shared" si="14"/>
        <v>11.853624052198542</v>
      </c>
      <c r="V13" s="15">
        <f t="shared" si="15"/>
        <v>6.2519605822144948</v>
      </c>
      <c r="W13" s="15"/>
      <c r="X13" s="15"/>
      <c r="Y13" s="15"/>
      <c r="Z13" s="15">
        <f>VLOOKUP(A:A,[1]TDSheet!$A:$Z,26,0)</f>
        <v>109.07059999999998</v>
      </c>
      <c r="AA13" s="15">
        <f>VLOOKUP(A:A,[1]TDSheet!$A:$AA,27,0)</f>
        <v>157.797</v>
      </c>
      <c r="AB13" s="15">
        <f>VLOOKUP(A:A,[1]TDSheet!$A:$AB,28,0)</f>
        <v>124.94525</v>
      </c>
      <c r="AC13" s="15">
        <f>VLOOKUP(A:A,[1]TDSheet!$A:$AC,29,0)</f>
        <v>91.473399999999998</v>
      </c>
      <c r="AD13" s="15">
        <f>VLOOKUP(A:A,[3]TDSheet!$A:$D,4,0)</f>
        <v>85.064999999999998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200</v>
      </c>
      <c r="AH13" s="15">
        <f t="shared" si="17"/>
        <v>0</v>
      </c>
      <c r="AI13" s="15">
        <f t="shared" si="18"/>
        <v>200</v>
      </c>
      <c r="AJ13" s="15">
        <f t="shared" si="19"/>
        <v>0</v>
      </c>
      <c r="AK13" s="15"/>
      <c r="AL13" s="15"/>
      <c r="AM13" s="23">
        <f t="shared" si="20"/>
        <v>-4.6988993851614147E-2</v>
      </c>
    </row>
    <row r="14" spans="1:39" s="1" customFormat="1" ht="11.1" customHeight="1" outlineLevel="1" x14ac:dyDescent="0.2">
      <c r="A14" s="7" t="s">
        <v>17</v>
      </c>
      <c r="B14" s="7" t="s">
        <v>8</v>
      </c>
      <c r="C14" s="8">
        <v>966</v>
      </c>
      <c r="D14" s="8">
        <v>209</v>
      </c>
      <c r="E14" s="8">
        <v>272</v>
      </c>
      <c r="F14" s="8">
        <v>896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283</v>
      </c>
      <c r="J14" s="15">
        <f t="shared" si="12"/>
        <v>-11</v>
      </c>
      <c r="K14" s="15">
        <f>VLOOKUP(A:A,[1]TDSheet!$A:$L,12,0)</f>
        <v>0</v>
      </c>
      <c r="L14" s="15">
        <f>VLOOKUP(A:A,[1]TDSheet!$A:$T,20,0)</f>
        <v>0</v>
      </c>
      <c r="M14" s="15"/>
      <c r="N14" s="17"/>
      <c r="O14" s="15"/>
      <c r="P14" s="15"/>
      <c r="Q14" s="17"/>
      <c r="R14" s="17"/>
      <c r="S14" s="15">
        <f t="shared" si="13"/>
        <v>54.4</v>
      </c>
      <c r="T14" s="17"/>
      <c r="U14" s="18">
        <f t="shared" si="14"/>
        <v>16.47058823529412</v>
      </c>
      <c r="V14" s="15">
        <f t="shared" si="15"/>
        <v>16.47058823529412</v>
      </c>
      <c r="W14" s="15"/>
      <c r="X14" s="15"/>
      <c r="Y14" s="15"/>
      <c r="Z14" s="15">
        <f>VLOOKUP(A:A,[1]TDSheet!$A:$Z,26,0)</f>
        <v>64.8</v>
      </c>
      <c r="AA14" s="15">
        <f>VLOOKUP(A:A,[1]TDSheet!$A:$AA,27,0)</f>
        <v>126.2</v>
      </c>
      <c r="AB14" s="15">
        <f>VLOOKUP(A:A,[1]TDSheet!$A:$AB,28,0)</f>
        <v>72.75</v>
      </c>
      <c r="AC14" s="15">
        <f>VLOOKUP(A:A,[1]TDSheet!$A:$AC,29,0)</f>
        <v>70.599999999999994</v>
      </c>
      <c r="AD14" s="15">
        <f>VLOOKUP(A:A,[3]TDSheet!$A:$D,4,0)</f>
        <v>46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>
        <f t="shared" si="19"/>
        <v>0</v>
      </c>
      <c r="AK14" s="15"/>
      <c r="AL14" s="15"/>
      <c r="AM14" s="23">
        <f t="shared" si="20"/>
        <v>-0.15441176470588236</v>
      </c>
    </row>
    <row r="15" spans="1:39" s="1" customFormat="1" ht="11.1" customHeight="1" outlineLevel="1" x14ac:dyDescent="0.2">
      <c r="A15" s="7" t="s">
        <v>18</v>
      </c>
      <c r="B15" s="7" t="s">
        <v>9</v>
      </c>
      <c r="C15" s="8">
        <v>57.058999999999997</v>
      </c>
      <c r="D15" s="8">
        <v>29.864000000000001</v>
      </c>
      <c r="E15" s="8">
        <v>80.938000000000002</v>
      </c>
      <c r="F15" s="8">
        <v>5.9850000000000003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87</v>
      </c>
      <c r="J15" s="15">
        <f t="shared" si="12"/>
        <v>-6.0619999999999976</v>
      </c>
      <c r="K15" s="15">
        <f>VLOOKUP(A:A,[1]TDSheet!$A:$L,12,0)</f>
        <v>50</v>
      </c>
      <c r="L15" s="15">
        <f>VLOOKUP(A:A,[1]TDSheet!$A:$T,20,0)</f>
        <v>20</v>
      </c>
      <c r="M15" s="15"/>
      <c r="N15" s="17">
        <v>20</v>
      </c>
      <c r="O15" s="15"/>
      <c r="P15" s="15"/>
      <c r="Q15" s="17">
        <v>30</v>
      </c>
      <c r="R15" s="17"/>
      <c r="S15" s="15">
        <f t="shared" si="13"/>
        <v>16.1876</v>
      </c>
      <c r="T15" s="17">
        <v>30</v>
      </c>
      <c r="U15" s="18">
        <f t="shared" si="14"/>
        <v>9.6360794682349464</v>
      </c>
      <c r="V15" s="15">
        <f t="shared" si="15"/>
        <v>0.36972744569917715</v>
      </c>
      <c r="W15" s="15"/>
      <c r="X15" s="15">
        <v>20</v>
      </c>
      <c r="Y15" s="15"/>
      <c r="Z15" s="15">
        <f>VLOOKUP(A:A,[1]TDSheet!$A:$Z,26,0)</f>
        <v>14.012799999999999</v>
      </c>
      <c r="AA15" s="15">
        <f>VLOOKUP(A:A,[1]TDSheet!$A:$AA,27,0)</f>
        <v>18.4986</v>
      </c>
      <c r="AB15" s="15">
        <f>VLOOKUP(A:A,[1]TDSheet!$A:$AB,28,0)</f>
        <v>17.0975</v>
      </c>
      <c r="AC15" s="15">
        <f>VLOOKUP(A:A,[1]TDSheet!$A:$AC,29,0)</f>
        <v>4.2134</v>
      </c>
      <c r="AD15" s="15">
        <v>0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0</v>
      </c>
      <c r="AI15" s="15">
        <f t="shared" si="18"/>
        <v>30</v>
      </c>
      <c r="AJ15" s="15">
        <f t="shared" si="19"/>
        <v>20</v>
      </c>
      <c r="AK15" s="15"/>
      <c r="AL15" s="15"/>
      <c r="AM15" s="23">
        <f t="shared" si="20"/>
        <v>-1</v>
      </c>
    </row>
    <row r="16" spans="1:39" s="1" customFormat="1" ht="11.1" customHeight="1" outlineLevel="1" x14ac:dyDescent="0.2">
      <c r="A16" s="7" t="s">
        <v>19</v>
      </c>
      <c r="B16" s="7" t="s">
        <v>9</v>
      </c>
      <c r="C16" s="8">
        <v>9.0269999999999992</v>
      </c>
      <c r="D16" s="8">
        <v>21.073</v>
      </c>
      <c r="E16" s="8">
        <v>22.553000000000001</v>
      </c>
      <c r="F16" s="8">
        <v>7.5469999999999997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21</v>
      </c>
      <c r="J16" s="15">
        <f t="shared" si="12"/>
        <v>1.5530000000000008</v>
      </c>
      <c r="K16" s="15">
        <f>VLOOKUP(A:A,[1]TDSheet!$A:$L,12,0)</f>
        <v>50</v>
      </c>
      <c r="L16" s="15">
        <f>VLOOKUP(A:A,[1]TDSheet!$A:$T,20,0)</f>
        <v>0</v>
      </c>
      <c r="M16" s="15"/>
      <c r="N16" s="17">
        <v>50</v>
      </c>
      <c r="O16" s="15"/>
      <c r="P16" s="15"/>
      <c r="Q16" s="17"/>
      <c r="R16" s="17"/>
      <c r="S16" s="15">
        <f t="shared" si="13"/>
        <v>4.5106000000000002</v>
      </c>
      <c r="T16" s="17"/>
      <c r="U16" s="18">
        <f t="shared" si="14"/>
        <v>23.843169423136612</v>
      </c>
      <c r="V16" s="15">
        <f t="shared" si="15"/>
        <v>1.6731698665366026</v>
      </c>
      <c r="W16" s="15"/>
      <c r="X16" s="15">
        <v>50</v>
      </c>
      <c r="Y16" s="15"/>
      <c r="Z16" s="15">
        <f>VLOOKUP(A:A,[1]TDSheet!$A:$Z,26,0)</f>
        <v>3.5884</v>
      </c>
      <c r="AA16" s="15">
        <f>VLOOKUP(A:A,[1]TDSheet!$A:$AA,27,0)</f>
        <v>8.7018000000000004</v>
      </c>
      <c r="AB16" s="15">
        <f>VLOOKUP(A:A,[1]TDSheet!$A:$AB,28,0)</f>
        <v>3.7162500000000001</v>
      </c>
      <c r="AC16" s="15">
        <f>VLOOKUP(A:A,[1]TDSheet!$A:$AC,29,0)</f>
        <v>4.1818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>
        <f t="shared" si="19"/>
        <v>50</v>
      </c>
      <c r="AK16" s="15"/>
      <c r="AL16" s="15"/>
      <c r="AM16" s="23">
        <f t="shared" si="20"/>
        <v>-1</v>
      </c>
    </row>
    <row r="17" spans="1:39" s="1" customFormat="1" ht="11.1" customHeight="1" outlineLevel="1" x14ac:dyDescent="0.2">
      <c r="A17" s="7" t="s">
        <v>20</v>
      </c>
      <c r="B17" s="7" t="s">
        <v>8</v>
      </c>
      <c r="C17" s="8">
        <v>1704</v>
      </c>
      <c r="D17" s="8">
        <v>628</v>
      </c>
      <c r="E17" s="8">
        <v>705</v>
      </c>
      <c r="F17" s="8">
        <v>1599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737</v>
      </c>
      <c r="J17" s="15">
        <f t="shared" si="12"/>
        <v>-32</v>
      </c>
      <c r="K17" s="15">
        <f>VLOOKUP(A:A,[1]TDSheet!$A:$L,12,0)</f>
        <v>0</v>
      </c>
      <c r="L17" s="15">
        <f>VLOOKUP(A:A,[1]TDSheet!$A:$T,20,0)</f>
        <v>0</v>
      </c>
      <c r="M17" s="15"/>
      <c r="N17" s="17"/>
      <c r="O17" s="15"/>
      <c r="P17" s="15"/>
      <c r="Q17" s="17"/>
      <c r="R17" s="17"/>
      <c r="S17" s="15">
        <f t="shared" si="13"/>
        <v>141</v>
      </c>
      <c r="T17" s="17">
        <v>800</v>
      </c>
      <c r="U17" s="18">
        <f t="shared" si="14"/>
        <v>17.01418439716312</v>
      </c>
      <c r="V17" s="15">
        <f t="shared" si="15"/>
        <v>11.340425531914894</v>
      </c>
      <c r="W17" s="15"/>
      <c r="X17" s="15"/>
      <c r="Y17" s="15"/>
      <c r="Z17" s="15">
        <f>VLOOKUP(A:A,[1]TDSheet!$A:$Z,26,0)</f>
        <v>175</v>
      </c>
      <c r="AA17" s="15">
        <f>VLOOKUP(A:A,[1]TDSheet!$A:$AA,27,0)</f>
        <v>268.60000000000002</v>
      </c>
      <c r="AB17" s="15">
        <f>VLOOKUP(A:A,[1]TDSheet!$A:$AB,28,0)</f>
        <v>160.75</v>
      </c>
      <c r="AC17" s="15">
        <f>VLOOKUP(A:A,[1]TDSheet!$A:$AC,29,0)</f>
        <v>143.6</v>
      </c>
      <c r="AD17" s="15">
        <f>VLOOKUP(A:A,[3]TDSheet!$A:$D,4,0)</f>
        <v>93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>
        <f t="shared" si="19"/>
        <v>0</v>
      </c>
      <c r="AK17" s="15"/>
      <c r="AL17" s="15"/>
      <c r="AM17" s="23">
        <f t="shared" si="20"/>
        <v>-0.34042553191489366</v>
      </c>
    </row>
    <row r="18" spans="1:39" s="1" customFormat="1" ht="11.1" customHeight="1" outlineLevel="1" x14ac:dyDescent="0.2">
      <c r="A18" s="7" t="s">
        <v>21</v>
      </c>
      <c r="B18" s="7" t="s">
        <v>9</v>
      </c>
      <c r="C18" s="8">
        <v>657.21299999999997</v>
      </c>
      <c r="D18" s="8">
        <v>985.428</v>
      </c>
      <c r="E18" s="8">
        <v>739.91800000000001</v>
      </c>
      <c r="F18" s="8">
        <v>885.37300000000005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743.00800000000004</v>
      </c>
      <c r="J18" s="15">
        <f t="shared" si="12"/>
        <v>-3.0900000000000318</v>
      </c>
      <c r="K18" s="15">
        <f>VLOOKUP(A:A,[1]TDSheet!$A:$L,12,0)</f>
        <v>300</v>
      </c>
      <c r="L18" s="15">
        <f>VLOOKUP(A:A,[1]TDSheet!$A:$T,20,0)</f>
        <v>0</v>
      </c>
      <c r="M18" s="15"/>
      <c r="N18" s="17">
        <v>100</v>
      </c>
      <c r="O18" s="15"/>
      <c r="P18" s="15"/>
      <c r="Q18" s="17">
        <v>200</v>
      </c>
      <c r="R18" s="17">
        <v>100</v>
      </c>
      <c r="S18" s="15">
        <f t="shared" si="13"/>
        <v>147.9836</v>
      </c>
      <c r="T18" s="17">
        <v>200</v>
      </c>
      <c r="U18" s="18">
        <f t="shared" si="14"/>
        <v>12.064667976721745</v>
      </c>
      <c r="V18" s="15">
        <f t="shared" si="15"/>
        <v>5.9829129714373757</v>
      </c>
      <c r="W18" s="15"/>
      <c r="X18" s="15">
        <v>100</v>
      </c>
      <c r="Y18" s="15"/>
      <c r="Z18" s="15">
        <f>VLOOKUP(A:A,[1]TDSheet!$A:$Z,26,0)</f>
        <v>178.64339999999999</v>
      </c>
      <c r="AA18" s="15">
        <f>VLOOKUP(A:A,[1]TDSheet!$A:$AA,27,0)</f>
        <v>292.82139999999998</v>
      </c>
      <c r="AB18" s="15">
        <f>VLOOKUP(A:A,[1]TDSheet!$A:$AB,28,0)</f>
        <v>132.84925000000001</v>
      </c>
      <c r="AC18" s="15">
        <f>VLOOKUP(A:A,[1]TDSheet!$A:$AC,29,0)</f>
        <v>170.76300000000001</v>
      </c>
      <c r="AD18" s="15">
        <f>VLOOKUP(A:A,[3]TDSheet!$A:$D,4,0)</f>
        <v>164.44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200</v>
      </c>
      <c r="AH18" s="15">
        <f t="shared" si="17"/>
        <v>100</v>
      </c>
      <c r="AI18" s="15">
        <f t="shared" si="18"/>
        <v>200</v>
      </c>
      <c r="AJ18" s="15">
        <f t="shared" si="19"/>
        <v>100</v>
      </c>
      <c r="AK18" s="15"/>
      <c r="AL18" s="15"/>
      <c r="AM18" s="23">
        <f t="shared" si="20"/>
        <v>0.11120421452106855</v>
      </c>
    </row>
    <row r="19" spans="1:39" s="1" customFormat="1" ht="11.1" customHeight="1" outlineLevel="1" x14ac:dyDescent="0.2">
      <c r="A19" s="7" t="s">
        <v>22</v>
      </c>
      <c r="B19" s="7" t="s">
        <v>8</v>
      </c>
      <c r="C19" s="8">
        <v>229</v>
      </c>
      <c r="D19" s="8">
        <v>332</v>
      </c>
      <c r="E19" s="8">
        <v>252</v>
      </c>
      <c r="F19" s="8">
        <v>300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267</v>
      </c>
      <c r="J19" s="15">
        <f t="shared" si="12"/>
        <v>-15</v>
      </c>
      <c r="K19" s="15">
        <f>VLOOKUP(A:A,[1]TDSheet!$A:$L,12,0)</f>
        <v>40</v>
      </c>
      <c r="L19" s="15">
        <f>VLOOKUP(A:A,[1]TDSheet!$A:$T,20,0)</f>
        <v>0</v>
      </c>
      <c r="M19" s="15"/>
      <c r="N19" s="17"/>
      <c r="O19" s="15"/>
      <c r="P19" s="15"/>
      <c r="Q19" s="17">
        <v>80</v>
      </c>
      <c r="R19" s="17">
        <v>40</v>
      </c>
      <c r="S19" s="15">
        <f t="shared" si="13"/>
        <v>50.4</v>
      </c>
      <c r="T19" s="17">
        <v>80</v>
      </c>
      <c r="U19" s="18">
        <f t="shared" si="14"/>
        <v>10.714285714285715</v>
      </c>
      <c r="V19" s="15">
        <f t="shared" si="15"/>
        <v>5.9523809523809526</v>
      </c>
      <c r="W19" s="15"/>
      <c r="X19" s="15"/>
      <c r="Y19" s="15"/>
      <c r="Z19" s="15">
        <f>VLOOKUP(A:A,[1]TDSheet!$A:$Z,26,0)</f>
        <v>64.2</v>
      </c>
      <c r="AA19" s="15">
        <f>VLOOKUP(A:A,[1]TDSheet!$A:$AA,27,0)</f>
        <v>90.6</v>
      </c>
      <c r="AB19" s="15">
        <f>VLOOKUP(A:A,[1]TDSheet!$A:$AB,28,0)</f>
        <v>59.75</v>
      </c>
      <c r="AC19" s="15">
        <f>VLOOKUP(A:A,[1]TDSheet!$A:$AC,29,0)</f>
        <v>55.2</v>
      </c>
      <c r="AD19" s="15">
        <f>VLOOKUP(A:A,[3]TDSheet!$A:$D,4,0)</f>
        <v>36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12</v>
      </c>
      <c r="AH19" s="15">
        <f t="shared" si="17"/>
        <v>6</v>
      </c>
      <c r="AI19" s="15">
        <f t="shared" si="18"/>
        <v>12</v>
      </c>
      <c r="AJ19" s="15">
        <f t="shared" si="19"/>
        <v>0</v>
      </c>
      <c r="AK19" s="15"/>
      <c r="AL19" s="15"/>
      <c r="AM19" s="23">
        <f t="shared" si="20"/>
        <v>-0.2857142857142857</v>
      </c>
    </row>
    <row r="20" spans="1:39" s="1" customFormat="1" ht="11.1" customHeight="1" outlineLevel="1" x14ac:dyDescent="0.2">
      <c r="A20" s="7" t="s">
        <v>23</v>
      </c>
      <c r="B20" s="7" t="s">
        <v>9</v>
      </c>
      <c r="C20" s="8">
        <v>159.65</v>
      </c>
      <c r="D20" s="8"/>
      <c r="E20" s="8">
        <v>25.95</v>
      </c>
      <c r="F20" s="8">
        <v>131.71199999999999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24.6</v>
      </c>
      <c r="J20" s="15">
        <f t="shared" si="12"/>
        <v>1.3499999999999979</v>
      </c>
      <c r="K20" s="15">
        <f>VLOOKUP(A:A,[1]TDSheet!$A:$L,12,0)</f>
        <v>0</v>
      </c>
      <c r="L20" s="15">
        <f>VLOOKUP(A:A,[1]TDSheet!$A:$T,20,0)</f>
        <v>0</v>
      </c>
      <c r="M20" s="15"/>
      <c r="N20" s="17"/>
      <c r="O20" s="15"/>
      <c r="P20" s="15"/>
      <c r="Q20" s="17"/>
      <c r="R20" s="17"/>
      <c r="S20" s="15">
        <f t="shared" si="13"/>
        <v>5.1899999999999995</v>
      </c>
      <c r="T20" s="17"/>
      <c r="U20" s="18">
        <f t="shared" si="14"/>
        <v>25.378034682080926</v>
      </c>
      <c r="V20" s="15">
        <f t="shared" si="15"/>
        <v>25.378034682080926</v>
      </c>
      <c r="W20" s="15"/>
      <c r="X20" s="15"/>
      <c r="Y20" s="15"/>
      <c r="Z20" s="15">
        <f>VLOOKUP(A:A,[1]TDSheet!$A:$Z,26,0)</f>
        <v>14.2392</v>
      </c>
      <c r="AA20" s="15">
        <f>VLOOKUP(A:A,[1]TDSheet!$A:$AA,27,0)</f>
        <v>14.5532</v>
      </c>
      <c r="AB20" s="15">
        <f>VLOOKUP(A:A,[1]TDSheet!$A:$AB,28,0)</f>
        <v>13.509499999999999</v>
      </c>
      <c r="AC20" s="15">
        <f>VLOOKUP(A:A,[1]TDSheet!$A:$AC,29,0)</f>
        <v>6.6372</v>
      </c>
      <c r="AD20" s="15">
        <f>VLOOKUP(A:A,[3]TDSheet!$A:$D,4,0)</f>
        <v>0.496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>
        <f t="shared" si="19"/>
        <v>0</v>
      </c>
      <c r="AK20" s="15"/>
      <c r="AL20" s="15"/>
      <c r="AM20" s="23">
        <f t="shared" si="20"/>
        <v>-0.90443159922928706</v>
      </c>
    </row>
    <row r="21" spans="1:39" s="1" customFormat="1" ht="11.1" customHeight="1" outlineLevel="1" x14ac:dyDescent="0.2">
      <c r="A21" s="7" t="s">
        <v>24</v>
      </c>
      <c r="B21" s="7" t="s">
        <v>9</v>
      </c>
      <c r="C21" s="8">
        <v>307.84800000000001</v>
      </c>
      <c r="D21" s="8">
        <v>215.28800000000001</v>
      </c>
      <c r="E21" s="8">
        <v>236.27500000000001</v>
      </c>
      <c r="F21" s="8">
        <v>266.41199999999998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243.13</v>
      </c>
      <c r="J21" s="15">
        <f t="shared" si="12"/>
        <v>-6.8549999999999898</v>
      </c>
      <c r="K21" s="15">
        <f>VLOOKUP(A:A,[1]TDSheet!$A:$L,12,0)</f>
        <v>0</v>
      </c>
      <c r="L21" s="15">
        <f>VLOOKUP(A:A,[1]TDSheet!$A:$T,20,0)</f>
        <v>0</v>
      </c>
      <c r="M21" s="15"/>
      <c r="N21" s="17">
        <v>50</v>
      </c>
      <c r="O21" s="15"/>
      <c r="P21" s="15"/>
      <c r="Q21" s="17">
        <v>150</v>
      </c>
      <c r="R21" s="17">
        <v>50</v>
      </c>
      <c r="S21" s="15">
        <f t="shared" si="13"/>
        <v>47.255000000000003</v>
      </c>
      <c r="T21" s="17">
        <v>50</v>
      </c>
      <c r="U21" s="18">
        <f t="shared" si="14"/>
        <v>11.986287165379325</v>
      </c>
      <c r="V21" s="15">
        <f t="shared" si="15"/>
        <v>5.6377526187704996</v>
      </c>
      <c r="W21" s="15"/>
      <c r="X21" s="15">
        <v>50</v>
      </c>
      <c r="Y21" s="15"/>
      <c r="Z21" s="15">
        <f>VLOOKUP(A:A,[1]TDSheet!$A:$Z,26,0)</f>
        <v>54.565800000000003</v>
      </c>
      <c r="AA21" s="15">
        <f>VLOOKUP(A:A,[1]TDSheet!$A:$AA,27,0)</f>
        <v>81.504600000000011</v>
      </c>
      <c r="AB21" s="15">
        <f>VLOOKUP(A:A,[1]TDSheet!$A:$AB,28,0)</f>
        <v>72.723249999999993</v>
      </c>
      <c r="AC21" s="15">
        <f>VLOOKUP(A:A,[1]TDSheet!$A:$AC,29,0)</f>
        <v>39.423999999999999</v>
      </c>
      <c r="AD21" s="15">
        <f>VLOOKUP(A:A,[3]TDSheet!$A:$D,4,0)</f>
        <v>29.945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150</v>
      </c>
      <c r="AH21" s="15">
        <f t="shared" si="17"/>
        <v>50</v>
      </c>
      <c r="AI21" s="15">
        <f t="shared" si="18"/>
        <v>50</v>
      </c>
      <c r="AJ21" s="15">
        <f t="shared" si="19"/>
        <v>50</v>
      </c>
      <c r="AK21" s="15"/>
      <c r="AL21" s="15"/>
      <c r="AM21" s="23">
        <f t="shared" si="20"/>
        <v>-0.36631044333932916</v>
      </c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2987</v>
      </c>
      <c r="D22" s="8">
        <v>421</v>
      </c>
      <c r="E22" s="8">
        <v>1163</v>
      </c>
      <c r="F22" s="8">
        <v>2226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1182</v>
      </c>
      <c r="J22" s="15">
        <f t="shared" si="12"/>
        <v>-19</v>
      </c>
      <c r="K22" s="15">
        <f>VLOOKUP(A:A,[1]TDSheet!$A:$L,12,0)</f>
        <v>0</v>
      </c>
      <c r="L22" s="15">
        <f>VLOOKUP(A:A,[1]TDSheet!$A:$T,20,0)</f>
        <v>0</v>
      </c>
      <c r="M22" s="15"/>
      <c r="N22" s="17"/>
      <c r="O22" s="15"/>
      <c r="P22" s="15"/>
      <c r="Q22" s="17"/>
      <c r="R22" s="17"/>
      <c r="S22" s="15">
        <f t="shared" si="13"/>
        <v>232.6</v>
      </c>
      <c r="T22" s="17">
        <v>1600</v>
      </c>
      <c r="U22" s="18">
        <f t="shared" si="14"/>
        <v>16.448839208942392</v>
      </c>
      <c r="V22" s="15">
        <f t="shared" si="15"/>
        <v>9.5700773860705084</v>
      </c>
      <c r="W22" s="15"/>
      <c r="X22" s="15"/>
      <c r="Y22" s="15"/>
      <c r="Z22" s="15">
        <f>VLOOKUP(A:A,[1]TDSheet!$A:$Z,26,0)</f>
        <v>292.2</v>
      </c>
      <c r="AA22" s="15">
        <f>VLOOKUP(A:A,[1]TDSheet!$A:$AA,27,0)</f>
        <v>380.8</v>
      </c>
      <c r="AB22" s="15">
        <f>VLOOKUP(A:A,[1]TDSheet!$A:$AB,28,0)</f>
        <v>234.25</v>
      </c>
      <c r="AC22" s="15">
        <f>VLOOKUP(A:A,[1]TDSheet!$A:$AC,29,0)</f>
        <v>218.8</v>
      </c>
      <c r="AD22" s="15">
        <f>VLOOKUP(A:A,[3]TDSheet!$A:$D,4,0)</f>
        <v>159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352</v>
      </c>
      <c r="AJ22" s="15">
        <f t="shared" si="19"/>
        <v>0</v>
      </c>
      <c r="AK22" s="15"/>
      <c r="AL22" s="15"/>
      <c r="AM22" s="23">
        <f t="shared" si="20"/>
        <v>-0.31642304385210662</v>
      </c>
    </row>
    <row r="23" spans="1:39" s="1" customFormat="1" ht="11.1" customHeight="1" outlineLevel="1" x14ac:dyDescent="0.2">
      <c r="A23" s="7" t="s">
        <v>26</v>
      </c>
      <c r="B23" s="7" t="s">
        <v>9</v>
      </c>
      <c r="C23" s="8">
        <v>25.824000000000002</v>
      </c>
      <c r="D23" s="8">
        <v>16.216999999999999</v>
      </c>
      <c r="E23" s="8">
        <v>12.252000000000001</v>
      </c>
      <c r="F23" s="8">
        <v>29.789000000000001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11.5</v>
      </c>
      <c r="J23" s="15">
        <f t="shared" si="12"/>
        <v>0.75200000000000067</v>
      </c>
      <c r="K23" s="15">
        <f>VLOOKUP(A:A,[1]TDSheet!$A:$L,12,0)</f>
        <v>0</v>
      </c>
      <c r="L23" s="15">
        <f>VLOOKUP(A:A,[1]TDSheet!$A:$T,20,0)</f>
        <v>0</v>
      </c>
      <c r="M23" s="15"/>
      <c r="N23" s="17"/>
      <c r="O23" s="15"/>
      <c r="P23" s="15"/>
      <c r="Q23" s="17"/>
      <c r="R23" s="17"/>
      <c r="S23" s="15">
        <f t="shared" si="13"/>
        <v>2.4504000000000001</v>
      </c>
      <c r="T23" s="17"/>
      <c r="U23" s="18">
        <f t="shared" si="14"/>
        <v>12.156790728044401</v>
      </c>
      <c r="V23" s="15">
        <f t="shared" si="15"/>
        <v>12.156790728044401</v>
      </c>
      <c r="W23" s="15"/>
      <c r="X23" s="15"/>
      <c r="Y23" s="15"/>
      <c r="Z23" s="15">
        <f>VLOOKUP(A:A,[1]TDSheet!$A:$Z,26,0)</f>
        <v>2.7042000000000002</v>
      </c>
      <c r="AA23" s="15">
        <f>VLOOKUP(A:A,[1]TDSheet!$A:$AA,27,0)</f>
        <v>6.5171999999999999</v>
      </c>
      <c r="AB23" s="15">
        <f>VLOOKUP(A:A,[1]TDSheet!$A:$AB,28,0)</f>
        <v>5.4337499999999999</v>
      </c>
      <c r="AC23" s="15">
        <f>VLOOKUP(A:A,[1]TDSheet!$A:$AC,29,0)</f>
        <v>3.5173999999999999</v>
      </c>
      <c r="AD23" s="15">
        <f>VLOOKUP(A:A,[3]TDSheet!$A:$D,4,0)</f>
        <v>2.359</v>
      </c>
      <c r="AE23" s="15">
        <f>VLOOKUP(A:A,[1]TDSheet!$A:$AE,31,0)</f>
        <v>0</v>
      </c>
      <c r="AF23" s="21" t="str">
        <f>VLOOKUP(A:A,[1]TDSheet!$A:$AF,32,0)</f>
        <v>увел</v>
      </c>
      <c r="AG23" s="15">
        <f t="shared" si="16"/>
        <v>0</v>
      </c>
      <c r="AH23" s="15">
        <f t="shared" si="17"/>
        <v>0</v>
      </c>
      <c r="AI23" s="15">
        <f t="shared" si="18"/>
        <v>0</v>
      </c>
      <c r="AJ23" s="15">
        <f t="shared" si="19"/>
        <v>0</v>
      </c>
      <c r="AK23" s="15"/>
      <c r="AL23" s="15"/>
      <c r="AM23" s="23">
        <f t="shared" si="20"/>
        <v>-3.7300032647731074E-2</v>
      </c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564</v>
      </c>
      <c r="D24" s="8">
        <v>506</v>
      </c>
      <c r="E24" s="8">
        <v>422</v>
      </c>
      <c r="F24" s="8">
        <v>638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435</v>
      </c>
      <c r="J24" s="15">
        <f t="shared" si="12"/>
        <v>-13</v>
      </c>
      <c r="K24" s="15">
        <f>VLOOKUP(A:A,[1]TDSheet!$A:$L,12,0)</f>
        <v>120</v>
      </c>
      <c r="L24" s="15">
        <f>VLOOKUP(A:A,[1]TDSheet!$A:$T,20,0)</f>
        <v>0</v>
      </c>
      <c r="M24" s="15"/>
      <c r="N24" s="17">
        <v>40</v>
      </c>
      <c r="O24" s="15"/>
      <c r="P24" s="15"/>
      <c r="Q24" s="17"/>
      <c r="R24" s="17">
        <v>40</v>
      </c>
      <c r="S24" s="15">
        <f t="shared" si="13"/>
        <v>84.4</v>
      </c>
      <c r="T24" s="17">
        <v>80</v>
      </c>
      <c r="U24" s="18">
        <f t="shared" si="14"/>
        <v>10.876777251184834</v>
      </c>
      <c r="V24" s="15">
        <f t="shared" si="15"/>
        <v>7.5592417061611368</v>
      </c>
      <c r="W24" s="15"/>
      <c r="X24" s="15">
        <v>40</v>
      </c>
      <c r="Y24" s="15"/>
      <c r="Z24" s="15">
        <f>VLOOKUP(A:A,[1]TDSheet!$A:$Z,26,0)</f>
        <v>122.4</v>
      </c>
      <c r="AA24" s="15">
        <f>VLOOKUP(A:A,[1]TDSheet!$A:$AA,27,0)</f>
        <v>187</v>
      </c>
      <c r="AB24" s="15">
        <f>VLOOKUP(A:A,[1]TDSheet!$A:$AB,28,0)</f>
        <v>168</v>
      </c>
      <c r="AC24" s="15">
        <f>VLOOKUP(A:A,[1]TDSheet!$A:$AC,29,0)</f>
        <v>107.6</v>
      </c>
      <c r="AD24" s="15">
        <f>VLOOKUP(A:A,[3]TDSheet!$A:$D,4,0)</f>
        <v>49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0</v>
      </c>
      <c r="AH24" s="15">
        <f t="shared" si="17"/>
        <v>3.5999999999999996</v>
      </c>
      <c r="AI24" s="15">
        <f t="shared" si="18"/>
        <v>7.1999999999999993</v>
      </c>
      <c r="AJ24" s="15">
        <f t="shared" si="19"/>
        <v>3.5999999999999996</v>
      </c>
      <c r="AK24" s="15"/>
      <c r="AL24" s="15"/>
      <c r="AM24" s="23">
        <f t="shared" si="20"/>
        <v>-0.41943127962085314</v>
      </c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443</v>
      </c>
      <c r="D25" s="8">
        <v>433</v>
      </c>
      <c r="E25" s="8">
        <v>416</v>
      </c>
      <c r="F25" s="8">
        <v>442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428</v>
      </c>
      <c r="J25" s="15">
        <f t="shared" si="12"/>
        <v>-12</v>
      </c>
      <c r="K25" s="15">
        <f>VLOOKUP(A:A,[1]TDSheet!$A:$L,12,0)</f>
        <v>0</v>
      </c>
      <c r="L25" s="15">
        <f>VLOOKUP(A:A,[1]TDSheet!$A:$T,20,0)</f>
        <v>70</v>
      </c>
      <c r="M25" s="15"/>
      <c r="N25" s="17">
        <v>40</v>
      </c>
      <c r="O25" s="15"/>
      <c r="P25" s="15"/>
      <c r="Q25" s="17">
        <v>200</v>
      </c>
      <c r="R25" s="17">
        <v>80</v>
      </c>
      <c r="S25" s="15">
        <f t="shared" si="13"/>
        <v>83.2</v>
      </c>
      <c r="T25" s="17">
        <v>80</v>
      </c>
      <c r="U25" s="18">
        <f t="shared" si="14"/>
        <v>10.961538461538462</v>
      </c>
      <c r="V25" s="15">
        <f t="shared" si="15"/>
        <v>5.3125</v>
      </c>
      <c r="W25" s="15"/>
      <c r="X25" s="15">
        <v>40</v>
      </c>
      <c r="Y25" s="15"/>
      <c r="Z25" s="15">
        <f>VLOOKUP(A:A,[1]TDSheet!$A:$Z,26,0)</f>
        <v>84.4</v>
      </c>
      <c r="AA25" s="15">
        <f>VLOOKUP(A:A,[1]TDSheet!$A:$AA,27,0)</f>
        <v>123</v>
      </c>
      <c r="AB25" s="15">
        <f>VLOOKUP(A:A,[1]TDSheet!$A:$AB,28,0)</f>
        <v>135</v>
      </c>
      <c r="AC25" s="15">
        <f>VLOOKUP(A:A,[1]TDSheet!$A:$AC,29,0)</f>
        <v>75.8</v>
      </c>
      <c r="AD25" s="15">
        <f>VLOOKUP(A:A,[3]TDSheet!$A:$D,4,0)</f>
        <v>63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18</v>
      </c>
      <c r="AH25" s="15">
        <f t="shared" si="17"/>
        <v>7.1999999999999993</v>
      </c>
      <c r="AI25" s="15">
        <f t="shared" si="18"/>
        <v>7.1999999999999993</v>
      </c>
      <c r="AJ25" s="15">
        <f t="shared" si="19"/>
        <v>3.5999999999999996</v>
      </c>
      <c r="AK25" s="15"/>
      <c r="AL25" s="15"/>
      <c r="AM25" s="23">
        <f t="shared" si="20"/>
        <v>-0.24278846153846156</v>
      </c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121</v>
      </c>
      <c r="D26" s="8">
        <v>124</v>
      </c>
      <c r="E26" s="8">
        <v>124</v>
      </c>
      <c r="F26" s="8">
        <v>118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121</v>
      </c>
      <c r="J26" s="15">
        <f t="shared" si="12"/>
        <v>3</v>
      </c>
      <c r="K26" s="15">
        <f>VLOOKUP(A:A,[1]TDSheet!$A:$L,12,0)</f>
        <v>40</v>
      </c>
      <c r="L26" s="15">
        <f>VLOOKUP(A:A,[1]TDSheet!$A:$T,20,0)</f>
        <v>0</v>
      </c>
      <c r="M26" s="15"/>
      <c r="N26" s="17"/>
      <c r="O26" s="15"/>
      <c r="P26" s="15"/>
      <c r="Q26" s="17">
        <v>40</v>
      </c>
      <c r="R26" s="17">
        <v>40</v>
      </c>
      <c r="S26" s="15">
        <f t="shared" si="13"/>
        <v>24.8</v>
      </c>
      <c r="T26" s="17">
        <v>40</v>
      </c>
      <c r="U26" s="18">
        <f t="shared" si="14"/>
        <v>11.209677419354838</v>
      </c>
      <c r="V26" s="15">
        <f t="shared" si="15"/>
        <v>4.758064516129032</v>
      </c>
      <c r="W26" s="15"/>
      <c r="X26" s="15"/>
      <c r="Y26" s="15"/>
      <c r="Z26" s="15">
        <f>VLOOKUP(A:A,[1]TDSheet!$A:$Z,26,0)</f>
        <v>21</v>
      </c>
      <c r="AA26" s="15">
        <f>VLOOKUP(A:A,[1]TDSheet!$A:$AA,27,0)</f>
        <v>27.4</v>
      </c>
      <c r="AB26" s="15">
        <f>VLOOKUP(A:A,[1]TDSheet!$A:$AB,28,0)</f>
        <v>28.75</v>
      </c>
      <c r="AC26" s="15">
        <f>VLOOKUP(A:A,[1]TDSheet!$A:$AC,29,0)</f>
        <v>24.6</v>
      </c>
      <c r="AD26" s="15">
        <f>VLOOKUP(A:A,[3]TDSheet!$A:$D,4,0)</f>
        <v>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16</v>
      </c>
      <c r="AI26" s="15">
        <f t="shared" si="18"/>
        <v>16</v>
      </c>
      <c r="AJ26" s="15">
        <f t="shared" si="19"/>
        <v>0</v>
      </c>
      <c r="AK26" s="15"/>
      <c r="AL26" s="15"/>
      <c r="AM26" s="23">
        <f t="shared" si="20"/>
        <v>-0.717741935483871</v>
      </c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323</v>
      </c>
      <c r="D27" s="8">
        <v>1062</v>
      </c>
      <c r="E27" s="8">
        <v>716</v>
      </c>
      <c r="F27" s="8">
        <v>647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742</v>
      </c>
      <c r="J27" s="15">
        <f t="shared" si="12"/>
        <v>-26</v>
      </c>
      <c r="K27" s="15">
        <f>VLOOKUP(A:A,[1]TDSheet!$A:$L,12,0)</f>
        <v>120</v>
      </c>
      <c r="L27" s="15">
        <f>VLOOKUP(A:A,[1]TDSheet!$A:$T,20,0)</f>
        <v>40</v>
      </c>
      <c r="M27" s="15"/>
      <c r="N27" s="17"/>
      <c r="O27" s="15"/>
      <c r="P27" s="15"/>
      <c r="Q27" s="17">
        <v>480</v>
      </c>
      <c r="R27" s="17">
        <v>80</v>
      </c>
      <c r="S27" s="15">
        <f t="shared" si="13"/>
        <v>143.19999999999999</v>
      </c>
      <c r="T27" s="17">
        <v>200</v>
      </c>
      <c r="U27" s="18">
        <f t="shared" si="14"/>
        <v>10.942737430167599</v>
      </c>
      <c r="V27" s="15">
        <f t="shared" si="15"/>
        <v>4.5181564245810062</v>
      </c>
      <c r="W27" s="15"/>
      <c r="X27" s="15"/>
      <c r="Y27" s="15"/>
      <c r="Z27" s="15">
        <f>VLOOKUP(A:A,[1]TDSheet!$A:$Z,26,0)</f>
        <v>154.6</v>
      </c>
      <c r="AA27" s="15">
        <f>VLOOKUP(A:A,[1]TDSheet!$A:$AA,27,0)</f>
        <v>204.6</v>
      </c>
      <c r="AB27" s="15">
        <f>VLOOKUP(A:A,[1]TDSheet!$A:$AB,28,0)</f>
        <v>175.25</v>
      </c>
      <c r="AC27" s="15">
        <f>VLOOKUP(A:A,[1]TDSheet!$A:$AC,29,0)</f>
        <v>137</v>
      </c>
      <c r="AD27" s="15">
        <f>VLOOKUP(A:A,[3]TDSheet!$A:$D,4,0)</f>
        <v>103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192</v>
      </c>
      <c r="AH27" s="15">
        <f t="shared" si="17"/>
        <v>32</v>
      </c>
      <c r="AI27" s="15">
        <f t="shared" si="18"/>
        <v>80</v>
      </c>
      <c r="AJ27" s="15">
        <f t="shared" si="19"/>
        <v>0</v>
      </c>
      <c r="AK27" s="15"/>
      <c r="AL27" s="15"/>
      <c r="AM27" s="23">
        <f t="shared" si="20"/>
        <v>-0.28072625698324016</v>
      </c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517</v>
      </c>
      <c r="D28" s="8">
        <v>609</v>
      </c>
      <c r="E28" s="8">
        <v>482</v>
      </c>
      <c r="F28" s="8">
        <v>630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470</v>
      </c>
      <c r="J28" s="15">
        <f t="shared" si="12"/>
        <v>12</v>
      </c>
      <c r="K28" s="15">
        <f>VLOOKUP(A:A,[1]TDSheet!$A:$L,12,0)</f>
        <v>80</v>
      </c>
      <c r="L28" s="15">
        <f>VLOOKUP(A:A,[1]TDSheet!$A:$T,20,0)</f>
        <v>0</v>
      </c>
      <c r="M28" s="15"/>
      <c r="N28" s="17">
        <v>40</v>
      </c>
      <c r="O28" s="15"/>
      <c r="P28" s="15"/>
      <c r="Q28" s="17">
        <v>100</v>
      </c>
      <c r="R28" s="17">
        <v>100</v>
      </c>
      <c r="S28" s="15">
        <f t="shared" si="13"/>
        <v>96.4</v>
      </c>
      <c r="T28" s="17">
        <v>100</v>
      </c>
      <c r="U28" s="18">
        <f t="shared" si="14"/>
        <v>10.892116182572613</v>
      </c>
      <c r="V28" s="15">
        <f t="shared" si="15"/>
        <v>6.5352697095435683</v>
      </c>
      <c r="W28" s="15"/>
      <c r="X28" s="15">
        <v>40</v>
      </c>
      <c r="Y28" s="15"/>
      <c r="Z28" s="15">
        <f>VLOOKUP(A:A,[1]TDSheet!$A:$Z,26,0)</f>
        <v>105.6</v>
      </c>
      <c r="AA28" s="15">
        <f>VLOOKUP(A:A,[1]TDSheet!$A:$AA,27,0)</f>
        <v>161</v>
      </c>
      <c r="AB28" s="15">
        <f>VLOOKUP(A:A,[1]TDSheet!$A:$AB,28,0)</f>
        <v>166.75</v>
      </c>
      <c r="AC28" s="15">
        <f>VLOOKUP(A:A,[1]TDSheet!$A:$AC,29,0)</f>
        <v>109.2</v>
      </c>
      <c r="AD28" s="15">
        <f>VLOOKUP(A:A,[3]TDSheet!$A:$D,4,0)</f>
        <v>41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15</v>
      </c>
      <c r="AH28" s="15">
        <f t="shared" si="17"/>
        <v>15</v>
      </c>
      <c r="AI28" s="15">
        <f t="shared" si="18"/>
        <v>15</v>
      </c>
      <c r="AJ28" s="15">
        <f t="shared" si="19"/>
        <v>6</v>
      </c>
      <c r="AK28" s="15"/>
      <c r="AL28" s="15"/>
      <c r="AM28" s="23">
        <f t="shared" si="20"/>
        <v>-0.57468879668049788</v>
      </c>
    </row>
    <row r="29" spans="1:39" s="1" customFormat="1" ht="11.1" customHeight="1" outlineLevel="1" x14ac:dyDescent="0.2">
      <c r="A29" s="7" t="s">
        <v>32</v>
      </c>
      <c r="B29" s="7" t="s">
        <v>9</v>
      </c>
      <c r="C29" s="8">
        <v>181.71899999999999</v>
      </c>
      <c r="D29" s="8">
        <v>796.85699999999997</v>
      </c>
      <c r="E29" s="8">
        <v>610.43499999999995</v>
      </c>
      <c r="F29" s="8">
        <v>356.935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585.9</v>
      </c>
      <c r="J29" s="15">
        <f t="shared" si="12"/>
        <v>24.534999999999968</v>
      </c>
      <c r="K29" s="15">
        <f>VLOOKUP(A:A,[1]TDSheet!$A:$L,12,0)</f>
        <v>60</v>
      </c>
      <c r="L29" s="15">
        <f>VLOOKUP(A:A,[1]TDSheet!$A:$T,20,0)</f>
        <v>200</v>
      </c>
      <c r="M29" s="15"/>
      <c r="N29" s="17">
        <v>100</v>
      </c>
      <c r="O29" s="15"/>
      <c r="P29" s="15"/>
      <c r="Q29" s="17">
        <v>400</v>
      </c>
      <c r="R29" s="17">
        <v>120</v>
      </c>
      <c r="S29" s="15">
        <f t="shared" si="13"/>
        <v>122.08699999999999</v>
      </c>
      <c r="T29" s="17">
        <v>100</v>
      </c>
      <c r="U29" s="18">
        <f t="shared" si="14"/>
        <v>10.950674518990557</v>
      </c>
      <c r="V29" s="15">
        <f t="shared" si="15"/>
        <v>2.9236118505655804</v>
      </c>
      <c r="W29" s="15"/>
      <c r="X29" s="15">
        <v>100</v>
      </c>
      <c r="Y29" s="15"/>
      <c r="Z29" s="15">
        <f>VLOOKUP(A:A,[1]TDSheet!$A:$Z,26,0)</f>
        <v>84.791200000000003</v>
      </c>
      <c r="AA29" s="15">
        <f>VLOOKUP(A:A,[1]TDSheet!$A:$AA,27,0)</f>
        <v>97.918399999999991</v>
      </c>
      <c r="AB29" s="15">
        <f>VLOOKUP(A:A,[1]TDSheet!$A:$AB,28,0)</f>
        <v>49.542749999999998</v>
      </c>
      <c r="AC29" s="15">
        <f>VLOOKUP(A:A,[1]TDSheet!$A:$AC,29,0)</f>
        <v>94.280200000000008</v>
      </c>
      <c r="AD29" s="15">
        <f>VLOOKUP(A:A,[3]TDSheet!$A:$D,4,0)</f>
        <v>51.156999999999996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400</v>
      </c>
      <c r="AH29" s="15">
        <f t="shared" si="17"/>
        <v>120</v>
      </c>
      <c r="AI29" s="15">
        <f t="shared" si="18"/>
        <v>100</v>
      </c>
      <c r="AJ29" s="15">
        <f t="shared" si="19"/>
        <v>100</v>
      </c>
      <c r="AK29" s="15"/>
      <c r="AL29" s="15"/>
      <c r="AM29" s="23">
        <f t="shared" si="20"/>
        <v>-0.5809791378279423</v>
      </c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9</v>
      </c>
      <c r="D30" s="8">
        <v>160</v>
      </c>
      <c r="E30" s="8">
        <v>56</v>
      </c>
      <c r="F30" s="8">
        <v>113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56</v>
      </c>
      <c r="J30" s="15">
        <f t="shared" si="12"/>
        <v>0</v>
      </c>
      <c r="K30" s="15">
        <f>VLOOKUP(A:A,[1]TDSheet!$A:$L,12,0)</f>
        <v>0</v>
      </c>
      <c r="L30" s="15">
        <f>VLOOKUP(A:A,[1]TDSheet!$A:$T,20,0)</f>
        <v>0</v>
      </c>
      <c r="M30" s="15"/>
      <c r="N30" s="17">
        <v>40</v>
      </c>
      <c r="O30" s="15"/>
      <c r="P30" s="15"/>
      <c r="Q30" s="17"/>
      <c r="R30" s="17"/>
      <c r="S30" s="15">
        <f t="shared" si="13"/>
        <v>11.2</v>
      </c>
      <c r="T30" s="17"/>
      <c r="U30" s="18">
        <f t="shared" si="14"/>
        <v>13.660714285714286</v>
      </c>
      <c r="V30" s="15">
        <f t="shared" si="15"/>
        <v>10.089285714285715</v>
      </c>
      <c r="W30" s="15"/>
      <c r="X30" s="15">
        <v>40</v>
      </c>
      <c r="Y30" s="15"/>
      <c r="Z30" s="15">
        <f>VLOOKUP(A:A,[1]TDSheet!$A:$Z,26,0)</f>
        <v>15.4</v>
      </c>
      <c r="AA30" s="15">
        <f>VLOOKUP(A:A,[1]TDSheet!$A:$AA,27,0)</f>
        <v>33.200000000000003</v>
      </c>
      <c r="AB30" s="15">
        <f>VLOOKUP(A:A,[1]TDSheet!$A:$AB,28,0)</f>
        <v>14.25</v>
      </c>
      <c r="AC30" s="15">
        <f>VLOOKUP(A:A,[1]TDSheet!$A:$AC,29,0)</f>
        <v>18.8</v>
      </c>
      <c r="AD30" s="15">
        <f>VLOOKUP(A:A,[3]TDSheet!$A:$D,4,0)</f>
        <v>26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0</v>
      </c>
      <c r="AI30" s="15">
        <f t="shared" si="18"/>
        <v>0</v>
      </c>
      <c r="AJ30" s="15">
        <f t="shared" si="19"/>
        <v>16</v>
      </c>
      <c r="AK30" s="15"/>
      <c r="AL30" s="15"/>
      <c r="AM30" s="23">
        <f t="shared" si="20"/>
        <v>1.3214285714285716</v>
      </c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909</v>
      </c>
      <c r="D31" s="8">
        <v>2139</v>
      </c>
      <c r="E31" s="8">
        <v>1571</v>
      </c>
      <c r="F31" s="8">
        <v>1428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1622</v>
      </c>
      <c r="J31" s="15">
        <f t="shared" si="12"/>
        <v>-51</v>
      </c>
      <c r="K31" s="15">
        <f>VLOOKUP(A:A,[1]TDSheet!$A:$L,12,0)</f>
        <v>200</v>
      </c>
      <c r="L31" s="15">
        <f>VLOOKUP(A:A,[1]TDSheet!$A:$T,20,0)</f>
        <v>0</v>
      </c>
      <c r="M31" s="15"/>
      <c r="N31" s="17">
        <v>120</v>
      </c>
      <c r="O31" s="15"/>
      <c r="P31" s="15"/>
      <c r="Q31" s="17">
        <v>1000</v>
      </c>
      <c r="R31" s="17">
        <v>400</v>
      </c>
      <c r="S31" s="15">
        <f t="shared" si="13"/>
        <v>314.2</v>
      </c>
      <c r="T31" s="17">
        <v>400</v>
      </c>
      <c r="U31" s="18">
        <f t="shared" si="14"/>
        <v>11.292170591979632</v>
      </c>
      <c r="V31" s="15">
        <f t="shared" si="15"/>
        <v>4.5448758752387013</v>
      </c>
      <c r="W31" s="15"/>
      <c r="X31" s="15">
        <v>120</v>
      </c>
      <c r="Y31" s="15"/>
      <c r="Z31" s="15">
        <f>VLOOKUP(A:A,[1]TDSheet!$A:$Z,26,0)</f>
        <v>311.2</v>
      </c>
      <c r="AA31" s="15">
        <f>VLOOKUP(A:A,[1]TDSheet!$A:$AA,27,0)</f>
        <v>421.8</v>
      </c>
      <c r="AB31" s="15">
        <f>VLOOKUP(A:A,[1]TDSheet!$A:$AB,28,0)</f>
        <v>325.5</v>
      </c>
      <c r="AC31" s="15">
        <f>VLOOKUP(A:A,[1]TDSheet!$A:$AC,29,0)</f>
        <v>292.8</v>
      </c>
      <c r="AD31" s="15">
        <f>VLOOKUP(A:A,[3]TDSheet!$A:$D,4,0)</f>
        <v>254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400</v>
      </c>
      <c r="AH31" s="15">
        <f t="shared" si="17"/>
        <v>160</v>
      </c>
      <c r="AI31" s="15">
        <f t="shared" si="18"/>
        <v>160</v>
      </c>
      <c r="AJ31" s="15">
        <f t="shared" si="19"/>
        <v>48</v>
      </c>
      <c r="AK31" s="15"/>
      <c r="AL31" s="15"/>
      <c r="AM31" s="23">
        <f t="shared" si="20"/>
        <v>-0.19159770846594526</v>
      </c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3477</v>
      </c>
      <c r="D32" s="8">
        <v>5321</v>
      </c>
      <c r="E32" s="8">
        <v>3943</v>
      </c>
      <c r="F32" s="8">
        <v>4746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4047</v>
      </c>
      <c r="J32" s="15">
        <f t="shared" si="12"/>
        <v>-104</v>
      </c>
      <c r="K32" s="15">
        <f>VLOOKUP(A:A,[1]TDSheet!$A:$L,12,0)</f>
        <v>1000</v>
      </c>
      <c r="L32" s="15">
        <f>VLOOKUP(A:A,[1]TDSheet!$A:$T,20,0)</f>
        <v>0</v>
      </c>
      <c r="M32" s="15"/>
      <c r="N32" s="17"/>
      <c r="O32" s="15"/>
      <c r="P32" s="15"/>
      <c r="Q32" s="17">
        <v>2000</v>
      </c>
      <c r="R32" s="17">
        <v>1000</v>
      </c>
      <c r="S32" s="15">
        <f t="shared" si="13"/>
        <v>788.6</v>
      </c>
      <c r="T32" s="17">
        <v>1000</v>
      </c>
      <c r="U32" s="18">
        <f t="shared" si="14"/>
        <v>12.358610195282779</v>
      </c>
      <c r="V32" s="15">
        <f t="shared" si="15"/>
        <v>6.018260207963479</v>
      </c>
      <c r="W32" s="15"/>
      <c r="X32" s="15"/>
      <c r="Y32" s="15"/>
      <c r="Z32" s="15">
        <f>VLOOKUP(A:A,[1]TDSheet!$A:$Z,26,0)</f>
        <v>891</v>
      </c>
      <c r="AA32" s="15">
        <f>VLOOKUP(A:A,[1]TDSheet!$A:$AA,27,0)</f>
        <v>1223.5999999999999</v>
      </c>
      <c r="AB32" s="15">
        <f>VLOOKUP(A:A,[1]TDSheet!$A:$AB,28,0)</f>
        <v>945.5</v>
      </c>
      <c r="AC32" s="15">
        <f>VLOOKUP(A:A,[1]TDSheet!$A:$AC,29,0)</f>
        <v>864.2</v>
      </c>
      <c r="AD32" s="15">
        <f>VLOOKUP(A:A,[3]TDSheet!$A:$D,4,0)</f>
        <v>649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800</v>
      </c>
      <c r="AH32" s="15">
        <f t="shared" si="17"/>
        <v>400</v>
      </c>
      <c r="AI32" s="15">
        <f t="shared" si="18"/>
        <v>400</v>
      </c>
      <c r="AJ32" s="15">
        <f t="shared" si="19"/>
        <v>0</v>
      </c>
      <c r="AK32" s="15"/>
      <c r="AL32" s="15"/>
      <c r="AM32" s="23">
        <f t="shared" si="20"/>
        <v>-0.17702257164595492</v>
      </c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202</v>
      </c>
      <c r="D33" s="8">
        <v>406</v>
      </c>
      <c r="E33" s="8">
        <v>215</v>
      </c>
      <c r="F33" s="8">
        <v>388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207</v>
      </c>
      <c r="J33" s="15">
        <f t="shared" si="12"/>
        <v>8</v>
      </c>
      <c r="K33" s="15">
        <f>VLOOKUP(A:A,[1]TDSheet!$A:$L,12,0)</f>
        <v>40</v>
      </c>
      <c r="L33" s="15">
        <f>VLOOKUP(A:A,[1]TDSheet!$A:$T,20,0)</f>
        <v>0</v>
      </c>
      <c r="M33" s="15"/>
      <c r="N33" s="17"/>
      <c r="O33" s="15"/>
      <c r="P33" s="15"/>
      <c r="Q33" s="17"/>
      <c r="R33" s="17"/>
      <c r="S33" s="15">
        <f t="shared" si="13"/>
        <v>43</v>
      </c>
      <c r="T33" s="17">
        <v>40</v>
      </c>
      <c r="U33" s="18">
        <f t="shared" si="14"/>
        <v>10.883720930232558</v>
      </c>
      <c r="V33" s="15">
        <f t="shared" si="15"/>
        <v>9.0232558139534884</v>
      </c>
      <c r="W33" s="15"/>
      <c r="X33" s="15"/>
      <c r="Y33" s="15"/>
      <c r="Z33" s="15">
        <f>VLOOKUP(A:A,[1]TDSheet!$A:$Z,26,0)</f>
        <v>60</v>
      </c>
      <c r="AA33" s="15">
        <f>VLOOKUP(A:A,[1]TDSheet!$A:$AA,27,0)</f>
        <v>76.2</v>
      </c>
      <c r="AB33" s="15">
        <f>VLOOKUP(A:A,[1]TDSheet!$A:$AB,28,0)</f>
        <v>59</v>
      </c>
      <c r="AC33" s="15">
        <f>VLOOKUP(A:A,[1]TDSheet!$A:$AC,29,0)</f>
        <v>60</v>
      </c>
      <c r="AD33" s="15">
        <f>VLOOKUP(A:A,[3]TDSheet!$A:$D,4,0)</f>
        <v>48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20</v>
      </c>
      <c r="AJ33" s="15">
        <f t="shared" si="19"/>
        <v>0</v>
      </c>
      <c r="AK33" s="15"/>
      <c r="AL33" s="15"/>
      <c r="AM33" s="23">
        <f t="shared" si="20"/>
        <v>0.11627906976744184</v>
      </c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1302</v>
      </c>
      <c r="D34" s="8">
        <v>1173</v>
      </c>
      <c r="E34" s="8">
        <v>1338</v>
      </c>
      <c r="F34" s="8">
        <v>1083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1403</v>
      </c>
      <c r="J34" s="15">
        <f t="shared" si="12"/>
        <v>-65</v>
      </c>
      <c r="K34" s="15">
        <f>VLOOKUP(A:A,[1]TDSheet!$A:$L,12,0)</f>
        <v>200</v>
      </c>
      <c r="L34" s="15">
        <f>VLOOKUP(A:A,[1]TDSheet!$A:$T,20,0)</f>
        <v>120</v>
      </c>
      <c r="M34" s="15"/>
      <c r="N34" s="17">
        <v>200</v>
      </c>
      <c r="O34" s="15"/>
      <c r="P34" s="15"/>
      <c r="Q34" s="17">
        <v>1000</v>
      </c>
      <c r="R34" s="17">
        <v>200</v>
      </c>
      <c r="S34" s="15">
        <f t="shared" si="13"/>
        <v>267.60000000000002</v>
      </c>
      <c r="T34" s="17">
        <v>400</v>
      </c>
      <c r="U34" s="18">
        <f t="shared" si="14"/>
        <v>11.969357249626308</v>
      </c>
      <c r="V34" s="15">
        <f t="shared" si="15"/>
        <v>4.0470852017937213</v>
      </c>
      <c r="W34" s="15"/>
      <c r="X34" s="15">
        <v>200</v>
      </c>
      <c r="Y34" s="15"/>
      <c r="Z34" s="15">
        <f>VLOOKUP(A:A,[1]TDSheet!$A:$Z,26,0)</f>
        <v>300</v>
      </c>
      <c r="AA34" s="15">
        <f>VLOOKUP(A:A,[1]TDSheet!$A:$AA,27,0)</f>
        <v>424.8</v>
      </c>
      <c r="AB34" s="15">
        <f>VLOOKUP(A:A,[1]TDSheet!$A:$AB,28,0)</f>
        <v>285.5</v>
      </c>
      <c r="AC34" s="15">
        <f>VLOOKUP(A:A,[1]TDSheet!$A:$AC,29,0)</f>
        <v>236.8</v>
      </c>
      <c r="AD34" s="15">
        <f>VLOOKUP(A:A,[3]TDSheet!$A:$D,4,0)</f>
        <v>209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400</v>
      </c>
      <c r="AH34" s="15">
        <f t="shared" si="17"/>
        <v>80</v>
      </c>
      <c r="AI34" s="15">
        <f t="shared" si="18"/>
        <v>160</v>
      </c>
      <c r="AJ34" s="15">
        <f t="shared" si="19"/>
        <v>80</v>
      </c>
      <c r="AK34" s="15"/>
      <c r="AL34" s="15"/>
      <c r="AM34" s="23">
        <f t="shared" si="20"/>
        <v>-0.21898355754858001</v>
      </c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2379</v>
      </c>
      <c r="D35" s="8">
        <v>2905</v>
      </c>
      <c r="E35" s="8">
        <v>2863</v>
      </c>
      <c r="F35" s="8">
        <v>2318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2967</v>
      </c>
      <c r="J35" s="15">
        <f t="shared" si="12"/>
        <v>-104</v>
      </c>
      <c r="K35" s="15">
        <f>VLOOKUP(A:A,[1]TDSheet!$A:$L,12,0)</f>
        <v>600</v>
      </c>
      <c r="L35" s="15">
        <f>VLOOKUP(A:A,[1]TDSheet!$A:$T,20,0)</f>
        <v>120</v>
      </c>
      <c r="M35" s="15"/>
      <c r="N35" s="17"/>
      <c r="O35" s="15"/>
      <c r="P35" s="15"/>
      <c r="Q35" s="17">
        <v>2600</v>
      </c>
      <c r="R35" s="17">
        <v>800</v>
      </c>
      <c r="S35" s="15">
        <f t="shared" si="13"/>
        <v>572.6</v>
      </c>
      <c r="T35" s="17">
        <v>600</v>
      </c>
      <c r="U35" s="18">
        <f t="shared" si="14"/>
        <v>12.29130282920014</v>
      </c>
      <c r="V35" s="15">
        <f t="shared" si="15"/>
        <v>4.0482011875654909</v>
      </c>
      <c r="W35" s="15"/>
      <c r="X35" s="15"/>
      <c r="Y35" s="15"/>
      <c r="Z35" s="15">
        <f>VLOOKUP(A:A,[1]TDSheet!$A:$Z,26,0)</f>
        <v>622.20000000000005</v>
      </c>
      <c r="AA35" s="15">
        <f>VLOOKUP(A:A,[1]TDSheet!$A:$AA,27,0)</f>
        <v>758.4</v>
      </c>
      <c r="AB35" s="15">
        <f>VLOOKUP(A:A,[1]TDSheet!$A:$AB,28,0)</f>
        <v>540.5</v>
      </c>
      <c r="AC35" s="15">
        <f>VLOOKUP(A:A,[1]TDSheet!$A:$AC,29,0)</f>
        <v>517</v>
      </c>
      <c r="AD35" s="15">
        <f>VLOOKUP(A:A,[3]TDSheet!$A:$D,4,0)</f>
        <v>425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1040</v>
      </c>
      <c r="AH35" s="15">
        <f t="shared" si="17"/>
        <v>320</v>
      </c>
      <c r="AI35" s="15">
        <f t="shared" si="18"/>
        <v>240</v>
      </c>
      <c r="AJ35" s="15">
        <f t="shared" si="19"/>
        <v>0</v>
      </c>
      <c r="AK35" s="15"/>
      <c r="AL35" s="15"/>
      <c r="AM35" s="23">
        <f t="shared" si="20"/>
        <v>-0.2577715682850158</v>
      </c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1034</v>
      </c>
      <c r="D36" s="8">
        <v>2318</v>
      </c>
      <c r="E36" s="8">
        <v>1552</v>
      </c>
      <c r="F36" s="8">
        <v>1747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1605</v>
      </c>
      <c r="J36" s="15">
        <f t="shared" si="12"/>
        <v>-53</v>
      </c>
      <c r="K36" s="15">
        <f>VLOOKUP(A:A,[1]TDSheet!$A:$L,12,0)</f>
        <v>140</v>
      </c>
      <c r="L36" s="15">
        <f>VLOOKUP(A:A,[1]TDSheet!$A:$T,20,0)</f>
        <v>0</v>
      </c>
      <c r="M36" s="15"/>
      <c r="N36" s="17">
        <v>140</v>
      </c>
      <c r="O36" s="15"/>
      <c r="P36" s="15"/>
      <c r="Q36" s="17">
        <v>700</v>
      </c>
      <c r="R36" s="17">
        <v>420</v>
      </c>
      <c r="S36" s="15">
        <f t="shared" si="13"/>
        <v>310.39999999999998</v>
      </c>
      <c r="T36" s="17">
        <v>280</v>
      </c>
      <c r="U36" s="18">
        <f t="shared" si="14"/>
        <v>11.040592783505156</v>
      </c>
      <c r="V36" s="15">
        <f t="shared" si="15"/>
        <v>5.6282216494845363</v>
      </c>
      <c r="W36" s="15"/>
      <c r="X36" s="15">
        <v>140</v>
      </c>
      <c r="Y36" s="15"/>
      <c r="Z36" s="15">
        <f>VLOOKUP(A:A,[1]TDSheet!$A:$Z,26,0)</f>
        <v>367.8</v>
      </c>
      <c r="AA36" s="15">
        <f>VLOOKUP(A:A,[1]TDSheet!$A:$AA,27,0)</f>
        <v>477.8</v>
      </c>
      <c r="AB36" s="15">
        <f>VLOOKUP(A:A,[1]TDSheet!$A:$AB,28,0)</f>
        <v>341.25</v>
      </c>
      <c r="AC36" s="15">
        <f>VLOOKUP(A:A,[1]TDSheet!$A:$AC,29,0)</f>
        <v>324</v>
      </c>
      <c r="AD36" s="15">
        <f>VLOOKUP(A:A,[3]TDSheet!$A:$D,4,0)</f>
        <v>262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70</v>
      </c>
      <c r="AH36" s="15">
        <f t="shared" si="17"/>
        <v>42</v>
      </c>
      <c r="AI36" s="15">
        <f t="shared" si="18"/>
        <v>28</v>
      </c>
      <c r="AJ36" s="15">
        <f t="shared" si="19"/>
        <v>14</v>
      </c>
      <c r="AK36" s="15"/>
      <c r="AL36" s="15"/>
      <c r="AM36" s="23">
        <f t="shared" si="20"/>
        <v>-0.15592783505154628</v>
      </c>
    </row>
    <row r="37" spans="1:39" s="1" customFormat="1" ht="11.1" customHeight="1" outlineLevel="1" x14ac:dyDescent="0.2">
      <c r="A37" s="7" t="s">
        <v>40</v>
      </c>
      <c r="B37" s="7" t="s">
        <v>8</v>
      </c>
      <c r="C37" s="8">
        <v>1045</v>
      </c>
      <c r="D37" s="8">
        <v>1889</v>
      </c>
      <c r="E37" s="8">
        <v>1459</v>
      </c>
      <c r="F37" s="8">
        <v>1429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1527</v>
      </c>
      <c r="J37" s="15">
        <f t="shared" si="12"/>
        <v>-68</v>
      </c>
      <c r="K37" s="15">
        <f>VLOOKUP(A:A,[1]TDSheet!$A:$L,12,0)</f>
        <v>150</v>
      </c>
      <c r="L37" s="15">
        <f>VLOOKUP(A:A,[1]TDSheet!$A:$T,20,0)</f>
        <v>100</v>
      </c>
      <c r="M37" s="15"/>
      <c r="N37" s="17">
        <v>120</v>
      </c>
      <c r="O37" s="15"/>
      <c r="P37" s="15"/>
      <c r="Q37" s="17">
        <v>800</v>
      </c>
      <c r="R37" s="17">
        <v>300</v>
      </c>
      <c r="S37" s="15">
        <f t="shared" si="13"/>
        <v>291.8</v>
      </c>
      <c r="T37" s="17">
        <v>300</v>
      </c>
      <c r="U37" s="18">
        <f t="shared" si="14"/>
        <v>10.962988348183687</v>
      </c>
      <c r="V37" s="15">
        <f t="shared" si="15"/>
        <v>4.8971898560657987</v>
      </c>
      <c r="W37" s="15"/>
      <c r="X37" s="15">
        <v>120</v>
      </c>
      <c r="Y37" s="15"/>
      <c r="Z37" s="15">
        <f>VLOOKUP(A:A,[1]TDSheet!$A:$Z,26,0)</f>
        <v>335.6</v>
      </c>
      <c r="AA37" s="15">
        <f>VLOOKUP(A:A,[1]TDSheet!$A:$AA,27,0)</f>
        <v>463.8</v>
      </c>
      <c r="AB37" s="15">
        <f>VLOOKUP(A:A,[1]TDSheet!$A:$AB,28,0)</f>
        <v>328.25</v>
      </c>
      <c r="AC37" s="15">
        <f>VLOOKUP(A:A,[1]TDSheet!$A:$AC,29,0)</f>
        <v>288.60000000000002</v>
      </c>
      <c r="AD37" s="15">
        <f>VLOOKUP(A:A,[3]TDSheet!$A:$D,4,0)</f>
        <v>192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80</v>
      </c>
      <c r="AH37" s="15">
        <f t="shared" si="17"/>
        <v>30</v>
      </c>
      <c r="AI37" s="15">
        <f t="shared" si="18"/>
        <v>30</v>
      </c>
      <c r="AJ37" s="15">
        <f t="shared" si="19"/>
        <v>12</v>
      </c>
      <c r="AK37" s="15"/>
      <c r="AL37" s="15"/>
      <c r="AM37" s="23">
        <f t="shared" si="20"/>
        <v>-0.34201507882111037</v>
      </c>
    </row>
    <row r="38" spans="1:39" s="1" customFormat="1" ht="11.1" customHeight="1" outlineLevel="1" x14ac:dyDescent="0.2">
      <c r="A38" s="7" t="s">
        <v>41</v>
      </c>
      <c r="B38" s="7" t="s">
        <v>8</v>
      </c>
      <c r="C38" s="8">
        <v>753</v>
      </c>
      <c r="D38" s="8">
        <v>1344</v>
      </c>
      <c r="E38" s="8">
        <v>1051</v>
      </c>
      <c r="F38" s="8">
        <v>1002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1091</v>
      </c>
      <c r="J38" s="15">
        <f t="shared" si="12"/>
        <v>-40</v>
      </c>
      <c r="K38" s="15">
        <f>VLOOKUP(A:A,[1]TDSheet!$A:$L,12,0)</f>
        <v>100</v>
      </c>
      <c r="L38" s="15">
        <f>VLOOKUP(A:A,[1]TDSheet!$A:$T,20,0)</f>
        <v>100</v>
      </c>
      <c r="M38" s="15"/>
      <c r="N38" s="17">
        <v>100</v>
      </c>
      <c r="O38" s="15"/>
      <c r="P38" s="15"/>
      <c r="Q38" s="17">
        <v>600</v>
      </c>
      <c r="R38" s="17">
        <v>200</v>
      </c>
      <c r="S38" s="15">
        <f t="shared" si="13"/>
        <v>210.2</v>
      </c>
      <c r="T38" s="17">
        <v>200</v>
      </c>
      <c r="U38" s="18">
        <f t="shared" si="14"/>
        <v>10.951474785918174</v>
      </c>
      <c r="V38" s="15">
        <f t="shared" si="15"/>
        <v>4.7668886774500479</v>
      </c>
      <c r="W38" s="15"/>
      <c r="X38" s="15">
        <v>100</v>
      </c>
      <c r="Y38" s="15"/>
      <c r="Z38" s="15">
        <f>VLOOKUP(A:A,[1]TDSheet!$A:$Z,26,0)</f>
        <v>254.8</v>
      </c>
      <c r="AA38" s="15">
        <f>VLOOKUP(A:A,[1]TDSheet!$A:$AA,27,0)</f>
        <v>332</v>
      </c>
      <c r="AB38" s="15">
        <f>VLOOKUP(A:A,[1]TDSheet!$A:$AB,28,0)</f>
        <v>258.25</v>
      </c>
      <c r="AC38" s="15">
        <f>VLOOKUP(A:A,[1]TDSheet!$A:$AC,29,0)</f>
        <v>205.4</v>
      </c>
      <c r="AD38" s="15">
        <f>VLOOKUP(A:A,[3]TDSheet!$A:$D,4,0)</f>
        <v>151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60</v>
      </c>
      <c r="AH38" s="15">
        <f t="shared" si="17"/>
        <v>20</v>
      </c>
      <c r="AI38" s="15">
        <f t="shared" si="18"/>
        <v>20</v>
      </c>
      <c r="AJ38" s="15">
        <f t="shared" si="19"/>
        <v>10</v>
      </c>
      <c r="AK38" s="15"/>
      <c r="AL38" s="15"/>
      <c r="AM38" s="23">
        <f t="shared" si="20"/>
        <v>-0.28163653663177923</v>
      </c>
    </row>
    <row r="39" spans="1:39" s="1" customFormat="1" ht="11.1" customHeight="1" outlineLevel="1" x14ac:dyDescent="0.2">
      <c r="A39" s="7" t="s">
        <v>42</v>
      </c>
      <c r="B39" s="7" t="s">
        <v>9</v>
      </c>
      <c r="C39" s="8">
        <v>3.8420000000000001</v>
      </c>
      <c r="D39" s="8">
        <v>58.6</v>
      </c>
      <c r="E39" s="8">
        <v>33.119999999999997</v>
      </c>
      <c r="F39" s="8">
        <v>29.321999999999999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41.44</v>
      </c>
      <c r="J39" s="15">
        <f t="shared" si="12"/>
        <v>-8.32</v>
      </c>
      <c r="K39" s="15">
        <f>VLOOKUP(A:A,[1]TDSheet!$A:$L,12,0)</f>
        <v>0</v>
      </c>
      <c r="L39" s="15">
        <f>VLOOKUP(A:A,[1]TDSheet!$A:$T,20,0)</f>
        <v>0</v>
      </c>
      <c r="M39" s="15"/>
      <c r="N39" s="17">
        <v>10</v>
      </c>
      <c r="O39" s="15"/>
      <c r="P39" s="15"/>
      <c r="Q39" s="17">
        <v>30</v>
      </c>
      <c r="R39" s="17"/>
      <c r="S39" s="15">
        <f t="shared" si="13"/>
        <v>6.6239999999999997</v>
      </c>
      <c r="T39" s="17">
        <v>10</v>
      </c>
      <c r="U39" s="18">
        <f t="shared" si="14"/>
        <v>11.974939613526571</v>
      </c>
      <c r="V39" s="15">
        <f t="shared" si="15"/>
        <v>4.4266304347826084</v>
      </c>
      <c r="W39" s="15"/>
      <c r="X39" s="15">
        <v>10</v>
      </c>
      <c r="Y39" s="15"/>
      <c r="Z39" s="15">
        <f>VLOOKUP(A:A,[1]TDSheet!$A:$Z,26,0)</f>
        <v>5.0739999999999998</v>
      </c>
      <c r="AA39" s="15">
        <f>VLOOKUP(A:A,[1]TDSheet!$A:$AA,27,0)</f>
        <v>6.5959999999999992</v>
      </c>
      <c r="AB39" s="15">
        <f>VLOOKUP(A:A,[1]TDSheet!$A:$AB,28,0)</f>
        <v>5.1112500000000001</v>
      </c>
      <c r="AC39" s="15">
        <f>VLOOKUP(A:A,[1]TDSheet!$A:$AC,29,0)</f>
        <v>5.9790000000000001</v>
      </c>
      <c r="AD39" s="15">
        <f>VLOOKUP(A:A,[3]TDSheet!$A:$D,4,0)</f>
        <v>2.4700000000000002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30</v>
      </c>
      <c r="AH39" s="15">
        <f t="shared" si="17"/>
        <v>0</v>
      </c>
      <c r="AI39" s="15">
        <f t="shared" si="18"/>
        <v>10</v>
      </c>
      <c r="AJ39" s="15">
        <f t="shared" si="19"/>
        <v>10</v>
      </c>
      <c r="AK39" s="15"/>
      <c r="AL39" s="15"/>
      <c r="AM39" s="23">
        <f t="shared" si="20"/>
        <v>-0.62711352657004826</v>
      </c>
    </row>
    <row r="40" spans="1:39" s="1" customFormat="1" ht="11.1" customHeight="1" outlineLevel="1" x14ac:dyDescent="0.2">
      <c r="A40" s="7" t="s">
        <v>43</v>
      </c>
      <c r="B40" s="7" t="s">
        <v>8</v>
      </c>
      <c r="C40" s="8">
        <v>229</v>
      </c>
      <c r="D40" s="8">
        <v>307</v>
      </c>
      <c r="E40" s="8">
        <v>316</v>
      </c>
      <c r="F40" s="8">
        <v>208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326</v>
      </c>
      <c r="J40" s="15">
        <f t="shared" si="12"/>
        <v>-10</v>
      </c>
      <c r="K40" s="15">
        <f>VLOOKUP(A:A,[1]TDSheet!$A:$L,12,0)</f>
        <v>30</v>
      </c>
      <c r="L40" s="15">
        <f>VLOOKUP(A:A,[1]TDSheet!$A:$T,20,0)</f>
        <v>60</v>
      </c>
      <c r="M40" s="15"/>
      <c r="N40" s="17">
        <v>60</v>
      </c>
      <c r="O40" s="15"/>
      <c r="P40" s="15"/>
      <c r="Q40" s="17">
        <v>240</v>
      </c>
      <c r="R40" s="17">
        <v>60</v>
      </c>
      <c r="S40" s="15">
        <f t="shared" si="13"/>
        <v>63.2</v>
      </c>
      <c r="T40" s="17">
        <v>60</v>
      </c>
      <c r="U40" s="18">
        <f t="shared" si="14"/>
        <v>11.360759493670885</v>
      </c>
      <c r="V40" s="15">
        <f t="shared" si="15"/>
        <v>3.2911392405063289</v>
      </c>
      <c r="W40" s="15"/>
      <c r="X40" s="15">
        <v>60</v>
      </c>
      <c r="Y40" s="15"/>
      <c r="Z40" s="15">
        <f>VLOOKUP(A:A,[1]TDSheet!$A:$Z,26,0)</f>
        <v>64.8</v>
      </c>
      <c r="AA40" s="15">
        <f>VLOOKUP(A:A,[1]TDSheet!$A:$AA,27,0)</f>
        <v>91.4</v>
      </c>
      <c r="AB40" s="15">
        <f>VLOOKUP(A:A,[1]TDSheet!$A:$AB,28,0)</f>
        <v>58.5</v>
      </c>
      <c r="AC40" s="15">
        <f>VLOOKUP(A:A,[1]TDSheet!$A:$AC,29,0)</f>
        <v>54.2</v>
      </c>
      <c r="AD40" s="15">
        <f>VLOOKUP(A:A,[3]TDSheet!$A:$D,4,0)</f>
        <v>37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72</v>
      </c>
      <c r="AH40" s="15">
        <f t="shared" si="17"/>
        <v>18</v>
      </c>
      <c r="AI40" s="15">
        <f t="shared" si="18"/>
        <v>18</v>
      </c>
      <c r="AJ40" s="15">
        <f t="shared" si="19"/>
        <v>18</v>
      </c>
      <c r="AK40" s="15"/>
      <c r="AL40" s="15"/>
      <c r="AM40" s="23">
        <f t="shared" si="20"/>
        <v>-0.41455696202531644</v>
      </c>
    </row>
    <row r="41" spans="1:39" s="1" customFormat="1" ht="11.1" customHeight="1" outlineLevel="1" x14ac:dyDescent="0.2">
      <c r="A41" s="7" t="s">
        <v>44</v>
      </c>
      <c r="B41" s="7" t="s">
        <v>9</v>
      </c>
      <c r="C41" s="8">
        <v>117.309</v>
      </c>
      <c r="D41" s="8">
        <v>525.28700000000003</v>
      </c>
      <c r="E41" s="8">
        <v>296.20999999999998</v>
      </c>
      <c r="F41" s="8">
        <v>337.06900000000002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305</v>
      </c>
      <c r="J41" s="15">
        <f t="shared" si="12"/>
        <v>-8.7900000000000205</v>
      </c>
      <c r="K41" s="15">
        <f>VLOOKUP(A:A,[1]TDSheet!$A:$L,12,0)</f>
        <v>50</v>
      </c>
      <c r="L41" s="15">
        <f>VLOOKUP(A:A,[1]TDSheet!$A:$T,20,0)</f>
        <v>0</v>
      </c>
      <c r="M41" s="15"/>
      <c r="N41" s="17">
        <v>20</v>
      </c>
      <c r="O41" s="15"/>
      <c r="P41" s="15"/>
      <c r="Q41" s="17">
        <v>120</v>
      </c>
      <c r="R41" s="17">
        <v>80</v>
      </c>
      <c r="S41" s="15">
        <f t="shared" si="13"/>
        <v>59.241999999999997</v>
      </c>
      <c r="T41" s="17">
        <v>50</v>
      </c>
      <c r="U41" s="18">
        <f t="shared" si="14"/>
        <v>11.091269707302251</v>
      </c>
      <c r="V41" s="15">
        <f t="shared" si="15"/>
        <v>5.6896964991053647</v>
      </c>
      <c r="W41" s="15"/>
      <c r="X41" s="15">
        <v>20</v>
      </c>
      <c r="Y41" s="15"/>
      <c r="Z41" s="15">
        <f>VLOOKUP(A:A,[1]TDSheet!$A:$Z,26,0)</f>
        <v>63.638599999999997</v>
      </c>
      <c r="AA41" s="15">
        <f>VLOOKUP(A:A,[1]TDSheet!$A:$AA,27,0)</f>
        <v>70.495399999999989</v>
      </c>
      <c r="AB41" s="15">
        <f>VLOOKUP(A:A,[1]TDSheet!$A:$AB,28,0)</f>
        <v>60.826000000000001</v>
      </c>
      <c r="AC41" s="15">
        <f>VLOOKUP(A:A,[1]TDSheet!$A:$AC,29,0)</f>
        <v>61.340800000000002</v>
      </c>
      <c r="AD41" s="15">
        <f>VLOOKUP(A:A,[3]TDSheet!$A:$D,4,0)</f>
        <v>38.621000000000002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120</v>
      </c>
      <c r="AH41" s="15">
        <f t="shared" si="17"/>
        <v>80</v>
      </c>
      <c r="AI41" s="15">
        <f t="shared" si="18"/>
        <v>50</v>
      </c>
      <c r="AJ41" s="15">
        <f t="shared" si="19"/>
        <v>20</v>
      </c>
      <c r="AK41" s="15"/>
      <c r="AL41" s="15"/>
      <c r="AM41" s="23">
        <f t="shared" si="20"/>
        <v>-0.34808075351946244</v>
      </c>
    </row>
    <row r="42" spans="1:39" s="1" customFormat="1" ht="11.1" customHeight="1" outlineLevel="1" x14ac:dyDescent="0.2">
      <c r="A42" s="7" t="s">
        <v>45</v>
      </c>
      <c r="B42" s="7" t="s">
        <v>8</v>
      </c>
      <c r="C42" s="8"/>
      <c r="D42" s="8">
        <v>36</v>
      </c>
      <c r="E42" s="8">
        <v>30</v>
      </c>
      <c r="F42" s="8">
        <v>6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34</v>
      </c>
      <c r="J42" s="15">
        <f t="shared" si="12"/>
        <v>-4</v>
      </c>
      <c r="K42" s="15">
        <f>VLOOKUP(A:A,[1]TDSheet!$A:$L,12,0)</f>
        <v>0</v>
      </c>
      <c r="L42" s="15">
        <f>VLOOKUP(A:A,[1]TDSheet!$A:$T,20,0)</f>
        <v>24</v>
      </c>
      <c r="M42" s="15"/>
      <c r="N42" s="17"/>
      <c r="O42" s="15"/>
      <c r="P42" s="15"/>
      <c r="Q42" s="17">
        <v>24</v>
      </c>
      <c r="R42" s="17"/>
      <c r="S42" s="15">
        <f t="shared" si="13"/>
        <v>6</v>
      </c>
      <c r="T42" s="17"/>
      <c r="U42" s="18">
        <f t="shared" si="14"/>
        <v>9</v>
      </c>
      <c r="V42" s="15">
        <f t="shared" si="15"/>
        <v>1</v>
      </c>
      <c r="W42" s="15"/>
      <c r="X42" s="15"/>
      <c r="Y42" s="15"/>
      <c r="Z42" s="15">
        <f>VLOOKUP(A:A,[1]TDSheet!$A:$Z,26,0)</f>
        <v>6</v>
      </c>
      <c r="AA42" s="15">
        <f>VLOOKUP(A:A,[1]TDSheet!$A:$AA,27,0)</f>
        <v>9.4</v>
      </c>
      <c r="AB42" s="15">
        <f>VLOOKUP(A:A,[1]TDSheet!$A:$AB,28,0)</f>
        <v>3</v>
      </c>
      <c r="AC42" s="15">
        <f>VLOOKUP(A:A,[1]TDSheet!$A:$AC,29,0)</f>
        <v>7.2</v>
      </c>
      <c r="AD42" s="15">
        <f>VLOOKUP(A:A,[3]TDSheet!$A:$D,4,0)</f>
        <v>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9.6000000000000014</v>
      </c>
      <c r="AH42" s="15">
        <f t="shared" si="17"/>
        <v>0</v>
      </c>
      <c r="AI42" s="15">
        <f t="shared" si="18"/>
        <v>0</v>
      </c>
      <c r="AJ42" s="15">
        <f t="shared" si="19"/>
        <v>0</v>
      </c>
      <c r="AK42" s="15"/>
      <c r="AL42" s="15"/>
      <c r="AM42" s="23">
        <f t="shared" si="20"/>
        <v>-1</v>
      </c>
    </row>
    <row r="43" spans="1:39" s="1" customFormat="1" ht="11.1" customHeight="1" outlineLevel="1" x14ac:dyDescent="0.2">
      <c r="A43" s="7" t="s">
        <v>46</v>
      </c>
      <c r="B43" s="7" t="s">
        <v>8</v>
      </c>
      <c r="C43" s="8">
        <v>733</v>
      </c>
      <c r="D43" s="8">
        <v>3158</v>
      </c>
      <c r="E43" s="8">
        <v>2267</v>
      </c>
      <c r="F43" s="19">
        <v>1819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2283</v>
      </c>
      <c r="J43" s="15">
        <f t="shared" si="12"/>
        <v>-16</v>
      </c>
      <c r="K43" s="15">
        <f>VLOOKUP(A:A,[1]TDSheet!$A:$L,12,0)</f>
        <v>240</v>
      </c>
      <c r="L43" s="15">
        <f>VLOOKUP(A:A,[1]TDSheet!$A:$T,20,0)</f>
        <v>320</v>
      </c>
      <c r="M43" s="15"/>
      <c r="N43" s="17">
        <v>240</v>
      </c>
      <c r="O43" s="15"/>
      <c r="P43" s="15"/>
      <c r="Q43" s="17">
        <v>1480</v>
      </c>
      <c r="R43" s="17">
        <v>480</v>
      </c>
      <c r="S43" s="15">
        <f t="shared" si="13"/>
        <v>453.4</v>
      </c>
      <c r="T43" s="17">
        <v>480</v>
      </c>
      <c r="U43" s="18">
        <f t="shared" si="14"/>
        <v>11.157917953242171</v>
      </c>
      <c r="V43" s="15">
        <f t="shared" si="15"/>
        <v>4.0119100132333481</v>
      </c>
      <c r="W43" s="15"/>
      <c r="X43" s="15">
        <v>240</v>
      </c>
      <c r="Y43" s="15"/>
      <c r="Z43" s="15">
        <f>VLOOKUP(A:A,[1]TDSheet!$A:$Z,26,0)</f>
        <v>418.2</v>
      </c>
      <c r="AA43" s="15">
        <f>VLOOKUP(A:A,[1]TDSheet!$A:$AA,27,0)</f>
        <v>464.8</v>
      </c>
      <c r="AB43" s="15">
        <f>VLOOKUP(A:A,[1]TDSheet!$A:$AB,28,0)</f>
        <v>316.75</v>
      </c>
      <c r="AC43" s="15">
        <f>VLOOKUP(A:A,[1]TDSheet!$A:$AC,29,0)</f>
        <v>407.4</v>
      </c>
      <c r="AD43" s="15">
        <f>VLOOKUP(A:A,[3]TDSheet!$A:$D,4,0)</f>
        <v>444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444</v>
      </c>
      <c r="AH43" s="15">
        <f t="shared" si="17"/>
        <v>144</v>
      </c>
      <c r="AI43" s="15">
        <f t="shared" si="18"/>
        <v>144</v>
      </c>
      <c r="AJ43" s="15">
        <f t="shared" si="19"/>
        <v>72</v>
      </c>
      <c r="AK43" s="15"/>
      <c r="AL43" s="15"/>
      <c r="AM43" s="23">
        <f t="shared" si="20"/>
        <v>-2.0732245258050286E-2</v>
      </c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2667</v>
      </c>
      <c r="D44" s="8">
        <v>4523</v>
      </c>
      <c r="E44" s="8">
        <v>4156</v>
      </c>
      <c r="F44" s="8">
        <v>2907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4297</v>
      </c>
      <c r="J44" s="15">
        <f t="shared" si="12"/>
        <v>-141</v>
      </c>
      <c r="K44" s="15">
        <f>VLOOKUP(A:A,[1]TDSheet!$A:$L,12,0)</f>
        <v>600</v>
      </c>
      <c r="L44" s="15">
        <f>VLOOKUP(A:A,[1]TDSheet!$A:$T,20,0)</f>
        <v>600</v>
      </c>
      <c r="M44" s="15"/>
      <c r="N44" s="17"/>
      <c r="O44" s="15"/>
      <c r="P44" s="15"/>
      <c r="Q44" s="17">
        <v>3200</v>
      </c>
      <c r="R44" s="17">
        <v>1000</v>
      </c>
      <c r="S44" s="15">
        <f t="shared" si="13"/>
        <v>831.2</v>
      </c>
      <c r="T44" s="17">
        <v>1000</v>
      </c>
      <c r="U44" s="18">
        <f t="shared" si="14"/>
        <v>11.197064485081809</v>
      </c>
      <c r="V44" s="15">
        <f t="shared" si="15"/>
        <v>3.4973532242540903</v>
      </c>
      <c r="W44" s="15"/>
      <c r="X44" s="15"/>
      <c r="Y44" s="15"/>
      <c r="Z44" s="15">
        <f>VLOOKUP(A:A,[1]TDSheet!$A:$Z,26,0)</f>
        <v>830.4</v>
      </c>
      <c r="AA44" s="15">
        <f>VLOOKUP(A:A,[1]TDSheet!$A:$AA,27,0)</f>
        <v>1036</v>
      </c>
      <c r="AB44" s="15">
        <f>VLOOKUP(A:A,[1]TDSheet!$A:$AB,28,0)</f>
        <v>633.25</v>
      </c>
      <c r="AC44" s="15">
        <f>VLOOKUP(A:A,[1]TDSheet!$A:$AC,29,0)</f>
        <v>720.4</v>
      </c>
      <c r="AD44" s="15">
        <f>VLOOKUP(A:A,[3]TDSheet!$A:$D,4,0)</f>
        <v>648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1120</v>
      </c>
      <c r="AH44" s="15">
        <f t="shared" si="17"/>
        <v>350</v>
      </c>
      <c r="AI44" s="15">
        <f t="shared" si="18"/>
        <v>350</v>
      </c>
      <c r="AJ44" s="15">
        <f t="shared" si="19"/>
        <v>0</v>
      </c>
      <c r="AK44" s="15"/>
      <c r="AL44" s="15"/>
      <c r="AM44" s="23">
        <f t="shared" si="20"/>
        <v>-0.22040423484119354</v>
      </c>
    </row>
    <row r="45" spans="1:39" s="1" customFormat="1" ht="11.1" customHeight="1" outlineLevel="1" x14ac:dyDescent="0.2">
      <c r="A45" s="7" t="s">
        <v>48</v>
      </c>
      <c r="B45" s="7" t="s">
        <v>8</v>
      </c>
      <c r="C45" s="8">
        <v>782</v>
      </c>
      <c r="D45" s="8">
        <v>2318</v>
      </c>
      <c r="E45" s="8">
        <v>1167</v>
      </c>
      <c r="F45" s="8">
        <v>1894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1183</v>
      </c>
      <c r="J45" s="15">
        <f t="shared" si="12"/>
        <v>-16</v>
      </c>
      <c r="K45" s="15">
        <f>VLOOKUP(A:A,[1]TDSheet!$A:$L,12,0)</f>
        <v>240</v>
      </c>
      <c r="L45" s="15">
        <f>VLOOKUP(A:A,[1]TDSheet!$A:$T,20,0)</f>
        <v>0</v>
      </c>
      <c r="M45" s="15"/>
      <c r="N45" s="17">
        <v>120</v>
      </c>
      <c r="O45" s="15"/>
      <c r="P45" s="15"/>
      <c r="Q45" s="17"/>
      <c r="R45" s="17">
        <v>120</v>
      </c>
      <c r="S45" s="15">
        <f t="shared" si="13"/>
        <v>233.4</v>
      </c>
      <c r="T45" s="17">
        <v>120</v>
      </c>
      <c r="U45" s="18">
        <f t="shared" si="14"/>
        <v>10.685518423307625</v>
      </c>
      <c r="V45" s="15">
        <f t="shared" si="15"/>
        <v>8.1148243359040269</v>
      </c>
      <c r="W45" s="15"/>
      <c r="X45" s="15">
        <v>120</v>
      </c>
      <c r="Y45" s="15"/>
      <c r="Z45" s="15">
        <f>VLOOKUP(A:A,[1]TDSheet!$A:$Z,26,0)</f>
        <v>335.6</v>
      </c>
      <c r="AA45" s="15">
        <f>VLOOKUP(A:A,[1]TDSheet!$A:$AA,27,0)</f>
        <v>404.4</v>
      </c>
      <c r="AB45" s="15">
        <f>VLOOKUP(A:A,[1]TDSheet!$A:$AB,28,0)</f>
        <v>245.5</v>
      </c>
      <c r="AC45" s="15">
        <f>VLOOKUP(A:A,[1]TDSheet!$A:$AC,29,0)</f>
        <v>311.39999999999998</v>
      </c>
      <c r="AD45" s="15">
        <f>VLOOKUP(A:A,[3]TDSheet!$A:$D,4,0)</f>
        <v>178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49.199999999999996</v>
      </c>
      <c r="AI45" s="15">
        <f t="shared" si="18"/>
        <v>49.199999999999996</v>
      </c>
      <c r="AJ45" s="15">
        <f t="shared" si="19"/>
        <v>49.199999999999996</v>
      </c>
      <c r="AK45" s="15"/>
      <c r="AL45" s="15"/>
      <c r="AM45" s="23">
        <f t="shared" si="20"/>
        <v>-0.23736075407026569</v>
      </c>
    </row>
    <row r="46" spans="1:39" s="1" customFormat="1" ht="11.1" customHeight="1" outlineLevel="1" x14ac:dyDescent="0.2">
      <c r="A46" s="7" t="s">
        <v>49</v>
      </c>
      <c r="B46" s="7" t="s">
        <v>8</v>
      </c>
      <c r="C46" s="8">
        <v>197</v>
      </c>
      <c r="D46" s="8">
        <v>1182</v>
      </c>
      <c r="E46" s="8">
        <v>802</v>
      </c>
      <c r="F46" s="8">
        <v>537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853</v>
      </c>
      <c r="J46" s="15">
        <f t="shared" si="12"/>
        <v>-51</v>
      </c>
      <c r="K46" s="15">
        <f>VLOOKUP(A:A,[1]TDSheet!$A:$L,12,0)</f>
        <v>80</v>
      </c>
      <c r="L46" s="15">
        <f>VLOOKUP(A:A,[1]TDSheet!$A:$T,20,0)</f>
        <v>200</v>
      </c>
      <c r="M46" s="15"/>
      <c r="N46" s="17">
        <v>100</v>
      </c>
      <c r="O46" s="15"/>
      <c r="P46" s="15"/>
      <c r="Q46" s="17">
        <v>480</v>
      </c>
      <c r="R46" s="17">
        <v>240</v>
      </c>
      <c r="S46" s="15">
        <f t="shared" si="13"/>
        <v>160.4</v>
      </c>
      <c r="T46" s="17">
        <v>120</v>
      </c>
      <c r="U46" s="18">
        <f t="shared" si="14"/>
        <v>10.953865336658353</v>
      </c>
      <c r="V46" s="15">
        <f t="shared" si="15"/>
        <v>3.3478802992518704</v>
      </c>
      <c r="W46" s="15"/>
      <c r="X46" s="15">
        <v>100</v>
      </c>
      <c r="Y46" s="15"/>
      <c r="Z46" s="15">
        <f>VLOOKUP(A:A,[1]TDSheet!$A:$Z,26,0)</f>
        <v>115.8</v>
      </c>
      <c r="AA46" s="15">
        <f>VLOOKUP(A:A,[1]TDSheet!$A:$AA,27,0)</f>
        <v>133.80000000000001</v>
      </c>
      <c r="AB46" s="15">
        <f>VLOOKUP(A:A,[1]TDSheet!$A:$AB,28,0)</f>
        <v>133</v>
      </c>
      <c r="AC46" s="15">
        <f>VLOOKUP(A:A,[1]TDSheet!$A:$AC,29,0)</f>
        <v>134.19999999999999</v>
      </c>
      <c r="AD46" s="15">
        <f>VLOOKUP(A:A,[3]TDSheet!$A:$D,4,0)</f>
        <v>138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196.79999999999998</v>
      </c>
      <c r="AH46" s="15">
        <f t="shared" si="17"/>
        <v>98.399999999999991</v>
      </c>
      <c r="AI46" s="15">
        <f t="shared" si="18"/>
        <v>49.199999999999996</v>
      </c>
      <c r="AJ46" s="15">
        <f t="shared" si="19"/>
        <v>41</v>
      </c>
      <c r="AK46" s="15"/>
      <c r="AL46" s="15"/>
      <c r="AM46" s="23">
        <f t="shared" si="20"/>
        <v>-0.13965087281795519</v>
      </c>
    </row>
    <row r="47" spans="1:39" s="1" customFormat="1" ht="11.1" customHeight="1" outlineLevel="1" x14ac:dyDescent="0.2">
      <c r="A47" s="7" t="s">
        <v>50</v>
      </c>
      <c r="B47" s="7" t="s">
        <v>8</v>
      </c>
      <c r="C47" s="8">
        <v>203</v>
      </c>
      <c r="D47" s="8">
        <v>594</v>
      </c>
      <c r="E47" s="8">
        <v>478</v>
      </c>
      <c r="F47" s="8">
        <v>297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496</v>
      </c>
      <c r="J47" s="15">
        <f t="shared" si="12"/>
        <v>-18</v>
      </c>
      <c r="K47" s="15">
        <f>VLOOKUP(A:A,[1]TDSheet!$A:$L,12,0)</f>
        <v>30</v>
      </c>
      <c r="L47" s="15">
        <f>VLOOKUP(A:A,[1]TDSheet!$A:$T,20,0)</f>
        <v>210</v>
      </c>
      <c r="M47" s="15"/>
      <c r="N47" s="17">
        <v>60</v>
      </c>
      <c r="O47" s="15"/>
      <c r="P47" s="15"/>
      <c r="Q47" s="17">
        <v>240</v>
      </c>
      <c r="R47" s="17">
        <v>120</v>
      </c>
      <c r="S47" s="15">
        <f t="shared" si="13"/>
        <v>95.6</v>
      </c>
      <c r="T47" s="17">
        <v>90</v>
      </c>
      <c r="U47" s="18">
        <f t="shared" si="14"/>
        <v>10.951882845188285</v>
      </c>
      <c r="V47" s="15">
        <f t="shared" si="15"/>
        <v>3.1066945606694563</v>
      </c>
      <c r="W47" s="15"/>
      <c r="X47" s="15">
        <v>60</v>
      </c>
      <c r="Y47" s="15"/>
      <c r="Z47" s="15">
        <f>VLOOKUP(A:A,[1]TDSheet!$A:$Z,26,0)</f>
        <v>93.2</v>
      </c>
      <c r="AA47" s="15">
        <f>VLOOKUP(A:A,[1]TDSheet!$A:$AA,27,0)</f>
        <v>101.6</v>
      </c>
      <c r="AB47" s="15">
        <f>VLOOKUP(A:A,[1]TDSheet!$A:$AB,28,0)</f>
        <v>85.5</v>
      </c>
      <c r="AC47" s="15">
        <f>VLOOKUP(A:A,[1]TDSheet!$A:$AC,29,0)</f>
        <v>77.8</v>
      </c>
      <c r="AD47" s="15">
        <f>VLOOKUP(A:A,[3]TDSheet!$A:$D,4,0)</f>
        <v>59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86.399999999999991</v>
      </c>
      <c r="AH47" s="15">
        <f t="shared" si="17"/>
        <v>43.199999999999996</v>
      </c>
      <c r="AI47" s="15">
        <f t="shared" si="18"/>
        <v>32.4</v>
      </c>
      <c r="AJ47" s="15">
        <f t="shared" si="19"/>
        <v>21.599999999999998</v>
      </c>
      <c r="AK47" s="15"/>
      <c r="AL47" s="15"/>
      <c r="AM47" s="23">
        <f t="shared" si="20"/>
        <v>-0.38284518828451874</v>
      </c>
    </row>
    <row r="48" spans="1:39" s="1" customFormat="1" ht="11.1" customHeight="1" outlineLevel="1" x14ac:dyDescent="0.2">
      <c r="A48" s="7" t="s">
        <v>51</v>
      </c>
      <c r="B48" s="7" t="s">
        <v>8</v>
      </c>
      <c r="C48" s="8">
        <v>148</v>
      </c>
      <c r="D48" s="8">
        <v>46</v>
      </c>
      <c r="E48" s="8">
        <v>121</v>
      </c>
      <c r="F48" s="8">
        <v>61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132</v>
      </c>
      <c r="J48" s="15">
        <f t="shared" si="12"/>
        <v>-11</v>
      </c>
      <c r="K48" s="15">
        <f>VLOOKUP(A:A,[1]TDSheet!$A:$L,12,0)</f>
        <v>40</v>
      </c>
      <c r="L48" s="15">
        <f>VLOOKUP(A:A,[1]TDSheet!$A:$T,20,0)</f>
        <v>0</v>
      </c>
      <c r="M48" s="15"/>
      <c r="N48" s="17"/>
      <c r="O48" s="15"/>
      <c r="P48" s="15"/>
      <c r="Q48" s="17">
        <v>120</v>
      </c>
      <c r="R48" s="17"/>
      <c r="S48" s="15">
        <f t="shared" si="13"/>
        <v>24.2</v>
      </c>
      <c r="T48" s="17">
        <v>40</v>
      </c>
      <c r="U48" s="18">
        <f t="shared" si="14"/>
        <v>10.78512396694215</v>
      </c>
      <c r="V48" s="15">
        <f t="shared" si="15"/>
        <v>2.5206611570247937</v>
      </c>
      <c r="W48" s="15"/>
      <c r="X48" s="15"/>
      <c r="Y48" s="15"/>
      <c r="Z48" s="15">
        <f>VLOOKUP(A:A,[1]TDSheet!$A:$Z,26,0)</f>
        <v>32.6</v>
      </c>
      <c r="AA48" s="15">
        <f>VLOOKUP(A:A,[1]TDSheet!$A:$AA,27,0)</f>
        <v>43.4</v>
      </c>
      <c r="AB48" s="15">
        <f>VLOOKUP(A:A,[1]TDSheet!$A:$AB,28,0)</f>
        <v>18.75</v>
      </c>
      <c r="AC48" s="15">
        <f>VLOOKUP(A:A,[1]TDSheet!$A:$AC,29,0)</f>
        <v>20.2</v>
      </c>
      <c r="AD48" s="15">
        <f>VLOOKUP(A:A,[3]TDSheet!$A:$D,4,0)</f>
        <v>8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39.6</v>
      </c>
      <c r="AH48" s="15">
        <f t="shared" si="17"/>
        <v>0</v>
      </c>
      <c r="AI48" s="15">
        <f t="shared" si="18"/>
        <v>13.200000000000001</v>
      </c>
      <c r="AJ48" s="15">
        <f t="shared" si="19"/>
        <v>0</v>
      </c>
      <c r="AK48" s="15"/>
      <c r="AL48" s="15"/>
      <c r="AM48" s="23">
        <f t="shared" si="20"/>
        <v>-0.66942148760330578</v>
      </c>
    </row>
    <row r="49" spans="1:39" s="1" customFormat="1" ht="11.1" customHeight="1" outlineLevel="1" x14ac:dyDescent="0.2">
      <c r="A49" s="7" t="s">
        <v>52</v>
      </c>
      <c r="B49" s="7" t="s">
        <v>8</v>
      </c>
      <c r="C49" s="8">
        <v>116</v>
      </c>
      <c r="D49" s="8">
        <v>124</v>
      </c>
      <c r="E49" s="8">
        <v>162</v>
      </c>
      <c r="F49" s="8">
        <v>74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175</v>
      </c>
      <c r="J49" s="15">
        <f t="shared" si="12"/>
        <v>-13</v>
      </c>
      <c r="K49" s="15">
        <f>VLOOKUP(A:A,[1]TDSheet!$A:$L,12,0)</f>
        <v>40</v>
      </c>
      <c r="L49" s="15">
        <f>VLOOKUP(A:A,[1]TDSheet!$A:$T,20,0)</f>
        <v>80</v>
      </c>
      <c r="M49" s="15"/>
      <c r="N49" s="17"/>
      <c r="O49" s="15"/>
      <c r="P49" s="15"/>
      <c r="Q49" s="17">
        <v>80</v>
      </c>
      <c r="R49" s="17">
        <v>40</v>
      </c>
      <c r="S49" s="15">
        <f t="shared" si="13"/>
        <v>32.4</v>
      </c>
      <c r="T49" s="17">
        <v>40</v>
      </c>
      <c r="U49" s="18">
        <f t="shared" si="14"/>
        <v>10.925925925925926</v>
      </c>
      <c r="V49" s="15">
        <f t="shared" si="15"/>
        <v>2.2839506172839505</v>
      </c>
      <c r="W49" s="15"/>
      <c r="X49" s="15"/>
      <c r="Y49" s="15"/>
      <c r="Z49" s="15">
        <f>VLOOKUP(A:A,[1]TDSheet!$A:$Z,26,0)</f>
        <v>30.8</v>
      </c>
      <c r="AA49" s="15">
        <f>VLOOKUP(A:A,[1]TDSheet!$A:$AA,27,0)</f>
        <v>51.4</v>
      </c>
      <c r="AB49" s="15">
        <f>VLOOKUP(A:A,[1]TDSheet!$A:$AB,28,0)</f>
        <v>24.5</v>
      </c>
      <c r="AC49" s="15">
        <f>VLOOKUP(A:A,[1]TDSheet!$A:$AC,29,0)</f>
        <v>25.8</v>
      </c>
      <c r="AD49" s="15">
        <f>VLOOKUP(A:A,[3]TDSheet!$A:$D,4,0)</f>
        <v>-6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26.400000000000002</v>
      </c>
      <c r="AH49" s="15">
        <f t="shared" si="17"/>
        <v>13.200000000000001</v>
      </c>
      <c r="AI49" s="15">
        <f t="shared" si="18"/>
        <v>13.200000000000001</v>
      </c>
      <c r="AJ49" s="15">
        <f t="shared" si="19"/>
        <v>0</v>
      </c>
      <c r="AK49" s="15"/>
      <c r="AL49" s="15"/>
      <c r="AM49" s="23">
        <f t="shared" si="20"/>
        <v>-1.1851851851851851</v>
      </c>
    </row>
    <row r="50" spans="1:39" s="1" customFormat="1" ht="11.1" customHeight="1" outlineLevel="1" x14ac:dyDescent="0.2">
      <c r="A50" s="7" t="s">
        <v>53</v>
      </c>
      <c r="B50" s="7" t="s">
        <v>8</v>
      </c>
      <c r="C50" s="8">
        <v>209</v>
      </c>
      <c r="D50" s="8">
        <v>208</v>
      </c>
      <c r="E50" s="8">
        <v>243</v>
      </c>
      <c r="F50" s="8">
        <v>157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253</v>
      </c>
      <c r="J50" s="15">
        <f t="shared" si="12"/>
        <v>-10</v>
      </c>
      <c r="K50" s="15">
        <f>VLOOKUP(A:A,[1]TDSheet!$A:$L,12,0)</f>
        <v>40</v>
      </c>
      <c r="L50" s="15">
        <f>VLOOKUP(A:A,[1]TDSheet!$A:$T,20,0)</f>
        <v>120</v>
      </c>
      <c r="M50" s="15"/>
      <c r="N50" s="17">
        <v>40</v>
      </c>
      <c r="O50" s="15"/>
      <c r="P50" s="15"/>
      <c r="Q50" s="17">
        <v>120</v>
      </c>
      <c r="R50" s="17">
        <v>40</v>
      </c>
      <c r="S50" s="15">
        <f t="shared" si="13"/>
        <v>48.6</v>
      </c>
      <c r="T50" s="17">
        <v>40</v>
      </c>
      <c r="U50" s="18">
        <f t="shared" si="14"/>
        <v>11.460905349794238</v>
      </c>
      <c r="V50" s="15">
        <f t="shared" si="15"/>
        <v>3.2304526748971192</v>
      </c>
      <c r="W50" s="15"/>
      <c r="X50" s="15">
        <v>40</v>
      </c>
      <c r="Y50" s="15"/>
      <c r="Z50" s="15">
        <f>VLOOKUP(A:A,[1]TDSheet!$A:$Z,26,0)</f>
        <v>60.2</v>
      </c>
      <c r="AA50" s="15">
        <f>VLOOKUP(A:A,[1]TDSheet!$A:$AA,27,0)</f>
        <v>79.599999999999994</v>
      </c>
      <c r="AB50" s="15">
        <f>VLOOKUP(A:A,[1]TDSheet!$A:$AB,28,0)</f>
        <v>38.5</v>
      </c>
      <c r="AC50" s="15">
        <f>VLOOKUP(A:A,[1]TDSheet!$A:$AC,29,0)</f>
        <v>41.8</v>
      </c>
      <c r="AD50" s="15">
        <f>VLOOKUP(A:A,[3]TDSheet!$A:$D,4,0)</f>
        <v>36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39.6</v>
      </c>
      <c r="AH50" s="15">
        <f t="shared" si="17"/>
        <v>13.200000000000001</v>
      </c>
      <c r="AI50" s="15">
        <f t="shared" si="18"/>
        <v>13.200000000000001</v>
      </c>
      <c r="AJ50" s="15">
        <f t="shared" si="19"/>
        <v>13.200000000000001</v>
      </c>
      <c r="AK50" s="15"/>
      <c r="AL50" s="15"/>
      <c r="AM50" s="23">
        <f t="shared" si="20"/>
        <v>-0.2592592592592593</v>
      </c>
    </row>
    <row r="51" spans="1:39" s="1" customFormat="1" ht="11.1" customHeight="1" outlineLevel="1" x14ac:dyDescent="0.2">
      <c r="A51" s="7" t="s">
        <v>54</v>
      </c>
      <c r="B51" s="7" t="s">
        <v>9</v>
      </c>
      <c r="C51" s="8">
        <v>60.902000000000001</v>
      </c>
      <c r="D51" s="8">
        <v>1469.9839999999999</v>
      </c>
      <c r="E51" s="19">
        <v>699</v>
      </c>
      <c r="F51" s="19">
        <v>889</v>
      </c>
      <c r="G51" s="1">
        <f>VLOOKUP(A:A,[1]TDSheet!$A:$G,7,0)</f>
        <v>1</v>
      </c>
      <c r="H51" s="1">
        <f>VLOOKUP(A:A,[1]TDSheet!$A:$H,8,0)</f>
        <v>45</v>
      </c>
      <c r="I51" s="15">
        <f>VLOOKUP(A:A,[2]TDSheet!$A:$F,6,0)</f>
        <v>661.8</v>
      </c>
      <c r="J51" s="15">
        <f t="shared" si="12"/>
        <v>37.200000000000045</v>
      </c>
      <c r="K51" s="15">
        <f>VLOOKUP(A:A,[1]TDSheet!$A:$L,12,0)</f>
        <v>200</v>
      </c>
      <c r="L51" s="15">
        <f>VLOOKUP(A:A,[1]TDSheet!$A:$T,20,0)</f>
        <v>0</v>
      </c>
      <c r="M51" s="15"/>
      <c r="N51" s="17"/>
      <c r="O51" s="15"/>
      <c r="P51" s="15"/>
      <c r="Q51" s="17">
        <v>200</v>
      </c>
      <c r="R51" s="17">
        <v>100</v>
      </c>
      <c r="S51" s="15">
        <f t="shared" si="13"/>
        <v>139.80000000000001</v>
      </c>
      <c r="T51" s="17">
        <v>150</v>
      </c>
      <c r="U51" s="18">
        <f t="shared" si="14"/>
        <v>11.008583690987123</v>
      </c>
      <c r="V51" s="15">
        <f t="shared" si="15"/>
        <v>6.3590844062947065</v>
      </c>
      <c r="W51" s="15"/>
      <c r="X51" s="15"/>
      <c r="Y51" s="15"/>
      <c r="Z51" s="15">
        <f>VLOOKUP(A:A,[1]TDSheet!$A:$Z,26,0)</f>
        <v>115.4</v>
      </c>
      <c r="AA51" s="15">
        <f>VLOOKUP(A:A,[1]TDSheet!$A:$AA,27,0)</f>
        <v>156.80000000000001</v>
      </c>
      <c r="AB51" s="15">
        <f>VLOOKUP(A:A,[1]TDSheet!$A:$AB,28,0)</f>
        <v>121.25</v>
      </c>
      <c r="AC51" s="15">
        <f>VLOOKUP(A:A,[1]TDSheet!$A:$AC,29,0)</f>
        <v>156.80000000000001</v>
      </c>
      <c r="AD51" s="15">
        <f>VLOOKUP(A:A,[3]TDSheet!$A:$D,4,0)</f>
        <v>135.41999999999999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200</v>
      </c>
      <c r="AH51" s="15">
        <f t="shared" si="17"/>
        <v>100</v>
      </c>
      <c r="AI51" s="15">
        <f t="shared" si="18"/>
        <v>150</v>
      </c>
      <c r="AJ51" s="15">
        <f t="shared" si="19"/>
        <v>0</v>
      </c>
      <c r="AK51" s="15"/>
      <c r="AL51" s="15"/>
      <c r="AM51" s="23">
        <f t="shared" si="20"/>
        <v>-3.1330472103004436E-2</v>
      </c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475</v>
      </c>
      <c r="D52" s="8">
        <v>1622</v>
      </c>
      <c r="E52" s="8">
        <v>1084</v>
      </c>
      <c r="F52" s="8">
        <v>954</v>
      </c>
      <c r="G52" s="1">
        <f>VLOOKUP(A:A,[1]TDSheet!$A:$G,7,0)</f>
        <v>0.4</v>
      </c>
      <c r="H52" s="1" t="e">
        <f>VLOOKUP(A:A,[1]TDSheet!$A:$H,8,0)</f>
        <v>#N/A</v>
      </c>
      <c r="I52" s="15">
        <f>VLOOKUP(A:A,[2]TDSheet!$A:$F,6,0)</f>
        <v>1113</v>
      </c>
      <c r="J52" s="15">
        <f t="shared" si="12"/>
        <v>-29</v>
      </c>
      <c r="K52" s="15">
        <f>VLOOKUP(A:A,[1]TDSheet!$A:$L,12,0)</f>
        <v>120</v>
      </c>
      <c r="L52" s="15">
        <f>VLOOKUP(A:A,[1]TDSheet!$A:$T,20,0)</f>
        <v>120</v>
      </c>
      <c r="M52" s="15"/>
      <c r="N52" s="17">
        <v>120</v>
      </c>
      <c r="O52" s="15"/>
      <c r="P52" s="15"/>
      <c r="Q52" s="17">
        <v>640</v>
      </c>
      <c r="R52" s="17">
        <v>240</v>
      </c>
      <c r="S52" s="15">
        <f t="shared" si="13"/>
        <v>216.8</v>
      </c>
      <c r="T52" s="17">
        <v>240</v>
      </c>
      <c r="U52" s="18">
        <f t="shared" si="14"/>
        <v>11.226937269372693</v>
      </c>
      <c r="V52" s="15">
        <f t="shared" si="15"/>
        <v>4.4003690036900363</v>
      </c>
      <c r="W52" s="15"/>
      <c r="X52" s="15">
        <v>120</v>
      </c>
      <c r="Y52" s="15"/>
      <c r="Z52" s="15">
        <f>VLOOKUP(A:A,[1]TDSheet!$A:$Z,26,0)</f>
        <v>208</v>
      </c>
      <c r="AA52" s="15">
        <f>VLOOKUP(A:A,[1]TDSheet!$A:$AA,27,0)</f>
        <v>231.2</v>
      </c>
      <c r="AB52" s="15">
        <f>VLOOKUP(A:A,[1]TDSheet!$A:$AB,28,0)</f>
        <v>191.25</v>
      </c>
      <c r="AC52" s="15">
        <f>VLOOKUP(A:A,[1]TDSheet!$A:$AC,29,0)</f>
        <v>207.2</v>
      </c>
      <c r="AD52" s="15">
        <f>VLOOKUP(A:A,[3]TDSheet!$A:$D,4,0)</f>
        <v>106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256</v>
      </c>
      <c r="AH52" s="15">
        <f t="shared" si="17"/>
        <v>96</v>
      </c>
      <c r="AI52" s="15">
        <f t="shared" si="18"/>
        <v>96</v>
      </c>
      <c r="AJ52" s="15">
        <f t="shared" si="19"/>
        <v>48</v>
      </c>
      <c r="AK52" s="15"/>
      <c r="AL52" s="15"/>
      <c r="AM52" s="23">
        <f t="shared" si="20"/>
        <v>-0.51107011070110708</v>
      </c>
    </row>
    <row r="53" spans="1:39" s="1" customFormat="1" ht="11.1" customHeight="1" outlineLevel="1" x14ac:dyDescent="0.2">
      <c r="A53" s="7" t="s">
        <v>56</v>
      </c>
      <c r="B53" s="7" t="s">
        <v>9</v>
      </c>
      <c r="C53" s="8">
        <v>1375.4469999999999</v>
      </c>
      <c r="D53" s="8">
        <v>112.239</v>
      </c>
      <c r="E53" s="8">
        <v>685.62599999999998</v>
      </c>
      <c r="F53" s="8">
        <v>772.54200000000003</v>
      </c>
      <c r="G53" s="1">
        <f>VLOOKUP(A:A,[1]TDSheet!$A:$G,7,0)</f>
        <v>1</v>
      </c>
      <c r="H53" s="1">
        <f>VLOOKUP(A:A,[1]TDSheet!$A:$H,8,0)</f>
        <v>60</v>
      </c>
      <c r="I53" s="15">
        <f>VLOOKUP(A:A,[2]TDSheet!$A:$F,6,0)</f>
        <v>664.6</v>
      </c>
      <c r="J53" s="15">
        <f t="shared" si="12"/>
        <v>21.025999999999954</v>
      </c>
      <c r="K53" s="15">
        <f>VLOOKUP(A:A,[1]TDSheet!$A:$L,12,0)</f>
        <v>100</v>
      </c>
      <c r="L53" s="15">
        <f>VLOOKUP(A:A,[1]TDSheet!$A:$T,20,0)</f>
        <v>0</v>
      </c>
      <c r="M53" s="15"/>
      <c r="N53" s="17">
        <v>100</v>
      </c>
      <c r="O53" s="15"/>
      <c r="P53" s="15"/>
      <c r="Q53" s="17">
        <v>400</v>
      </c>
      <c r="R53" s="17">
        <v>100</v>
      </c>
      <c r="S53" s="15">
        <f t="shared" si="13"/>
        <v>137.12520000000001</v>
      </c>
      <c r="T53" s="17">
        <v>200</v>
      </c>
      <c r="U53" s="18">
        <f t="shared" si="14"/>
        <v>12.19718913810153</v>
      </c>
      <c r="V53" s="15">
        <f t="shared" si="15"/>
        <v>5.633844107428831</v>
      </c>
      <c r="W53" s="15"/>
      <c r="X53" s="15">
        <v>100</v>
      </c>
      <c r="Y53" s="15"/>
      <c r="Z53" s="15">
        <f>VLOOKUP(A:A,[1]TDSheet!$A:$Z,26,0)</f>
        <v>215.72020000000003</v>
      </c>
      <c r="AA53" s="15">
        <f>VLOOKUP(A:A,[1]TDSheet!$A:$AA,27,0)</f>
        <v>236.048</v>
      </c>
      <c r="AB53" s="15">
        <f>VLOOKUP(A:A,[1]TDSheet!$A:$AB,28,0)</f>
        <v>112.11575000000001</v>
      </c>
      <c r="AC53" s="15">
        <f>VLOOKUP(A:A,[1]TDSheet!$A:$AC,29,0)</f>
        <v>145.52619999999999</v>
      </c>
      <c r="AD53" s="15">
        <f>VLOOKUP(A:A,[3]TDSheet!$A:$D,4,0)</f>
        <v>216.31200000000001</v>
      </c>
      <c r="AE53" s="15">
        <f>VLOOKUP(A:A,[1]TDSheet!$A:$AE,31,0)</f>
        <v>0</v>
      </c>
      <c r="AF53" s="15" t="str">
        <f>VLOOKUP(A:A,[1]TDSheet!$A:$AF,32,0)</f>
        <v>увел</v>
      </c>
      <c r="AG53" s="15">
        <f t="shared" si="16"/>
        <v>400</v>
      </c>
      <c r="AH53" s="15">
        <f t="shared" si="17"/>
        <v>100</v>
      </c>
      <c r="AI53" s="15">
        <f t="shared" si="18"/>
        <v>200</v>
      </c>
      <c r="AJ53" s="15">
        <f t="shared" si="19"/>
        <v>100</v>
      </c>
      <c r="AK53" s="15"/>
      <c r="AL53" s="15"/>
      <c r="AM53" s="23">
        <f t="shared" si="20"/>
        <v>0.57747810030541435</v>
      </c>
    </row>
    <row r="54" spans="1:39" s="1" customFormat="1" ht="11.1" customHeight="1" outlineLevel="1" x14ac:dyDescent="0.2">
      <c r="A54" s="7" t="s">
        <v>57</v>
      </c>
      <c r="B54" s="7" t="s">
        <v>9</v>
      </c>
      <c r="C54" s="8">
        <v>129.245</v>
      </c>
      <c r="D54" s="8">
        <v>209.285</v>
      </c>
      <c r="E54" s="8">
        <v>208.27</v>
      </c>
      <c r="F54" s="8">
        <v>113.535</v>
      </c>
      <c r="G54" s="1">
        <f>VLOOKUP(A:A,[1]TDSheet!$A:$G,7,0)</f>
        <v>1</v>
      </c>
      <c r="H54" s="1">
        <f>VLOOKUP(A:A,[1]TDSheet!$A:$H,8,0)</f>
        <v>60</v>
      </c>
      <c r="I54" s="15">
        <f>VLOOKUP(A:A,[2]TDSheet!$A:$F,6,0)</f>
        <v>209.9</v>
      </c>
      <c r="J54" s="15">
        <f t="shared" si="12"/>
        <v>-1.6299999999999955</v>
      </c>
      <c r="K54" s="15">
        <f>VLOOKUP(A:A,[1]TDSheet!$A:$L,12,0)</f>
        <v>20</v>
      </c>
      <c r="L54" s="15">
        <f>VLOOKUP(A:A,[1]TDSheet!$A:$T,20,0)</f>
        <v>30</v>
      </c>
      <c r="M54" s="15"/>
      <c r="N54" s="17">
        <v>30</v>
      </c>
      <c r="O54" s="15"/>
      <c r="P54" s="15"/>
      <c r="Q54" s="17">
        <v>200</v>
      </c>
      <c r="R54" s="17">
        <v>60</v>
      </c>
      <c r="S54" s="15">
        <f t="shared" si="13"/>
        <v>41.654000000000003</v>
      </c>
      <c r="T54" s="17">
        <v>50</v>
      </c>
      <c r="U54" s="18">
        <f t="shared" si="14"/>
        <v>12.088514908532192</v>
      </c>
      <c r="V54" s="15">
        <f t="shared" si="15"/>
        <v>2.7256686032553894</v>
      </c>
      <c r="W54" s="15"/>
      <c r="X54" s="15">
        <v>30</v>
      </c>
      <c r="Y54" s="15"/>
      <c r="Z54" s="15">
        <f>VLOOKUP(A:A,[1]TDSheet!$A:$Z,26,0)</f>
        <v>30.469000000000001</v>
      </c>
      <c r="AA54" s="15">
        <f>VLOOKUP(A:A,[1]TDSheet!$A:$AA,27,0)</f>
        <v>38.948999999999998</v>
      </c>
      <c r="AB54" s="15">
        <f>VLOOKUP(A:A,[1]TDSheet!$A:$AB,28,0)</f>
        <v>33.369250000000001</v>
      </c>
      <c r="AC54" s="15">
        <f>VLOOKUP(A:A,[1]TDSheet!$A:$AC,29,0)</f>
        <v>30.992000000000001</v>
      </c>
      <c r="AD54" s="15">
        <f>VLOOKUP(A:A,[3]TDSheet!$A:$D,4,0)</f>
        <v>24.533999999999999</v>
      </c>
      <c r="AE54" s="15" t="str">
        <f>VLOOKUP(A:A,[1]TDSheet!$A:$AE,31,0)</f>
        <v>Вит</v>
      </c>
      <c r="AF54" s="15">
        <f>VLOOKUP(A:A,[1]TDSheet!$A:$AF,32,0)</f>
        <v>0</v>
      </c>
      <c r="AG54" s="15">
        <f t="shared" si="16"/>
        <v>200</v>
      </c>
      <c r="AH54" s="15">
        <f t="shared" si="17"/>
        <v>60</v>
      </c>
      <c r="AI54" s="15">
        <f t="shared" si="18"/>
        <v>50</v>
      </c>
      <c r="AJ54" s="15">
        <f t="shared" si="19"/>
        <v>30</v>
      </c>
      <c r="AK54" s="15"/>
      <c r="AL54" s="15"/>
      <c r="AM54" s="23">
        <f t="shared" si="20"/>
        <v>-0.41100494550343314</v>
      </c>
    </row>
    <row r="55" spans="1:39" s="1" customFormat="1" ht="11.1" customHeight="1" outlineLevel="1" x14ac:dyDescent="0.2">
      <c r="A55" s="7" t="s">
        <v>58</v>
      </c>
      <c r="B55" s="7" t="s">
        <v>9</v>
      </c>
      <c r="C55" s="8">
        <v>109.733</v>
      </c>
      <c r="D55" s="8">
        <v>274.43799999999999</v>
      </c>
      <c r="E55" s="8">
        <v>182.959</v>
      </c>
      <c r="F55" s="8">
        <v>195.00800000000001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186.2</v>
      </c>
      <c r="J55" s="15">
        <f t="shared" si="12"/>
        <v>-3.2409999999999854</v>
      </c>
      <c r="K55" s="15">
        <f>VLOOKUP(A:A,[1]TDSheet!$A:$L,12,0)</f>
        <v>30</v>
      </c>
      <c r="L55" s="15">
        <f>VLOOKUP(A:A,[1]TDSheet!$A:$T,20,0)</f>
        <v>0</v>
      </c>
      <c r="M55" s="15"/>
      <c r="N55" s="17">
        <v>20</v>
      </c>
      <c r="O55" s="15"/>
      <c r="P55" s="15"/>
      <c r="Q55" s="17">
        <v>90</v>
      </c>
      <c r="R55" s="17">
        <v>40</v>
      </c>
      <c r="S55" s="15">
        <f t="shared" si="13"/>
        <v>36.591799999999999</v>
      </c>
      <c r="T55" s="17">
        <v>30</v>
      </c>
      <c r="U55" s="18">
        <f t="shared" si="14"/>
        <v>11.068272126542013</v>
      </c>
      <c r="V55" s="15">
        <f t="shared" si="15"/>
        <v>5.3292814237069512</v>
      </c>
      <c r="W55" s="15"/>
      <c r="X55" s="15">
        <v>20</v>
      </c>
      <c r="Y55" s="15"/>
      <c r="Z55" s="15">
        <f>VLOOKUP(A:A,[1]TDSheet!$A:$Z,26,0)</f>
        <v>34.812599999999996</v>
      </c>
      <c r="AA55" s="15">
        <f>VLOOKUP(A:A,[1]TDSheet!$A:$AA,27,0)</f>
        <v>33.420400000000001</v>
      </c>
      <c r="AB55" s="15">
        <f>VLOOKUP(A:A,[1]TDSheet!$A:$AB,28,0)</f>
        <v>37.340000000000003</v>
      </c>
      <c r="AC55" s="15">
        <f>VLOOKUP(A:A,[1]TDSheet!$A:$AC,29,0)</f>
        <v>36.837000000000003</v>
      </c>
      <c r="AD55" s="15">
        <f>VLOOKUP(A:A,[3]TDSheet!$A:$D,4,0)</f>
        <v>24.776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90</v>
      </c>
      <c r="AH55" s="15">
        <f t="shared" si="17"/>
        <v>40</v>
      </c>
      <c r="AI55" s="15">
        <f t="shared" si="18"/>
        <v>30</v>
      </c>
      <c r="AJ55" s="15">
        <f t="shared" si="19"/>
        <v>20</v>
      </c>
      <c r="AK55" s="15"/>
      <c r="AL55" s="15"/>
      <c r="AM55" s="23">
        <f t="shared" si="20"/>
        <v>-0.32290841117408819</v>
      </c>
    </row>
    <row r="56" spans="1:39" s="1" customFormat="1" ht="11.1" customHeight="1" outlineLevel="1" x14ac:dyDescent="0.2">
      <c r="A56" s="7" t="s">
        <v>59</v>
      </c>
      <c r="B56" s="7" t="s">
        <v>8</v>
      </c>
      <c r="C56" s="8">
        <v>154</v>
      </c>
      <c r="D56" s="8">
        <v>124</v>
      </c>
      <c r="E56" s="8">
        <v>182</v>
      </c>
      <c r="F56" s="8">
        <v>91</v>
      </c>
      <c r="G56" s="1">
        <f>VLOOKUP(A:A,[1]TDSheet!$A:$G,7,0)</f>
        <v>0.27</v>
      </c>
      <c r="H56" s="1" t="e">
        <f>VLOOKUP(A:A,[1]TDSheet!$A:$H,8,0)</f>
        <v>#N/A</v>
      </c>
      <c r="I56" s="15">
        <f>VLOOKUP(A:A,[2]TDSheet!$A:$F,6,0)</f>
        <v>197</v>
      </c>
      <c r="J56" s="15">
        <f t="shared" si="12"/>
        <v>-15</v>
      </c>
      <c r="K56" s="15">
        <f>VLOOKUP(A:A,[1]TDSheet!$A:$L,12,0)</f>
        <v>0</v>
      </c>
      <c r="L56" s="15">
        <f>VLOOKUP(A:A,[1]TDSheet!$A:$T,20,0)</f>
        <v>40</v>
      </c>
      <c r="M56" s="15"/>
      <c r="N56" s="17"/>
      <c r="O56" s="15"/>
      <c r="P56" s="15"/>
      <c r="Q56" s="17">
        <v>160</v>
      </c>
      <c r="R56" s="17">
        <v>40</v>
      </c>
      <c r="S56" s="15">
        <f t="shared" si="13"/>
        <v>36.4</v>
      </c>
      <c r="T56" s="17">
        <v>40</v>
      </c>
      <c r="U56" s="18">
        <f t="shared" si="14"/>
        <v>10.192307692307693</v>
      </c>
      <c r="V56" s="15">
        <f t="shared" si="15"/>
        <v>2.5</v>
      </c>
      <c r="W56" s="15"/>
      <c r="X56" s="15"/>
      <c r="Y56" s="15"/>
      <c r="Z56" s="15">
        <f>VLOOKUP(A:A,[1]TDSheet!$A:$Z,26,0)</f>
        <v>43.6</v>
      </c>
      <c r="AA56" s="15">
        <f>VLOOKUP(A:A,[1]TDSheet!$A:$AA,27,0)</f>
        <v>50.4</v>
      </c>
      <c r="AB56" s="15">
        <f>VLOOKUP(A:A,[1]TDSheet!$A:$AB,28,0)</f>
        <v>27.25</v>
      </c>
      <c r="AC56" s="15">
        <f>VLOOKUP(A:A,[1]TDSheet!$A:$AC,29,0)</f>
        <v>26.6</v>
      </c>
      <c r="AD56" s="15">
        <f>VLOOKUP(A:A,[3]TDSheet!$A:$D,4,0)</f>
        <v>26</v>
      </c>
      <c r="AE56" s="15">
        <f>VLOOKUP(A:A,[1]TDSheet!$A:$AE,31,0)</f>
        <v>0</v>
      </c>
      <c r="AF56" s="15" t="str">
        <f>VLOOKUP(A:A,[1]TDSheet!$A:$AF,32,0)</f>
        <v>увел</v>
      </c>
      <c r="AG56" s="15">
        <f t="shared" si="16"/>
        <v>43.2</v>
      </c>
      <c r="AH56" s="15">
        <f t="shared" si="17"/>
        <v>10.8</v>
      </c>
      <c r="AI56" s="15">
        <f t="shared" si="18"/>
        <v>10.8</v>
      </c>
      <c r="AJ56" s="15">
        <f t="shared" si="19"/>
        <v>0</v>
      </c>
      <c r="AK56" s="15"/>
      <c r="AL56" s="15"/>
      <c r="AM56" s="23">
        <f t="shared" si="20"/>
        <v>-0.2857142857142857</v>
      </c>
    </row>
    <row r="57" spans="1:39" s="1" customFormat="1" ht="11.1" customHeight="1" outlineLevel="1" x14ac:dyDescent="0.2">
      <c r="A57" s="7" t="s">
        <v>60</v>
      </c>
      <c r="B57" s="7" t="s">
        <v>8</v>
      </c>
      <c r="C57" s="8">
        <v>158</v>
      </c>
      <c r="D57" s="8">
        <v>461</v>
      </c>
      <c r="E57" s="8">
        <v>347</v>
      </c>
      <c r="F57" s="8">
        <v>266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360</v>
      </c>
      <c r="J57" s="15">
        <f t="shared" si="12"/>
        <v>-13</v>
      </c>
      <c r="K57" s="15">
        <f>VLOOKUP(A:A,[1]TDSheet!$A:$L,12,0)</f>
        <v>0</v>
      </c>
      <c r="L57" s="15">
        <f>VLOOKUP(A:A,[1]TDSheet!$A:$T,20,0)</f>
        <v>160</v>
      </c>
      <c r="M57" s="15"/>
      <c r="N57" s="17"/>
      <c r="O57" s="15"/>
      <c r="P57" s="15"/>
      <c r="Q57" s="17">
        <v>160</v>
      </c>
      <c r="R57" s="17">
        <v>80</v>
      </c>
      <c r="S57" s="15">
        <f t="shared" si="13"/>
        <v>69.400000000000006</v>
      </c>
      <c r="T57" s="17">
        <v>40</v>
      </c>
      <c r="U57" s="18">
        <f t="shared" si="14"/>
        <v>10.172910662824206</v>
      </c>
      <c r="V57" s="15">
        <f t="shared" si="15"/>
        <v>3.8328530259365992</v>
      </c>
      <c r="W57" s="15"/>
      <c r="X57" s="15"/>
      <c r="Y57" s="15"/>
      <c r="Z57" s="15">
        <f>VLOOKUP(A:A,[1]TDSheet!$A:$Z,26,0)</f>
        <v>67.599999999999994</v>
      </c>
      <c r="AA57" s="15">
        <f>VLOOKUP(A:A,[1]TDSheet!$A:$AA,27,0)</f>
        <v>76.599999999999994</v>
      </c>
      <c r="AB57" s="15">
        <f>VLOOKUP(A:A,[1]TDSheet!$A:$AB,28,0)</f>
        <v>46.25</v>
      </c>
      <c r="AC57" s="15">
        <f>VLOOKUP(A:A,[1]TDSheet!$A:$AC,29,0)</f>
        <v>58.4</v>
      </c>
      <c r="AD57" s="15">
        <f>VLOOKUP(A:A,[3]TDSheet!$A:$D,4,0)</f>
        <v>68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48</v>
      </c>
      <c r="AH57" s="15">
        <f t="shared" si="17"/>
        <v>24</v>
      </c>
      <c r="AI57" s="15">
        <f t="shared" si="18"/>
        <v>12</v>
      </c>
      <c r="AJ57" s="15">
        <f t="shared" si="19"/>
        <v>0</v>
      </c>
      <c r="AK57" s="15"/>
      <c r="AL57" s="15"/>
      <c r="AM57" s="23">
        <f t="shared" si="20"/>
        <v>-2.0172910662824339E-2</v>
      </c>
    </row>
    <row r="58" spans="1:39" s="1" customFormat="1" ht="11.1" customHeight="1" outlineLevel="1" x14ac:dyDescent="0.2">
      <c r="A58" s="7" t="s">
        <v>61</v>
      </c>
      <c r="B58" s="7" t="s">
        <v>8</v>
      </c>
      <c r="C58" s="8">
        <v>1063</v>
      </c>
      <c r="D58" s="8">
        <v>10467</v>
      </c>
      <c r="E58" s="19">
        <v>6680</v>
      </c>
      <c r="F58" s="19">
        <v>5320</v>
      </c>
      <c r="G58" s="1">
        <f>VLOOKUP(A:A,[1]TDSheet!$A:$G,7,0)</f>
        <v>0.41</v>
      </c>
      <c r="H58" s="1" t="e">
        <f>VLOOKUP(A:A,[1]TDSheet!$A:$H,8,0)</f>
        <v>#N/A</v>
      </c>
      <c r="I58" s="15">
        <f>VLOOKUP(A:A,[2]TDSheet!$A:$F,6,0)</f>
        <v>6822</v>
      </c>
      <c r="J58" s="15">
        <f t="shared" si="12"/>
        <v>-142</v>
      </c>
      <c r="K58" s="15">
        <f>VLOOKUP(A:A,[1]TDSheet!$A:$L,12,0)</f>
        <v>1000</v>
      </c>
      <c r="L58" s="15">
        <f>VLOOKUP(A:A,[1]TDSheet!$A:$T,20,0)</f>
        <v>500</v>
      </c>
      <c r="M58" s="15"/>
      <c r="N58" s="17">
        <v>400</v>
      </c>
      <c r="O58" s="15"/>
      <c r="P58" s="15"/>
      <c r="Q58" s="17">
        <v>4800</v>
      </c>
      <c r="R58" s="17">
        <v>1600</v>
      </c>
      <c r="S58" s="15">
        <f t="shared" si="13"/>
        <v>1336</v>
      </c>
      <c r="T58" s="17">
        <v>2100</v>
      </c>
      <c r="U58" s="18">
        <f t="shared" si="14"/>
        <v>11.766467065868264</v>
      </c>
      <c r="V58" s="15">
        <f t="shared" si="15"/>
        <v>3.9820359281437128</v>
      </c>
      <c r="W58" s="15"/>
      <c r="X58" s="15">
        <v>400</v>
      </c>
      <c r="Y58" s="15"/>
      <c r="Z58" s="15">
        <f>VLOOKUP(A:A,[1]TDSheet!$A:$Z,26,0)</f>
        <v>1128.8</v>
      </c>
      <c r="AA58" s="15">
        <f>VLOOKUP(A:A,[1]TDSheet!$A:$AA,27,0)</f>
        <v>1325</v>
      </c>
      <c r="AB58" s="15">
        <f>VLOOKUP(A:A,[1]TDSheet!$A:$AB,28,0)</f>
        <v>934.5</v>
      </c>
      <c r="AC58" s="15">
        <f>VLOOKUP(A:A,[1]TDSheet!$A:$AC,29,0)</f>
        <v>1252.4000000000001</v>
      </c>
      <c r="AD58" s="15">
        <f>VLOOKUP(A:A,[3]TDSheet!$A:$D,4,0)</f>
        <v>1096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1967.9999999999998</v>
      </c>
      <c r="AH58" s="15">
        <f t="shared" si="17"/>
        <v>656</v>
      </c>
      <c r="AI58" s="15">
        <f t="shared" si="18"/>
        <v>861</v>
      </c>
      <c r="AJ58" s="15">
        <f t="shared" si="19"/>
        <v>164</v>
      </c>
      <c r="AK58" s="15"/>
      <c r="AL58" s="15"/>
      <c r="AM58" s="23">
        <f t="shared" si="20"/>
        <v>-0.17964071856287422</v>
      </c>
    </row>
    <row r="59" spans="1:39" s="1" customFormat="1" ht="11.1" customHeight="1" outlineLevel="1" x14ac:dyDescent="0.2">
      <c r="A59" s="7" t="s">
        <v>62</v>
      </c>
      <c r="B59" s="7" t="s">
        <v>9</v>
      </c>
      <c r="C59" s="8">
        <v>538.28200000000004</v>
      </c>
      <c r="D59" s="8">
        <v>7261.0140000000001</v>
      </c>
      <c r="E59" s="19">
        <v>2963</v>
      </c>
      <c r="F59" s="19">
        <v>4276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2814</v>
      </c>
      <c r="J59" s="15">
        <f t="shared" si="12"/>
        <v>149</v>
      </c>
      <c r="K59" s="15">
        <f>VLOOKUP(A:A,[1]TDSheet!$A:$L,12,0)</f>
        <v>700</v>
      </c>
      <c r="L59" s="15">
        <f>VLOOKUP(A:A,[1]TDSheet!$A:$T,20,0)</f>
        <v>0</v>
      </c>
      <c r="M59" s="15">
        <v>-200</v>
      </c>
      <c r="N59" s="17">
        <v>300</v>
      </c>
      <c r="O59" s="15"/>
      <c r="P59" s="15"/>
      <c r="Q59" s="17">
        <v>500</v>
      </c>
      <c r="R59" s="17">
        <v>400</v>
      </c>
      <c r="S59" s="15">
        <f t="shared" si="13"/>
        <v>592.6</v>
      </c>
      <c r="T59" s="17">
        <v>900</v>
      </c>
      <c r="U59" s="18">
        <f t="shared" si="14"/>
        <v>11.603104961187984</v>
      </c>
      <c r="V59" s="15">
        <f t="shared" si="15"/>
        <v>7.2156598042524465</v>
      </c>
      <c r="W59" s="15">
        <v>-200</v>
      </c>
      <c r="X59" s="15">
        <v>300</v>
      </c>
      <c r="Y59" s="15"/>
      <c r="Z59" s="15">
        <f>VLOOKUP(A:A,[1]TDSheet!$A:$Z,26,0)</f>
        <v>600.20000000000005</v>
      </c>
      <c r="AA59" s="15">
        <f>VLOOKUP(A:A,[1]TDSheet!$A:$AA,27,0)</f>
        <v>787.6</v>
      </c>
      <c r="AB59" s="15">
        <f>VLOOKUP(A:A,[1]TDSheet!$A:$AB,28,0)</f>
        <v>557</v>
      </c>
      <c r="AC59" s="15">
        <f>VLOOKUP(A:A,[1]TDSheet!$A:$AC,29,0)</f>
        <v>750</v>
      </c>
      <c r="AD59" s="15">
        <f>VLOOKUP(A:A,[3]TDSheet!$A:$D,4,0)</f>
        <v>549.375</v>
      </c>
      <c r="AE59" s="15" t="str">
        <f>VLOOKUP(A:A,[1]TDSheet!$A:$AE,31,0)</f>
        <v>м900кр</v>
      </c>
      <c r="AF59" s="15">
        <f>VLOOKUP(A:A,[1]TDSheet!$A:$AF,32,0)</f>
        <v>0</v>
      </c>
      <c r="AG59" s="15">
        <f t="shared" si="16"/>
        <v>500</v>
      </c>
      <c r="AH59" s="15">
        <f t="shared" si="17"/>
        <v>400</v>
      </c>
      <c r="AI59" s="15">
        <f t="shared" si="18"/>
        <v>900</v>
      </c>
      <c r="AJ59" s="15">
        <f t="shared" si="19"/>
        <v>300</v>
      </c>
      <c r="AK59" s="15"/>
      <c r="AL59" s="15"/>
      <c r="AM59" s="23">
        <f t="shared" si="20"/>
        <v>-7.2941275734053401E-2</v>
      </c>
    </row>
    <row r="60" spans="1:39" s="1" customFormat="1" ht="11.1" customHeight="1" outlineLevel="1" x14ac:dyDescent="0.2">
      <c r="A60" s="7" t="s">
        <v>63</v>
      </c>
      <c r="B60" s="7" t="s">
        <v>8</v>
      </c>
      <c r="C60" s="8">
        <v>509</v>
      </c>
      <c r="D60" s="8">
        <v>2986</v>
      </c>
      <c r="E60" s="8">
        <v>1589</v>
      </c>
      <c r="F60" s="8">
        <v>1854</v>
      </c>
      <c r="G60" s="1">
        <f>VLOOKUP(A:A,[1]TDSheet!$A:$G,7,0)</f>
        <v>0.35</v>
      </c>
      <c r="H60" s="1" t="e">
        <f>VLOOKUP(A:A,[1]TDSheet!$A:$H,8,0)</f>
        <v>#N/A</v>
      </c>
      <c r="I60" s="15">
        <f>VLOOKUP(A:A,[2]TDSheet!$A:$F,6,0)</f>
        <v>1624</v>
      </c>
      <c r="J60" s="15">
        <f t="shared" si="12"/>
        <v>-35</v>
      </c>
      <c r="K60" s="15">
        <f>VLOOKUP(A:A,[1]TDSheet!$A:$L,12,0)</f>
        <v>120</v>
      </c>
      <c r="L60" s="15">
        <f>VLOOKUP(A:A,[1]TDSheet!$A:$T,20,0)</f>
        <v>0</v>
      </c>
      <c r="M60" s="15"/>
      <c r="N60" s="17">
        <v>120</v>
      </c>
      <c r="O60" s="15"/>
      <c r="P60" s="15"/>
      <c r="Q60" s="17">
        <v>720</v>
      </c>
      <c r="R60" s="17">
        <v>360</v>
      </c>
      <c r="S60" s="15">
        <f t="shared" si="13"/>
        <v>317.8</v>
      </c>
      <c r="T60" s="17">
        <v>280</v>
      </c>
      <c r="U60" s="18">
        <f t="shared" si="14"/>
        <v>10.868470736312146</v>
      </c>
      <c r="V60" s="15">
        <f t="shared" si="15"/>
        <v>5.8338577721837632</v>
      </c>
      <c r="W60" s="15"/>
      <c r="X60" s="15">
        <v>120</v>
      </c>
      <c r="Y60" s="15"/>
      <c r="Z60" s="15">
        <f>VLOOKUP(A:A,[1]TDSheet!$A:$Z,26,0)</f>
        <v>299.2</v>
      </c>
      <c r="AA60" s="15">
        <f>VLOOKUP(A:A,[1]TDSheet!$A:$AA,27,0)</f>
        <v>361.4</v>
      </c>
      <c r="AB60" s="15">
        <f>VLOOKUP(A:A,[1]TDSheet!$A:$AB,28,0)</f>
        <v>287</v>
      </c>
      <c r="AC60" s="15">
        <f>VLOOKUP(A:A,[1]TDSheet!$A:$AC,29,0)</f>
        <v>334.2</v>
      </c>
      <c r="AD60" s="15">
        <f>VLOOKUP(A:A,[3]TDSheet!$A:$D,4,0)</f>
        <v>269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251.99999999999997</v>
      </c>
      <c r="AH60" s="15">
        <f t="shared" si="17"/>
        <v>125.99999999999999</v>
      </c>
      <c r="AI60" s="15">
        <f t="shared" si="18"/>
        <v>98</v>
      </c>
      <c r="AJ60" s="15">
        <f t="shared" si="19"/>
        <v>42</v>
      </c>
      <c r="AK60" s="15"/>
      <c r="AL60" s="15"/>
      <c r="AM60" s="23">
        <f t="shared" si="20"/>
        <v>-0.15355569540591574</v>
      </c>
    </row>
    <row r="61" spans="1:39" s="1" customFormat="1" ht="11.1" customHeight="1" outlineLevel="1" x14ac:dyDescent="0.2">
      <c r="A61" s="7" t="s">
        <v>64</v>
      </c>
      <c r="B61" s="7" t="s">
        <v>9</v>
      </c>
      <c r="C61" s="8">
        <v>111.873</v>
      </c>
      <c r="D61" s="8">
        <v>44.787999999999997</v>
      </c>
      <c r="E61" s="8">
        <v>92.855000000000004</v>
      </c>
      <c r="F61" s="8">
        <v>56.042000000000002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96.9</v>
      </c>
      <c r="J61" s="15">
        <f t="shared" si="12"/>
        <v>-4.0450000000000017</v>
      </c>
      <c r="K61" s="15">
        <f>VLOOKUP(A:A,[1]TDSheet!$A:$L,12,0)</f>
        <v>0</v>
      </c>
      <c r="L61" s="15">
        <f>VLOOKUP(A:A,[1]TDSheet!$A:$T,20,0)</f>
        <v>20</v>
      </c>
      <c r="M61" s="15"/>
      <c r="N61" s="17">
        <v>20</v>
      </c>
      <c r="O61" s="15"/>
      <c r="P61" s="15"/>
      <c r="Q61" s="17">
        <v>90</v>
      </c>
      <c r="R61" s="17">
        <v>20</v>
      </c>
      <c r="S61" s="15">
        <f t="shared" si="13"/>
        <v>18.571000000000002</v>
      </c>
      <c r="T61" s="17"/>
      <c r="U61" s="18">
        <f t="shared" si="14"/>
        <v>11.094825265198427</v>
      </c>
      <c r="V61" s="15">
        <f t="shared" si="15"/>
        <v>3.0177157934413867</v>
      </c>
      <c r="W61" s="15"/>
      <c r="X61" s="15">
        <v>20</v>
      </c>
      <c r="Y61" s="15"/>
      <c r="Z61" s="15">
        <f>VLOOKUP(A:A,[1]TDSheet!$A:$Z,26,0)</f>
        <v>14.2286</v>
      </c>
      <c r="AA61" s="15">
        <f>VLOOKUP(A:A,[1]TDSheet!$A:$AA,27,0)</f>
        <v>16.107800000000001</v>
      </c>
      <c r="AB61" s="15">
        <f>VLOOKUP(A:A,[1]TDSheet!$A:$AB,28,0)</f>
        <v>23.638249999999999</v>
      </c>
      <c r="AC61" s="15">
        <f>VLOOKUP(A:A,[1]TDSheet!$A:$AC,29,0)</f>
        <v>11.7628</v>
      </c>
      <c r="AD61" s="15">
        <f>VLOOKUP(A:A,[3]TDSheet!$A:$D,4,0)</f>
        <v>7.83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90</v>
      </c>
      <c r="AH61" s="15">
        <f t="shared" si="17"/>
        <v>20</v>
      </c>
      <c r="AI61" s="15">
        <f t="shared" si="18"/>
        <v>0</v>
      </c>
      <c r="AJ61" s="15">
        <f t="shared" si="19"/>
        <v>20</v>
      </c>
      <c r="AK61" s="15"/>
      <c r="AL61" s="15"/>
      <c r="AM61" s="23">
        <f t="shared" si="20"/>
        <v>-0.57837488557428252</v>
      </c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868</v>
      </c>
      <c r="D62" s="8">
        <v>5313</v>
      </c>
      <c r="E62" s="8">
        <v>3272</v>
      </c>
      <c r="F62" s="8">
        <v>2822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3353</v>
      </c>
      <c r="J62" s="15">
        <f t="shared" si="12"/>
        <v>-81</v>
      </c>
      <c r="K62" s="15">
        <f>VLOOKUP(A:A,[1]TDSheet!$A:$L,12,0)</f>
        <v>600</v>
      </c>
      <c r="L62" s="15">
        <f>VLOOKUP(A:A,[1]TDSheet!$A:$T,20,0)</f>
        <v>200</v>
      </c>
      <c r="M62" s="15"/>
      <c r="N62" s="17">
        <v>300</v>
      </c>
      <c r="O62" s="15"/>
      <c r="P62" s="15"/>
      <c r="Q62" s="17">
        <v>2100</v>
      </c>
      <c r="R62" s="17">
        <v>600</v>
      </c>
      <c r="S62" s="15">
        <f t="shared" si="13"/>
        <v>654.4</v>
      </c>
      <c r="T62" s="17">
        <v>800</v>
      </c>
      <c r="U62" s="18">
        <f t="shared" si="14"/>
        <v>11.341687041564793</v>
      </c>
      <c r="V62" s="15">
        <f t="shared" si="15"/>
        <v>4.3123471882640585</v>
      </c>
      <c r="W62" s="15"/>
      <c r="X62" s="15">
        <v>300</v>
      </c>
      <c r="Y62" s="15"/>
      <c r="Z62" s="15">
        <f>VLOOKUP(A:A,[1]TDSheet!$A:$Z,26,0)</f>
        <v>581.79999999999995</v>
      </c>
      <c r="AA62" s="15">
        <f>VLOOKUP(A:A,[1]TDSheet!$A:$AA,27,0)</f>
        <v>648.20000000000005</v>
      </c>
      <c r="AB62" s="15">
        <f>VLOOKUP(A:A,[1]TDSheet!$A:$AB,28,0)</f>
        <v>534</v>
      </c>
      <c r="AC62" s="15">
        <f>VLOOKUP(A:A,[1]TDSheet!$A:$AC,29,0)</f>
        <v>629.20000000000005</v>
      </c>
      <c r="AD62" s="15">
        <f>VLOOKUP(A:A,[3]TDSheet!$A:$D,4,0)</f>
        <v>583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861</v>
      </c>
      <c r="AH62" s="15">
        <f t="shared" si="17"/>
        <v>245.99999999999997</v>
      </c>
      <c r="AI62" s="15">
        <f t="shared" si="18"/>
        <v>328</v>
      </c>
      <c r="AJ62" s="15">
        <f t="shared" si="19"/>
        <v>122.99999999999999</v>
      </c>
      <c r="AK62" s="15"/>
      <c r="AL62" s="15"/>
      <c r="AM62" s="23">
        <f t="shared" si="20"/>
        <v>-0.1091075794621027</v>
      </c>
    </row>
    <row r="63" spans="1:39" s="1" customFormat="1" ht="11.1" customHeight="1" outlineLevel="1" x14ac:dyDescent="0.2">
      <c r="A63" s="7" t="s">
        <v>66</v>
      </c>
      <c r="B63" s="7" t="s">
        <v>9</v>
      </c>
      <c r="C63" s="8">
        <v>63.933</v>
      </c>
      <c r="D63" s="8">
        <v>298.04399999999998</v>
      </c>
      <c r="E63" s="8">
        <v>182.28200000000001</v>
      </c>
      <c r="F63" s="8">
        <v>167.27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189</v>
      </c>
      <c r="J63" s="15">
        <f t="shared" si="12"/>
        <v>-6.7179999999999893</v>
      </c>
      <c r="K63" s="15">
        <f>VLOOKUP(A:A,[1]TDSheet!$A:$L,12,0)</f>
        <v>30</v>
      </c>
      <c r="L63" s="15">
        <f>VLOOKUP(A:A,[1]TDSheet!$A:$T,20,0)</f>
        <v>20</v>
      </c>
      <c r="M63" s="15"/>
      <c r="N63" s="17">
        <v>20</v>
      </c>
      <c r="O63" s="15"/>
      <c r="P63" s="15"/>
      <c r="Q63" s="17">
        <v>90</v>
      </c>
      <c r="R63" s="17">
        <v>40</v>
      </c>
      <c r="S63" s="15">
        <f t="shared" si="13"/>
        <v>36.456400000000002</v>
      </c>
      <c r="T63" s="17">
        <v>40</v>
      </c>
      <c r="U63" s="18">
        <f t="shared" si="14"/>
        <v>11.171426690512501</v>
      </c>
      <c r="V63" s="15">
        <f t="shared" si="15"/>
        <v>4.5882204496329866</v>
      </c>
      <c r="W63" s="15"/>
      <c r="X63" s="15">
        <v>20</v>
      </c>
      <c r="Y63" s="15"/>
      <c r="Z63" s="15">
        <f>VLOOKUP(A:A,[1]TDSheet!$A:$Z,26,0)</f>
        <v>25.4648</v>
      </c>
      <c r="AA63" s="15">
        <f>VLOOKUP(A:A,[1]TDSheet!$A:$AA,27,0)</f>
        <v>31.206</v>
      </c>
      <c r="AB63" s="15">
        <f>VLOOKUP(A:A,[1]TDSheet!$A:$AB,28,0)</f>
        <v>36.199249999999999</v>
      </c>
      <c r="AC63" s="15">
        <f>VLOOKUP(A:A,[1]TDSheet!$A:$AC,29,0)</f>
        <v>35.078400000000002</v>
      </c>
      <c r="AD63" s="15">
        <f>VLOOKUP(A:A,[3]TDSheet!$A:$D,4,0)</f>
        <v>28.276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90</v>
      </c>
      <c r="AH63" s="15">
        <f t="shared" si="17"/>
        <v>40</v>
      </c>
      <c r="AI63" s="15">
        <f t="shared" si="18"/>
        <v>40</v>
      </c>
      <c r="AJ63" s="15">
        <f t="shared" si="19"/>
        <v>20</v>
      </c>
      <c r="AK63" s="15"/>
      <c r="AL63" s="15"/>
      <c r="AM63" s="23">
        <f t="shared" si="20"/>
        <v>-0.22438858472037837</v>
      </c>
    </row>
    <row r="64" spans="1:39" s="1" customFormat="1" ht="11.1" customHeight="1" outlineLevel="1" x14ac:dyDescent="0.2">
      <c r="A64" s="7" t="s">
        <v>67</v>
      </c>
      <c r="B64" s="7" t="s">
        <v>8</v>
      </c>
      <c r="C64" s="8">
        <v>125</v>
      </c>
      <c r="D64" s="8">
        <v>273</v>
      </c>
      <c r="E64" s="8">
        <v>260</v>
      </c>
      <c r="F64" s="8">
        <v>133</v>
      </c>
      <c r="G64" s="1">
        <f>VLOOKUP(A:A,[1]TDSheet!$A:$G,7,0)</f>
        <v>0.3</v>
      </c>
      <c r="H64" s="1">
        <f>VLOOKUP(A:A,[1]TDSheet!$A:$H,8,0)</f>
        <v>50</v>
      </c>
      <c r="I64" s="15">
        <f>VLOOKUP(A:A,[2]TDSheet!$A:$F,6,0)</f>
        <v>275</v>
      </c>
      <c r="J64" s="15">
        <f t="shared" si="12"/>
        <v>-15</v>
      </c>
      <c r="K64" s="15">
        <f>VLOOKUP(A:A,[1]TDSheet!$A:$L,12,0)</f>
        <v>40</v>
      </c>
      <c r="L64" s="15">
        <f>VLOOKUP(A:A,[1]TDSheet!$A:$T,20,0)</f>
        <v>120</v>
      </c>
      <c r="M64" s="15"/>
      <c r="N64" s="17">
        <v>40</v>
      </c>
      <c r="O64" s="15"/>
      <c r="P64" s="15"/>
      <c r="Q64" s="17">
        <v>120</v>
      </c>
      <c r="R64" s="17">
        <v>120</v>
      </c>
      <c r="S64" s="15">
        <f t="shared" si="13"/>
        <v>52</v>
      </c>
      <c r="T64" s="17"/>
      <c r="U64" s="18">
        <f t="shared" si="14"/>
        <v>11.01923076923077</v>
      </c>
      <c r="V64" s="15">
        <f t="shared" si="15"/>
        <v>2.5576923076923075</v>
      </c>
      <c r="W64" s="15"/>
      <c r="X64" s="15">
        <v>40</v>
      </c>
      <c r="Y64" s="15"/>
      <c r="Z64" s="15">
        <f>VLOOKUP(A:A,[1]TDSheet!$A:$Z,26,0)</f>
        <v>47.8</v>
      </c>
      <c r="AA64" s="15">
        <f>VLOOKUP(A:A,[1]TDSheet!$A:$AA,27,0)</f>
        <v>86.6</v>
      </c>
      <c r="AB64" s="15">
        <f>VLOOKUP(A:A,[1]TDSheet!$A:$AB,28,0)</f>
        <v>65.5</v>
      </c>
      <c r="AC64" s="15">
        <f>VLOOKUP(A:A,[1]TDSheet!$A:$AC,29,0)</f>
        <v>41</v>
      </c>
      <c r="AD64" s="15">
        <f>VLOOKUP(A:A,[3]TDSheet!$A:$D,4,0)</f>
        <v>41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36</v>
      </c>
      <c r="AH64" s="15">
        <f t="shared" si="17"/>
        <v>36</v>
      </c>
      <c r="AI64" s="15">
        <f t="shared" si="18"/>
        <v>0</v>
      </c>
      <c r="AJ64" s="15">
        <f t="shared" si="19"/>
        <v>12</v>
      </c>
      <c r="AK64" s="15"/>
      <c r="AL64" s="15"/>
      <c r="AM64" s="23">
        <f t="shared" si="20"/>
        <v>-0.21153846153846156</v>
      </c>
    </row>
    <row r="65" spans="1:39" s="1" customFormat="1" ht="11.1" customHeight="1" outlineLevel="1" x14ac:dyDescent="0.2">
      <c r="A65" s="7" t="s">
        <v>68</v>
      </c>
      <c r="B65" s="7" t="s">
        <v>8</v>
      </c>
      <c r="C65" s="8">
        <v>578</v>
      </c>
      <c r="D65" s="8">
        <v>507</v>
      </c>
      <c r="E65" s="8">
        <v>604</v>
      </c>
      <c r="F65" s="8">
        <v>459</v>
      </c>
      <c r="G65" s="1">
        <f>VLOOKUP(A:A,[1]TDSheet!$A:$G,7,0)</f>
        <v>0.3</v>
      </c>
      <c r="H65" s="1" t="e">
        <f>VLOOKUP(A:A,[1]TDSheet!$A:$H,8,0)</f>
        <v>#N/A</v>
      </c>
      <c r="I65" s="15">
        <f>VLOOKUP(A:A,[2]TDSheet!$A:$F,6,0)</f>
        <v>611</v>
      </c>
      <c r="J65" s="15">
        <f t="shared" si="12"/>
        <v>-7</v>
      </c>
      <c r="K65" s="15">
        <f>VLOOKUP(A:A,[1]TDSheet!$A:$L,12,0)</f>
        <v>0</v>
      </c>
      <c r="L65" s="15">
        <f>VLOOKUP(A:A,[1]TDSheet!$A:$T,20,0)</f>
        <v>240</v>
      </c>
      <c r="M65" s="15"/>
      <c r="N65" s="17">
        <v>120</v>
      </c>
      <c r="O65" s="15"/>
      <c r="P65" s="15"/>
      <c r="Q65" s="17">
        <v>360</v>
      </c>
      <c r="R65" s="17">
        <v>120</v>
      </c>
      <c r="S65" s="15">
        <f t="shared" si="13"/>
        <v>120.8</v>
      </c>
      <c r="T65" s="17">
        <v>120</v>
      </c>
      <c r="U65" s="18">
        <f t="shared" si="14"/>
        <v>11.746688741721854</v>
      </c>
      <c r="V65" s="15">
        <f t="shared" si="15"/>
        <v>3.7996688741721854</v>
      </c>
      <c r="W65" s="15"/>
      <c r="X65" s="15">
        <v>120</v>
      </c>
      <c r="Y65" s="15"/>
      <c r="Z65" s="15">
        <f>VLOOKUP(A:A,[1]TDSheet!$A:$Z,26,0)</f>
        <v>132</v>
      </c>
      <c r="AA65" s="15">
        <f>VLOOKUP(A:A,[1]TDSheet!$A:$AA,27,0)</f>
        <v>191.8</v>
      </c>
      <c r="AB65" s="15">
        <f>VLOOKUP(A:A,[1]TDSheet!$A:$AB,28,0)</f>
        <v>90.75</v>
      </c>
      <c r="AC65" s="15">
        <f>VLOOKUP(A:A,[1]TDSheet!$A:$AC,29,0)</f>
        <v>95.2</v>
      </c>
      <c r="AD65" s="15">
        <f>VLOOKUP(A:A,[3]TDSheet!$A:$D,4,0)</f>
        <v>105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108</v>
      </c>
      <c r="AH65" s="15">
        <f t="shared" si="17"/>
        <v>36</v>
      </c>
      <c r="AI65" s="15">
        <f t="shared" si="18"/>
        <v>36</v>
      </c>
      <c r="AJ65" s="15">
        <f t="shared" si="19"/>
        <v>36</v>
      </c>
      <c r="AK65" s="15"/>
      <c r="AL65" s="15"/>
      <c r="AM65" s="23">
        <f t="shared" si="20"/>
        <v>-0.13079470198675491</v>
      </c>
    </row>
    <row r="66" spans="1:39" s="1" customFormat="1" ht="11.1" customHeight="1" outlineLevel="1" x14ac:dyDescent="0.2">
      <c r="A66" s="7" t="s">
        <v>69</v>
      </c>
      <c r="B66" s="7" t="s">
        <v>8</v>
      </c>
      <c r="C66" s="8">
        <v>880</v>
      </c>
      <c r="D66" s="8">
        <v>1126</v>
      </c>
      <c r="E66" s="8">
        <v>971</v>
      </c>
      <c r="F66" s="8">
        <v>984</v>
      </c>
      <c r="G66" s="1">
        <f>VLOOKUP(A:A,[1]TDSheet!$A:$G,7,0)</f>
        <v>0.14000000000000001</v>
      </c>
      <c r="H66" s="1" t="e">
        <f>VLOOKUP(A:A,[1]TDSheet!$A:$H,8,0)</f>
        <v>#N/A</v>
      </c>
      <c r="I66" s="15">
        <f>VLOOKUP(A:A,[2]TDSheet!$A:$F,6,0)</f>
        <v>1031</v>
      </c>
      <c r="J66" s="15">
        <f t="shared" si="12"/>
        <v>-60</v>
      </c>
      <c r="K66" s="15">
        <f>VLOOKUP(A:A,[1]TDSheet!$A:$L,12,0)</f>
        <v>0</v>
      </c>
      <c r="L66" s="15">
        <f>VLOOKUP(A:A,[1]TDSheet!$A:$T,20,0)</f>
        <v>120</v>
      </c>
      <c r="M66" s="15"/>
      <c r="N66" s="17">
        <v>120</v>
      </c>
      <c r="O66" s="15"/>
      <c r="P66" s="15"/>
      <c r="Q66" s="17">
        <v>600</v>
      </c>
      <c r="R66" s="17">
        <v>240</v>
      </c>
      <c r="S66" s="15">
        <f t="shared" si="13"/>
        <v>194.2</v>
      </c>
      <c r="T66" s="17">
        <v>120</v>
      </c>
      <c r="U66" s="18">
        <f t="shared" si="14"/>
        <v>11.246138002059732</v>
      </c>
      <c r="V66" s="15">
        <f t="shared" si="15"/>
        <v>5.066941297631308</v>
      </c>
      <c r="W66" s="15"/>
      <c r="X66" s="15">
        <v>120</v>
      </c>
      <c r="Y66" s="15"/>
      <c r="Z66" s="15">
        <f>VLOOKUP(A:A,[1]TDSheet!$A:$Z,26,0)</f>
        <v>170.4</v>
      </c>
      <c r="AA66" s="15">
        <f>VLOOKUP(A:A,[1]TDSheet!$A:$AA,27,0)</f>
        <v>301</v>
      </c>
      <c r="AB66" s="15">
        <f>VLOOKUP(A:A,[1]TDSheet!$A:$AB,28,0)</f>
        <v>216.75</v>
      </c>
      <c r="AC66" s="15">
        <f>VLOOKUP(A:A,[1]TDSheet!$A:$AC,29,0)</f>
        <v>187</v>
      </c>
      <c r="AD66" s="15">
        <f>VLOOKUP(A:A,[3]TDSheet!$A:$D,4,0)</f>
        <v>117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84.000000000000014</v>
      </c>
      <c r="AH66" s="15">
        <f t="shared" si="17"/>
        <v>33.6</v>
      </c>
      <c r="AI66" s="15">
        <f t="shared" si="18"/>
        <v>16.8</v>
      </c>
      <c r="AJ66" s="15">
        <f t="shared" si="19"/>
        <v>16.8</v>
      </c>
      <c r="AK66" s="15"/>
      <c r="AL66" s="15"/>
      <c r="AM66" s="23">
        <f t="shared" si="20"/>
        <v>-0.39752832131822857</v>
      </c>
    </row>
    <row r="67" spans="1:39" s="1" customFormat="1" ht="11.1" customHeight="1" outlineLevel="1" x14ac:dyDescent="0.2">
      <c r="A67" s="22" t="s">
        <v>70</v>
      </c>
      <c r="B67" s="7" t="s">
        <v>8</v>
      </c>
      <c r="C67" s="8">
        <v>204</v>
      </c>
      <c r="D67" s="8">
        <v>2</v>
      </c>
      <c r="E67" s="8">
        <v>18</v>
      </c>
      <c r="F67" s="8">
        <v>186</v>
      </c>
      <c r="G67" s="1">
        <f>VLOOKUP(A:A,[1]TDSheet!$A:$G,7,0)</f>
        <v>0.22</v>
      </c>
      <c r="H67" s="1">
        <f>VLOOKUP(A:A,[1]TDSheet!$A:$H,8,0)</f>
        <v>60</v>
      </c>
      <c r="I67" s="15">
        <f>VLOOKUP(A:A,[2]TDSheet!$A:$F,6,0)</f>
        <v>20</v>
      </c>
      <c r="J67" s="15">
        <f t="shared" si="12"/>
        <v>-2</v>
      </c>
      <c r="K67" s="15">
        <f>VLOOKUP(A:A,[1]TDSheet!$A:$L,12,0)</f>
        <v>0</v>
      </c>
      <c r="L67" s="15">
        <f>VLOOKUP(A:A,[1]TDSheet!$A:$T,20,0)</f>
        <v>0</v>
      </c>
      <c r="M67" s="15"/>
      <c r="N67" s="17"/>
      <c r="O67" s="15"/>
      <c r="P67" s="15"/>
      <c r="Q67" s="17"/>
      <c r="R67" s="17"/>
      <c r="S67" s="15">
        <f t="shared" si="13"/>
        <v>3.6</v>
      </c>
      <c r="T67" s="17"/>
      <c r="U67" s="18">
        <f t="shared" si="14"/>
        <v>51.666666666666664</v>
      </c>
      <c r="V67" s="15">
        <f t="shared" si="15"/>
        <v>51.666666666666664</v>
      </c>
      <c r="W67" s="15"/>
      <c r="X67" s="15"/>
      <c r="Y67" s="15"/>
      <c r="Z67" s="15">
        <f>VLOOKUP(A:A,[1]TDSheet!$A:$Z,26,0)</f>
        <v>20.2</v>
      </c>
      <c r="AA67" s="15">
        <f>VLOOKUP(A:A,[1]TDSheet!$A:$AA,27,0)</f>
        <v>14.4</v>
      </c>
      <c r="AB67" s="15">
        <f>VLOOKUP(A:A,[1]TDSheet!$A:$AB,28,0)</f>
        <v>3.25</v>
      </c>
      <c r="AC67" s="15">
        <f>VLOOKUP(A:A,[1]TDSheet!$A:$AC,29,0)</f>
        <v>6</v>
      </c>
      <c r="AD67" s="15">
        <f>VLOOKUP(A:A,[3]TDSheet!$A:$D,4,0)</f>
        <v>5</v>
      </c>
      <c r="AE67" s="15" t="e">
        <f>VLOOKUP(A:A,[1]TDSheet!$A:$AE,31,0)</f>
        <v>#N/A</v>
      </c>
      <c r="AF67" s="21" t="str">
        <f>VLOOKUP(A:A,[1]TDSheet!$A:$AF,32,0)</f>
        <v>увел</v>
      </c>
      <c r="AG67" s="15">
        <f t="shared" si="16"/>
        <v>0</v>
      </c>
      <c r="AH67" s="15">
        <f t="shared" si="17"/>
        <v>0</v>
      </c>
      <c r="AI67" s="15">
        <f t="shared" si="18"/>
        <v>0</v>
      </c>
      <c r="AJ67" s="15">
        <f t="shared" si="19"/>
        <v>0</v>
      </c>
      <c r="AK67" s="15"/>
      <c r="AL67" s="15"/>
      <c r="AM67" s="23">
        <f t="shared" si="20"/>
        <v>0.38888888888888884</v>
      </c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37</v>
      </c>
      <c r="D68" s="8">
        <v>19</v>
      </c>
      <c r="E68" s="8">
        <v>41</v>
      </c>
      <c r="F68" s="8">
        <v>15</v>
      </c>
      <c r="G68" s="1">
        <f>VLOOKUP(A:A,[1]TDSheet!$A:$G,7,0)</f>
        <v>0.84</v>
      </c>
      <c r="H68" s="1">
        <f>VLOOKUP(A:A,[1]TDSheet!$A:$H,8,0)</f>
        <v>50</v>
      </c>
      <c r="I68" s="15">
        <f>VLOOKUP(A:A,[2]TDSheet!$A:$F,6,0)</f>
        <v>44</v>
      </c>
      <c r="J68" s="15">
        <f t="shared" si="12"/>
        <v>-3</v>
      </c>
      <c r="K68" s="15">
        <f>VLOOKUP(A:A,[1]TDSheet!$A:$L,12,0)</f>
        <v>0</v>
      </c>
      <c r="L68" s="15">
        <f>VLOOKUP(A:A,[1]TDSheet!$A:$T,20,0)</f>
        <v>30</v>
      </c>
      <c r="M68" s="15"/>
      <c r="N68" s="17"/>
      <c r="O68" s="15"/>
      <c r="P68" s="15"/>
      <c r="Q68" s="17">
        <v>30</v>
      </c>
      <c r="R68" s="17"/>
      <c r="S68" s="15">
        <f t="shared" si="13"/>
        <v>8.1999999999999993</v>
      </c>
      <c r="T68" s="17"/>
      <c r="U68" s="18">
        <f t="shared" si="14"/>
        <v>9.1463414634146343</v>
      </c>
      <c r="V68" s="15">
        <f t="shared" si="15"/>
        <v>1.8292682926829269</v>
      </c>
      <c r="W68" s="15"/>
      <c r="X68" s="15"/>
      <c r="Y68" s="15"/>
      <c r="Z68" s="15">
        <f>VLOOKUP(A:A,[1]TDSheet!$A:$Z,26,0)</f>
        <v>6.8</v>
      </c>
      <c r="AA68" s="15">
        <f>VLOOKUP(A:A,[1]TDSheet!$A:$AA,27,0)</f>
        <v>9.8000000000000007</v>
      </c>
      <c r="AB68" s="15">
        <f>VLOOKUP(A:A,[1]TDSheet!$A:$AB,28,0)</f>
        <v>4.25</v>
      </c>
      <c r="AC68" s="15">
        <f>VLOOKUP(A:A,[1]TDSheet!$A:$AC,29,0)</f>
        <v>5.4</v>
      </c>
      <c r="AD68" s="15">
        <f>VLOOKUP(A:A,[3]TDSheet!$A:$D,4,0)</f>
        <v>1</v>
      </c>
      <c r="AE68" s="15" t="str">
        <f>VLOOKUP(A:A,[1]TDSheet!$A:$AE,31,0)</f>
        <v>увел</v>
      </c>
      <c r="AF68" s="15">
        <f>VLOOKUP(A:A,[1]TDSheet!$A:$AF,32,0)</f>
        <v>0</v>
      </c>
      <c r="AG68" s="15">
        <f t="shared" si="16"/>
        <v>25.2</v>
      </c>
      <c r="AH68" s="15">
        <f t="shared" si="17"/>
        <v>0</v>
      </c>
      <c r="AI68" s="15">
        <f t="shared" si="18"/>
        <v>0</v>
      </c>
      <c r="AJ68" s="15">
        <f t="shared" si="19"/>
        <v>0</v>
      </c>
      <c r="AK68" s="15"/>
      <c r="AL68" s="15"/>
      <c r="AM68" s="23">
        <f t="shared" si="20"/>
        <v>-0.87804878048780488</v>
      </c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1593</v>
      </c>
      <c r="D69" s="8">
        <v>3483</v>
      </c>
      <c r="E69" s="8">
        <v>2856</v>
      </c>
      <c r="F69" s="8">
        <v>2118</v>
      </c>
      <c r="G69" s="1">
        <f>VLOOKUP(A:A,[1]TDSheet!$A:$G,7,0)</f>
        <v>0.35</v>
      </c>
      <c r="H69" s="1" t="e">
        <f>VLOOKUP(A:A,[1]TDSheet!$A:$H,8,0)</f>
        <v>#N/A</v>
      </c>
      <c r="I69" s="15">
        <f>VLOOKUP(A:A,[2]TDSheet!$A:$F,6,0)</f>
        <v>2968</v>
      </c>
      <c r="J69" s="15">
        <f t="shared" si="12"/>
        <v>-112</v>
      </c>
      <c r="K69" s="15">
        <f>VLOOKUP(A:A,[1]TDSheet!$A:$L,12,0)</f>
        <v>400</v>
      </c>
      <c r="L69" s="15">
        <f>VLOOKUP(A:A,[1]TDSheet!$A:$T,20,0)</f>
        <v>320</v>
      </c>
      <c r="M69" s="15"/>
      <c r="N69" s="17"/>
      <c r="O69" s="15"/>
      <c r="P69" s="15"/>
      <c r="Q69" s="17">
        <v>2400</v>
      </c>
      <c r="R69" s="17">
        <v>600</v>
      </c>
      <c r="S69" s="15">
        <f t="shared" si="13"/>
        <v>571.20000000000005</v>
      </c>
      <c r="T69" s="17">
        <v>600</v>
      </c>
      <c r="U69" s="18">
        <f t="shared" si="14"/>
        <v>11.271008403361344</v>
      </c>
      <c r="V69" s="15">
        <f t="shared" si="15"/>
        <v>3.7079831932773106</v>
      </c>
      <c r="W69" s="15"/>
      <c r="X69" s="15"/>
      <c r="Y69" s="15"/>
      <c r="Z69" s="15">
        <f>VLOOKUP(A:A,[1]TDSheet!$A:$Z,26,0)</f>
        <v>528</v>
      </c>
      <c r="AA69" s="15">
        <f>VLOOKUP(A:A,[1]TDSheet!$A:$AA,27,0)</f>
        <v>739.8</v>
      </c>
      <c r="AB69" s="15">
        <f>VLOOKUP(A:A,[1]TDSheet!$A:$AB,28,0)</f>
        <v>433.25</v>
      </c>
      <c r="AC69" s="15">
        <f>VLOOKUP(A:A,[1]TDSheet!$A:$AC,29,0)</f>
        <v>497.4</v>
      </c>
      <c r="AD69" s="15">
        <f>VLOOKUP(A:A,[3]TDSheet!$A:$D,4,0)</f>
        <v>411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840</v>
      </c>
      <c r="AH69" s="15">
        <f t="shared" si="17"/>
        <v>210</v>
      </c>
      <c r="AI69" s="15">
        <f t="shared" si="18"/>
        <v>210</v>
      </c>
      <c r="AJ69" s="15">
        <f t="shared" si="19"/>
        <v>0</v>
      </c>
      <c r="AK69" s="15"/>
      <c r="AL69" s="15"/>
      <c r="AM69" s="23">
        <f t="shared" si="20"/>
        <v>-0.28046218487394958</v>
      </c>
    </row>
    <row r="70" spans="1:39" s="1" customFormat="1" ht="11.1" customHeight="1" outlineLevel="1" x14ac:dyDescent="0.2">
      <c r="A70" s="7" t="s">
        <v>73</v>
      </c>
      <c r="B70" s="7" t="s">
        <v>9</v>
      </c>
      <c r="C70" s="8">
        <v>282.09500000000003</v>
      </c>
      <c r="D70" s="8">
        <v>2.137</v>
      </c>
      <c r="E70" s="8">
        <v>135.084</v>
      </c>
      <c r="F70" s="8">
        <v>146.30000000000001</v>
      </c>
      <c r="G70" s="1">
        <f>VLOOKUP(A:A,[1]TDSheet!$A:$G,7,0)</f>
        <v>1</v>
      </c>
      <c r="H70" s="1" t="e">
        <f>VLOOKUP(A:A,[1]TDSheet!$A:$H,8,0)</f>
        <v>#N/A</v>
      </c>
      <c r="I70" s="15">
        <f>VLOOKUP(A:A,[2]TDSheet!$A:$F,6,0)</f>
        <v>134.9</v>
      </c>
      <c r="J70" s="15">
        <f t="shared" si="12"/>
        <v>0.1839999999999975</v>
      </c>
      <c r="K70" s="15">
        <f>VLOOKUP(A:A,[1]TDSheet!$A:$L,12,0)</f>
        <v>30</v>
      </c>
      <c r="L70" s="15">
        <f>VLOOKUP(A:A,[1]TDSheet!$A:$T,20,0)</f>
        <v>0</v>
      </c>
      <c r="M70" s="15"/>
      <c r="N70" s="17"/>
      <c r="O70" s="15"/>
      <c r="P70" s="15"/>
      <c r="Q70" s="17">
        <v>100</v>
      </c>
      <c r="R70" s="17"/>
      <c r="S70" s="15">
        <f t="shared" si="13"/>
        <v>27.0168</v>
      </c>
      <c r="T70" s="17">
        <v>20</v>
      </c>
      <c r="U70" s="18">
        <f t="shared" si="14"/>
        <v>10.967250007402802</v>
      </c>
      <c r="V70" s="15">
        <f t="shared" si="15"/>
        <v>5.4151490924165708</v>
      </c>
      <c r="W70" s="15"/>
      <c r="X70" s="15"/>
      <c r="Y70" s="15"/>
      <c r="Z70" s="15">
        <f>VLOOKUP(A:A,[1]TDSheet!$A:$Z,26,0)</f>
        <v>47.561999999999998</v>
      </c>
      <c r="AA70" s="15">
        <f>VLOOKUP(A:A,[1]TDSheet!$A:$AA,27,0)</f>
        <v>59.527200000000008</v>
      </c>
      <c r="AB70" s="15">
        <f>VLOOKUP(A:A,[1]TDSheet!$A:$AB,28,0)</f>
        <v>19.10275</v>
      </c>
      <c r="AC70" s="15">
        <f>VLOOKUP(A:A,[1]TDSheet!$A:$AC,29,0)</f>
        <v>28.232199999999999</v>
      </c>
      <c r="AD70" s="15">
        <f>VLOOKUP(A:A,[3]TDSheet!$A:$D,4,0)</f>
        <v>24.17</v>
      </c>
      <c r="AE70" s="15" t="str">
        <f>VLOOKUP(A:A,[1]TDSheet!$A:$AE,31,0)</f>
        <v>Вит</v>
      </c>
      <c r="AF70" s="15" t="str">
        <f>VLOOKUP(A:A,[1]TDSheet!$A:$AF,32,0)</f>
        <v>увел</v>
      </c>
      <c r="AG70" s="15">
        <f t="shared" si="16"/>
        <v>100</v>
      </c>
      <c r="AH70" s="15">
        <f t="shared" si="17"/>
        <v>0</v>
      </c>
      <c r="AI70" s="15">
        <f t="shared" si="18"/>
        <v>20</v>
      </c>
      <c r="AJ70" s="15">
        <f t="shared" si="19"/>
        <v>0</v>
      </c>
      <c r="AK70" s="15"/>
      <c r="AL70" s="15"/>
      <c r="AM70" s="23">
        <f t="shared" si="20"/>
        <v>-0.10537147256521862</v>
      </c>
    </row>
    <row r="71" spans="1:39" s="1" customFormat="1" ht="11.1" customHeight="1" outlineLevel="1" x14ac:dyDescent="0.2">
      <c r="A71" s="7" t="s">
        <v>74</v>
      </c>
      <c r="B71" s="7" t="s">
        <v>9</v>
      </c>
      <c r="C71" s="8">
        <v>442.82799999999997</v>
      </c>
      <c r="D71" s="8">
        <v>412.02699999999999</v>
      </c>
      <c r="E71" s="8">
        <v>447.63400000000001</v>
      </c>
      <c r="F71" s="8">
        <v>391.00299999999999</v>
      </c>
      <c r="G71" s="1">
        <f>VLOOKUP(A:A,[1]TDSheet!$A:$G,7,0)</f>
        <v>1</v>
      </c>
      <c r="H71" s="1" t="e">
        <f>VLOOKUP(A:A,[1]TDSheet!$A:$H,8,0)</f>
        <v>#N/A</v>
      </c>
      <c r="I71" s="15">
        <f>VLOOKUP(A:A,[2]TDSheet!$A:$F,6,0)</f>
        <v>425.3</v>
      </c>
      <c r="J71" s="15">
        <f t="shared" si="12"/>
        <v>22.334000000000003</v>
      </c>
      <c r="K71" s="15">
        <f>VLOOKUP(A:A,[1]TDSheet!$A:$L,12,0)</f>
        <v>0</v>
      </c>
      <c r="L71" s="15">
        <f>VLOOKUP(A:A,[1]TDSheet!$A:$T,20,0)</f>
        <v>60</v>
      </c>
      <c r="M71" s="15"/>
      <c r="N71" s="17"/>
      <c r="O71" s="15"/>
      <c r="P71" s="15"/>
      <c r="Q71" s="17">
        <v>350</v>
      </c>
      <c r="R71" s="17">
        <v>100</v>
      </c>
      <c r="S71" s="15">
        <f t="shared" si="13"/>
        <v>89.526800000000009</v>
      </c>
      <c r="T71" s="17">
        <v>100</v>
      </c>
      <c r="U71" s="18">
        <f t="shared" si="14"/>
        <v>11.181042994946763</v>
      </c>
      <c r="V71" s="15">
        <f t="shared" si="15"/>
        <v>4.3674408110197165</v>
      </c>
      <c r="W71" s="15"/>
      <c r="X71" s="15"/>
      <c r="Y71" s="15"/>
      <c r="Z71" s="15">
        <f>VLOOKUP(A:A,[1]TDSheet!$A:$Z,26,0)</f>
        <v>94.7012</v>
      </c>
      <c r="AA71" s="15">
        <f>VLOOKUP(A:A,[1]TDSheet!$A:$AA,27,0)</f>
        <v>133.83959999999999</v>
      </c>
      <c r="AB71" s="15">
        <f>VLOOKUP(A:A,[1]TDSheet!$A:$AB,28,0)</f>
        <v>60.731499999999997</v>
      </c>
      <c r="AC71" s="15">
        <f>VLOOKUP(A:A,[1]TDSheet!$A:$AC,29,0)</f>
        <v>76.876000000000005</v>
      </c>
      <c r="AD71" s="15">
        <f>VLOOKUP(A:A,[3]TDSheet!$A:$D,4,0)</f>
        <v>66.091999999999999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350</v>
      </c>
      <c r="AH71" s="15">
        <f t="shared" si="17"/>
        <v>100</v>
      </c>
      <c r="AI71" s="15">
        <f t="shared" si="18"/>
        <v>100</v>
      </c>
      <c r="AJ71" s="15">
        <f t="shared" si="19"/>
        <v>0</v>
      </c>
      <c r="AK71" s="15"/>
      <c r="AL71" s="15"/>
      <c r="AM71" s="23">
        <f t="shared" si="20"/>
        <v>-0.26176295813097317</v>
      </c>
    </row>
    <row r="72" spans="1:39" s="1" customFormat="1" ht="11.1" customHeight="1" outlineLevel="1" x14ac:dyDescent="0.2">
      <c r="A72" s="7" t="s">
        <v>75</v>
      </c>
      <c r="B72" s="7" t="s">
        <v>8</v>
      </c>
      <c r="C72" s="8">
        <v>2481</v>
      </c>
      <c r="D72" s="8">
        <v>3905</v>
      </c>
      <c r="E72" s="8">
        <v>3652</v>
      </c>
      <c r="F72" s="8">
        <v>2619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3761</v>
      </c>
      <c r="J72" s="15">
        <f t="shared" ref="J72:J94" si="21">E72-I72</f>
        <v>-109</v>
      </c>
      <c r="K72" s="15">
        <f>VLOOKUP(A:A,[1]TDSheet!$A:$L,12,0)</f>
        <v>600</v>
      </c>
      <c r="L72" s="15">
        <f>VLOOKUP(A:A,[1]TDSheet!$A:$T,20,0)</f>
        <v>480</v>
      </c>
      <c r="M72" s="15"/>
      <c r="N72" s="17"/>
      <c r="O72" s="15"/>
      <c r="P72" s="15"/>
      <c r="Q72" s="17">
        <v>2800</v>
      </c>
      <c r="R72" s="17">
        <v>800</v>
      </c>
      <c r="S72" s="15">
        <f t="shared" ref="S72:S94" si="22">E72/5</f>
        <v>730.4</v>
      </c>
      <c r="T72" s="17">
        <v>800</v>
      </c>
      <c r="U72" s="18">
        <f t="shared" ref="U72:U94" si="23">(F72+K72+L72+M72+N72+Q72+R72+T72)/S72</f>
        <v>11.088444687842278</v>
      </c>
      <c r="V72" s="15">
        <f t="shared" ref="V72:V94" si="24">F72/S72</f>
        <v>3.5857064622124866</v>
      </c>
      <c r="W72" s="15"/>
      <c r="X72" s="15"/>
      <c r="Y72" s="15"/>
      <c r="Z72" s="15">
        <f>VLOOKUP(A:A,[1]TDSheet!$A:$Z,26,0)</f>
        <v>762</v>
      </c>
      <c r="AA72" s="15">
        <f>VLOOKUP(A:A,[1]TDSheet!$A:$AA,27,0)</f>
        <v>943.4</v>
      </c>
      <c r="AB72" s="15">
        <f>VLOOKUP(A:A,[1]TDSheet!$A:$AB,28,0)</f>
        <v>595.25</v>
      </c>
      <c r="AC72" s="15">
        <f>VLOOKUP(A:A,[1]TDSheet!$A:$AC,29,0)</f>
        <v>642.6</v>
      </c>
      <c r="AD72" s="15">
        <f>VLOOKUP(A:A,[3]TDSheet!$A:$D,4,0)</f>
        <v>544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4" si="25">Q72*G72</f>
        <v>979.99999999999989</v>
      </c>
      <c r="AH72" s="15">
        <f t="shared" ref="AH72:AH94" si="26">R72*G72</f>
        <v>280</v>
      </c>
      <c r="AI72" s="15">
        <f t="shared" ref="AI72:AI94" si="27">T72*G72</f>
        <v>280</v>
      </c>
      <c r="AJ72" s="15">
        <f t="shared" ref="AJ72:AJ94" si="28">N72*G72</f>
        <v>0</v>
      </c>
      <c r="AK72" s="15"/>
      <c r="AL72" s="15"/>
      <c r="AM72" s="23">
        <f t="shared" ref="AM72:AM94" si="29">AD72/S72-1</f>
        <v>-0.25520262869660459</v>
      </c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678</v>
      </c>
      <c r="D73" s="8">
        <v>978</v>
      </c>
      <c r="E73" s="8">
        <v>958</v>
      </c>
      <c r="F73" s="8">
        <v>682</v>
      </c>
      <c r="G73" s="1">
        <f>VLOOKUP(A:A,[1]TDSheet!$A:$G,7,0)</f>
        <v>0.3</v>
      </c>
      <c r="H73" s="1" t="e">
        <f>VLOOKUP(A:A,[1]TDSheet!$A:$H,8,0)</f>
        <v>#N/A</v>
      </c>
      <c r="I73" s="15">
        <f>VLOOKUP(A:A,[2]TDSheet!$A:$F,6,0)</f>
        <v>962</v>
      </c>
      <c r="J73" s="15">
        <f t="shared" si="21"/>
        <v>-4</v>
      </c>
      <c r="K73" s="15">
        <f>VLOOKUP(A:A,[1]TDSheet!$A:$L,12,0)</f>
        <v>120</v>
      </c>
      <c r="L73" s="15">
        <f>VLOOKUP(A:A,[1]TDSheet!$A:$T,20,0)</f>
        <v>240</v>
      </c>
      <c r="M73" s="15"/>
      <c r="N73" s="17"/>
      <c r="O73" s="15"/>
      <c r="P73" s="15"/>
      <c r="Q73" s="17">
        <v>600</v>
      </c>
      <c r="R73" s="17">
        <v>240</v>
      </c>
      <c r="S73" s="15">
        <f t="shared" si="22"/>
        <v>191.6</v>
      </c>
      <c r="T73" s="17">
        <v>240</v>
      </c>
      <c r="U73" s="18">
        <f t="shared" si="23"/>
        <v>11.075156576200419</v>
      </c>
      <c r="V73" s="15">
        <f t="shared" si="24"/>
        <v>3.5594989561586639</v>
      </c>
      <c r="W73" s="15"/>
      <c r="X73" s="15"/>
      <c r="Y73" s="15"/>
      <c r="Z73" s="15">
        <f>VLOOKUP(A:A,[1]TDSheet!$A:$Z,26,0)</f>
        <v>182.2</v>
      </c>
      <c r="AA73" s="15">
        <f>VLOOKUP(A:A,[1]TDSheet!$A:$AA,27,0)</f>
        <v>290.2</v>
      </c>
      <c r="AB73" s="15">
        <f>VLOOKUP(A:A,[1]TDSheet!$A:$AB,28,0)</f>
        <v>171</v>
      </c>
      <c r="AC73" s="15">
        <f>VLOOKUP(A:A,[1]TDSheet!$A:$AC,29,0)</f>
        <v>163.80000000000001</v>
      </c>
      <c r="AD73" s="15">
        <f>VLOOKUP(A:A,[3]TDSheet!$A:$D,4,0)</f>
        <v>136</v>
      </c>
      <c r="AE73" s="15">
        <f>VLOOKUP(A:A,[1]TDSheet!$A:$AE,31,0)</f>
        <v>0</v>
      </c>
      <c r="AF73" s="15">
        <f>VLOOKUP(A:A,[1]TDSheet!$A:$AF,32,0)</f>
        <v>0</v>
      </c>
      <c r="AG73" s="15">
        <f t="shared" si="25"/>
        <v>180</v>
      </c>
      <c r="AH73" s="15">
        <f t="shared" si="26"/>
        <v>72</v>
      </c>
      <c r="AI73" s="15">
        <f t="shared" si="27"/>
        <v>72</v>
      </c>
      <c r="AJ73" s="15">
        <f t="shared" si="28"/>
        <v>0</v>
      </c>
      <c r="AK73" s="15"/>
      <c r="AL73" s="15"/>
      <c r="AM73" s="23">
        <f t="shared" si="29"/>
        <v>-0.29018789144050106</v>
      </c>
    </row>
    <row r="74" spans="1:39" s="1" customFormat="1" ht="11.1" customHeight="1" outlineLevel="1" x14ac:dyDescent="0.2">
      <c r="A74" s="7" t="s">
        <v>77</v>
      </c>
      <c r="B74" s="7" t="s">
        <v>8</v>
      </c>
      <c r="C74" s="8">
        <v>17</v>
      </c>
      <c r="D74" s="8">
        <v>2</v>
      </c>
      <c r="E74" s="8">
        <v>12</v>
      </c>
      <c r="F74" s="8">
        <v>5</v>
      </c>
      <c r="G74" s="1">
        <f>VLOOKUP(A:A,[1]TDSheet!$A:$G,7,0)</f>
        <v>0</v>
      </c>
      <c r="H74" s="1" t="e">
        <f>VLOOKUP(A:A,[1]TDSheet!$A:$H,8,0)</f>
        <v>#N/A</v>
      </c>
      <c r="I74" s="15">
        <f>VLOOKUP(A:A,[2]TDSheet!$A:$F,6,0)</f>
        <v>24</v>
      </c>
      <c r="J74" s="15">
        <f t="shared" si="21"/>
        <v>-12</v>
      </c>
      <c r="K74" s="15">
        <f>VLOOKUP(A:A,[1]TDSheet!$A:$L,12,0)</f>
        <v>0</v>
      </c>
      <c r="L74" s="15">
        <f>VLOOKUP(A:A,[1]TDSheet!$A:$T,20,0)</f>
        <v>0</v>
      </c>
      <c r="M74" s="15"/>
      <c r="N74" s="17"/>
      <c r="O74" s="15"/>
      <c r="P74" s="15"/>
      <c r="Q74" s="17"/>
      <c r="R74" s="17"/>
      <c r="S74" s="15">
        <f t="shared" si="22"/>
        <v>2.4</v>
      </c>
      <c r="T74" s="17"/>
      <c r="U74" s="18">
        <f t="shared" si="23"/>
        <v>2.0833333333333335</v>
      </c>
      <c r="V74" s="15">
        <f t="shared" si="24"/>
        <v>2.0833333333333335</v>
      </c>
      <c r="W74" s="15"/>
      <c r="X74" s="15"/>
      <c r="Y74" s="15"/>
      <c r="Z74" s="15">
        <f>VLOOKUP(A:A,[1]TDSheet!$A:$Z,26,0)</f>
        <v>19.399999999999999</v>
      </c>
      <c r="AA74" s="15">
        <f>VLOOKUP(A:A,[1]TDSheet!$A:$AA,27,0)</f>
        <v>27.8</v>
      </c>
      <c r="AB74" s="15">
        <f>VLOOKUP(A:A,[1]TDSheet!$A:$AB,28,0)</f>
        <v>7.5</v>
      </c>
      <c r="AC74" s="15">
        <f>VLOOKUP(A:A,[1]TDSheet!$A:$AC,29,0)</f>
        <v>8.6</v>
      </c>
      <c r="AD74" s="15">
        <f>VLOOKUP(A:A,[3]TDSheet!$A:$D,4,0)</f>
        <v>1</v>
      </c>
      <c r="AE74" s="15" t="str">
        <f>VLOOKUP(A:A,[1]TDSheet!$A:$AE,31,0)</f>
        <v>Вит</v>
      </c>
      <c r="AF74" s="15" t="str">
        <f>VLOOKUP(A:A,[1]TDSheet!$A:$AF,32,0)</f>
        <v>увел</v>
      </c>
      <c r="AG74" s="15">
        <f t="shared" si="25"/>
        <v>0</v>
      </c>
      <c r="AH74" s="15">
        <f t="shared" si="26"/>
        <v>0</v>
      </c>
      <c r="AI74" s="15">
        <f t="shared" si="27"/>
        <v>0</v>
      </c>
      <c r="AJ74" s="15">
        <f t="shared" si="28"/>
        <v>0</v>
      </c>
      <c r="AK74" s="15"/>
      <c r="AL74" s="15"/>
      <c r="AM74" s="23">
        <f t="shared" si="29"/>
        <v>-0.58333333333333326</v>
      </c>
    </row>
    <row r="75" spans="1:39" s="1" customFormat="1" ht="11.1" customHeight="1" outlineLevel="1" x14ac:dyDescent="0.2">
      <c r="A75" s="7" t="s">
        <v>78</v>
      </c>
      <c r="B75" s="7" t="s">
        <v>8</v>
      </c>
      <c r="C75" s="8">
        <v>1115</v>
      </c>
      <c r="D75" s="8">
        <v>1200</v>
      </c>
      <c r="E75" s="8">
        <v>1107</v>
      </c>
      <c r="F75" s="8">
        <v>1178</v>
      </c>
      <c r="G75" s="1">
        <f>VLOOKUP(A:A,[1]TDSheet!$A:$G,7,0)</f>
        <v>0.3</v>
      </c>
      <c r="H75" s="1" t="e">
        <f>VLOOKUP(A:A,[1]TDSheet!$A:$H,8,0)</f>
        <v>#N/A</v>
      </c>
      <c r="I75" s="15">
        <f>VLOOKUP(A:A,[2]TDSheet!$A:$F,6,0)</f>
        <v>1140</v>
      </c>
      <c r="J75" s="15">
        <f t="shared" si="21"/>
        <v>-33</v>
      </c>
      <c r="K75" s="15">
        <f>VLOOKUP(A:A,[1]TDSheet!$A:$L,12,0)</f>
        <v>80</v>
      </c>
      <c r="L75" s="15">
        <f>VLOOKUP(A:A,[1]TDSheet!$A:$T,20,0)</f>
        <v>0</v>
      </c>
      <c r="M75" s="15"/>
      <c r="N75" s="17">
        <v>120</v>
      </c>
      <c r="O75" s="15"/>
      <c r="P75" s="15"/>
      <c r="Q75" s="17">
        <v>680</v>
      </c>
      <c r="R75" s="17">
        <v>280</v>
      </c>
      <c r="S75" s="15">
        <f t="shared" si="22"/>
        <v>221.4</v>
      </c>
      <c r="T75" s="17">
        <v>200</v>
      </c>
      <c r="U75" s="18">
        <f t="shared" si="23"/>
        <v>11.463414634146341</v>
      </c>
      <c r="V75" s="15">
        <f t="shared" si="24"/>
        <v>5.3206865401987349</v>
      </c>
      <c r="W75" s="15"/>
      <c r="X75" s="15">
        <v>120</v>
      </c>
      <c r="Y75" s="15"/>
      <c r="Z75" s="15">
        <f>VLOOKUP(A:A,[1]TDSheet!$A:$Z,26,0)</f>
        <v>283.60000000000002</v>
      </c>
      <c r="AA75" s="15">
        <f>VLOOKUP(A:A,[1]TDSheet!$A:$AA,27,0)</f>
        <v>363.2</v>
      </c>
      <c r="AB75" s="15">
        <f>VLOOKUP(A:A,[1]TDSheet!$A:$AB,28,0)</f>
        <v>192.75</v>
      </c>
      <c r="AC75" s="15">
        <f>VLOOKUP(A:A,[1]TDSheet!$A:$AC,29,0)</f>
        <v>219.6</v>
      </c>
      <c r="AD75" s="15">
        <f>VLOOKUP(A:A,[3]TDSheet!$A:$D,4,0)</f>
        <v>191</v>
      </c>
      <c r="AE75" s="15">
        <f>VLOOKUP(A:A,[1]TDSheet!$A:$AE,31,0)</f>
        <v>0</v>
      </c>
      <c r="AF75" s="15">
        <f>VLOOKUP(A:A,[1]TDSheet!$A:$AF,32,0)</f>
        <v>0</v>
      </c>
      <c r="AG75" s="15">
        <f t="shared" si="25"/>
        <v>204</v>
      </c>
      <c r="AH75" s="15">
        <f t="shared" si="26"/>
        <v>84</v>
      </c>
      <c r="AI75" s="15">
        <f t="shared" si="27"/>
        <v>60</v>
      </c>
      <c r="AJ75" s="15">
        <f t="shared" si="28"/>
        <v>36</v>
      </c>
      <c r="AK75" s="15"/>
      <c r="AL75" s="15"/>
      <c r="AM75" s="23">
        <f t="shared" si="29"/>
        <v>-0.13730803974706418</v>
      </c>
    </row>
    <row r="76" spans="1:39" s="1" customFormat="1" ht="11.1" customHeight="1" outlineLevel="1" x14ac:dyDescent="0.2">
      <c r="A76" s="7" t="s">
        <v>79</v>
      </c>
      <c r="B76" s="7" t="s">
        <v>8</v>
      </c>
      <c r="C76" s="8">
        <v>679</v>
      </c>
      <c r="D76" s="8">
        <v>1777</v>
      </c>
      <c r="E76" s="8">
        <v>1410</v>
      </c>
      <c r="F76" s="8">
        <v>1000</v>
      </c>
      <c r="G76" s="1">
        <f>VLOOKUP(A:A,[1]TDSheet!$A:$G,7,0)</f>
        <v>0.28000000000000003</v>
      </c>
      <c r="H76" s="1" t="e">
        <f>VLOOKUP(A:A,[1]TDSheet!$A:$H,8,0)</f>
        <v>#N/A</v>
      </c>
      <c r="I76" s="15">
        <f>VLOOKUP(A:A,[2]TDSheet!$A:$F,6,0)</f>
        <v>1466</v>
      </c>
      <c r="J76" s="15">
        <f t="shared" si="21"/>
        <v>-56</v>
      </c>
      <c r="K76" s="15">
        <f>VLOOKUP(A:A,[1]TDSheet!$A:$L,12,0)</f>
        <v>120</v>
      </c>
      <c r="L76" s="15">
        <f>VLOOKUP(A:A,[1]TDSheet!$A:$T,20,0)</f>
        <v>360</v>
      </c>
      <c r="M76" s="15"/>
      <c r="N76" s="17">
        <v>200</v>
      </c>
      <c r="O76" s="15"/>
      <c r="P76" s="15"/>
      <c r="Q76" s="17">
        <v>1000</v>
      </c>
      <c r="R76" s="17">
        <v>400</v>
      </c>
      <c r="S76" s="15">
        <f t="shared" si="22"/>
        <v>282</v>
      </c>
      <c r="T76" s="17">
        <v>200</v>
      </c>
      <c r="U76" s="18">
        <f t="shared" si="23"/>
        <v>11.631205673758865</v>
      </c>
      <c r="V76" s="15">
        <f t="shared" si="24"/>
        <v>3.5460992907801416</v>
      </c>
      <c r="W76" s="15"/>
      <c r="X76" s="15">
        <v>200</v>
      </c>
      <c r="Y76" s="15"/>
      <c r="Z76" s="15">
        <f>VLOOKUP(A:A,[1]TDSheet!$A:$Z,26,0)</f>
        <v>291.39999999999998</v>
      </c>
      <c r="AA76" s="15">
        <f>VLOOKUP(A:A,[1]TDSheet!$A:$AA,27,0)</f>
        <v>439.8</v>
      </c>
      <c r="AB76" s="15">
        <f>VLOOKUP(A:A,[1]TDSheet!$A:$AB,28,0)</f>
        <v>217.5</v>
      </c>
      <c r="AC76" s="15">
        <f>VLOOKUP(A:A,[1]TDSheet!$A:$AC,29,0)</f>
        <v>240.6</v>
      </c>
      <c r="AD76" s="15">
        <f>VLOOKUP(A:A,[3]TDSheet!$A:$D,4,0)</f>
        <v>221</v>
      </c>
      <c r="AE76" s="15">
        <f>VLOOKUP(A:A,[1]TDSheet!$A:$AE,31,0)</f>
        <v>0</v>
      </c>
      <c r="AF76" s="15">
        <f>VLOOKUP(A:A,[1]TDSheet!$A:$AF,32,0)</f>
        <v>0</v>
      </c>
      <c r="AG76" s="15">
        <f t="shared" si="25"/>
        <v>280</v>
      </c>
      <c r="AH76" s="15">
        <f t="shared" si="26"/>
        <v>112.00000000000001</v>
      </c>
      <c r="AI76" s="15">
        <f t="shared" si="27"/>
        <v>56.000000000000007</v>
      </c>
      <c r="AJ76" s="15">
        <f t="shared" si="28"/>
        <v>56.000000000000007</v>
      </c>
      <c r="AK76" s="15"/>
      <c r="AL76" s="15"/>
      <c r="AM76" s="23">
        <f t="shared" si="29"/>
        <v>-0.21631205673758869</v>
      </c>
    </row>
    <row r="77" spans="1:39" s="1" customFormat="1" ht="11.1" customHeight="1" outlineLevel="1" x14ac:dyDescent="0.2">
      <c r="A77" s="7" t="s">
        <v>80</v>
      </c>
      <c r="B77" s="7" t="s">
        <v>8</v>
      </c>
      <c r="C77" s="8">
        <v>2687</v>
      </c>
      <c r="D77" s="8">
        <v>2912</v>
      </c>
      <c r="E77" s="8">
        <v>3334</v>
      </c>
      <c r="F77" s="8">
        <v>2160</v>
      </c>
      <c r="G77" s="1">
        <f>VLOOKUP(A:A,[1]TDSheet!$A:$G,7,0)</f>
        <v>0.28000000000000003</v>
      </c>
      <c r="H77" s="1">
        <f>VLOOKUP(A:A,[1]TDSheet!$A:$H,8,0)</f>
        <v>45</v>
      </c>
      <c r="I77" s="15">
        <f>VLOOKUP(A:A,[2]TDSheet!$A:$F,6,0)</f>
        <v>3456</v>
      </c>
      <c r="J77" s="15">
        <f t="shared" si="21"/>
        <v>-122</v>
      </c>
      <c r="K77" s="15">
        <f>VLOOKUP(A:A,[1]TDSheet!$A:$L,12,0)</f>
        <v>600</v>
      </c>
      <c r="L77" s="15">
        <f>VLOOKUP(A:A,[1]TDSheet!$A:$T,20,0)</f>
        <v>720</v>
      </c>
      <c r="M77" s="15"/>
      <c r="N77" s="17">
        <v>200</v>
      </c>
      <c r="O77" s="15"/>
      <c r="P77" s="15"/>
      <c r="Q77" s="17">
        <v>2400</v>
      </c>
      <c r="R77" s="17">
        <v>600</v>
      </c>
      <c r="S77" s="15">
        <f t="shared" si="22"/>
        <v>666.8</v>
      </c>
      <c r="T77" s="17">
        <v>600</v>
      </c>
      <c r="U77" s="18">
        <f t="shared" si="23"/>
        <v>10.917816436712657</v>
      </c>
      <c r="V77" s="15">
        <f t="shared" si="24"/>
        <v>3.2393521295740855</v>
      </c>
      <c r="W77" s="15"/>
      <c r="X77" s="15">
        <v>200</v>
      </c>
      <c r="Y77" s="15"/>
      <c r="Z77" s="15">
        <f>VLOOKUP(A:A,[1]TDSheet!$A:$Z,26,0)</f>
        <v>711.4</v>
      </c>
      <c r="AA77" s="15">
        <f>VLOOKUP(A:A,[1]TDSheet!$A:$AA,27,0)</f>
        <v>842.6</v>
      </c>
      <c r="AB77" s="15">
        <f>VLOOKUP(A:A,[1]TDSheet!$A:$AB,28,0)</f>
        <v>494.5</v>
      </c>
      <c r="AC77" s="15">
        <f>VLOOKUP(A:A,[1]TDSheet!$A:$AC,29,0)</f>
        <v>562.79999999999995</v>
      </c>
      <c r="AD77" s="15">
        <f>VLOOKUP(A:A,[3]TDSheet!$A:$D,4,0)</f>
        <v>470</v>
      </c>
      <c r="AE77" s="15">
        <f>VLOOKUP(A:A,[1]TDSheet!$A:$AE,31,0)</f>
        <v>0</v>
      </c>
      <c r="AF77" s="15">
        <f>VLOOKUP(A:A,[1]TDSheet!$A:$AF,32,0)</f>
        <v>0</v>
      </c>
      <c r="AG77" s="15">
        <f t="shared" si="25"/>
        <v>672.00000000000011</v>
      </c>
      <c r="AH77" s="15">
        <f t="shared" si="26"/>
        <v>168.00000000000003</v>
      </c>
      <c r="AI77" s="15">
        <f t="shared" si="27"/>
        <v>168.00000000000003</v>
      </c>
      <c r="AJ77" s="15">
        <f t="shared" si="28"/>
        <v>56.000000000000007</v>
      </c>
      <c r="AK77" s="15"/>
      <c r="AL77" s="15"/>
      <c r="AM77" s="23">
        <f t="shared" si="29"/>
        <v>-0.29514097180563881</v>
      </c>
    </row>
    <row r="78" spans="1:39" s="1" customFormat="1" ht="11.1" customHeight="1" outlineLevel="1" x14ac:dyDescent="0.2">
      <c r="A78" s="7" t="s">
        <v>81</v>
      </c>
      <c r="B78" s="7" t="s">
        <v>8</v>
      </c>
      <c r="C78" s="8">
        <v>528</v>
      </c>
      <c r="D78" s="8">
        <v>1528</v>
      </c>
      <c r="E78" s="8">
        <v>1051</v>
      </c>
      <c r="F78" s="8">
        <v>953</v>
      </c>
      <c r="G78" s="1">
        <f>VLOOKUP(A:A,[1]TDSheet!$A:$G,7,0)</f>
        <v>0.28000000000000003</v>
      </c>
      <c r="H78" s="1" t="e">
        <f>VLOOKUP(A:A,[1]TDSheet!$A:$H,8,0)</f>
        <v>#N/A</v>
      </c>
      <c r="I78" s="15">
        <f>VLOOKUP(A:A,[2]TDSheet!$A:$F,6,0)</f>
        <v>1116</v>
      </c>
      <c r="J78" s="15">
        <f t="shared" si="21"/>
        <v>-65</v>
      </c>
      <c r="K78" s="15">
        <f>VLOOKUP(A:A,[1]TDSheet!$A:$L,12,0)</f>
        <v>120</v>
      </c>
      <c r="L78" s="15">
        <f>VLOOKUP(A:A,[1]TDSheet!$A:$T,20,0)</f>
        <v>80</v>
      </c>
      <c r="M78" s="15"/>
      <c r="N78" s="17">
        <v>120</v>
      </c>
      <c r="O78" s="15"/>
      <c r="P78" s="15"/>
      <c r="Q78" s="17">
        <v>640</v>
      </c>
      <c r="R78" s="17">
        <v>240</v>
      </c>
      <c r="S78" s="15">
        <f t="shared" si="22"/>
        <v>210.2</v>
      </c>
      <c r="T78" s="17">
        <v>160</v>
      </c>
      <c r="U78" s="18">
        <f t="shared" si="23"/>
        <v>11.003805899143673</v>
      </c>
      <c r="V78" s="15">
        <f t="shared" si="24"/>
        <v>4.5337773549000957</v>
      </c>
      <c r="W78" s="15"/>
      <c r="X78" s="15">
        <v>120</v>
      </c>
      <c r="Y78" s="15"/>
      <c r="Z78" s="15">
        <f>VLOOKUP(A:A,[1]TDSheet!$A:$Z,26,0)</f>
        <v>222.8</v>
      </c>
      <c r="AA78" s="15">
        <f>VLOOKUP(A:A,[1]TDSheet!$A:$AA,27,0)</f>
        <v>318</v>
      </c>
      <c r="AB78" s="15">
        <f>VLOOKUP(A:A,[1]TDSheet!$A:$AB,28,0)</f>
        <v>176.75</v>
      </c>
      <c r="AC78" s="15">
        <f>VLOOKUP(A:A,[1]TDSheet!$A:$AC,29,0)</f>
        <v>201.4</v>
      </c>
      <c r="AD78" s="15">
        <f>VLOOKUP(A:A,[3]TDSheet!$A:$D,4,0)</f>
        <v>154</v>
      </c>
      <c r="AE78" s="15">
        <f>VLOOKUP(A:A,[1]TDSheet!$A:$AE,31,0)</f>
        <v>0</v>
      </c>
      <c r="AF78" s="15">
        <f>VLOOKUP(A:A,[1]TDSheet!$A:$AF,32,0)</f>
        <v>0</v>
      </c>
      <c r="AG78" s="15">
        <f t="shared" si="25"/>
        <v>179.20000000000002</v>
      </c>
      <c r="AH78" s="15">
        <f t="shared" si="26"/>
        <v>67.2</v>
      </c>
      <c r="AI78" s="15">
        <f t="shared" si="27"/>
        <v>44.800000000000004</v>
      </c>
      <c r="AJ78" s="15">
        <f t="shared" si="28"/>
        <v>33.6</v>
      </c>
      <c r="AK78" s="15"/>
      <c r="AL78" s="15"/>
      <c r="AM78" s="23">
        <f t="shared" si="29"/>
        <v>-0.26736441484300666</v>
      </c>
    </row>
    <row r="79" spans="1:39" s="1" customFormat="1" ht="11.1" customHeight="1" outlineLevel="1" x14ac:dyDescent="0.2">
      <c r="A79" s="7" t="s">
        <v>82</v>
      </c>
      <c r="B79" s="7" t="s">
        <v>8</v>
      </c>
      <c r="C79" s="8">
        <v>78</v>
      </c>
      <c r="D79" s="8">
        <v>45</v>
      </c>
      <c r="E79" s="8">
        <v>60</v>
      </c>
      <c r="F79" s="8">
        <v>58</v>
      </c>
      <c r="G79" s="1">
        <f>VLOOKUP(A:A,[1]TDSheet!$A:$G,7,0)</f>
        <v>0.4</v>
      </c>
      <c r="H79" s="1" t="e">
        <f>VLOOKUP(A:A,[1]TDSheet!$A:$H,8,0)</f>
        <v>#N/A</v>
      </c>
      <c r="I79" s="15">
        <f>VLOOKUP(A:A,[2]TDSheet!$A:$F,6,0)</f>
        <v>67</v>
      </c>
      <c r="J79" s="15">
        <f t="shared" si="21"/>
        <v>-7</v>
      </c>
      <c r="K79" s="15">
        <f>VLOOKUP(A:A,[1]TDSheet!$A:$L,12,0)</f>
        <v>0</v>
      </c>
      <c r="L79" s="15">
        <f>VLOOKUP(A:A,[1]TDSheet!$A:$T,20,0)</f>
        <v>0</v>
      </c>
      <c r="M79" s="15"/>
      <c r="N79" s="17"/>
      <c r="O79" s="15"/>
      <c r="P79" s="15"/>
      <c r="Q79" s="17">
        <v>40</v>
      </c>
      <c r="R79" s="17"/>
      <c r="S79" s="15">
        <f t="shared" si="22"/>
        <v>12</v>
      </c>
      <c r="T79" s="17">
        <v>40</v>
      </c>
      <c r="U79" s="18">
        <f t="shared" si="23"/>
        <v>11.5</v>
      </c>
      <c r="V79" s="15">
        <f t="shared" si="24"/>
        <v>4.833333333333333</v>
      </c>
      <c r="W79" s="15"/>
      <c r="X79" s="15"/>
      <c r="Y79" s="15"/>
      <c r="Z79" s="15">
        <f>VLOOKUP(A:A,[1]TDSheet!$A:$Z,26,0)</f>
        <v>10.8</v>
      </c>
      <c r="AA79" s="15">
        <f>VLOOKUP(A:A,[1]TDSheet!$A:$AA,27,0)</f>
        <v>13</v>
      </c>
      <c r="AB79" s="15">
        <f>VLOOKUP(A:A,[1]TDSheet!$A:$AB,28,0)</f>
        <v>14.75</v>
      </c>
      <c r="AC79" s="15">
        <f>VLOOKUP(A:A,[1]TDSheet!$A:$AC,29,0)</f>
        <v>11.8</v>
      </c>
      <c r="AD79" s="15">
        <f>VLOOKUP(A:A,[3]TDSheet!$A:$D,4,0)</f>
        <v>6</v>
      </c>
      <c r="AE79" s="15" t="str">
        <f>VLOOKUP(A:A,[1]TDSheet!$A:$AE,31,0)</f>
        <v>увел</v>
      </c>
      <c r="AF79" s="15">
        <f>VLOOKUP(A:A,[1]TDSheet!$A:$AF,32,0)</f>
        <v>0</v>
      </c>
      <c r="AG79" s="15">
        <f t="shared" si="25"/>
        <v>16</v>
      </c>
      <c r="AH79" s="15">
        <f t="shared" si="26"/>
        <v>0</v>
      </c>
      <c r="AI79" s="15">
        <f t="shared" si="27"/>
        <v>16</v>
      </c>
      <c r="AJ79" s="15">
        <f t="shared" si="28"/>
        <v>0</v>
      </c>
      <c r="AK79" s="15"/>
      <c r="AL79" s="15"/>
      <c r="AM79" s="23">
        <f t="shared" si="29"/>
        <v>-0.5</v>
      </c>
    </row>
    <row r="80" spans="1:39" s="1" customFormat="1" ht="11.1" customHeight="1" outlineLevel="1" x14ac:dyDescent="0.2">
      <c r="A80" s="7" t="s">
        <v>83</v>
      </c>
      <c r="B80" s="7" t="s">
        <v>8</v>
      </c>
      <c r="C80" s="8">
        <v>397</v>
      </c>
      <c r="D80" s="8">
        <v>3654</v>
      </c>
      <c r="E80" s="8">
        <v>1976</v>
      </c>
      <c r="F80" s="8">
        <v>2011</v>
      </c>
      <c r="G80" s="1">
        <f>VLOOKUP(A:A,[1]TDSheet!$A:$G,7,0)</f>
        <v>0.4</v>
      </c>
      <c r="H80" s="1" t="e">
        <f>VLOOKUP(A:A,[1]TDSheet!$A:$H,8,0)</f>
        <v>#N/A</v>
      </c>
      <c r="I80" s="15">
        <f>VLOOKUP(A:A,[2]TDSheet!$A:$F,6,0)</f>
        <v>2019</v>
      </c>
      <c r="J80" s="15">
        <f t="shared" si="21"/>
        <v>-43</v>
      </c>
      <c r="K80" s="15">
        <f>VLOOKUP(A:A,[1]TDSheet!$A:$L,12,0)</f>
        <v>120</v>
      </c>
      <c r="L80" s="15">
        <f>VLOOKUP(A:A,[1]TDSheet!$A:$T,20,0)</f>
        <v>0</v>
      </c>
      <c r="M80" s="15"/>
      <c r="N80" s="17">
        <v>240</v>
      </c>
      <c r="O80" s="15"/>
      <c r="P80" s="15"/>
      <c r="Q80" s="17">
        <v>1200</v>
      </c>
      <c r="R80" s="17">
        <v>480</v>
      </c>
      <c r="S80" s="15">
        <f t="shared" si="22"/>
        <v>395.2</v>
      </c>
      <c r="T80" s="17">
        <v>320</v>
      </c>
      <c r="U80" s="18">
        <f t="shared" si="23"/>
        <v>11.060222672064778</v>
      </c>
      <c r="V80" s="15">
        <f t="shared" si="24"/>
        <v>5.0885627530364372</v>
      </c>
      <c r="W80" s="15"/>
      <c r="X80" s="15">
        <v>240</v>
      </c>
      <c r="Y80" s="15"/>
      <c r="Z80" s="15">
        <f>VLOOKUP(A:A,[1]TDSheet!$A:$Z,26,0)</f>
        <v>357</v>
      </c>
      <c r="AA80" s="15">
        <f>VLOOKUP(A:A,[1]TDSheet!$A:$AA,27,0)</f>
        <v>340.8</v>
      </c>
      <c r="AB80" s="15">
        <f>VLOOKUP(A:A,[1]TDSheet!$A:$AB,28,0)</f>
        <v>318.5</v>
      </c>
      <c r="AC80" s="15">
        <f>VLOOKUP(A:A,[1]TDSheet!$A:$AC,29,0)</f>
        <v>393.8</v>
      </c>
      <c r="AD80" s="15">
        <f>VLOOKUP(A:A,[3]TDSheet!$A:$D,4,0)</f>
        <v>269</v>
      </c>
      <c r="AE80" s="15" t="str">
        <f>VLOOKUP(A:A,[1]TDSheet!$A:$AE,31,0)</f>
        <v>увел</v>
      </c>
      <c r="AF80" s="15" t="str">
        <f>VLOOKUP(A:A,[1]TDSheet!$A:$AF,32,0)</f>
        <v>дубльз</v>
      </c>
      <c r="AG80" s="15">
        <f t="shared" si="25"/>
        <v>480</v>
      </c>
      <c r="AH80" s="15">
        <f t="shared" si="26"/>
        <v>192</v>
      </c>
      <c r="AI80" s="15">
        <f t="shared" si="27"/>
        <v>128</v>
      </c>
      <c r="AJ80" s="15">
        <f t="shared" si="28"/>
        <v>96</v>
      </c>
      <c r="AK80" s="15"/>
      <c r="AL80" s="15"/>
      <c r="AM80" s="23">
        <f t="shared" si="29"/>
        <v>-0.31933198380566796</v>
      </c>
    </row>
    <row r="81" spans="1:39" s="1" customFormat="1" ht="11.1" customHeight="1" outlineLevel="1" x14ac:dyDescent="0.2">
      <c r="A81" s="7" t="s">
        <v>84</v>
      </c>
      <c r="B81" s="7" t="s">
        <v>9</v>
      </c>
      <c r="C81" s="8">
        <v>37.546999999999997</v>
      </c>
      <c r="D81" s="8">
        <v>215.613</v>
      </c>
      <c r="E81" s="8">
        <v>133.07400000000001</v>
      </c>
      <c r="F81" s="8">
        <v>120.086</v>
      </c>
      <c r="G81" s="1">
        <f>VLOOKUP(A:A,[1]TDSheet!$A:$G,7,0)</f>
        <v>1</v>
      </c>
      <c r="H81" s="1" t="e">
        <f>VLOOKUP(A:A,[1]TDSheet!$A:$H,8,0)</f>
        <v>#N/A</v>
      </c>
      <c r="I81" s="15">
        <f>VLOOKUP(A:A,[2]TDSheet!$A:$F,6,0)</f>
        <v>138</v>
      </c>
      <c r="J81" s="15">
        <f t="shared" si="21"/>
        <v>-4.9259999999999877</v>
      </c>
      <c r="K81" s="15">
        <f>VLOOKUP(A:A,[1]TDSheet!$A:$L,12,0)</f>
        <v>20</v>
      </c>
      <c r="L81" s="15">
        <f>VLOOKUP(A:A,[1]TDSheet!$A:$T,20,0)</f>
        <v>30</v>
      </c>
      <c r="M81" s="15"/>
      <c r="N81" s="17">
        <v>40</v>
      </c>
      <c r="O81" s="15"/>
      <c r="P81" s="15"/>
      <c r="Q81" s="17">
        <v>60</v>
      </c>
      <c r="R81" s="17">
        <v>30</v>
      </c>
      <c r="S81" s="15">
        <f t="shared" si="22"/>
        <v>26.614800000000002</v>
      </c>
      <c r="T81" s="17">
        <v>20</v>
      </c>
      <c r="U81" s="18">
        <f t="shared" si="23"/>
        <v>12.026616769616904</v>
      </c>
      <c r="V81" s="15">
        <f t="shared" si="24"/>
        <v>4.5120008416369837</v>
      </c>
      <c r="W81" s="15"/>
      <c r="X81" s="15">
        <v>40</v>
      </c>
      <c r="Y81" s="15"/>
      <c r="Z81" s="15">
        <f>VLOOKUP(A:A,[1]TDSheet!$A:$Z,26,0)</f>
        <v>22.528200000000002</v>
      </c>
      <c r="AA81" s="15">
        <f>VLOOKUP(A:A,[1]TDSheet!$A:$AA,27,0)</f>
        <v>23.1236</v>
      </c>
      <c r="AB81" s="15">
        <f>VLOOKUP(A:A,[1]TDSheet!$A:$AB,28,0)</f>
        <v>21.235499999999998</v>
      </c>
      <c r="AC81" s="15">
        <f>VLOOKUP(A:A,[1]TDSheet!$A:$AC,29,0)</f>
        <v>26.058</v>
      </c>
      <c r="AD81" s="15">
        <f>VLOOKUP(A:A,[3]TDSheet!$A:$D,4,0)</f>
        <v>64.253</v>
      </c>
      <c r="AE81" s="15" t="str">
        <f>VLOOKUP(A:A,[1]TDSheet!$A:$AE,31,0)</f>
        <v>увел</v>
      </c>
      <c r="AF81" s="15">
        <f>VLOOKUP(A:A,[1]TDSheet!$A:$AF,32,0)</f>
        <v>0</v>
      </c>
      <c r="AG81" s="15">
        <f t="shared" si="25"/>
        <v>60</v>
      </c>
      <c r="AH81" s="15">
        <f t="shared" si="26"/>
        <v>30</v>
      </c>
      <c r="AI81" s="15">
        <f t="shared" si="27"/>
        <v>20</v>
      </c>
      <c r="AJ81" s="15">
        <f t="shared" si="28"/>
        <v>40</v>
      </c>
      <c r="AK81" s="15"/>
      <c r="AL81" s="15"/>
      <c r="AM81" s="23">
        <f t="shared" si="29"/>
        <v>1.4141830861024691</v>
      </c>
    </row>
    <row r="82" spans="1:39" s="1" customFormat="1" ht="11.1" customHeight="1" outlineLevel="1" x14ac:dyDescent="0.2">
      <c r="A82" s="7" t="s">
        <v>85</v>
      </c>
      <c r="B82" s="7" t="s">
        <v>8</v>
      </c>
      <c r="C82" s="8">
        <v>61</v>
      </c>
      <c r="D82" s="8">
        <v>157</v>
      </c>
      <c r="E82" s="8">
        <v>140</v>
      </c>
      <c r="F82" s="8">
        <v>73</v>
      </c>
      <c r="G82" s="1">
        <f>VLOOKUP(A:A,[1]TDSheet!$A:$G,7,0)</f>
        <v>0.33</v>
      </c>
      <c r="H82" s="1">
        <f>VLOOKUP(A:A,[1]TDSheet!$A:$H,8,0)</f>
        <v>30</v>
      </c>
      <c r="I82" s="15">
        <f>VLOOKUP(A:A,[2]TDSheet!$A:$F,6,0)</f>
        <v>160</v>
      </c>
      <c r="J82" s="15">
        <f t="shared" si="21"/>
        <v>-20</v>
      </c>
      <c r="K82" s="15">
        <f>VLOOKUP(A:A,[1]TDSheet!$A:$L,12,0)</f>
        <v>0</v>
      </c>
      <c r="L82" s="15">
        <f>VLOOKUP(A:A,[1]TDSheet!$A:$T,20,0)</f>
        <v>120</v>
      </c>
      <c r="M82" s="15"/>
      <c r="N82" s="17"/>
      <c r="O82" s="15"/>
      <c r="P82" s="15"/>
      <c r="Q82" s="17">
        <v>30</v>
      </c>
      <c r="R82" s="17">
        <v>30</v>
      </c>
      <c r="S82" s="15">
        <f t="shared" si="22"/>
        <v>28</v>
      </c>
      <c r="T82" s="17">
        <v>30</v>
      </c>
      <c r="U82" s="18">
        <f t="shared" si="23"/>
        <v>10.107142857142858</v>
      </c>
      <c r="V82" s="15">
        <f t="shared" si="24"/>
        <v>2.6071428571428572</v>
      </c>
      <c r="W82" s="15"/>
      <c r="X82" s="15"/>
      <c r="Y82" s="15"/>
      <c r="Z82" s="15">
        <f>VLOOKUP(A:A,[1]TDSheet!$A:$Z,26,0)</f>
        <v>21.4</v>
      </c>
      <c r="AA82" s="15">
        <f>VLOOKUP(A:A,[1]TDSheet!$A:$AA,27,0)</f>
        <v>26.8</v>
      </c>
      <c r="AB82" s="15">
        <f>VLOOKUP(A:A,[1]TDSheet!$A:$AB,28,0)</f>
        <v>25.5</v>
      </c>
      <c r="AC82" s="15">
        <f>VLOOKUP(A:A,[1]TDSheet!$A:$AC,29,0)</f>
        <v>22.4</v>
      </c>
      <c r="AD82" s="15">
        <f>VLOOKUP(A:A,[3]TDSheet!$A:$D,4,0)</f>
        <v>25</v>
      </c>
      <c r="AE82" s="15">
        <f>VLOOKUP(A:A,[1]TDSheet!$A:$AE,31,0)</f>
        <v>0</v>
      </c>
      <c r="AF82" s="15">
        <f>VLOOKUP(A:A,[1]TDSheet!$A:$AF,32,0)</f>
        <v>0</v>
      </c>
      <c r="AG82" s="15">
        <f t="shared" si="25"/>
        <v>9.9</v>
      </c>
      <c r="AH82" s="15">
        <f t="shared" si="26"/>
        <v>9.9</v>
      </c>
      <c r="AI82" s="15">
        <f t="shared" si="27"/>
        <v>9.9</v>
      </c>
      <c r="AJ82" s="15">
        <f t="shared" si="28"/>
        <v>0</v>
      </c>
      <c r="AK82" s="15"/>
      <c r="AL82" s="15"/>
      <c r="AM82" s="23">
        <f t="shared" si="29"/>
        <v>-0.1071428571428571</v>
      </c>
    </row>
    <row r="83" spans="1:39" s="1" customFormat="1" ht="11.1" customHeight="1" outlineLevel="1" x14ac:dyDescent="0.2">
      <c r="A83" s="7" t="s">
        <v>86</v>
      </c>
      <c r="B83" s="7" t="s">
        <v>9</v>
      </c>
      <c r="C83" s="8">
        <v>3.484</v>
      </c>
      <c r="D83" s="8"/>
      <c r="E83" s="8">
        <v>3.8570000000000002</v>
      </c>
      <c r="F83" s="8">
        <v>-0.373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4.8</v>
      </c>
      <c r="J83" s="15">
        <f t="shared" si="21"/>
        <v>-0.94299999999999962</v>
      </c>
      <c r="K83" s="15">
        <f>VLOOKUP(A:A,[1]TDSheet!$A:$L,12,0)</f>
        <v>0</v>
      </c>
      <c r="L83" s="15">
        <f>VLOOKUP(A:A,[1]TDSheet!$A:$T,20,0)</f>
        <v>0</v>
      </c>
      <c r="M83" s="15"/>
      <c r="N83" s="17"/>
      <c r="O83" s="15"/>
      <c r="P83" s="15"/>
      <c r="Q83" s="17"/>
      <c r="R83" s="17"/>
      <c r="S83" s="15">
        <f t="shared" si="22"/>
        <v>0.77140000000000009</v>
      </c>
      <c r="T83" s="17"/>
      <c r="U83" s="18">
        <f t="shared" si="23"/>
        <v>-0.48353642727508422</v>
      </c>
      <c r="V83" s="15">
        <f t="shared" si="24"/>
        <v>-0.48353642727508422</v>
      </c>
      <c r="W83" s="15"/>
      <c r="X83" s="15"/>
      <c r="Y83" s="15"/>
      <c r="Z83" s="15">
        <f>VLOOKUP(A:A,[1]TDSheet!$A:$Z,26,0)</f>
        <v>0.58419999999999994</v>
      </c>
      <c r="AA83" s="15">
        <f>VLOOKUP(A:A,[1]TDSheet!$A:$AA,27,0)</f>
        <v>1.3821999999999999</v>
      </c>
      <c r="AB83" s="15">
        <f>VLOOKUP(A:A,[1]TDSheet!$A:$AB,28,0)</f>
        <v>0.54500000000000004</v>
      </c>
      <c r="AC83" s="15">
        <f>VLOOKUP(A:A,[1]TDSheet!$A:$AC,29,0)</f>
        <v>0.874</v>
      </c>
      <c r="AD83" s="15">
        <v>0</v>
      </c>
      <c r="AE83" s="15" t="str">
        <f>VLOOKUP(A:A,[1]TDSheet!$A:$AE,31,0)</f>
        <v>выв</v>
      </c>
      <c r="AF83" s="15" t="e">
        <f>VLOOKUP(A:A,[1]TDSheet!$A:$AF,32,0)</f>
        <v>#N/A</v>
      </c>
      <c r="AG83" s="15">
        <f t="shared" si="25"/>
        <v>0</v>
      </c>
      <c r="AH83" s="15">
        <f t="shared" si="26"/>
        <v>0</v>
      </c>
      <c r="AI83" s="15">
        <f t="shared" si="27"/>
        <v>0</v>
      </c>
      <c r="AJ83" s="15">
        <f t="shared" si="28"/>
        <v>0</v>
      </c>
      <c r="AK83" s="15"/>
      <c r="AL83" s="15"/>
      <c r="AM83" s="23">
        <f t="shared" si="29"/>
        <v>-1</v>
      </c>
    </row>
    <row r="84" spans="1:39" s="1" customFormat="1" ht="11.1" customHeight="1" outlineLevel="1" x14ac:dyDescent="0.2">
      <c r="A84" s="7" t="s">
        <v>95</v>
      </c>
      <c r="B84" s="7" t="s">
        <v>8</v>
      </c>
      <c r="C84" s="8">
        <v>25</v>
      </c>
      <c r="D84" s="8">
        <v>1</v>
      </c>
      <c r="E84" s="8">
        <v>0</v>
      </c>
      <c r="F84" s="8">
        <v>25</v>
      </c>
      <c r="G84" s="1">
        <f>VLOOKUP(A:A,[1]TDSheet!$A:$G,7,0)</f>
        <v>0.54</v>
      </c>
      <c r="H84" s="1" t="e">
        <f>VLOOKUP(A:A,[1]TDSheet!$A:$H,8,0)</f>
        <v>#N/A</v>
      </c>
      <c r="I84" s="15">
        <f>VLOOKUP(A:A,[2]TDSheet!$A:$F,6,0)</f>
        <v>1</v>
      </c>
      <c r="J84" s="15">
        <f t="shared" si="21"/>
        <v>-1</v>
      </c>
      <c r="K84" s="15">
        <f>VLOOKUP(A:A,[1]TDSheet!$A:$L,12,0)</f>
        <v>0</v>
      </c>
      <c r="L84" s="15">
        <f>VLOOKUP(A:A,[1]TDSheet!$A:$T,20,0)</f>
        <v>0</v>
      </c>
      <c r="M84" s="15"/>
      <c r="N84" s="17"/>
      <c r="O84" s="15"/>
      <c r="P84" s="15"/>
      <c r="Q84" s="17"/>
      <c r="R84" s="17"/>
      <c r="S84" s="15">
        <f t="shared" si="22"/>
        <v>0</v>
      </c>
      <c r="T84" s="17"/>
      <c r="U84" s="18" t="e">
        <f t="shared" si="23"/>
        <v>#DIV/0!</v>
      </c>
      <c r="V84" s="15" t="e">
        <f t="shared" si="24"/>
        <v>#DIV/0!</v>
      </c>
      <c r="W84" s="15"/>
      <c r="X84" s="15"/>
      <c r="Y84" s="15"/>
      <c r="Z84" s="15">
        <f>VLOOKUP(A:A,[1]TDSheet!$A:$Z,26,0)</f>
        <v>3</v>
      </c>
      <c r="AA84" s="15">
        <f>VLOOKUP(A:A,[1]TDSheet!$A:$AA,27,0)</f>
        <v>6.4</v>
      </c>
      <c r="AB84" s="15">
        <f>VLOOKUP(A:A,[1]TDSheet!$A:$AB,28,0)</f>
        <v>1.25</v>
      </c>
      <c r="AC84" s="15">
        <f>VLOOKUP(A:A,[1]TDSheet!$A:$AC,29,0)</f>
        <v>0.8</v>
      </c>
      <c r="AD84" s="15">
        <v>0</v>
      </c>
      <c r="AE84" s="15" t="str">
        <f>VLOOKUP(A:A,[1]TDSheet!$A:$AE,31,0)</f>
        <v>увел</v>
      </c>
      <c r="AF84" s="15" t="e">
        <f>VLOOKUP(A:A,[1]TDSheet!$A:$AF,32,0)</f>
        <v>#N/A</v>
      </c>
      <c r="AG84" s="15">
        <f t="shared" si="25"/>
        <v>0</v>
      </c>
      <c r="AH84" s="15">
        <f t="shared" si="26"/>
        <v>0</v>
      </c>
      <c r="AI84" s="15">
        <f t="shared" si="27"/>
        <v>0</v>
      </c>
      <c r="AJ84" s="15">
        <f t="shared" si="28"/>
        <v>0</v>
      </c>
      <c r="AK84" s="15"/>
      <c r="AL84" s="15"/>
      <c r="AM84" s="23" t="e">
        <f t="shared" si="29"/>
        <v>#DIV/0!</v>
      </c>
    </row>
    <row r="85" spans="1:39" s="1" customFormat="1" ht="11.1" customHeight="1" outlineLevel="1" x14ac:dyDescent="0.2">
      <c r="A85" s="7" t="s">
        <v>87</v>
      </c>
      <c r="B85" s="7" t="s">
        <v>8</v>
      </c>
      <c r="C85" s="8">
        <v>50</v>
      </c>
      <c r="D85" s="8">
        <v>35</v>
      </c>
      <c r="E85" s="8">
        <v>47</v>
      </c>
      <c r="F85" s="8">
        <v>34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55</v>
      </c>
      <c r="J85" s="15">
        <f t="shared" si="21"/>
        <v>-8</v>
      </c>
      <c r="K85" s="15">
        <f>VLOOKUP(A:A,[1]TDSheet!$A:$L,12,0)</f>
        <v>0</v>
      </c>
      <c r="L85" s="15">
        <f>VLOOKUP(A:A,[1]TDSheet!$A:$T,20,0)</f>
        <v>24</v>
      </c>
      <c r="M85" s="15"/>
      <c r="N85" s="17"/>
      <c r="O85" s="15"/>
      <c r="P85" s="15"/>
      <c r="Q85" s="17">
        <v>40</v>
      </c>
      <c r="R85" s="17"/>
      <c r="S85" s="15">
        <f t="shared" si="22"/>
        <v>9.4</v>
      </c>
      <c r="T85" s="17"/>
      <c r="U85" s="18">
        <f t="shared" si="23"/>
        <v>10.425531914893616</v>
      </c>
      <c r="V85" s="15">
        <f t="shared" si="24"/>
        <v>3.6170212765957444</v>
      </c>
      <c r="W85" s="15"/>
      <c r="X85" s="15"/>
      <c r="Y85" s="15"/>
      <c r="Z85" s="15">
        <f>VLOOKUP(A:A,[1]TDSheet!$A:$Z,26,0)</f>
        <v>11.8</v>
      </c>
      <c r="AA85" s="15">
        <f>VLOOKUP(A:A,[1]TDSheet!$A:$AA,27,0)</f>
        <v>17</v>
      </c>
      <c r="AB85" s="15">
        <f>VLOOKUP(A:A,[1]TDSheet!$A:$AB,28,0)</f>
        <v>6.75</v>
      </c>
      <c r="AC85" s="15">
        <f>VLOOKUP(A:A,[1]TDSheet!$A:$AC,29,0)</f>
        <v>8</v>
      </c>
      <c r="AD85" s="15">
        <f>VLOOKUP(A:A,[3]TDSheet!$A:$D,4,0)</f>
        <v>9</v>
      </c>
      <c r="AE85" s="15">
        <f>VLOOKUP(A:A,[1]TDSheet!$A:$AE,31,0)</f>
        <v>0</v>
      </c>
      <c r="AF85" s="15" t="e">
        <f>VLOOKUP(A:A,[1]TDSheet!$A:$AF,32,0)</f>
        <v>#N/A</v>
      </c>
      <c r="AG85" s="15">
        <f t="shared" si="25"/>
        <v>11.200000000000001</v>
      </c>
      <c r="AH85" s="15">
        <f t="shared" si="26"/>
        <v>0</v>
      </c>
      <c r="AI85" s="15">
        <f t="shared" si="27"/>
        <v>0</v>
      </c>
      <c r="AJ85" s="15">
        <f t="shared" si="28"/>
        <v>0</v>
      </c>
      <c r="AK85" s="15"/>
      <c r="AL85" s="15"/>
      <c r="AM85" s="23">
        <f t="shared" si="29"/>
        <v>-4.2553191489361764E-2</v>
      </c>
    </row>
    <row r="86" spans="1:39" s="1" customFormat="1" ht="11.1" customHeight="1" outlineLevel="1" x14ac:dyDescent="0.2">
      <c r="A86" s="7" t="s">
        <v>88</v>
      </c>
      <c r="B86" s="7" t="s">
        <v>8</v>
      </c>
      <c r="C86" s="8">
        <v>87</v>
      </c>
      <c r="D86" s="8">
        <v>43</v>
      </c>
      <c r="E86" s="8">
        <v>63</v>
      </c>
      <c r="F86" s="8">
        <v>64</v>
      </c>
      <c r="G86" s="1">
        <f>VLOOKUP(A:A,[1]TDSheet!$A:$G,7,0)</f>
        <v>0.28000000000000003</v>
      </c>
      <c r="H86" s="1" t="e">
        <f>VLOOKUP(A:A,[1]TDSheet!$A:$H,8,0)</f>
        <v>#N/A</v>
      </c>
      <c r="I86" s="15">
        <f>VLOOKUP(A:A,[2]TDSheet!$A:$F,6,0)</f>
        <v>68</v>
      </c>
      <c r="J86" s="15">
        <f t="shared" si="21"/>
        <v>-5</v>
      </c>
      <c r="K86" s="15">
        <f>VLOOKUP(A:A,[1]TDSheet!$A:$L,12,0)</f>
        <v>0</v>
      </c>
      <c r="L86" s="15">
        <f>VLOOKUP(A:A,[1]TDSheet!$A:$T,20,0)</f>
        <v>24</v>
      </c>
      <c r="M86" s="15"/>
      <c r="N86" s="17"/>
      <c r="O86" s="15"/>
      <c r="P86" s="15"/>
      <c r="Q86" s="17">
        <v>40</v>
      </c>
      <c r="R86" s="17"/>
      <c r="S86" s="15">
        <f t="shared" si="22"/>
        <v>12.6</v>
      </c>
      <c r="T86" s="17"/>
      <c r="U86" s="18">
        <f t="shared" si="23"/>
        <v>10.158730158730158</v>
      </c>
      <c r="V86" s="15">
        <f t="shared" si="24"/>
        <v>5.0793650793650791</v>
      </c>
      <c r="W86" s="15"/>
      <c r="X86" s="15"/>
      <c r="Y86" s="15"/>
      <c r="Z86" s="15">
        <f>VLOOKUP(A:A,[1]TDSheet!$A:$Z,26,0)</f>
        <v>15</v>
      </c>
      <c r="AA86" s="15">
        <f>VLOOKUP(A:A,[1]TDSheet!$A:$AA,27,0)</f>
        <v>21.4</v>
      </c>
      <c r="AB86" s="15">
        <f>VLOOKUP(A:A,[1]TDSheet!$A:$AB,28,0)</f>
        <v>14.5</v>
      </c>
      <c r="AC86" s="15">
        <f>VLOOKUP(A:A,[1]TDSheet!$A:$AC,29,0)</f>
        <v>9.6</v>
      </c>
      <c r="AD86" s="15">
        <f>VLOOKUP(A:A,[3]TDSheet!$A:$D,4,0)</f>
        <v>9</v>
      </c>
      <c r="AE86" s="15">
        <f>VLOOKUP(A:A,[1]TDSheet!$A:$AE,31,0)</f>
        <v>0</v>
      </c>
      <c r="AF86" s="15" t="e">
        <f>VLOOKUP(A:A,[1]TDSheet!$A:$AF,32,0)</f>
        <v>#N/A</v>
      </c>
      <c r="AG86" s="15">
        <f t="shared" si="25"/>
        <v>11.200000000000001</v>
      </c>
      <c r="AH86" s="15">
        <f t="shared" si="26"/>
        <v>0</v>
      </c>
      <c r="AI86" s="15">
        <f t="shared" si="27"/>
        <v>0</v>
      </c>
      <c r="AJ86" s="15">
        <f t="shared" si="28"/>
        <v>0</v>
      </c>
      <c r="AK86" s="15"/>
      <c r="AL86" s="15"/>
      <c r="AM86" s="23">
        <f t="shared" si="29"/>
        <v>-0.2857142857142857</v>
      </c>
    </row>
    <row r="87" spans="1:39" s="1" customFormat="1" ht="11.1" customHeight="1" outlineLevel="1" x14ac:dyDescent="0.2">
      <c r="A87" s="7" t="s">
        <v>89</v>
      </c>
      <c r="B87" s="7" t="s">
        <v>8</v>
      </c>
      <c r="C87" s="8">
        <v>1591</v>
      </c>
      <c r="D87" s="8">
        <v>284</v>
      </c>
      <c r="E87" s="8">
        <v>1148</v>
      </c>
      <c r="F87" s="8">
        <v>714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1158</v>
      </c>
      <c r="J87" s="15">
        <f t="shared" si="21"/>
        <v>-10</v>
      </c>
      <c r="K87" s="15">
        <f>VLOOKUP(A:A,[1]TDSheet!$A:$L,12,0)</f>
        <v>0</v>
      </c>
      <c r="L87" s="15">
        <f>VLOOKUP(A:A,[1]TDSheet!$A:$T,20,0)</f>
        <v>280</v>
      </c>
      <c r="M87" s="15"/>
      <c r="N87" s="17"/>
      <c r="O87" s="15"/>
      <c r="P87" s="15"/>
      <c r="Q87" s="17">
        <v>1000</v>
      </c>
      <c r="R87" s="17">
        <v>200</v>
      </c>
      <c r="S87" s="15">
        <f t="shared" si="22"/>
        <v>229.6</v>
      </c>
      <c r="T87" s="17">
        <v>400</v>
      </c>
      <c r="U87" s="18">
        <f t="shared" si="23"/>
        <v>11.297909407665506</v>
      </c>
      <c r="V87" s="15">
        <f t="shared" si="24"/>
        <v>3.1097560975609757</v>
      </c>
      <c r="W87" s="15"/>
      <c r="X87" s="15"/>
      <c r="Y87" s="15"/>
      <c r="Z87" s="15">
        <f>VLOOKUP(A:A,[1]TDSheet!$A:$Z,26,0)</f>
        <v>330.8</v>
      </c>
      <c r="AA87" s="15">
        <f>VLOOKUP(A:A,[1]TDSheet!$A:$AA,27,0)</f>
        <v>487.2</v>
      </c>
      <c r="AB87" s="15">
        <f>VLOOKUP(A:A,[1]TDSheet!$A:$AB,28,0)</f>
        <v>272.25</v>
      </c>
      <c r="AC87" s="15">
        <f>VLOOKUP(A:A,[1]TDSheet!$A:$AC,29,0)</f>
        <v>178.8</v>
      </c>
      <c r="AD87" s="15">
        <f>VLOOKUP(A:A,[3]TDSheet!$A:$D,4,0)</f>
        <v>107</v>
      </c>
      <c r="AE87" s="15" t="str">
        <f>VLOOKUP(A:A,[1]TDSheet!$A:$AE,31,0)</f>
        <v>пл0112,</v>
      </c>
      <c r="AF87" s="15" t="str">
        <f>VLOOKUP(A:A,[1]TDSheet!$A:$AF,32,0)</f>
        <v>м-900</v>
      </c>
      <c r="AG87" s="15">
        <f t="shared" si="25"/>
        <v>400</v>
      </c>
      <c r="AH87" s="15">
        <f t="shared" si="26"/>
        <v>80</v>
      </c>
      <c r="AI87" s="15">
        <f t="shared" si="27"/>
        <v>160</v>
      </c>
      <c r="AJ87" s="15">
        <f t="shared" si="28"/>
        <v>0</v>
      </c>
      <c r="AK87" s="15"/>
      <c r="AL87" s="15"/>
      <c r="AM87" s="23">
        <f t="shared" si="29"/>
        <v>-0.53397212543554007</v>
      </c>
    </row>
    <row r="88" spans="1:39" s="1" customFormat="1" ht="11.1" customHeight="1" outlineLevel="1" x14ac:dyDescent="0.2">
      <c r="A88" s="7" t="s">
        <v>90</v>
      </c>
      <c r="B88" s="7" t="s">
        <v>8</v>
      </c>
      <c r="C88" s="8">
        <v>69</v>
      </c>
      <c r="D88" s="8">
        <v>6</v>
      </c>
      <c r="E88" s="8">
        <v>29</v>
      </c>
      <c r="F88" s="8">
        <v>40</v>
      </c>
      <c r="G88" s="1">
        <f>VLOOKUP(A:A,[1]TDSheet!$A:$G,7,0)</f>
        <v>0.22</v>
      </c>
      <c r="H88" s="1" t="e">
        <f>VLOOKUP(A:A,[1]TDSheet!$A:$H,8,0)</f>
        <v>#N/A</v>
      </c>
      <c r="I88" s="15">
        <f>VLOOKUP(A:A,[2]TDSheet!$A:$F,6,0)</f>
        <v>38</v>
      </c>
      <c r="J88" s="15">
        <f t="shared" si="21"/>
        <v>-9</v>
      </c>
      <c r="K88" s="15">
        <f>VLOOKUP(A:A,[1]TDSheet!$A:$L,12,0)</f>
        <v>0</v>
      </c>
      <c r="L88" s="15">
        <f>VLOOKUP(A:A,[1]TDSheet!$A:$T,20,0)</f>
        <v>0</v>
      </c>
      <c r="M88" s="15"/>
      <c r="N88" s="17"/>
      <c r="O88" s="15"/>
      <c r="P88" s="15"/>
      <c r="Q88" s="17">
        <v>40</v>
      </c>
      <c r="R88" s="17"/>
      <c r="S88" s="15">
        <f t="shared" si="22"/>
        <v>5.8</v>
      </c>
      <c r="T88" s="17"/>
      <c r="U88" s="18">
        <f t="shared" si="23"/>
        <v>13.793103448275863</v>
      </c>
      <c r="V88" s="15">
        <f t="shared" si="24"/>
        <v>6.8965517241379315</v>
      </c>
      <c r="W88" s="15"/>
      <c r="X88" s="15"/>
      <c r="Y88" s="15"/>
      <c r="Z88" s="15">
        <f>VLOOKUP(A:A,[1]TDSheet!$A:$Z,26,0)</f>
        <v>9.1999999999999993</v>
      </c>
      <c r="AA88" s="15">
        <f>VLOOKUP(A:A,[1]TDSheet!$A:$AA,27,0)</f>
        <v>11.4</v>
      </c>
      <c r="AB88" s="15">
        <f>VLOOKUP(A:A,[1]TDSheet!$A:$AB,28,0)</f>
        <v>2.75</v>
      </c>
      <c r="AC88" s="15">
        <f>VLOOKUP(A:A,[1]TDSheet!$A:$AC,29,0)</f>
        <v>3</v>
      </c>
      <c r="AD88" s="15">
        <f>VLOOKUP(A:A,[3]TDSheet!$A:$D,4,0)</f>
        <v>1</v>
      </c>
      <c r="AE88" s="15" t="e">
        <f>VLOOKUP(A:A,[1]TDSheet!$A:$AE,31,0)</f>
        <v>#N/A</v>
      </c>
      <c r="AF88" s="15" t="e">
        <f>VLOOKUP(A:A,[1]TDSheet!$A:$AF,32,0)</f>
        <v>#N/A</v>
      </c>
      <c r="AG88" s="15">
        <f t="shared" si="25"/>
        <v>8.8000000000000007</v>
      </c>
      <c r="AH88" s="15">
        <f t="shared" si="26"/>
        <v>0</v>
      </c>
      <c r="AI88" s="15">
        <f t="shared" si="27"/>
        <v>0</v>
      </c>
      <c r="AJ88" s="15">
        <f t="shared" si="28"/>
        <v>0</v>
      </c>
      <c r="AK88" s="15"/>
      <c r="AL88" s="15"/>
      <c r="AM88" s="23">
        <f t="shared" si="29"/>
        <v>-0.82758620689655171</v>
      </c>
    </row>
    <row r="89" spans="1:39" s="1" customFormat="1" ht="11.1" customHeight="1" outlineLevel="1" x14ac:dyDescent="0.2">
      <c r="A89" s="7" t="s">
        <v>91</v>
      </c>
      <c r="B89" s="7" t="s">
        <v>8</v>
      </c>
      <c r="C89" s="8">
        <v>107</v>
      </c>
      <c r="D89" s="8">
        <v>144</v>
      </c>
      <c r="E89" s="8">
        <v>114</v>
      </c>
      <c r="F89" s="8">
        <v>133</v>
      </c>
      <c r="G89" s="1">
        <f>VLOOKUP(A:A,[1]TDSheet!$A:$G,7,0)</f>
        <v>0.3</v>
      </c>
      <c r="H89" s="1" t="e">
        <f>VLOOKUP(A:A,[1]TDSheet!$A:$H,8,0)</f>
        <v>#N/A</v>
      </c>
      <c r="I89" s="15">
        <f>VLOOKUP(A:A,[2]TDSheet!$A:$F,6,0)</f>
        <v>121</v>
      </c>
      <c r="J89" s="15">
        <f t="shared" si="21"/>
        <v>-7</v>
      </c>
      <c r="K89" s="15">
        <f>VLOOKUP(A:A,[1]TDSheet!$A:$L,12,0)</f>
        <v>30</v>
      </c>
      <c r="L89" s="15">
        <f>VLOOKUP(A:A,[1]TDSheet!$A:$T,20,0)</f>
        <v>0</v>
      </c>
      <c r="M89" s="15"/>
      <c r="N89" s="17">
        <v>30</v>
      </c>
      <c r="O89" s="15"/>
      <c r="P89" s="15"/>
      <c r="Q89" s="17">
        <v>30</v>
      </c>
      <c r="R89" s="17">
        <v>30</v>
      </c>
      <c r="S89" s="15">
        <f t="shared" si="22"/>
        <v>22.8</v>
      </c>
      <c r="T89" s="17"/>
      <c r="U89" s="18">
        <f t="shared" si="23"/>
        <v>11.096491228070175</v>
      </c>
      <c r="V89" s="15">
        <f t="shared" si="24"/>
        <v>5.833333333333333</v>
      </c>
      <c r="W89" s="15"/>
      <c r="X89" s="15">
        <v>30</v>
      </c>
      <c r="Y89" s="15"/>
      <c r="Z89" s="15">
        <f>VLOOKUP(A:A,[1]TDSheet!$A:$Z,26,0)</f>
        <v>30.8</v>
      </c>
      <c r="AA89" s="15">
        <f>VLOOKUP(A:A,[1]TDSheet!$A:$AA,27,0)</f>
        <v>35.200000000000003</v>
      </c>
      <c r="AB89" s="15">
        <f>VLOOKUP(A:A,[1]TDSheet!$A:$AB,28,0)</f>
        <v>31.5</v>
      </c>
      <c r="AC89" s="15">
        <f>VLOOKUP(A:A,[1]TDSheet!$A:$AC,29,0)</f>
        <v>25.4</v>
      </c>
      <c r="AD89" s="15">
        <f>VLOOKUP(A:A,[3]TDSheet!$A:$D,4,0)</f>
        <v>20</v>
      </c>
      <c r="AE89" s="15" t="e">
        <f>VLOOKUP(A:A,[1]TDSheet!$A:$AE,31,0)</f>
        <v>#N/A</v>
      </c>
      <c r="AF89" s="15" t="e">
        <f>VLOOKUP(A:A,[1]TDSheet!$A:$AF,32,0)</f>
        <v>#N/A</v>
      </c>
      <c r="AG89" s="15">
        <f t="shared" si="25"/>
        <v>9</v>
      </c>
      <c r="AH89" s="15">
        <f t="shared" si="26"/>
        <v>9</v>
      </c>
      <c r="AI89" s="15">
        <f t="shared" si="27"/>
        <v>0</v>
      </c>
      <c r="AJ89" s="15">
        <f t="shared" si="28"/>
        <v>9</v>
      </c>
      <c r="AK89" s="15"/>
      <c r="AL89" s="15"/>
      <c r="AM89" s="23">
        <f t="shared" si="29"/>
        <v>-0.1228070175438597</v>
      </c>
    </row>
    <row r="90" spans="1:39" s="1" customFormat="1" ht="11.1" customHeight="1" outlineLevel="1" x14ac:dyDescent="0.2">
      <c r="A90" s="7" t="s">
        <v>92</v>
      </c>
      <c r="B90" s="7" t="s">
        <v>8</v>
      </c>
      <c r="C90" s="8">
        <v>1496</v>
      </c>
      <c r="D90" s="8">
        <v>2449</v>
      </c>
      <c r="E90" s="8">
        <v>1734</v>
      </c>
      <c r="F90" s="8">
        <v>2147</v>
      </c>
      <c r="G90" s="1">
        <f>VLOOKUP(A:A,[1]TDSheet!$A:$G,7,0)</f>
        <v>0.12</v>
      </c>
      <c r="H90" s="1" t="e">
        <f>VLOOKUP(A:A,[1]TDSheet!$A:$H,8,0)</f>
        <v>#N/A</v>
      </c>
      <c r="I90" s="15">
        <f>VLOOKUP(A:A,[2]TDSheet!$A:$F,6,0)</f>
        <v>1785</v>
      </c>
      <c r="J90" s="15">
        <f t="shared" si="21"/>
        <v>-51</v>
      </c>
      <c r="K90" s="15">
        <f>VLOOKUP(A:A,[1]TDSheet!$A:$L,12,0)</f>
        <v>200</v>
      </c>
      <c r="L90" s="15">
        <f>VLOOKUP(A:A,[1]TDSheet!$A:$T,20,0)</f>
        <v>0</v>
      </c>
      <c r="M90" s="15"/>
      <c r="N90" s="17">
        <v>200</v>
      </c>
      <c r="O90" s="15"/>
      <c r="P90" s="15"/>
      <c r="Q90" s="17">
        <v>800</v>
      </c>
      <c r="R90" s="17">
        <v>400</v>
      </c>
      <c r="S90" s="15">
        <f t="shared" si="22"/>
        <v>346.8</v>
      </c>
      <c r="T90" s="17">
        <v>200</v>
      </c>
      <c r="U90" s="18">
        <f t="shared" si="23"/>
        <v>11.381199538638985</v>
      </c>
      <c r="V90" s="15">
        <f t="shared" si="24"/>
        <v>6.1908881199538639</v>
      </c>
      <c r="W90" s="15"/>
      <c r="X90" s="15">
        <v>200</v>
      </c>
      <c r="Y90" s="15"/>
      <c r="Z90" s="15">
        <f>VLOOKUP(A:A,[1]TDSheet!$A:$Z,26,0)</f>
        <v>424.6</v>
      </c>
      <c r="AA90" s="15">
        <f>VLOOKUP(A:A,[1]TDSheet!$A:$AA,27,0)</f>
        <v>515</v>
      </c>
      <c r="AB90" s="15">
        <f>VLOOKUP(A:A,[1]TDSheet!$A:$AB,28,0)</f>
        <v>388.5</v>
      </c>
      <c r="AC90" s="15">
        <f>VLOOKUP(A:A,[1]TDSheet!$A:$AC,29,0)</f>
        <v>389.2</v>
      </c>
      <c r="AD90" s="15">
        <f>VLOOKUP(A:A,[3]TDSheet!$A:$D,4,0)</f>
        <v>211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5"/>
        <v>96</v>
      </c>
      <c r="AH90" s="15">
        <f t="shared" si="26"/>
        <v>48</v>
      </c>
      <c r="AI90" s="15">
        <f t="shared" si="27"/>
        <v>24</v>
      </c>
      <c r="AJ90" s="15">
        <f t="shared" si="28"/>
        <v>24</v>
      </c>
      <c r="AK90" s="15"/>
      <c r="AL90" s="15"/>
      <c r="AM90" s="23">
        <f t="shared" si="29"/>
        <v>-0.39158016147635522</v>
      </c>
    </row>
    <row r="91" spans="1:39" s="1" customFormat="1" ht="11.1" customHeight="1" outlineLevel="1" x14ac:dyDescent="0.2">
      <c r="A91" s="7" t="s">
        <v>96</v>
      </c>
      <c r="B91" s="7" t="s">
        <v>8</v>
      </c>
      <c r="C91" s="8">
        <v>245</v>
      </c>
      <c r="D91" s="8"/>
      <c r="E91" s="8">
        <v>0</v>
      </c>
      <c r="F91" s="19">
        <v>245</v>
      </c>
      <c r="G91" s="1">
        <f>VLOOKUP(A:A,[1]TDSheet!$A:$G,7,0)</f>
        <v>0</v>
      </c>
      <c r="H91" s="1" t="e">
        <f>VLOOKUP(A:A,[1]TDSheet!$A:$H,8,0)</f>
        <v>#N/A</v>
      </c>
      <c r="I91" s="15">
        <v>0</v>
      </c>
      <c r="J91" s="15">
        <f t="shared" si="21"/>
        <v>0</v>
      </c>
      <c r="K91" s="15">
        <f>VLOOKUP(A:A,[1]TDSheet!$A:$L,12,0)</f>
        <v>0</v>
      </c>
      <c r="L91" s="15">
        <f>VLOOKUP(A:A,[1]TDSheet!$A:$T,20,0)</f>
        <v>0</v>
      </c>
      <c r="M91" s="15"/>
      <c r="N91" s="17"/>
      <c r="O91" s="15"/>
      <c r="P91" s="15"/>
      <c r="Q91" s="17"/>
      <c r="R91" s="17"/>
      <c r="S91" s="15">
        <f t="shared" si="22"/>
        <v>0</v>
      </c>
      <c r="T91" s="17"/>
      <c r="U91" s="18" t="e">
        <f t="shared" si="23"/>
        <v>#DIV/0!</v>
      </c>
      <c r="V91" s="15" t="e">
        <f t="shared" si="24"/>
        <v>#DIV/0!</v>
      </c>
      <c r="W91" s="15"/>
      <c r="X91" s="15"/>
      <c r="Y91" s="15"/>
      <c r="Z91" s="15">
        <f>VLOOKUP(A:A,[1]TDSheet!$A:$Z,26,0)</f>
        <v>7.4</v>
      </c>
      <c r="AA91" s="15">
        <f>VLOOKUP(A:A,[1]TDSheet!$A:$AA,27,0)</f>
        <v>11.8</v>
      </c>
      <c r="AB91" s="15">
        <f>VLOOKUP(A:A,[1]TDSheet!$A:$AB,28,0)</f>
        <v>0.5</v>
      </c>
      <c r="AC91" s="15">
        <f>VLOOKUP(A:A,[1]TDSheet!$A:$AC,29,0)</f>
        <v>0</v>
      </c>
      <c r="AD91" s="15">
        <f>VLOOKUP(A:A,[3]TDSheet!$A:$D,4,0)</f>
        <v>6</v>
      </c>
      <c r="AE91" s="15">
        <f>VLOOKUP(A:A,[1]TDSheet!$A:$AE,31,0)</f>
        <v>0</v>
      </c>
      <c r="AF91" s="15">
        <f>VLOOKUP(A:A,[1]TDSheet!$A:$AF,32,0)</f>
        <v>0</v>
      </c>
      <c r="AG91" s="15">
        <f t="shared" si="25"/>
        <v>0</v>
      </c>
      <c r="AH91" s="15">
        <f t="shared" si="26"/>
        <v>0</v>
      </c>
      <c r="AI91" s="15">
        <f t="shared" si="27"/>
        <v>0</v>
      </c>
      <c r="AJ91" s="15">
        <f t="shared" si="28"/>
        <v>0</v>
      </c>
      <c r="AK91" s="15"/>
      <c r="AL91" s="15"/>
      <c r="AM91" s="23" t="e">
        <f t="shared" si="29"/>
        <v>#DIV/0!</v>
      </c>
    </row>
    <row r="92" spans="1:39" s="1" customFormat="1" ht="11.1" customHeight="1" outlineLevel="1" x14ac:dyDescent="0.2">
      <c r="A92" s="7" t="s">
        <v>97</v>
      </c>
      <c r="B92" s="7" t="s">
        <v>9</v>
      </c>
      <c r="C92" s="8">
        <v>57.604999999999997</v>
      </c>
      <c r="D92" s="8"/>
      <c r="E92" s="19">
        <v>14.471</v>
      </c>
      <c r="F92" s="19">
        <v>43.134</v>
      </c>
      <c r="G92" s="1">
        <f>VLOOKUP(A:A,[1]TDSheet!$A:$G,7,0)</f>
        <v>0</v>
      </c>
      <c r="H92" s="1" t="e">
        <f>VLOOKUP(A:A,[1]TDSheet!$A:$H,8,0)</f>
        <v>#N/A</v>
      </c>
      <c r="I92" s="15">
        <f>VLOOKUP(A:A,[2]TDSheet!$A:$F,6,0)</f>
        <v>14</v>
      </c>
      <c r="J92" s="15">
        <f t="shared" si="21"/>
        <v>0.47100000000000009</v>
      </c>
      <c r="K92" s="15">
        <f>VLOOKUP(A:A,[1]TDSheet!$A:$L,12,0)</f>
        <v>0</v>
      </c>
      <c r="L92" s="15">
        <f>VLOOKUP(A:A,[1]TDSheet!$A:$T,20,0)</f>
        <v>0</v>
      </c>
      <c r="M92" s="15"/>
      <c r="N92" s="17"/>
      <c r="O92" s="15"/>
      <c r="P92" s="15"/>
      <c r="Q92" s="17"/>
      <c r="R92" s="17"/>
      <c r="S92" s="15">
        <f t="shared" si="22"/>
        <v>2.8942000000000001</v>
      </c>
      <c r="T92" s="17"/>
      <c r="U92" s="18">
        <f t="shared" si="23"/>
        <v>14.903600304056388</v>
      </c>
      <c r="V92" s="15">
        <f t="shared" si="24"/>
        <v>14.903600304056388</v>
      </c>
      <c r="W92" s="15"/>
      <c r="X92" s="15"/>
      <c r="Y92" s="15"/>
      <c r="Z92" s="15">
        <f>VLOOKUP(A:A,[1]TDSheet!$A:$Z,26,0)</f>
        <v>2.0544000000000002</v>
      </c>
      <c r="AA92" s="15">
        <f>VLOOKUP(A:A,[1]TDSheet!$A:$AA,27,0)</f>
        <v>3.3466</v>
      </c>
      <c r="AB92" s="15">
        <f>VLOOKUP(A:A,[1]TDSheet!$A:$AB,28,0)</f>
        <v>1.06775</v>
      </c>
      <c r="AC92" s="15">
        <f>VLOOKUP(A:A,[1]TDSheet!$A:$AC,29,0)</f>
        <v>1.6640000000000001</v>
      </c>
      <c r="AD92" s="15">
        <v>0</v>
      </c>
      <c r="AE92" s="15">
        <f>VLOOKUP(A:A,[1]TDSheet!$A:$AE,31,0)</f>
        <v>0</v>
      </c>
      <c r="AF92" s="15">
        <f>VLOOKUP(A:A,[1]TDSheet!$A:$AF,32,0)</f>
        <v>0</v>
      </c>
      <c r="AG92" s="15">
        <f t="shared" si="25"/>
        <v>0</v>
      </c>
      <c r="AH92" s="15">
        <f t="shared" si="26"/>
        <v>0</v>
      </c>
      <c r="AI92" s="15">
        <f t="shared" si="27"/>
        <v>0</v>
      </c>
      <c r="AJ92" s="15">
        <f t="shared" si="28"/>
        <v>0</v>
      </c>
      <c r="AK92" s="15"/>
      <c r="AL92" s="15"/>
      <c r="AM92" s="23">
        <f t="shared" si="29"/>
        <v>-1</v>
      </c>
    </row>
    <row r="93" spans="1:39" s="1" customFormat="1" ht="11.1" customHeight="1" outlineLevel="1" x14ac:dyDescent="0.2">
      <c r="A93" s="7" t="s">
        <v>93</v>
      </c>
      <c r="B93" s="7" t="s">
        <v>9</v>
      </c>
      <c r="C93" s="8">
        <v>206.959</v>
      </c>
      <c r="D93" s="8">
        <v>501.548</v>
      </c>
      <c r="E93" s="19">
        <v>221.92400000000001</v>
      </c>
      <c r="F93" s="19">
        <v>485.03500000000003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212.3</v>
      </c>
      <c r="J93" s="15">
        <f t="shared" si="21"/>
        <v>9.6239999999999952</v>
      </c>
      <c r="K93" s="15">
        <f>VLOOKUP(A:A,[1]TDSheet!$A:$L,12,0)</f>
        <v>0</v>
      </c>
      <c r="L93" s="15">
        <f>VLOOKUP(A:A,[1]TDSheet!$A:$T,20,0)</f>
        <v>0</v>
      </c>
      <c r="M93" s="15"/>
      <c r="N93" s="17"/>
      <c r="O93" s="15"/>
      <c r="P93" s="15"/>
      <c r="Q93" s="17"/>
      <c r="R93" s="17"/>
      <c r="S93" s="15">
        <f t="shared" si="22"/>
        <v>44.384799999999998</v>
      </c>
      <c r="T93" s="17"/>
      <c r="U93" s="18">
        <f t="shared" si="23"/>
        <v>10.92795281267461</v>
      </c>
      <c r="V93" s="15">
        <f t="shared" si="24"/>
        <v>10.92795281267461</v>
      </c>
      <c r="W93" s="15"/>
      <c r="X93" s="15"/>
      <c r="Y93" s="15"/>
      <c r="Z93" s="15">
        <f>VLOOKUP(A:A,[1]TDSheet!$A:$Z,26,0)</f>
        <v>45.371200000000002</v>
      </c>
      <c r="AA93" s="15">
        <f>VLOOKUP(A:A,[1]TDSheet!$A:$AA,27,0)</f>
        <v>80.933199999999999</v>
      </c>
      <c r="AB93" s="15">
        <f>VLOOKUP(A:A,[1]TDSheet!$A:$AB,28,0)</f>
        <v>27.137</v>
      </c>
      <c r="AC93" s="15">
        <f>VLOOKUP(A:A,[1]TDSheet!$A:$AC,29,0)</f>
        <v>59.770600000000002</v>
      </c>
      <c r="AD93" s="15">
        <f>VLOOKUP(A:A,[3]TDSheet!$A:$D,4,0)</f>
        <v>43.305999999999997</v>
      </c>
      <c r="AE93" s="15">
        <f>VLOOKUP(A:A,[1]TDSheet!$A:$AE,31,0)</f>
        <v>0</v>
      </c>
      <c r="AF93" s="15">
        <f>VLOOKUP(A:A,[1]TDSheet!$A:$AF,32,0)</f>
        <v>0</v>
      </c>
      <c r="AG93" s="15">
        <f t="shared" si="25"/>
        <v>0</v>
      </c>
      <c r="AH93" s="15">
        <f t="shared" si="26"/>
        <v>0</v>
      </c>
      <c r="AI93" s="15">
        <f t="shared" si="27"/>
        <v>0</v>
      </c>
      <c r="AJ93" s="15">
        <f t="shared" si="28"/>
        <v>0</v>
      </c>
      <c r="AK93" s="15"/>
      <c r="AL93" s="15"/>
      <c r="AM93" s="23">
        <f t="shared" si="29"/>
        <v>-2.4305618139543239E-2</v>
      </c>
    </row>
    <row r="94" spans="1:39" s="1" customFormat="1" ht="11.1" customHeight="1" outlineLevel="1" x14ac:dyDescent="0.2">
      <c r="A94" s="7" t="s">
        <v>94</v>
      </c>
      <c r="B94" s="7" t="s">
        <v>8</v>
      </c>
      <c r="C94" s="8">
        <v>640</v>
      </c>
      <c r="D94" s="8"/>
      <c r="E94" s="19">
        <v>20</v>
      </c>
      <c r="F94" s="19">
        <v>620</v>
      </c>
      <c r="G94" s="1">
        <f>VLOOKUP(A:A,[1]TDSheet!$A:$G,7,0)</f>
        <v>0</v>
      </c>
      <c r="H94" s="1">
        <f>VLOOKUP(A:A,[1]TDSheet!$A:$H,8,0)</f>
        <v>0</v>
      </c>
      <c r="I94" s="15">
        <f>VLOOKUP(A:A,[2]TDSheet!$A:$F,6,0)</f>
        <v>20</v>
      </c>
      <c r="J94" s="15">
        <f t="shared" si="21"/>
        <v>0</v>
      </c>
      <c r="K94" s="15">
        <f>VLOOKUP(A:A,[1]TDSheet!$A:$L,12,0)</f>
        <v>0</v>
      </c>
      <c r="L94" s="15">
        <f>VLOOKUP(A:A,[1]TDSheet!$A:$T,20,0)</f>
        <v>0</v>
      </c>
      <c r="M94" s="15"/>
      <c r="N94" s="17"/>
      <c r="O94" s="15"/>
      <c r="P94" s="15"/>
      <c r="Q94" s="17"/>
      <c r="R94" s="17"/>
      <c r="S94" s="15">
        <f t="shared" si="22"/>
        <v>4</v>
      </c>
      <c r="T94" s="17"/>
      <c r="U94" s="18">
        <f t="shared" si="23"/>
        <v>155</v>
      </c>
      <c r="V94" s="15">
        <f t="shared" si="24"/>
        <v>155</v>
      </c>
      <c r="W94" s="15"/>
      <c r="X94" s="15"/>
      <c r="Y94" s="15"/>
      <c r="Z94" s="15">
        <f>VLOOKUP(A:A,[1]TDSheet!$A:$Z,26,0)</f>
        <v>29.8</v>
      </c>
      <c r="AA94" s="15">
        <f>VLOOKUP(A:A,[1]TDSheet!$A:$AA,27,0)</f>
        <v>38.6</v>
      </c>
      <c r="AB94" s="15">
        <f>VLOOKUP(A:A,[1]TDSheet!$A:$AB,28,0)</f>
        <v>10.25</v>
      </c>
      <c r="AC94" s="15">
        <f>VLOOKUP(A:A,[1]TDSheet!$A:$AC,29,0)</f>
        <v>9.6</v>
      </c>
      <c r="AD94" s="15">
        <f>VLOOKUP(A:A,[3]TDSheet!$A:$D,4,0)</f>
        <v>2</v>
      </c>
      <c r="AE94" s="15">
        <f>VLOOKUP(A:A,[1]TDSheet!$A:$AE,31,0)</f>
        <v>0</v>
      </c>
      <c r="AF94" s="15">
        <f>VLOOKUP(A:A,[1]TDSheet!$A:$AF,32,0)</f>
        <v>0</v>
      </c>
      <c r="AG94" s="15">
        <f t="shared" si="25"/>
        <v>0</v>
      </c>
      <c r="AH94" s="15">
        <f t="shared" si="26"/>
        <v>0</v>
      </c>
      <c r="AI94" s="15">
        <f t="shared" si="27"/>
        <v>0</v>
      </c>
      <c r="AJ94" s="15">
        <f t="shared" si="28"/>
        <v>0</v>
      </c>
      <c r="AK94" s="15"/>
      <c r="AL94" s="15"/>
      <c r="AM94" s="23">
        <f t="shared" si="29"/>
        <v>-0.5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2026-01-26T13:44:23Z</dcterms:modified>
</cp:coreProperties>
</file>