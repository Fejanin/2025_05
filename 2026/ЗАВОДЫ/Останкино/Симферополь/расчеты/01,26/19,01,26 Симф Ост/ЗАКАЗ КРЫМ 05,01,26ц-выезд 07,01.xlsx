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1'!$A$9:$J$189</definedName>
  </definedNames>
  <calcPr calcId="181029" fullCalcOnLoad="1" refMode="R1C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13"/>
  <sheetViews>
    <sheetView tabSelected="1" zoomScale="87" zoomScaleNormal="87" workbookViewId="0">
      <pane ySplit="9" topLeftCell="A187" activePane="bottomLeft" state="frozen"/>
      <selection pane="bottomLeft" activeCell="J201" sqref="J201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46029</v>
      </c>
      <c r="E3" s="7" t="inlineStr">
        <is>
          <t xml:space="preserve">Доставка: </t>
        </is>
      </c>
      <c r="F3" s="101" t="n"/>
      <c r="G3" s="101" t="n">
        <v>46032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RIGHT(D11:D188,4)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50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RIGHT(D12:D189,4)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RIGHT(D13:D190,4)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/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RIGHT(D14:D189,4)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RIGHT(D15:D190,4)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120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RIGHT(D16:D191,4)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RIGHT(D17:D191,4)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>
        <v>40</v>
      </c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RIGHT(D18:D191,4)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200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RIGHT(D19:D192,4)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RIGHT(D20:D193,4)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RIGHT(D21:D194,4)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80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RIGHT(D22:D195,4)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500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RIGHT(D23:D196,4)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1000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RIGHT(D24:D197,4)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/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RIGHT(D25:D198,4)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100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RIGHT(D26:D202,4)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RIGHT(D27:D202,4)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RIGHT(D28:D203,4)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>
        <v>50</v>
      </c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RIGHT(D29:D206,4)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100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RIGHT(D30:D207,4)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600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RIGHT(D31:D208,4)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RIGHT(D32:D209,4)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RIGHT(D33:D210,4)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RIGHT(D34:D211,4)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RIGHT(D35:D212,4)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/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RIGHT(D36:D209,4)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/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RIGHT(D37:D210,4)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RIGHT(D38:D210,4)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RIGHT(D39:D212,4)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40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RIGHT(D40:D210,4)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200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RIGHT(D41:D211,4)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RIGHT(D42:D214,4)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RIGHT(D43:D216,4)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RIGHT(D44:D217,4)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/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RIGHT(D45:D216,4)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/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RIGHT(D46:D217,4)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700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RIGHT(D47:D215,4)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RIGHT(D48:D214,4)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RIGHT(D49:D217,4)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RIGHT(D50:D218,4)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RIGHT(D51:D221,4)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200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RIGHT(D52:D226,4)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RIGHT(D53:D227,4)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120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RIGHT(D54:D228,4)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RIGHT(D55:D229,4)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80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RIGHT(D56:D230,4)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240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RIGHT(D57:D231,4)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RIGHT(D58:D229,4)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RIGHT(D59:D230,4)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RIGHT(D60:D228,4)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60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RIGHT(D61:D229,4)</f>
        <v/>
      </c>
      <c r="B61" s="70" t="inlineStr">
        <is>
          <t>МЯСНЫЕ С ГОВЯД.ПМ сос п/о мгс 0.4кг 6шт.</t>
        </is>
      </c>
      <c r="C61" s="33" t="inlineStr">
        <is>
          <t>ШТ</t>
        </is>
      </c>
      <c r="D61" s="28" t="n">
        <v>1001025507255</v>
      </c>
      <c r="E61" s="24" t="n">
        <v>120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RIGHT(D62:D229,4)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600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RIGHT(D63:D230,4)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RIGHT(D64:D230,4)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RIGHT(D65:D231,4)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30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RIGHT(D66:D232,4)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RIGHT(D67:D234,4)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RIGHT(D68:D235,4)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RIGHT(D69:D235,4)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30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RIGHT(D70:D236,4)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RIGHT(D71:D237,4)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/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RIGHT(D72:D237,4)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RIGHT(D73:D237,4)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RIGHT(D74:D235,4)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1000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RIGHT(D75:D236,4)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120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RIGHT(D76:D237,4)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>
        <v>20</v>
      </c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RIGHT(D77:D237,4)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RIGHT(D78:D238,4)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RIGHT(D79:D239,4)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240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RIGHT(D80:D235,4)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RIGHT(D81:D236,4)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RIGHT(D82:D239,4)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RIGHT(D83:D240,4)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/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RIGHT(D84:D240,4)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/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RIGHT(D85:D241,4)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30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RIGHT(D86:D241,4)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50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RIGHT(D87:D242,4)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RIGHT(D88:D243,4)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120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RIGHT(D89:D244,4)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RIGHT(D90:D244,4)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>
        <v>40</v>
      </c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RIGHT(D91:D245,4)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RIGHT(D92:D245,4)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RIGHT(D93:D246,4)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RIGHT(D94:D246,4)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RIGHT(D95:D244,4)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120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RIGHT(D96:D247,4)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RIGHT(D97:D248,4)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400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RIGHT(D98:D250,4)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40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RIGHT(D99:D251,4)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RIGHT(D100:D251,4)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RIGHT(D101:D251,4)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600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RIGHT(D102:D252,4)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RIGHT(D103:D253,4)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>
        <v>40</v>
      </c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RIGHT(D104:D254,4)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RIGHT(D105:D255,4)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>
        <v>30</v>
      </c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RIGHT(D106:D255,4)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RIGHT(D107:D254,4)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600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RIGHT(D108:D255,4)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RIGHT(D109:D256,4)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/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RIGHT(D110:D257,4)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100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RIGHT(D111:D258,4)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RIGHT(D112:D256,4)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/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RIGHT(D113:D257,4)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40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RIGHT(D114:D256,4)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300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RIGHT(D115:D258,4)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600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RIGHT(D116:D259,4)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RIGHT(D117:D260,4)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RIGHT(D118:D261,4)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150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RIGHT(D119:D262,4)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RIGHT(D120:D263,4)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RIGHT(D121:D264,4)</f>
        <v/>
      </c>
      <c r="B121" s="27" t="inlineStr">
        <is>
          <t>ЧОРИЗО Останкино с/к в/у 1/220 8шт.</t>
        </is>
      </c>
      <c r="C121" s="33" t="inlineStr">
        <is>
          <t>ШТ</t>
        </is>
      </c>
      <c r="D121" s="28" t="n">
        <v>1001063217364</v>
      </c>
      <c r="E121" s="24" t="n"/>
      <c r="F121" s="23" t="n">
        <v>0.22</v>
      </c>
      <c r="G121" s="23">
        <f>E121*0.22</f>
        <v/>
      </c>
      <c r="H121" s="14" t="n"/>
      <c r="I121" s="14" t="n"/>
      <c r="J121" s="39" t="n"/>
    </row>
    <row r="122" ht="16.5" customHeight="1">
      <c r="A122" s="93">
        <f>RIGHT(D122:D265,4)</f>
        <v/>
      </c>
      <c r="B122" s="27" t="inlineStr">
        <is>
          <t>САН-РЕМО Останкино с/в в/у 1/220 8шт.</t>
        </is>
      </c>
      <c r="C122" s="33" t="inlineStr">
        <is>
          <t>ШТ</t>
        </is>
      </c>
      <c r="D122" s="28" t="n">
        <v>1001065467383</v>
      </c>
      <c r="E122" s="24" t="n"/>
      <c r="F122" s="23" t="n">
        <v>0.22</v>
      </c>
      <c r="G122" s="23">
        <f>E122*0.22</f>
        <v/>
      </c>
      <c r="H122" s="14" t="n"/>
      <c r="I122" s="14" t="n"/>
      <c r="J122" s="39" t="n"/>
    </row>
    <row r="123" ht="16.5" customHeight="1">
      <c r="A123" s="93">
        <f>RIGHT(D123:D265,4)</f>
        <v/>
      </c>
      <c r="B123" s="27" t="inlineStr">
        <is>
          <t>ПОСОЛЬСКАЯ Папа может с/к в/у</t>
        </is>
      </c>
      <c r="C123" s="30" t="inlineStr">
        <is>
          <t>КГ</t>
        </is>
      </c>
      <c r="D123" s="28" t="n">
        <v>1001063145708</v>
      </c>
      <c r="E123" s="24" t="n"/>
      <c r="F123" s="23" t="n">
        <v>0.5125</v>
      </c>
      <c r="G123" s="23">
        <f>E123*1</f>
        <v/>
      </c>
      <c r="H123" s="14" t="n">
        <v>4.1</v>
      </c>
      <c r="I123" s="14" t="n">
        <v>120</v>
      </c>
      <c r="J123" s="39" t="n"/>
    </row>
    <row r="124" ht="16.5" customHeight="1">
      <c r="A124" s="93">
        <f>RIGHT(D124:D266,4)</f>
        <v/>
      </c>
      <c r="B124" s="27" t="inlineStr">
        <is>
          <t>АРОМАТНАЯ с/к в/у</t>
        </is>
      </c>
      <c r="C124" s="30" t="inlineStr">
        <is>
          <t>КГ</t>
        </is>
      </c>
      <c r="D124" s="28" t="n">
        <v>1001061971146</v>
      </c>
      <c r="E124" s="24" t="n"/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RIGHT(D125:D267,4)</f>
        <v/>
      </c>
      <c r="B125" s="27" t="inlineStr">
        <is>
          <t>САЛЬЧИЧОН Папа может с/к в/у</t>
        </is>
      </c>
      <c r="C125" s="30" t="inlineStr">
        <is>
          <t>КГ</t>
        </is>
      </c>
      <c r="D125" s="28" t="n">
        <v>1001063237150</v>
      </c>
      <c r="E125" s="24" t="n"/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RIGHT(D126:D268,4)</f>
        <v/>
      </c>
      <c r="B126" s="27" t="inlineStr">
        <is>
          <t>АССОРТИ СЫРОКОПЧЕНЫХ КОЛБАС Коровино в/у</t>
        </is>
      </c>
      <c r="C126" s="30" t="inlineStr">
        <is>
          <t>КГ</t>
        </is>
      </c>
      <c r="D126" s="28" t="n">
        <v>1001065616832</v>
      </c>
      <c r="E126" s="24" t="n"/>
      <c r="F126" s="23" t="n"/>
      <c r="G126" s="23">
        <f>E126</f>
        <v/>
      </c>
      <c r="H126" s="14" t="n"/>
      <c r="I126" s="14" t="n"/>
      <c r="J126" s="39" t="n"/>
    </row>
    <row r="127" ht="16.5" customHeight="1">
      <c r="A127" s="93">
        <f>RIGHT(D127:D269,4)</f>
        <v/>
      </c>
      <c r="B127" s="27" t="inlineStr">
        <is>
          <t>НАБОР ДЛЯ ПИЦЦЫ Папа Может с/к в/у</t>
        </is>
      </c>
      <c r="C127" s="30" t="inlineStr">
        <is>
          <t>КГ</t>
        </is>
      </c>
      <c r="D127" s="28" t="n">
        <v>1001060677299</v>
      </c>
      <c r="E127" s="24" t="n"/>
      <c r="F127" s="23" t="n"/>
      <c r="G127" s="23">
        <f>E127</f>
        <v/>
      </c>
      <c r="H127" s="14" t="n"/>
      <c r="I127" s="14" t="n"/>
      <c r="J127" s="39" t="n"/>
    </row>
    <row r="128" ht="16.5" customHeight="1">
      <c r="A128" s="93">
        <f>RIGHT(D128:D266,4)</f>
        <v/>
      </c>
      <c r="B128" s="27" t="inlineStr">
        <is>
          <t>ПОСОЛЬСКАЯ ПМ с/к с/н в/у 1/100 10шт</t>
        </is>
      </c>
      <c r="C128" s="33" t="inlineStr">
        <is>
          <t>ШТ</t>
        </is>
      </c>
      <c r="D128" s="28" t="n">
        <v>1001203146834</v>
      </c>
      <c r="E128" s="24" t="n"/>
      <c r="F128" s="23" t="n"/>
      <c r="G128" s="23">
        <f>E128*0.1</f>
        <v/>
      </c>
      <c r="H128" s="14" t="n"/>
      <c r="I128" s="14" t="n"/>
      <c r="J128" s="39" t="n"/>
    </row>
    <row r="129" ht="16.5" customHeight="1">
      <c r="A129" s="93">
        <f>RIGHT(D129:D267,4)</f>
        <v/>
      </c>
      <c r="B129" s="27" t="inlineStr">
        <is>
          <t>СВИНИНА МАДЕРА с/к с/н в/у 1/100</t>
        </is>
      </c>
      <c r="C129" s="33" t="inlineStr">
        <is>
          <t>ШТ</t>
        </is>
      </c>
      <c r="D129" s="28" t="n">
        <v>1001234146448</v>
      </c>
      <c r="E129" s="24" t="n"/>
      <c r="F129" s="23" t="n">
        <v>0.1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RIGHT(D130:D268,4)</f>
        <v/>
      </c>
      <c r="B130" s="27" t="inlineStr">
        <is>
          <t>НЕАПОЛИТАНСКИЙ ДУЭТ с/к с/н мгс 1/90</t>
        </is>
      </c>
      <c r="C130" s="33" t="inlineStr">
        <is>
          <t>ШТ</t>
        </is>
      </c>
      <c r="D130" s="28" t="n">
        <v>1001205376221</v>
      </c>
      <c r="E130" s="24" t="n">
        <v>120</v>
      </c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RIGHT(D131:D268,4)</f>
        <v/>
      </c>
      <c r="B131" s="27" t="inlineStr">
        <is>
          <t>САЛЯМИ ИТАЛЬЯНСКАЯ с/к в/у 1/150_60с</t>
        </is>
      </c>
      <c r="C131" s="33" t="inlineStr">
        <is>
          <t>ШТ</t>
        </is>
      </c>
      <c r="D131" s="28" t="n">
        <v>1001190765679</v>
      </c>
      <c r="E131" s="24" t="n">
        <v>40</v>
      </c>
      <c r="F131" s="23" t="n">
        <v>0.15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RIGHT(D132:D270,4)</f>
        <v/>
      </c>
      <c r="B132" s="27" t="inlineStr">
        <is>
          <t>САЛЯМИ ИТАЛЬЯНСКАЯ с/к в/у 1/250*8_120c</t>
        </is>
      </c>
      <c r="C132" s="33" t="inlineStr">
        <is>
          <t>ШТ</t>
        </is>
      </c>
      <c r="D132" s="28" t="n">
        <v>1001060764993</v>
      </c>
      <c r="E132" s="24" t="n"/>
      <c r="F132" s="23" t="n">
        <v>0.25</v>
      </c>
      <c r="G132" s="23">
        <f>E132*0.25</f>
        <v/>
      </c>
      <c r="H132" s="14" t="n">
        <v>2</v>
      </c>
      <c r="I132" s="14" t="n">
        <v>120</v>
      </c>
      <c r="J132" s="39" t="n"/>
    </row>
    <row r="133" ht="16.5" customHeight="1">
      <c r="A133" s="93">
        <f>RIGHT(D133:D271,4)</f>
        <v/>
      </c>
      <c r="B133" s="27" t="inlineStr">
        <is>
          <t>АРОМАТНАЯ с/к в/у 1/250 8шт.</t>
        </is>
      </c>
      <c r="C133" s="33" t="inlineStr">
        <is>
          <t>ШТ</t>
        </is>
      </c>
      <c r="D133" s="28" t="n">
        <v>1001061973986</v>
      </c>
      <c r="E133" s="24" t="n"/>
      <c r="F133" s="23" t="n">
        <v>0.25</v>
      </c>
      <c r="G133" s="23">
        <f>E133*0.25</f>
        <v/>
      </c>
      <c r="H133" s="14" t="n"/>
      <c r="I133" s="14" t="n"/>
      <c r="J133" s="39" t="n"/>
    </row>
    <row r="134" ht="16.5" customHeight="1">
      <c r="A134" s="93">
        <f>RIGHT(D134:D271,4)</f>
        <v/>
      </c>
      <c r="B134" s="27" t="inlineStr">
        <is>
          <t>МИЛАНО с/к с/н мгс 1/90 12шт.</t>
        </is>
      </c>
      <c r="C134" s="33" t="inlineStr">
        <is>
          <t>ШТ</t>
        </is>
      </c>
      <c r="D134" s="28" t="n">
        <v>1001203207105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RIGHT(D135:D272,4)</f>
        <v/>
      </c>
      <c r="B135" s="27" t="inlineStr">
        <is>
          <t>ТОСКАНО с/к с/н мгс 1/90 12шт.</t>
        </is>
      </c>
      <c r="C135" s="33" t="inlineStr">
        <is>
          <t>ШТ</t>
        </is>
      </c>
      <c r="D135" s="28" t="n">
        <v>1001205447106</v>
      </c>
      <c r="E135" s="24" t="n"/>
      <c r="F135" s="23" t="n">
        <v>0.09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RIGHT(D136:D273,4)</f>
        <v/>
      </c>
      <c r="B136" s="27" t="inlineStr">
        <is>
          <t>САН-РЕМО с/в с/н мгс 1/90 12шт.</t>
        </is>
      </c>
      <c r="C136" s="33" t="inlineStr">
        <is>
          <t>ШТ</t>
        </is>
      </c>
      <c r="D136" s="28" t="n">
        <v>1001205467107</v>
      </c>
      <c r="E136" s="24" t="n"/>
      <c r="F136" s="23" t="n">
        <v>0.09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RIGHT(D137:D274,4)</f>
        <v/>
      </c>
      <c r="B137" s="27" t="inlineStr">
        <is>
          <t>САЛЬЧИЧОН Останкино с/к в/у 1/220 8шт.</t>
        </is>
      </c>
      <c r="C137" s="33" t="inlineStr">
        <is>
          <t>ШТ</t>
        </is>
      </c>
      <c r="D137" s="28" t="n">
        <v>1001063237147</v>
      </c>
      <c r="E137" s="24" t="n"/>
      <c r="F137" s="23" t="n">
        <v>0.22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RIGHT(D138:D275,4)</f>
        <v/>
      </c>
      <c r="B138" s="27" t="inlineStr">
        <is>
          <t>САЛЬЧИЧОН Останкино с/к в/у 1/180</t>
        </is>
      </c>
      <c r="C138" s="33" t="inlineStr">
        <is>
          <t>ШТ</t>
        </is>
      </c>
      <c r="D138" s="28" t="n">
        <v>1001063237229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RIGHT(D139:D275,4)</f>
        <v/>
      </c>
      <c r="B139" s="27" t="inlineStr">
        <is>
          <t>ТОСКАНО ПРЕМИУМ Останкино с/к в/у 1/180</t>
        </is>
      </c>
      <c r="C139" s="33" t="inlineStr">
        <is>
          <t>ШТ</t>
        </is>
      </c>
      <c r="D139" s="28" t="n">
        <v>1001066537225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RIGHT(D140:D276,4)</f>
        <v/>
      </c>
      <c r="B140" s="27" t="inlineStr">
        <is>
          <t>САЛЯМИ ФИНСКАЯ Папа может с/к в/у 1/180</t>
        </is>
      </c>
      <c r="C140" s="33" t="inlineStr">
        <is>
          <t>ШТ</t>
        </is>
      </c>
      <c r="D140" s="28" t="n">
        <v>1001063097227</v>
      </c>
      <c r="E140" s="24" t="n"/>
      <c r="F140" s="23" t="n">
        <v>0.18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RIGHT(D141:D277,4)</f>
        <v/>
      </c>
      <c r="B141" s="27" t="inlineStr">
        <is>
          <t>ЧОРИЗО ПРЕМИУМ Останкино с/к в/у 1/180</t>
        </is>
      </c>
      <c r="C141" s="33" t="inlineStr">
        <is>
          <t>ШТ</t>
        </is>
      </c>
      <c r="D141" s="28" t="n">
        <v>1001066527226</v>
      </c>
      <c r="E141" s="24" t="n"/>
      <c r="F141" s="23" t="n">
        <v>0.18</v>
      </c>
      <c r="G141" s="23">
        <f>F141*E141</f>
        <v/>
      </c>
      <c r="H141" s="14" t="n"/>
      <c r="I141" s="14" t="n"/>
      <c r="J141" s="39" t="n"/>
    </row>
    <row r="142" ht="16.5" customHeight="1">
      <c r="A142" s="93">
        <f>RIGHT(D142:D271,4)</f>
        <v/>
      </c>
      <c r="B142" s="27" t="inlineStr">
        <is>
          <t>ПРЕСИЖН с/к в/у 1/250 8шт.</t>
        </is>
      </c>
      <c r="C142" s="33" t="inlineStr">
        <is>
          <t>ШТ</t>
        </is>
      </c>
      <c r="D142" s="28" t="n">
        <v>1001062353684</v>
      </c>
      <c r="E142" s="24" t="n"/>
      <c r="F142" s="23" t="n">
        <v>0.25</v>
      </c>
      <c r="G142" s="23">
        <f>F142*E142</f>
        <v/>
      </c>
      <c r="H142" s="14" t="n"/>
      <c r="I142" s="14" t="n"/>
      <c r="J142" s="39" t="n"/>
    </row>
    <row r="143" ht="16.5" customHeight="1">
      <c r="A143" s="93">
        <f>RIGHT(D143:D272,4)</f>
        <v/>
      </c>
      <c r="B143" s="27" t="inlineStr">
        <is>
          <t>ПРЕСИЖН с/к дек.спец. мгс 0.54кг</t>
        </is>
      </c>
      <c r="C143" s="33" t="inlineStr">
        <is>
          <t>ШТ</t>
        </is>
      </c>
      <c r="D143" s="28" t="n">
        <v>1001066567317</v>
      </c>
      <c r="E143" s="24" t="n"/>
      <c r="F143" s="23" t="n">
        <v>0.54</v>
      </c>
      <c r="G143" s="23">
        <f>F143*E143</f>
        <v/>
      </c>
      <c r="H143" s="14" t="n"/>
      <c r="I143" s="14" t="n"/>
      <c r="J143" s="39" t="n"/>
    </row>
    <row r="144" ht="16.5" customHeight="1">
      <c r="A144" s="93">
        <f>RIGHT(D144:D271,4)</f>
        <v/>
      </c>
      <c r="B144" s="27" t="inlineStr">
        <is>
          <t>САЛЯМИ МЕЛКОЗЕРНЕНАЯ с/к в/у 1/120 8шт.</t>
        </is>
      </c>
      <c r="C144" s="33" t="inlineStr">
        <is>
          <t>ШТ</t>
        </is>
      </c>
      <c r="D144" s="28" t="n">
        <v>1001203117382</v>
      </c>
      <c r="E144" s="24" t="n">
        <v>200</v>
      </c>
      <c r="F144" s="23" t="n">
        <v>0.12</v>
      </c>
      <c r="G144" s="23">
        <f>E144*0.12</f>
        <v/>
      </c>
      <c r="H144" s="14" t="n">
        <v>0.96</v>
      </c>
      <c r="I144" s="14" t="n">
        <v>60</v>
      </c>
      <c r="J144" s="39" t="n"/>
    </row>
    <row r="145" ht="16.5" customHeight="1">
      <c r="A145" s="93">
        <f>RIGHT(D145:D274,4)</f>
        <v/>
      </c>
      <c r="B145" s="27" t="inlineStr">
        <is>
          <t>ЭКСТРА Папа может с/к в/у_Л</t>
        </is>
      </c>
      <c r="C145" s="30" t="inlineStr">
        <is>
          <t>КГ</t>
        </is>
      </c>
      <c r="D145" s="28" t="n">
        <v>1001062504117</v>
      </c>
      <c r="E145" s="24" t="n"/>
      <c r="F145" s="23" t="n">
        <v>0.4875</v>
      </c>
      <c r="G145" s="23">
        <f>E145*1</f>
        <v/>
      </c>
      <c r="H145" s="14" t="n">
        <v>3.9</v>
      </c>
      <c r="I145" s="14" t="n">
        <v>120</v>
      </c>
      <c r="J145" s="39" t="n"/>
    </row>
    <row r="146" ht="16.5" customHeight="1">
      <c r="A146" s="93">
        <f>RIGHT(D146:D275,4)</f>
        <v/>
      </c>
      <c r="B146" s="27" t="inlineStr">
        <is>
          <t>ПРЕСИЖН с/к дек.спец.мгс</t>
        </is>
      </c>
      <c r="C146" s="30" t="inlineStr">
        <is>
          <t>КГ</t>
        </is>
      </c>
      <c r="D146" s="28" t="n">
        <v>1001062353680</v>
      </c>
      <c r="E146" s="24" t="n"/>
      <c r="F146" s="23" t="n"/>
      <c r="G146" s="23">
        <f>E146</f>
        <v/>
      </c>
      <c r="H146" s="14" t="n"/>
      <c r="I146" s="14" t="n"/>
      <c r="J146" s="39" t="n"/>
    </row>
    <row r="147" ht="16.5" customHeight="1">
      <c r="A147" s="93">
        <f>RIGHT(D147:D275,4)</f>
        <v/>
      </c>
      <c r="B147" s="27" t="inlineStr">
        <is>
          <t>ЭКСТРА Папа может с/к в/у 1/250 8шт.</t>
        </is>
      </c>
      <c r="C147" s="33" t="inlineStr">
        <is>
          <t>ШТ</t>
        </is>
      </c>
      <c r="D147" s="28" t="n">
        <v>1001062505483</v>
      </c>
      <c r="E147" s="24" t="n"/>
      <c r="F147" s="23" t="n">
        <v>0.25</v>
      </c>
      <c r="G147" s="23">
        <f>E147*0.25</f>
        <v/>
      </c>
      <c r="H147" s="14" t="n">
        <v>2</v>
      </c>
      <c r="I147" s="14" t="n">
        <v>120</v>
      </c>
      <c r="J147" s="39" t="n"/>
    </row>
    <row r="148" ht="16.5" customHeight="1" thickBot="1">
      <c r="A148" s="93">
        <f>RIGHT(D148:D276,4)</f>
        <v/>
      </c>
      <c r="B148" s="27" t="inlineStr">
        <is>
          <t>ЭКСТРА Папа может с/к с/н в/у 1/100_60с</t>
        </is>
      </c>
      <c r="C148" s="33" t="inlineStr">
        <is>
          <t>ШТ</t>
        </is>
      </c>
      <c r="D148" s="28" t="n">
        <v>1001202506453</v>
      </c>
      <c r="E148" s="24" t="n">
        <v>140</v>
      </c>
      <c r="F148" s="23" t="n">
        <v>0.1</v>
      </c>
      <c r="G148" s="23">
        <f>E148*0.1</f>
        <v/>
      </c>
      <c r="H148" s="14" t="n">
        <v>0.8</v>
      </c>
      <c r="I148" s="14" t="n">
        <v>60</v>
      </c>
      <c r="J148" s="39" t="n"/>
    </row>
    <row r="149" ht="16.5" customHeight="1" thickBot="1" thickTop="1">
      <c r="A149" s="93">
        <f>RIGHT(D149:D277,4)</f>
        <v/>
      </c>
      <c r="B149" s="74" t="inlineStr">
        <is>
          <t>Ветчины</t>
        </is>
      </c>
      <c r="C149" s="74" t="n"/>
      <c r="D149" s="74" t="n"/>
      <c r="E149" s="74" t="n"/>
      <c r="F149" s="73" t="n"/>
      <c r="G149" s="74" t="n"/>
      <c r="H149" s="74" t="n"/>
      <c r="I149" s="74" t="n"/>
      <c r="J149" s="75" t="n"/>
    </row>
    <row r="150" ht="16.5" customHeight="1" thickTop="1">
      <c r="A150" s="93">
        <f>RIGHT(D150:D281,4)</f>
        <v/>
      </c>
      <c r="B150" s="29" t="inlineStr">
        <is>
          <t xml:space="preserve">ВЕТЧ.МРАМОРНАЯ в/у_45с </t>
        </is>
      </c>
      <c r="C150" s="32" t="inlineStr">
        <is>
          <t>КГ</t>
        </is>
      </c>
      <c r="D150" s="80" t="n">
        <v>1001092436470</v>
      </c>
      <c r="E150" s="24" t="n"/>
      <c r="F150" s="23" t="n"/>
      <c r="G150" s="23">
        <f>E150*1</f>
        <v/>
      </c>
      <c r="H150" s="14" t="n"/>
      <c r="I150" s="14" t="n"/>
      <c r="J150" s="39" t="n"/>
    </row>
    <row r="151" ht="16.5" customHeight="1">
      <c r="A151" s="93">
        <f>RIGHT(D151:D282,4)</f>
        <v/>
      </c>
      <c r="B151" s="29" t="inlineStr">
        <is>
          <t>ВЕТЧ.МРАМОРНАЯ в/у срез 0.3кг 6шт_45с</t>
        </is>
      </c>
      <c r="C151" s="32" t="inlineStr">
        <is>
          <t>ШТ</t>
        </is>
      </c>
      <c r="D151" s="80" t="n">
        <v>1001092436495</v>
      </c>
      <c r="E151" s="24" t="n">
        <v>30</v>
      </c>
      <c r="F151" s="23" t="n">
        <v>0.3</v>
      </c>
      <c r="G151" s="23">
        <f>F151*E151</f>
        <v/>
      </c>
      <c r="H151" s="14" t="n"/>
      <c r="I151" s="14" t="n"/>
      <c r="J151" s="39" t="n"/>
    </row>
    <row r="152" ht="16.5" customHeight="1">
      <c r="A152" s="93">
        <f>RIGHT(D152:D283,4)</f>
        <v/>
      </c>
      <c r="B152" s="29" t="inlineStr">
        <is>
          <t>ВЕТЧ.КЛАССИЧЕСКАЯ ПМ п/о 0.35кг 8шт_209к</t>
        </is>
      </c>
      <c r="C152" s="32" t="inlineStr">
        <is>
          <t>ШТ</t>
        </is>
      </c>
      <c r="D152" s="80" t="n">
        <v>1001095227235</v>
      </c>
      <c r="E152" s="24" t="n"/>
      <c r="F152" s="23" t="n">
        <v>0.35</v>
      </c>
      <c r="G152" s="23">
        <f>F152*E152</f>
        <v/>
      </c>
      <c r="H152" s="14" t="n"/>
      <c r="I152" s="14" t="n"/>
      <c r="J152" s="39" t="n"/>
    </row>
    <row r="153" ht="16.5" customHeight="1">
      <c r="A153" s="93">
        <f>RIGHT(D153:D284,4)</f>
        <v/>
      </c>
      <c r="B153" s="29" t="inlineStr">
        <is>
          <t>ВЕТЧ.РУБЛЕНАЯ ПМ в/у срез 0.3кг 6шт.</t>
        </is>
      </c>
      <c r="C153" s="32" t="inlineStr">
        <is>
          <t>ШТ</t>
        </is>
      </c>
      <c r="D153" s="80" t="n">
        <v>1001093316411</v>
      </c>
      <c r="E153" s="24" t="n"/>
      <c r="F153" s="23" t="n">
        <v>0.3</v>
      </c>
      <c r="G153" s="23">
        <f>F153*E153</f>
        <v/>
      </c>
      <c r="H153" s="14" t="n"/>
      <c r="I153" s="14" t="n"/>
      <c r="J153" s="39" t="n"/>
    </row>
    <row r="154" ht="16.5" customHeight="1">
      <c r="A154" s="93">
        <f>RIGHT(D154:D285,4)</f>
        <v/>
      </c>
      <c r="B154" s="29" t="inlineStr">
        <is>
          <t>ВЕТЧ.С ИНДЕЙКОЙ ПМ в/у срез 0.3кг 6шт.</t>
        </is>
      </c>
      <c r="C154" s="32" t="inlineStr">
        <is>
          <t>ШТ</t>
        </is>
      </c>
      <c r="D154" s="80" t="n">
        <v>1001095027377</v>
      </c>
      <c r="E154" s="24" t="n">
        <v>30</v>
      </c>
      <c r="F154" s="23" t="n">
        <v>0.3</v>
      </c>
      <c r="G154" s="23">
        <f>F154*E154</f>
        <v/>
      </c>
      <c r="H154" s="14" t="n"/>
      <c r="I154" s="14" t="n"/>
      <c r="J154" s="39" t="n"/>
    </row>
    <row r="155" ht="16.5" customHeight="1">
      <c r="A155" s="93">
        <f>RIGHT(D155:D282,4)</f>
        <v/>
      </c>
      <c r="B155" s="29" t="inlineStr">
        <is>
          <t>ВЕТЧ.НЕЖНАЯ Коровино п/о_Маяк</t>
        </is>
      </c>
      <c r="C155" s="32" t="inlineStr">
        <is>
          <t>КГ</t>
        </is>
      </c>
      <c r="D155" s="80" t="n">
        <v>1001095716866</v>
      </c>
      <c r="E155" s="24" t="n">
        <v>20</v>
      </c>
      <c r="F155" s="23" t="n"/>
      <c r="G155" s="23">
        <f>E155*1</f>
        <v/>
      </c>
      <c r="H155" s="14" t="n"/>
      <c r="I155" s="14" t="n"/>
      <c r="J155" s="39" t="n"/>
    </row>
    <row r="156" ht="16.5" customHeight="1">
      <c r="A156" s="93">
        <f>RIGHT(D156:D279,4)</f>
        <v/>
      </c>
      <c r="B156" s="27" t="inlineStr">
        <is>
          <t>ВЕТЧ.МЯСНАЯ Папа может п/о 0.4кг 8шт.</t>
        </is>
      </c>
      <c r="C156" s="37" t="inlineStr">
        <is>
          <t>ШТ</t>
        </is>
      </c>
      <c r="D156" s="51" t="n">
        <v>1001094053215</v>
      </c>
      <c r="E156" s="24" t="n">
        <v>120</v>
      </c>
      <c r="F156" s="23" t="n">
        <v>0.4</v>
      </c>
      <c r="G156" s="23">
        <f>E156*0.4</f>
        <v/>
      </c>
      <c r="H156" s="14" t="n">
        <v>3.2</v>
      </c>
      <c r="I156" s="14" t="n">
        <v>60</v>
      </c>
      <c r="J156" s="39" t="n"/>
    </row>
    <row r="157" ht="16.5" customHeight="1" thickBot="1">
      <c r="A157" s="93">
        <f>RIGHT(D157:D280,4)</f>
        <v/>
      </c>
      <c r="B157" s="27" t="inlineStr">
        <is>
          <t>ВЕТЧ.ФИЛЕЙНАЯ ПМ п/о 0,4кг 8шт.</t>
        </is>
      </c>
      <c r="C157" s="37" t="inlineStr">
        <is>
          <t>ШТ</t>
        </is>
      </c>
      <c r="D157" s="51" t="n">
        <v>1001092687245</v>
      </c>
      <c r="E157" s="24" t="n"/>
      <c r="F157" s="23" t="n">
        <v>0.4</v>
      </c>
      <c r="G157" s="23">
        <f>E157*0.4</f>
        <v/>
      </c>
      <c r="H157" s="14" t="n"/>
      <c r="I157" s="14" t="n"/>
      <c r="J157" s="39" t="n"/>
    </row>
    <row r="158" ht="16.5" customHeight="1" thickBot="1" thickTop="1">
      <c r="A158" s="93">
        <f>RIGHT(D158:D282,4)</f>
        <v/>
      </c>
      <c r="B158" s="74" t="inlineStr">
        <is>
          <t>Копчености варенокопченые</t>
        </is>
      </c>
      <c r="C158" s="74" t="n"/>
      <c r="D158" s="74" t="n"/>
      <c r="E158" s="74" t="n"/>
      <c r="F158" s="73" t="n"/>
      <c r="G158" s="74" t="n"/>
      <c r="H158" s="74" t="n"/>
      <c r="I158" s="74" t="n"/>
      <c r="J158" s="75" t="n"/>
    </row>
    <row r="159" ht="16.5" customHeight="1" thickTop="1">
      <c r="A159" s="93">
        <f>RIGHT(D159:D285,4)</f>
        <v/>
      </c>
      <c r="B159" s="47" t="inlineStr">
        <is>
          <t>СВИНИНА ПО-ДОМ. к/в мл/к в/у 0.3кг_50с</t>
        </is>
      </c>
      <c r="C159" s="35" t="inlineStr">
        <is>
          <t>ШТ</t>
        </is>
      </c>
      <c r="D159" s="28" t="n">
        <v>1001084217090</v>
      </c>
      <c r="E159" s="24" t="n"/>
      <c r="F159" s="23" t="n">
        <v>0.3</v>
      </c>
      <c r="G159" s="23">
        <f>E159*F159</f>
        <v/>
      </c>
      <c r="H159" s="14" t="n"/>
      <c r="I159" s="14" t="n">
        <v>50</v>
      </c>
      <c r="J159" s="39" t="n"/>
    </row>
    <row r="160" ht="16.5" customHeight="1">
      <c r="A160" s="93">
        <f>RIGHT(D160:D286,4)</f>
        <v/>
      </c>
      <c r="B160" s="47" t="inlineStr">
        <is>
          <t>ШЕЙКА КОПЧЕНАЯ к/в мл/к в/у 300*6</t>
        </is>
      </c>
      <c r="C160" s="35" t="inlineStr">
        <is>
          <t>ШТ</t>
        </is>
      </c>
      <c r="D160" s="28" t="n">
        <v>1001083424691</v>
      </c>
      <c r="E160" s="24" t="n"/>
      <c r="F160" s="23" t="n">
        <v>0.3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RIGHT(D161:D287,4)</f>
        <v/>
      </c>
      <c r="B161" s="47" t="inlineStr">
        <is>
          <t>ГРУДИНКА ПРЕМИУМ к/в мл/к в/у 0,3кг_50с</t>
        </is>
      </c>
      <c r="C161" s="35" t="inlineStr">
        <is>
          <t>ШТ</t>
        </is>
      </c>
      <c r="D161" s="28" t="n">
        <v>1001085637187</v>
      </c>
      <c r="E161" s="24" t="n">
        <v>120</v>
      </c>
      <c r="F161" s="23" t="n">
        <v>0.3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RIGHT(D162:D288,4)</f>
        <v/>
      </c>
      <c r="B162" s="47" t="inlineStr">
        <is>
          <t>ГРУДИНКА ПРЕМИУМ к/в с/н в/у 1/150 8шт.</t>
        </is>
      </c>
      <c r="C162" s="35" t="inlineStr">
        <is>
          <t>ШТ</t>
        </is>
      </c>
      <c r="D162" s="28" t="n">
        <v>1001225636201</v>
      </c>
      <c r="E162" s="24" t="n"/>
      <c r="F162" s="23" t="n">
        <v>0.15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RIGHT(D163:D288,4)</f>
        <v/>
      </c>
      <c r="B163" s="47" t="inlineStr">
        <is>
          <t>ДЫМОВИЦА ИЗ ОКОРОКА к/в мл/к в/у 0.3кг</t>
        </is>
      </c>
      <c r="C163" s="35" t="inlineStr">
        <is>
          <t>ШТ</t>
        </is>
      </c>
      <c r="D163" s="28" t="n">
        <v>1001080216842</v>
      </c>
      <c r="E163" s="24" t="n"/>
      <c r="F163" s="23" t="n">
        <v>0.3</v>
      </c>
      <c r="G163" s="23">
        <f>F163*E163</f>
        <v/>
      </c>
      <c r="H163" s="14" t="n"/>
      <c r="I163" s="14" t="n"/>
      <c r="J163" s="92" t="n"/>
    </row>
    <row r="164" ht="16.5" customHeight="1">
      <c r="A164" s="93">
        <f>RIGHT(D164:D288,4)</f>
        <v/>
      </c>
      <c r="B164" s="47" t="inlineStr">
        <is>
          <t>ШПИК С ЧЕСНОК.И ПЕРЦЕМ к/в в/у 0.3кг_45c</t>
        </is>
      </c>
      <c r="C164" s="35" t="inlineStr">
        <is>
          <t>ШТ</t>
        </is>
      </c>
      <c r="D164" s="28" t="n">
        <v>1001084226492</v>
      </c>
      <c r="E164" s="24" t="n"/>
      <c r="F164" s="23" t="n">
        <v>0.3</v>
      </c>
      <c r="G164" s="23">
        <f>F164*E164</f>
        <v/>
      </c>
      <c r="H164" s="14" t="n"/>
      <c r="I164" s="14" t="n"/>
      <c r="J164" s="92" t="n"/>
    </row>
    <row r="165" ht="16.5" customHeight="1">
      <c r="A165" s="93">
        <f>RIGHT(D165:D286,4)</f>
        <v/>
      </c>
      <c r="B165" s="47" t="inlineStr">
        <is>
          <t>КОРЕЙКА ПО-ОСТ.к/в в/с с/н в/у 1/150_45с</t>
        </is>
      </c>
      <c r="C165" s="35" t="inlineStr">
        <is>
          <t>ШТ</t>
        </is>
      </c>
      <c r="D165" s="28" t="n">
        <v>1001220286279</v>
      </c>
      <c r="E165" s="24" t="n">
        <v>80</v>
      </c>
      <c r="F165" s="23" t="n">
        <v>0.15</v>
      </c>
      <c r="G165" s="23">
        <f>F165*E165</f>
        <v/>
      </c>
      <c r="H165" s="14" t="n"/>
      <c r="I165" s="14" t="n"/>
      <c r="J165" s="92" t="n"/>
    </row>
    <row r="166" ht="16.5" customHeight="1">
      <c r="A166" s="93">
        <f>RIGHT(D166:D287,4)</f>
        <v/>
      </c>
      <c r="B166" s="47" t="inlineStr">
        <is>
          <t>КОЛБ.СНЭКИ Папа может в/к мгс 1/70_5</t>
        </is>
      </c>
      <c r="C166" s="35" t="inlineStr">
        <is>
          <t>ШТ</t>
        </is>
      </c>
      <c r="D166" s="28" t="n">
        <v>1001053944786</v>
      </c>
      <c r="E166" s="24" t="n"/>
      <c r="F166" s="23" t="n">
        <v>0.07000000000000001</v>
      </c>
      <c r="G166" s="23">
        <f>F166*E166</f>
        <v/>
      </c>
      <c r="H166" s="14" t="n"/>
      <c r="I166" s="14" t="n"/>
      <c r="J166" s="92" t="n"/>
    </row>
    <row r="167" ht="16.5" customHeight="1">
      <c r="A167" s="93">
        <f>RIGHT(D167:D288,4)</f>
        <v/>
      </c>
      <c r="B167" s="47" t="inlineStr">
        <is>
          <t>ПЕППЕРОНИ с/к с/н мгс 1*2_HRC</t>
        </is>
      </c>
      <c r="C167" s="35" t="inlineStr">
        <is>
          <t>КГ</t>
        </is>
      </c>
      <c r="D167" s="28" t="n">
        <v>1001204447052</v>
      </c>
      <c r="E167" s="24" t="n"/>
      <c r="F167" s="23" t="n">
        <v>1</v>
      </c>
      <c r="G167" s="23">
        <f>E167</f>
        <v/>
      </c>
      <c r="H167" s="14" t="n"/>
      <c r="I167" s="14" t="n"/>
      <c r="J167" s="92" t="n"/>
    </row>
    <row r="168" ht="16.5" customHeight="1">
      <c r="A168" s="93">
        <f>RIGHT(D168:D288,4)</f>
        <v/>
      </c>
      <c r="B168" s="47" t="inlineStr">
        <is>
          <t>БЕКОН ДЛЯ КУЛИНАРИИ с/к с/н мгс 1*2_HRC</t>
        </is>
      </c>
      <c r="C168" s="35" t="inlineStr">
        <is>
          <t>КГ</t>
        </is>
      </c>
      <c r="D168" s="28" t="n">
        <v>1001223297053</v>
      </c>
      <c r="E168" s="24" t="n"/>
      <c r="F168" s="23" t="n">
        <v>1</v>
      </c>
      <c r="G168" s="23">
        <f>E168</f>
        <v/>
      </c>
      <c r="H168" s="14" t="n"/>
      <c r="I168" s="14" t="n"/>
      <c r="J168" s="92" t="n"/>
    </row>
    <row r="169" ht="16.5" customHeight="1">
      <c r="A169" s="93">
        <f>RIGHT(D169:D288,4)</f>
        <v/>
      </c>
      <c r="B169" s="27" t="inlineStr">
        <is>
          <t>БЕКОН Папа может с/к с/н в/у 1/140_50с</t>
        </is>
      </c>
      <c r="C169" s="33" t="inlineStr">
        <is>
          <t>ШТ</t>
        </is>
      </c>
      <c r="D169" s="28" t="n">
        <v>1001223297092</v>
      </c>
      <c r="E169" s="24" t="n"/>
      <c r="F169" s="23" t="n">
        <v>0.14</v>
      </c>
      <c r="G169" s="23">
        <f>F169*E169</f>
        <v/>
      </c>
      <c r="H169" s="14" t="n"/>
      <c r="I169" s="14" t="n"/>
      <c r="J169" s="39" t="n"/>
    </row>
    <row r="170" ht="16.5" customHeight="1">
      <c r="A170" s="93">
        <f>RIGHT(D170:D289,4)</f>
        <v/>
      </c>
      <c r="B170" s="27" t="inlineStr">
        <is>
          <t>БЕКОН Останкино с/к с/н в/у 1/180_50с</t>
        </is>
      </c>
      <c r="C170" s="33" t="inlineStr">
        <is>
          <t>ШТ</t>
        </is>
      </c>
      <c r="D170" s="28" t="n">
        <v>1001223297103</v>
      </c>
      <c r="E170" s="24" t="n"/>
      <c r="F170" s="23" t="n">
        <v>0.18</v>
      </c>
      <c r="G170" s="23">
        <f>F170*E170</f>
        <v/>
      </c>
      <c r="H170" s="14" t="n"/>
      <c r="I170" s="14" t="n"/>
      <c r="J170" s="92" t="n"/>
    </row>
    <row r="171" ht="16.5" customHeight="1" thickBot="1">
      <c r="A171" s="93">
        <f>RIGHT(D171:D286,4)</f>
        <v/>
      </c>
      <c r="B171" s="47" t="inlineStr">
        <is>
          <t>БЕКОН с/к с/н в/у 1/180 10шт.</t>
        </is>
      </c>
      <c r="C171" s="35" t="inlineStr">
        <is>
          <t>ШТ</t>
        </is>
      </c>
      <c r="D171" s="28" t="n">
        <v>1001223296919</v>
      </c>
      <c r="E171" s="24" t="n"/>
      <c r="F171" s="23" t="n"/>
      <c r="G171" s="23">
        <f>E171*0.18</f>
        <v/>
      </c>
      <c r="H171" s="14" t="n"/>
      <c r="I171" s="14" t="n"/>
      <c r="J171" s="92" t="n"/>
    </row>
    <row r="172" ht="16.5" customHeight="1" thickBot="1" thickTop="1">
      <c r="A172" s="93">
        <f>RIGHT(D172:D287,4)</f>
        <v/>
      </c>
      <c r="B172" s="74" t="inlineStr">
        <is>
          <t>Паштеты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RIGHT(D173:D290,4)</f>
        <v/>
      </c>
      <c r="B173" s="74" t="inlineStr">
        <is>
          <t>Пельмени</t>
        </is>
      </c>
      <c r="C173" s="74" t="n"/>
      <c r="D173" s="74" t="n"/>
      <c r="E173" s="74" t="n"/>
      <c r="F173" s="73" t="n"/>
      <c r="G173" s="74" t="n"/>
      <c r="H173" s="74" t="n"/>
      <c r="I173" s="74" t="n"/>
      <c r="J173" s="75" t="n"/>
    </row>
    <row r="174" ht="16.5" customHeight="1" thickTop="1">
      <c r="A174" s="93">
        <f>RIGHT(D174:D291,4)</f>
        <v/>
      </c>
      <c r="B174" s="47" t="inlineStr">
        <is>
          <t>ОСТАН.ТРАДИЦ. пельм кор.0.5кг зам._120с</t>
        </is>
      </c>
      <c r="C174" s="33" t="inlineStr">
        <is>
          <t>ШТ</t>
        </is>
      </c>
      <c r="D174" s="28" t="n">
        <v>1002112606314</v>
      </c>
      <c r="E174" s="24" t="n"/>
      <c r="F174" s="23" t="n">
        <v>0.5</v>
      </c>
      <c r="G174" s="23">
        <f>E174*0.5</f>
        <v/>
      </c>
      <c r="H174" s="14" t="n">
        <v>8</v>
      </c>
      <c r="I174" s="72" t="n">
        <v>120</v>
      </c>
      <c r="J174" s="39" t="n"/>
    </row>
    <row r="175" ht="16.5" customHeight="1">
      <c r="A175" s="93">
        <f>RIGHT(D175:D292,4)</f>
        <v/>
      </c>
      <c r="B175" s="47" t="inlineStr">
        <is>
          <t xml:space="preserve">ПЕЛЬМ.С АДЖИКОЙ пл.0.45кг зам. </t>
        </is>
      </c>
      <c r="C175" s="33" t="inlineStr">
        <is>
          <t>ШТ</t>
        </is>
      </c>
      <c r="D175" s="28" t="n">
        <v>1002115036155</v>
      </c>
      <c r="E175" s="24" t="n"/>
      <c r="F175" s="23" t="n"/>
      <c r="G175" s="23">
        <f>E175*0.45</f>
        <v/>
      </c>
      <c r="H175" s="14" t="n"/>
      <c r="I175" s="72" t="n"/>
      <c r="J175" s="39" t="n"/>
    </row>
    <row r="176" ht="16.5" customHeight="1">
      <c r="A176" s="93">
        <f>RIGHT(D176:D293,4)</f>
        <v/>
      </c>
      <c r="B176" s="47" t="inlineStr">
        <is>
          <t xml:space="preserve">ПЕЛЬМ.С БЕЛ.ГРИБАМИ пл.0.45кг зам. </t>
        </is>
      </c>
      <c r="C176" s="33" t="inlineStr">
        <is>
          <t>ШТ</t>
        </is>
      </c>
      <c r="D176" s="28" t="n">
        <v>1002115056157</v>
      </c>
      <c r="E176" s="24" t="n"/>
      <c r="F176" s="23" t="n"/>
      <c r="G176" s="23">
        <f>E176*0.45</f>
        <v/>
      </c>
      <c r="H176" s="14" t="n"/>
      <c r="I176" s="72" t="n"/>
      <c r="J176" s="39" t="n"/>
    </row>
    <row r="177" ht="16.5" customHeight="1" thickBot="1">
      <c r="A177" s="93">
        <f>RIGHT(D177:D292,4)</f>
        <v/>
      </c>
      <c r="B177" s="47" t="inlineStr">
        <is>
          <t>ОСТАН.ТРАДИЦ.пельм пл.0.9кг зам._120с</t>
        </is>
      </c>
      <c r="C177" s="36" t="inlineStr">
        <is>
          <t>ШТ</t>
        </is>
      </c>
      <c r="D177" s="28" t="n">
        <v>1002112606313</v>
      </c>
      <c r="E177" s="24" t="n"/>
      <c r="F177" s="23" t="n">
        <v>0.9</v>
      </c>
      <c r="G177" s="23">
        <f>E177*0.9</f>
        <v/>
      </c>
      <c r="H177" s="14" t="n">
        <v>9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Полуфабрикаты с картофелем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47" t="inlineStr">
        <is>
          <t>С КАРТОФЕЛЕМ вареники кор.0.5кг зам_120</t>
        </is>
      </c>
      <c r="C179" s="36" t="inlineStr">
        <is>
          <t>ШТ</t>
        </is>
      </c>
      <c r="D179" s="28" t="n">
        <v>1002151784945</v>
      </c>
      <c r="E179" s="24" t="n"/>
      <c r="F179" s="23" t="n">
        <v>0.5</v>
      </c>
      <c r="G179" s="23">
        <f>E179*0.5</f>
        <v/>
      </c>
      <c r="H179" s="14" t="n">
        <v>8</v>
      </c>
      <c r="I179" s="72" t="n">
        <v>120</v>
      </c>
      <c r="J179" s="39" t="n"/>
    </row>
    <row r="180" ht="16.5" customHeight="1" thickBot="1" thickTop="1">
      <c r="A180" s="93">
        <f>RIGHT(D180:D295,4)</f>
        <v/>
      </c>
      <c r="B180" s="74" t="inlineStr">
        <is>
          <t>Блины</t>
        </is>
      </c>
      <c r="C180" s="74" t="n"/>
      <c r="D180" s="74" t="n"/>
      <c r="E180" s="74" t="n"/>
      <c r="F180" s="73" t="n"/>
      <c r="G180" s="74" t="n"/>
      <c r="H180" s="74" t="n"/>
      <c r="I180" s="74" t="n"/>
      <c r="J180" s="75" t="n"/>
    </row>
    <row r="181" ht="16.5" customFormat="1" customHeight="1" s="88" thickBot="1" thickTop="1">
      <c r="A181" s="93">
        <f>RIGHT(D181:D296,4)</f>
        <v/>
      </c>
      <c r="B181" s="89" t="inlineStr">
        <is>
          <t>С КУРИЦЕЙ И ГРИБАМИ 1/420 10шт.зам.</t>
        </is>
      </c>
      <c r="C181" s="90" t="inlineStr">
        <is>
          <t>ШТ</t>
        </is>
      </c>
      <c r="D181" s="83" t="n">
        <v>1002133974956</v>
      </c>
      <c r="E181" s="84" t="n"/>
      <c r="F181" s="85" t="n">
        <v>0.42</v>
      </c>
      <c r="G181" s="85">
        <f>E181*0.42</f>
        <v/>
      </c>
      <c r="H181" s="86" t="n">
        <v>4.2</v>
      </c>
      <c r="I181" s="91" t="n">
        <v>120</v>
      </c>
      <c r="J181" s="86" t="n"/>
      <c r="K181" s="87" t="n"/>
    </row>
    <row r="182" ht="16.5" customHeight="1" thickTop="1">
      <c r="A182" s="93">
        <f>RIGHT(D182:D297,4)</f>
        <v/>
      </c>
      <c r="B182" s="47" t="inlineStr">
        <is>
          <t>БЛИНЧ.С МЯСОМ пл.1/420 10шт.зам.</t>
        </is>
      </c>
      <c r="C182" s="33" t="inlineStr">
        <is>
          <t>ШТ</t>
        </is>
      </c>
      <c r="D182" s="28" t="n">
        <v>1002131151762</v>
      </c>
      <c r="E182" s="24" t="n"/>
      <c r="F182" s="23" t="n">
        <v>0.42</v>
      </c>
      <c r="G182" s="23">
        <f>E182*0.42</f>
        <v/>
      </c>
      <c r="H182" s="14" t="n">
        <v>4.2</v>
      </c>
      <c r="I182" s="72" t="n">
        <v>120</v>
      </c>
      <c r="J182" s="39" t="n"/>
    </row>
    <row r="183" ht="16.5" customHeight="1" thickBot="1">
      <c r="A183" s="93">
        <f>RIGHT(D183:D298,4)</f>
        <v/>
      </c>
      <c r="B183" s="47" t="inlineStr">
        <is>
          <t>БЛИНЧ. С ТВОРОГОМ 1/420 12шт.зам.</t>
        </is>
      </c>
      <c r="C183" s="36" t="inlineStr">
        <is>
          <t>ШТ</t>
        </is>
      </c>
      <c r="D183" s="28" t="n">
        <v>1002131181764</v>
      </c>
      <c r="E183" s="24" t="n"/>
      <c r="F183" s="23" t="n">
        <v>0.42</v>
      </c>
      <c r="G183" s="23">
        <f>E183*0.42</f>
        <v/>
      </c>
      <c r="H183" s="14" t="n">
        <v>4.2</v>
      </c>
      <c r="I183" s="72" t="n">
        <v>120</v>
      </c>
      <c r="J183" s="39" t="n"/>
    </row>
    <row r="184" ht="16.5" customHeight="1" thickBot="1" thickTop="1">
      <c r="A184" s="93">
        <f>RIGHT(D184:D299,4)</f>
        <v/>
      </c>
      <c r="B184" s="74" t="inlineStr">
        <is>
          <t>Консервы мясные</t>
        </is>
      </c>
      <c r="C184" s="74" t="n"/>
      <c r="D184" s="74" t="n"/>
      <c r="E184" s="74" t="n"/>
      <c r="F184" s="73" t="n"/>
      <c r="G184" s="74" t="n"/>
      <c r="H184" s="74" t="n"/>
      <c r="I184" s="74" t="n"/>
      <c r="J184" s="75" t="n"/>
    </row>
    <row r="185" ht="16.5" customHeight="1" thickBot="1" thickTop="1">
      <c r="A185" s="93">
        <f>RIGHT(D185:D300,4)</f>
        <v/>
      </c>
      <c r="B185" s="74" t="inlineStr">
        <is>
          <t>Мясокостные замороженные</t>
        </is>
      </c>
      <c r="C185" s="74" t="n"/>
      <c r="D185" s="74" t="n"/>
      <c r="E185" s="74" t="n"/>
      <c r="F185" s="73" t="n"/>
      <c r="G185" s="74" t="n"/>
      <c r="H185" s="74" t="n"/>
      <c r="I185" s="74" t="n"/>
      <c r="J185" s="75" t="n"/>
    </row>
    <row r="186" ht="16.5" customHeight="1" thickBot="1" thickTop="1">
      <c r="A186" s="93">
        <f>RIGHT(D186:D301,4)</f>
        <v/>
      </c>
      <c r="B186" s="47" t="inlineStr">
        <is>
          <t xml:space="preserve"> РАГУ СВИНОЕ 1кг 8шт.зам_120с </t>
        </is>
      </c>
      <c r="C186" s="36" t="inlineStr">
        <is>
          <t>ШТ</t>
        </is>
      </c>
      <c r="D186" s="68" t="inlineStr">
        <is>
          <t>1002162156004</t>
        </is>
      </c>
      <c r="E186" s="24" t="n"/>
      <c r="F186" s="23" t="n">
        <v>1</v>
      </c>
      <c r="G186" s="23">
        <f>E186*1</f>
        <v/>
      </c>
      <c r="H186" s="14" t="n">
        <v>8</v>
      </c>
      <c r="I186" s="72" t="n">
        <v>120</v>
      </c>
      <c r="J186" s="39" t="n"/>
    </row>
    <row r="187" ht="15.75" customHeight="1" thickTop="1">
      <c r="A187" s="93">
        <f>RIGHT(D187:D302,4)</f>
        <v/>
      </c>
      <c r="B187" s="47" t="inlineStr">
        <is>
          <t>ШАШЛЫК ИЗ СВИНИНЫ зам.</t>
        </is>
      </c>
      <c r="C187" s="30" t="inlineStr">
        <is>
          <t>КГ</t>
        </is>
      </c>
      <c r="D187" s="68" t="inlineStr">
        <is>
          <t>1002162215417</t>
        </is>
      </c>
      <c r="E187" s="24" t="n"/>
      <c r="F187" s="23" t="n">
        <v>2</v>
      </c>
      <c r="G187" s="23">
        <f>E187*1</f>
        <v/>
      </c>
      <c r="H187" s="14" t="n">
        <v>6</v>
      </c>
      <c r="I187" s="72" t="n">
        <v>90</v>
      </c>
      <c r="J187" s="39" t="n"/>
    </row>
    <row r="188" ht="15.75" customHeight="1" thickBot="1">
      <c r="A188" s="93">
        <f>RIGHT(D188:D303,4)</f>
        <v/>
      </c>
      <c r="B188" s="47" t="inlineStr">
        <is>
          <t>РЕБРЫШКИ ОБЫКНОВЕННЫЕ 1кг 12шт.зам.</t>
        </is>
      </c>
      <c r="C188" s="36" t="inlineStr">
        <is>
          <t>ШТ</t>
        </is>
      </c>
      <c r="D188" s="69" t="inlineStr">
        <is>
          <t>1002162166019</t>
        </is>
      </c>
      <c r="E188" s="24" t="n"/>
      <c r="F188" s="23" t="n">
        <v>1</v>
      </c>
      <c r="G188" s="23">
        <f>E188*1</f>
        <v/>
      </c>
      <c r="H188" s="14" t="n">
        <v>12</v>
      </c>
      <c r="I188" s="72" t="n">
        <v>120</v>
      </c>
      <c r="J188" s="39" t="n"/>
    </row>
    <row r="189" ht="16.5" customHeight="1" thickBot="1" thickTop="1">
      <c r="A189" s="77" t="n"/>
      <c r="B189" s="77" t="inlineStr">
        <is>
          <t>ВСЕГО:</t>
        </is>
      </c>
      <c r="C189" s="16" t="n"/>
      <c r="D189" s="48" t="n"/>
      <c r="E189" s="17">
        <f>SUM(E5:E188)</f>
        <v/>
      </c>
      <c r="F189" s="17">
        <f>SUM(F10:F188)</f>
        <v/>
      </c>
      <c r="G189" s="17">
        <f>SUM(G11:G188)</f>
        <v/>
      </c>
      <c r="H189" s="17">
        <f>SUM(H10:H185)</f>
        <v/>
      </c>
      <c r="I189" s="17" t="n"/>
      <c r="J189" s="17" t="n"/>
    </row>
    <row r="190" ht="15.75" customHeight="1" thickTop="1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  <row r="1710">
      <c r="B1710" s="53" t="n"/>
      <c r="C1710" s="18" t="n"/>
      <c r="D1710" s="52" t="n"/>
      <c r="F1710" s="19" t="n"/>
      <c r="G1710" s="19" t="n"/>
      <c r="H1710" s="20" t="n"/>
      <c r="I1710" s="20" t="n"/>
      <c r="J1710" s="21" t="n"/>
    </row>
    <row r="1711">
      <c r="B1711" s="53" t="n"/>
      <c r="C1711" s="18" t="n"/>
      <c r="D1711" s="52" t="n"/>
      <c r="F1711" s="19" t="n"/>
      <c r="G1711" s="19" t="n"/>
      <c r="H1711" s="20" t="n"/>
      <c r="I1711" s="20" t="n"/>
      <c r="J1711" s="21" t="n"/>
    </row>
    <row r="1712">
      <c r="B1712" s="53" t="n"/>
      <c r="C1712" s="18" t="n"/>
      <c r="D1712" s="52" t="n"/>
      <c r="F1712" s="19" t="n"/>
      <c r="G1712" s="19" t="n"/>
      <c r="H1712" s="20" t="n"/>
      <c r="I1712" s="20" t="n"/>
      <c r="J1712" s="21" t="n"/>
    </row>
    <row r="1713">
      <c r="B1713" s="53" t="n"/>
      <c r="C1713" s="18" t="n"/>
      <c r="D1713" s="52" t="n"/>
      <c r="F1713" s="19" t="n"/>
      <c r="G1713" s="19" t="n"/>
      <c r="H1713" s="20" t="n"/>
      <c r="I1713" s="20" t="n"/>
      <c r="J1713" s="21" t="n"/>
    </row>
  </sheetData>
  <autoFilter ref="A9:J189"/>
  <mergeCells count="2">
    <mergeCell ref="E1:J1"/>
    <mergeCell ref="G3:J3"/>
  </mergeCells>
  <dataValidations disablePrompts="1" count="2">
    <dataValidation sqref="B182" showDropDown="0" showInputMessage="1" showErrorMessage="1" allowBlank="0" type="textLength" operator="lessThanOrEqual">
      <formula1>40</formula1>
    </dataValidation>
    <dataValidation sqref="D186:D188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2026-01-19T12:14:39Z</dcterms:modified>
  <cp:lastModifiedBy>Uaer4</cp:lastModifiedBy>
  <cp:lastPrinted>2023-11-08T08:22:20Z</cp:lastPrinted>
</cp:coreProperties>
</file>